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3.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4.xml" ContentType="application/vnd.openxmlformats-officedocument.drawing+xml"/>
  <Override PartName="/xl/charts/chart18.xml" ContentType="application/vnd.openxmlformats-officedocument.drawingml.chart+xml"/>
  <Override PartName="/xl/drawings/drawing5.xml" ContentType="application/vnd.openxmlformats-officedocument.drawing+xml"/>
  <Override PartName="/xl/charts/chart1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https://anu365-my.sharepoint.com/personal/u8222174_anu_edu_au/Documents/Y2 S2/Portfolio Construction/"/>
    </mc:Choice>
  </mc:AlternateContent>
  <xr:revisionPtr revIDLastSave="0" documentId="8_{5DDB039B-6F4B-0349-BE23-539E968BF72D}" xr6:coauthVersionLast="47" xr6:coauthVersionMax="47" xr10:uidLastSave="{00000000-0000-0000-0000-000000000000}"/>
  <bookViews>
    <workbookView xWindow="0" yWindow="740" windowWidth="29400" windowHeight="18380" activeTab="1" xr2:uid="{00000000-000D-0000-FFFF-FFFF00000000}"/>
  </bookViews>
  <sheets>
    <sheet name="Summary" sheetId="1" r:id="rId1"/>
    <sheet name="Report figures" sheetId="2" r:id="rId2"/>
    <sheet name="Inputs" sheetId="3" r:id="rId3"/>
    <sheet name="Forecast" sheetId="4" r:id="rId4"/>
    <sheet name="Risk" sheetId="5" r:id="rId5"/>
    <sheet name="Portfolio" sheetId="6" r:id="rId6"/>
    <sheet name="Methods" sheetId="7" r:id="rId7"/>
    <sheet name="Bootstrap" sheetId="8" r:id="rId8"/>
    <sheet name="Stress" sheetId="9" r:id="rId9"/>
    <sheet name="Oil" sheetId="10" r:id="rId10"/>
    <sheet name="Validation" sheetId="11" r:id="rId11"/>
    <sheet name="Track record" sheetId="12" r:id="rId12"/>
    <sheet name="Checks" sheetId="13" r:id="rId13"/>
    <sheet name="Quarterly returns" sheetId="14" r:id="rId14"/>
    <sheet name="RBA 5Y yield" sheetId="15" r:id="rId15"/>
    <sheet name="Data notice" sheetId="16" r:id="rId16"/>
    <sheet name="Data" sheetId="17" r:id="rId17"/>
    <sheet name="Fund balance sheet" sheetId="18" r:id="rId18"/>
    <sheet name="Fee schedule" sheetId="19" r:id="rId19"/>
    <sheet name="Additional data" sheetId="20"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9" i="18" l="1"/>
  <c r="D27" i="18"/>
  <c r="D21" i="18"/>
  <c r="C21" i="18"/>
  <c r="B19" i="18"/>
  <c r="B21" i="18" s="1"/>
  <c r="D16" i="18"/>
  <c r="C16" i="18"/>
  <c r="B16" i="18"/>
  <c r="B15" i="18"/>
  <c r="B14" i="18"/>
  <c r="B13" i="18"/>
  <c r="D10" i="18"/>
  <c r="D29" i="18" s="1"/>
  <c r="C10" i="18"/>
  <c r="B10" i="18"/>
  <c r="B7" i="18"/>
  <c r="T85" i="14"/>
  <c r="Q85" i="14"/>
  <c r="P85" i="14"/>
  <c r="L85" i="14"/>
  <c r="X85" i="14" s="1"/>
  <c r="K85" i="14"/>
  <c r="W85" i="14" s="1"/>
  <c r="J85" i="14"/>
  <c r="V85" i="14" s="1"/>
  <c r="I85" i="14"/>
  <c r="U85" i="14" s="1"/>
  <c r="H85" i="14"/>
  <c r="G85" i="14"/>
  <c r="S85" i="14" s="1"/>
  <c r="F85" i="14"/>
  <c r="R85" i="14" s="1"/>
  <c r="E85" i="14"/>
  <c r="D85" i="14"/>
  <c r="C85" i="14"/>
  <c r="O85" i="14" s="1"/>
  <c r="B85" i="14"/>
  <c r="N85" i="14" s="1"/>
  <c r="A85" i="14"/>
  <c r="X84" i="14"/>
  <c r="T84" i="14"/>
  <c r="P84" i="14"/>
  <c r="L84" i="14"/>
  <c r="K84" i="14"/>
  <c r="W84" i="14" s="1"/>
  <c r="J84" i="14"/>
  <c r="V84" i="14" s="1"/>
  <c r="I84" i="14"/>
  <c r="H84" i="14"/>
  <c r="G84" i="14"/>
  <c r="F84" i="14"/>
  <c r="R84" i="14" s="1"/>
  <c r="E84" i="14"/>
  <c r="Q84" i="14" s="1"/>
  <c r="D84" i="14"/>
  <c r="C84" i="14"/>
  <c r="O84" i="14" s="1"/>
  <c r="B84" i="14"/>
  <c r="N84" i="14" s="1"/>
  <c r="A84" i="14"/>
  <c r="X83" i="14"/>
  <c r="T83" i="14"/>
  <c r="R83" i="14"/>
  <c r="Q83" i="14"/>
  <c r="P83" i="14"/>
  <c r="L83" i="14"/>
  <c r="K83" i="14"/>
  <c r="W83" i="14" s="1"/>
  <c r="J83" i="14"/>
  <c r="V83" i="14" s="1"/>
  <c r="I83" i="14"/>
  <c r="H83" i="14"/>
  <c r="G83" i="14"/>
  <c r="S84" i="14" s="1"/>
  <c r="F83" i="14"/>
  <c r="E83" i="14"/>
  <c r="D83" i="14"/>
  <c r="C83" i="14"/>
  <c r="O83" i="14" s="1"/>
  <c r="B83" i="14"/>
  <c r="N83" i="14" s="1"/>
  <c r="A83" i="14"/>
  <c r="X82" i="14"/>
  <c r="T82" i="14"/>
  <c r="P82" i="14"/>
  <c r="O82" i="14"/>
  <c r="N82" i="14"/>
  <c r="L82" i="14"/>
  <c r="K82" i="14"/>
  <c r="W82" i="14" s="1"/>
  <c r="J82" i="14"/>
  <c r="V82" i="14" s="1"/>
  <c r="I82" i="14"/>
  <c r="H82" i="14"/>
  <c r="G82" i="14"/>
  <c r="S82" i="14" s="1"/>
  <c r="F82" i="14"/>
  <c r="R82" i="14" s="1"/>
  <c r="E82" i="14"/>
  <c r="Q82" i="14" s="1"/>
  <c r="D82" i="14"/>
  <c r="C82" i="14"/>
  <c r="B82" i="14"/>
  <c r="A82" i="14"/>
  <c r="X81" i="14"/>
  <c r="T81" i="14"/>
  <c r="Q81" i="14"/>
  <c r="P81" i="14"/>
  <c r="O81" i="14"/>
  <c r="L81" i="14"/>
  <c r="K81" i="14"/>
  <c r="W81" i="14" s="1"/>
  <c r="J81" i="14"/>
  <c r="V81" i="14" s="1"/>
  <c r="I81" i="14"/>
  <c r="H81" i="14"/>
  <c r="G81" i="14"/>
  <c r="F81" i="14"/>
  <c r="R81" i="14" s="1"/>
  <c r="E81" i="14"/>
  <c r="D81" i="14"/>
  <c r="C81" i="14"/>
  <c r="B81" i="14"/>
  <c r="N81" i="14" s="1"/>
  <c r="A81" i="14"/>
  <c r="X80" i="14"/>
  <c r="T80" i="14"/>
  <c r="P80" i="14"/>
  <c r="L80" i="14"/>
  <c r="K80" i="14"/>
  <c r="W80" i="14" s="1"/>
  <c r="J80" i="14"/>
  <c r="V80" i="14" s="1"/>
  <c r="I80" i="14"/>
  <c r="H80" i="14"/>
  <c r="G80" i="14"/>
  <c r="S80" i="14" s="1"/>
  <c r="F80" i="14"/>
  <c r="R80" i="14" s="1"/>
  <c r="E80" i="14"/>
  <c r="Q80" i="14" s="1"/>
  <c r="D80" i="14"/>
  <c r="C80" i="14"/>
  <c r="O80" i="14" s="1"/>
  <c r="B80" i="14"/>
  <c r="N80" i="14" s="1"/>
  <c r="A80" i="14"/>
  <c r="X79" i="14"/>
  <c r="W79" i="14"/>
  <c r="T79" i="14"/>
  <c r="Q79" i="14"/>
  <c r="P79" i="14"/>
  <c r="L79" i="14"/>
  <c r="K79" i="14"/>
  <c r="J79" i="14"/>
  <c r="V79" i="14" s="1"/>
  <c r="I79" i="14"/>
  <c r="H79" i="14"/>
  <c r="G79" i="14"/>
  <c r="F79" i="14"/>
  <c r="R79" i="14" s="1"/>
  <c r="E79" i="14"/>
  <c r="D79" i="14"/>
  <c r="C79" i="14"/>
  <c r="O79" i="14" s="1"/>
  <c r="B79" i="14"/>
  <c r="N79" i="14" s="1"/>
  <c r="A79" i="14"/>
  <c r="X78" i="14"/>
  <c r="T78" i="14"/>
  <c r="P78" i="14"/>
  <c r="L78" i="14"/>
  <c r="K78" i="14"/>
  <c r="W78" i="14" s="1"/>
  <c r="J78" i="14"/>
  <c r="V78" i="14" s="1"/>
  <c r="I78" i="14"/>
  <c r="H78" i="14"/>
  <c r="G78" i="14"/>
  <c r="S79" i="14" s="1"/>
  <c r="F78" i="14"/>
  <c r="R78" i="14" s="1"/>
  <c r="E78" i="14"/>
  <c r="Q78" i="14" s="1"/>
  <c r="D78" i="14"/>
  <c r="C78" i="14"/>
  <c r="O78" i="14" s="1"/>
  <c r="B78" i="14"/>
  <c r="N78" i="14" s="1"/>
  <c r="A78" i="14"/>
  <c r="X77" i="14"/>
  <c r="T77" i="14"/>
  <c r="R77" i="14"/>
  <c r="Q77" i="14"/>
  <c r="P77" i="14"/>
  <c r="L77" i="14"/>
  <c r="K77" i="14"/>
  <c r="W77" i="14" s="1"/>
  <c r="J77" i="14"/>
  <c r="V77" i="14" s="1"/>
  <c r="I77" i="14"/>
  <c r="H77" i="14"/>
  <c r="G77" i="14"/>
  <c r="S77" i="14" s="1"/>
  <c r="F77" i="14"/>
  <c r="E77" i="14"/>
  <c r="D77" i="14"/>
  <c r="C77" i="14"/>
  <c r="O77" i="14" s="1"/>
  <c r="B77" i="14"/>
  <c r="N77" i="14" s="1"/>
  <c r="A77" i="14"/>
  <c r="X76" i="14"/>
  <c r="T76" i="14"/>
  <c r="P76" i="14"/>
  <c r="O76" i="14"/>
  <c r="N76" i="14"/>
  <c r="L76" i="14"/>
  <c r="K76" i="14"/>
  <c r="W76" i="14" s="1"/>
  <c r="J76" i="14"/>
  <c r="V76" i="14" s="1"/>
  <c r="I76" i="14"/>
  <c r="H76" i="14"/>
  <c r="G76" i="14"/>
  <c r="F76" i="14"/>
  <c r="R76" i="14" s="1"/>
  <c r="E76" i="14"/>
  <c r="Q76" i="14" s="1"/>
  <c r="D76" i="14"/>
  <c r="C76" i="14"/>
  <c r="B76" i="14"/>
  <c r="A76" i="14"/>
  <c r="X75" i="14"/>
  <c r="T75" i="14"/>
  <c r="R75" i="14"/>
  <c r="Q75" i="14"/>
  <c r="P75" i="14"/>
  <c r="L75" i="14"/>
  <c r="K75" i="14"/>
  <c r="W75" i="14" s="1"/>
  <c r="J75" i="14"/>
  <c r="V75" i="14" s="1"/>
  <c r="I75" i="14"/>
  <c r="H75" i="14"/>
  <c r="G75" i="14"/>
  <c r="S75" i="14" s="1"/>
  <c r="F75" i="14"/>
  <c r="E75" i="14"/>
  <c r="D75" i="14"/>
  <c r="C75" i="14"/>
  <c r="O75" i="14" s="1"/>
  <c r="B75" i="14"/>
  <c r="N75" i="14" s="1"/>
  <c r="A75" i="14"/>
  <c r="X74" i="14"/>
  <c r="T74" i="14"/>
  <c r="P74" i="14"/>
  <c r="L74" i="14"/>
  <c r="K74" i="14"/>
  <c r="W74" i="14" s="1"/>
  <c r="J74" i="14"/>
  <c r="V74" i="14" s="1"/>
  <c r="I74" i="14"/>
  <c r="H74" i="14"/>
  <c r="G74" i="14"/>
  <c r="S74" i="14" s="1"/>
  <c r="F74" i="14"/>
  <c r="R74" i="14" s="1"/>
  <c r="E74" i="14"/>
  <c r="Q74" i="14" s="1"/>
  <c r="D74" i="14"/>
  <c r="C74" i="14"/>
  <c r="O74" i="14" s="1"/>
  <c r="B74" i="14"/>
  <c r="N74" i="14" s="1"/>
  <c r="A74" i="14"/>
  <c r="X73" i="14"/>
  <c r="T73" i="14"/>
  <c r="R73" i="14"/>
  <c r="Q73" i="14"/>
  <c r="P73" i="14"/>
  <c r="O73" i="14"/>
  <c r="L73" i="14"/>
  <c r="K73" i="14"/>
  <c r="W73" i="14" s="1"/>
  <c r="J73" i="14"/>
  <c r="V73" i="14" s="1"/>
  <c r="I73" i="14"/>
  <c r="H73" i="14"/>
  <c r="G73" i="14"/>
  <c r="F73" i="14"/>
  <c r="E73" i="14"/>
  <c r="D73" i="14"/>
  <c r="C73" i="14"/>
  <c r="B73" i="14"/>
  <c r="N73" i="14" s="1"/>
  <c r="A73" i="14"/>
  <c r="X72" i="14"/>
  <c r="T72" i="14"/>
  <c r="P72" i="14"/>
  <c r="O72" i="14"/>
  <c r="L72" i="14"/>
  <c r="K72" i="14"/>
  <c r="W72" i="14" s="1"/>
  <c r="J72" i="14"/>
  <c r="V72" i="14" s="1"/>
  <c r="I72" i="14"/>
  <c r="H72" i="14"/>
  <c r="G72" i="14"/>
  <c r="S73" i="14" s="1"/>
  <c r="F72" i="14"/>
  <c r="R72" i="14" s="1"/>
  <c r="E72" i="14"/>
  <c r="Q72" i="14" s="1"/>
  <c r="D72" i="14"/>
  <c r="C72" i="14"/>
  <c r="B72" i="14"/>
  <c r="N72" i="14" s="1"/>
  <c r="A72" i="14"/>
  <c r="X71" i="14"/>
  <c r="T71" i="14"/>
  <c r="Q71" i="14"/>
  <c r="P71" i="14"/>
  <c r="O71" i="14"/>
  <c r="L71" i="14"/>
  <c r="K71" i="14"/>
  <c r="W71" i="14" s="1"/>
  <c r="J71" i="14"/>
  <c r="V71" i="14" s="1"/>
  <c r="I71" i="14"/>
  <c r="H71" i="14"/>
  <c r="G71" i="14"/>
  <c r="S71" i="14" s="1"/>
  <c r="F71" i="14"/>
  <c r="R71" i="14" s="1"/>
  <c r="E71" i="14"/>
  <c r="D71" i="14"/>
  <c r="C71" i="14"/>
  <c r="B71" i="14"/>
  <c r="N71" i="14" s="1"/>
  <c r="A71" i="14"/>
  <c r="X70" i="14"/>
  <c r="T70" i="14"/>
  <c r="P70" i="14"/>
  <c r="N70" i="14"/>
  <c r="L70" i="14"/>
  <c r="K70" i="14"/>
  <c r="W70" i="14" s="1"/>
  <c r="J70" i="14"/>
  <c r="V70" i="14" s="1"/>
  <c r="I70" i="14"/>
  <c r="H70" i="14"/>
  <c r="G70" i="14"/>
  <c r="S70" i="14" s="1"/>
  <c r="F70" i="14"/>
  <c r="R70" i="14" s="1"/>
  <c r="E70" i="14"/>
  <c r="Q70" i="14" s="1"/>
  <c r="D70" i="14"/>
  <c r="C70" i="14"/>
  <c r="O70" i="14" s="1"/>
  <c r="B70" i="14"/>
  <c r="A70" i="14"/>
  <c r="X69" i="14"/>
  <c r="T69" i="14"/>
  <c r="Q69" i="14"/>
  <c r="P69" i="14"/>
  <c r="L69" i="14"/>
  <c r="K69" i="14"/>
  <c r="W69" i="14" s="1"/>
  <c r="J69" i="14"/>
  <c r="V69" i="14" s="1"/>
  <c r="I69" i="14"/>
  <c r="H69" i="14"/>
  <c r="G69" i="14"/>
  <c r="S69" i="14" s="1"/>
  <c r="F69" i="14"/>
  <c r="R69" i="14" s="1"/>
  <c r="E69" i="14"/>
  <c r="D69" i="14"/>
  <c r="C69" i="14"/>
  <c r="O69" i="14" s="1"/>
  <c r="B69" i="14"/>
  <c r="N69" i="14" s="1"/>
  <c r="A69" i="14"/>
  <c r="X68" i="14"/>
  <c r="V68" i="14"/>
  <c r="T68" i="14"/>
  <c r="P68" i="14"/>
  <c r="L68" i="14"/>
  <c r="K68" i="14"/>
  <c r="W68" i="14" s="1"/>
  <c r="J68" i="14"/>
  <c r="I68" i="14"/>
  <c r="H68" i="14"/>
  <c r="G68" i="14"/>
  <c r="F68" i="14"/>
  <c r="R68" i="14" s="1"/>
  <c r="E68" i="14"/>
  <c r="Q68" i="14" s="1"/>
  <c r="D68" i="14"/>
  <c r="C68" i="14"/>
  <c r="O68" i="14" s="1"/>
  <c r="B68" i="14"/>
  <c r="N68" i="14" s="1"/>
  <c r="A68" i="14"/>
  <c r="X67" i="14"/>
  <c r="T67" i="14"/>
  <c r="R67" i="14"/>
  <c r="Q67" i="14"/>
  <c r="P67" i="14"/>
  <c r="L67" i="14"/>
  <c r="K67" i="14"/>
  <c r="W67" i="14" s="1"/>
  <c r="J67" i="14"/>
  <c r="V67" i="14" s="1"/>
  <c r="I67" i="14"/>
  <c r="H67" i="14"/>
  <c r="G67" i="14"/>
  <c r="S67" i="14" s="1"/>
  <c r="F67" i="14"/>
  <c r="E67" i="14"/>
  <c r="D67" i="14"/>
  <c r="C67" i="14"/>
  <c r="O67" i="14" s="1"/>
  <c r="B67" i="14"/>
  <c r="N67" i="14" s="1"/>
  <c r="A67" i="14"/>
  <c r="X66" i="14"/>
  <c r="V66" i="14"/>
  <c r="T66" i="14"/>
  <c r="P66" i="14"/>
  <c r="O66" i="14"/>
  <c r="N66" i="14"/>
  <c r="L66" i="14"/>
  <c r="K66" i="14"/>
  <c r="W66" i="14" s="1"/>
  <c r="J66" i="14"/>
  <c r="I66" i="14"/>
  <c r="H66" i="14"/>
  <c r="G66" i="14"/>
  <c r="S66" i="14" s="1"/>
  <c r="F66" i="14"/>
  <c r="R66" i="14" s="1"/>
  <c r="E66" i="14"/>
  <c r="Q66" i="14" s="1"/>
  <c r="D66" i="14"/>
  <c r="C66" i="14"/>
  <c r="B66" i="14"/>
  <c r="A66" i="14"/>
  <c r="X65" i="14"/>
  <c r="T65" i="14"/>
  <c r="R65" i="14"/>
  <c r="Q65" i="14"/>
  <c r="P65" i="14"/>
  <c r="O65" i="14"/>
  <c r="L65" i="14"/>
  <c r="K65" i="14"/>
  <c r="W65" i="14" s="1"/>
  <c r="J65" i="14"/>
  <c r="V65" i="14" s="1"/>
  <c r="I65" i="14"/>
  <c r="H65" i="14"/>
  <c r="G65" i="14"/>
  <c r="F65" i="14"/>
  <c r="E65" i="14"/>
  <c r="D65" i="14"/>
  <c r="C65" i="14"/>
  <c r="B65" i="14"/>
  <c r="N65" i="14" s="1"/>
  <c r="A65" i="14"/>
  <c r="X64" i="14"/>
  <c r="V64" i="14"/>
  <c r="Q64" i="14"/>
  <c r="P64" i="14"/>
  <c r="N64" i="14"/>
  <c r="L64" i="14"/>
  <c r="K64" i="14"/>
  <c r="W64" i="14" s="1"/>
  <c r="J64" i="14"/>
  <c r="I64" i="14"/>
  <c r="H64" i="14"/>
  <c r="T64" i="14" s="1"/>
  <c r="G64" i="14"/>
  <c r="F64" i="14"/>
  <c r="R64" i="14" s="1"/>
  <c r="E64" i="14"/>
  <c r="D64" i="14"/>
  <c r="C64" i="14"/>
  <c r="O64" i="14" s="1"/>
  <c r="B64" i="14"/>
  <c r="A64" i="14"/>
  <c r="X63" i="14"/>
  <c r="W63" i="14"/>
  <c r="T63" i="14"/>
  <c r="S63" i="14"/>
  <c r="Q63" i="14"/>
  <c r="P63" i="14"/>
  <c r="O63" i="14"/>
  <c r="L63" i="14"/>
  <c r="K63" i="14"/>
  <c r="J63" i="14"/>
  <c r="V63" i="14" s="1"/>
  <c r="I63" i="14"/>
  <c r="H63" i="14"/>
  <c r="G63" i="14"/>
  <c r="F63" i="14"/>
  <c r="R63" i="14" s="1"/>
  <c r="E63" i="14"/>
  <c r="D63" i="14"/>
  <c r="C63" i="14"/>
  <c r="B63" i="14"/>
  <c r="N63" i="14" s="1"/>
  <c r="A63" i="14"/>
  <c r="X62" i="14"/>
  <c r="W62" i="14"/>
  <c r="S62" i="14"/>
  <c r="Q62" i="14"/>
  <c r="P62" i="14"/>
  <c r="O62" i="14"/>
  <c r="N62" i="14"/>
  <c r="L62" i="14"/>
  <c r="K62" i="14"/>
  <c r="J62" i="14"/>
  <c r="V62" i="14" s="1"/>
  <c r="I62" i="14"/>
  <c r="H62" i="14"/>
  <c r="T62" i="14" s="1"/>
  <c r="G62" i="14"/>
  <c r="F62" i="14"/>
  <c r="R62" i="14" s="1"/>
  <c r="E62" i="14"/>
  <c r="D62" i="14"/>
  <c r="C62" i="14"/>
  <c r="B62" i="14"/>
  <c r="A62" i="14"/>
  <c r="X61" i="14"/>
  <c r="T61" i="14"/>
  <c r="Q61" i="14"/>
  <c r="P61" i="14"/>
  <c r="O61" i="14"/>
  <c r="L61" i="14"/>
  <c r="K61" i="14"/>
  <c r="W61" i="14" s="1"/>
  <c r="J61" i="14"/>
  <c r="V61" i="14" s="1"/>
  <c r="I61" i="14"/>
  <c r="H61" i="14"/>
  <c r="G61" i="14"/>
  <c r="S61" i="14" s="1"/>
  <c r="F61" i="14"/>
  <c r="R61" i="14" s="1"/>
  <c r="E61" i="14"/>
  <c r="D61" i="14"/>
  <c r="C61" i="14"/>
  <c r="B61" i="14"/>
  <c r="N61" i="14" s="1"/>
  <c r="A61" i="14"/>
  <c r="B61" i="12" s="1"/>
  <c r="X60" i="14"/>
  <c r="T60" i="14"/>
  <c r="S60" i="14"/>
  <c r="P60" i="14"/>
  <c r="O60" i="14"/>
  <c r="L60" i="14"/>
  <c r="K60" i="14"/>
  <c r="W60" i="14" s="1"/>
  <c r="J60" i="14"/>
  <c r="V60" i="14" s="1"/>
  <c r="I60" i="14"/>
  <c r="H60" i="14"/>
  <c r="G60" i="14"/>
  <c r="F60" i="14"/>
  <c r="R60" i="14" s="1"/>
  <c r="E60" i="14"/>
  <c r="Q60" i="14" s="1"/>
  <c r="D60" i="14"/>
  <c r="C60" i="14"/>
  <c r="B60" i="14"/>
  <c r="N60" i="14" s="1"/>
  <c r="A60" i="14"/>
  <c r="U59" i="14"/>
  <c r="T59" i="14"/>
  <c r="Q59" i="14"/>
  <c r="P59" i="14"/>
  <c r="L59" i="14"/>
  <c r="X59" i="14" s="1"/>
  <c r="K59" i="14"/>
  <c r="W59" i="14" s="1"/>
  <c r="J59" i="14"/>
  <c r="V59" i="14" s="1"/>
  <c r="I59" i="14"/>
  <c r="U60" i="14" s="1"/>
  <c r="H59" i="14"/>
  <c r="G59" i="14"/>
  <c r="S59" i="14" s="1"/>
  <c r="F59" i="14"/>
  <c r="R59" i="14" s="1"/>
  <c r="E59" i="14"/>
  <c r="D59" i="14"/>
  <c r="C59" i="14"/>
  <c r="O59" i="14" s="1"/>
  <c r="B59" i="14"/>
  <c r="N59" i="14" s="1"/>
  <c r="A59" i="14"/>
  <c r="X58" i="14"/>
  <c r="V58" i="14"/>
  <c r="Q58" i="14"/>
  <c r="P58" i="14"/>
  <c r="O58" i="14"/>
  <c r="L58" i="14"/>
  <c r="K58" i="14"/>
  <c r="W58" i="14" s="1"/>
  <c r="J58" i="14"/>
  <c r="I58" i="14"/>
  <c r="H58" i="14"/>
  <c r="T58" i="14" s="1"/>
  <c r="G58" i="14"/>
  <c r="F58" i="14"/>
  <c r="R58" i="14" s="1"/>
  <c r="E58" i="14"/>
  <c r="D58" i="14"/>
  <c r="C58" i="14"/>
  <c r="B58" i="14"/>
  <c r="N58" i="14" s="1"/>
  <c r="A58" i="14"/>
  <c r="W57" i="14"/>
  <c r="T57" i="14"/>
  <c r="R57" i="14"/>
  <c r="Q57" i="14"/>
  <c r="L57" i="14"/>
  <c r="X57" i="14" s="1"/>
  <c r="K57" i="14"/>
  <c r="J57" i="14"/>
  <c r="V57" i="14" s="1"/>
  <c r="I57" i="14"/>
  <c r="U58" i="14" s="1"/>
  <c r="H57" i="14"/>
  <c r="G57" i="14"/>
  <c r="S57" i="14" s="1"/>
  <c r="F57" i="14"/>
  <c r="E57" i="14"/>
  <c r="D57" i="14"/>
  <c r="P57" i="14" s="1"/>
  <c r="C57" i="14"/>
  <c r="O57" i="14" s="1"/>
  <c r="B57" i="14"/>
  <c r="N57" i="14" s="1"/>
  <c r="A57" i="14"/>
  <c r="B57" i="12" s="1"/>
  <c r="X56" i="14"/>
  <c r="V56" i="14"/>
  <c r="Q56" i="14"/>
  <c r="P56" i="14"/>
  <c r="L56" i="14"/>
  <c r="K56" i="14"/>
  <c r="W56" i="14" s="1"/>
  <c r="J56" i="14"/>
  <c r="I56" i="14"/>
  <c r="H56" i="14"/>
  <c r="T56" i="14" s="1"/>
  <c r="G56" i="14"/>
  <c r="S56" i="14" s="1"/>
  <c r="F56" i="14"/>
  <c r="R56" i="14" s="1"/>
  <c r="E56" i="14"/>
  <c r="D56" i="14"/>
  <c r="C56" i="14"/>
  <c r="O56" i="14" s="1"/>
  <c r="B56" i="14"/>
  <c r="N56" i="14" s="1"/>
  <c r="A56" i="14"/>
  <c r="W55" i="14"/>
  <c r="T55" i="14"/>
  <c r="S55" i="14"/>
  <c r="R55" i="14"/>
  <c r="Q55" i="14"/>
  <c r="O55" i="14"/>
  <c r="L55" i="14"/>
  <c r="X55" i="14" s="1"/>
  <c r="K55" i="14"/>
  <c r="J55" i="14"/>
  <c r="V55" i="14" s="1"/>
  <c r="I55" i="14"/>
  <c r="H55" i="14"/>
  <c r="G55" i="14"/>
  <c r="F55" i="14"/>
  <c r="E55" i="14"/>
  <c r="D55" i="14"/>
  <c r="P55" i="14" s="1"/>
  <c r="C55" i="14"/>
  <c r="B55" i="14"/>
  <c r="N55" i="14" s="1"/>
  <c r="A55" i="14"/>
  <c r="X54" i="14"/>
  <c r="W54" i="14"/>
  <c r="S54" i="14"/>
  <c r="Q54" i="14"/>
  <c r="P54" i="14"/>
  <c r="N54" i="14"/>
  <c r="L54" i="14"/>
  <c r="K54" i="14"/>
  <c r="J54" i="14"/>
  <c r="V54" i="14" s="1"/>
  <c r="I54" i="14"/>
  <c r="H54" i="14"/>
  <c r="T54" i="14" s="1"/>
  <c r="G54" i="14"/>
  <c r="F54" i="14"/>
  <c r="R54" i="14" s="1"/>
  <c r="E54" i="14"/>
  <c r="D54" i="14"/>
  <c r="C54" i="14"/>
  <c r="O54" i="14" s="1"/>
  <c r="B54" i="14"/>
  <c r="A54" i="14"/>
  <c r="X53" i="14"/>
  <c r="U53" i="14"/>
  <c r="T53" i="14"/>
  <c r="S53" i="14"/>
  <c r="Q53" i="14"/>
  <c r="P53" i="14"/>
  <c r="O53" i="14"/>
  <c r="L53" i="14"/>
  <c r="K53" i="14"/>
  <c r="W53" i="14" s="1"/>
  <c r="J53" i="14"/>
  <c r="V53" i="14" s="1"/>
  <c r="I53" i="14"/>
  <c r="U54" i="14" s="1"/>
  <c r="H53" i="14"/>
  <c r="G53" i="14"/>
  <c r="F53" i="14"/>
  <c r="R53" i="14" s="1"/>
  <c r="E53" i="14"/>
  <c r="D53" i="14"/>
  <c r="C53" i="14"/>
  <c r="B53" i="14"/>
  <c r="N53" i="14" s="1"/>
  <c r="A53" i="14"/>
  <c r="X52" i="14"/>
  <c r="T52" i="14"/>
  <c r="S52" i="14"/>
  <c r="P52" i="14"/>
  <c r="O52" i="14"/>
  <c r="N52" i="14"/>
  <c r="L52" i="14"/>
  <c r="K52" i="14"/>
  <c r="W52" i="14" s="1"/>
  <c r="J52" i="14"/>
  <c r="V52" i="14" s="1"/>
  <c r="I52" i="14"/>
  <c r="H52" i="14"/>
  <c r="G52" i="14"/>
  <c r="F52" i="14"/>
  <c r="R52" i="14" s="1"/>
  <c r="E52" i="14"/>
  <c r="Q52" i="14" s="1"/>
  <c r="D52" i="14"/>
  <c r="C52" i="14"/>
  <c r="B52" i="14"/>
  <c r="A52" i="14"/>
  <c r="U51" i="14"/>
  <c r="T51" i="14"/>
  <c r="Q51" i="14"/>
  <c r="L51" i="14"/>
  <c r="X51" i="14" s="1"/>
  <c r="K51" i="14"/>
  <c r="W51" i="14" s="1"/>
  <c r="J51" i="14"/>
  <c r="V51" i="14" s="1"/>
  <c r="I51" i="14"/>
  <c r="U52" i="14" s="1"/>
  <c r="H51" i="14"/>
  <c r="G51" i="14"/>
  <c r="F51" i="14"/>
  <c r="R51" i="14" s="1"/>
  <c r="E51" i="14"/>
  <c r="D51" i="14"/>
  <c r="P51" i="14" s="1"/>
  <c r="C51" i="14"/>
  <c r="O51" i="14" s="1"/>
  <c r="B51" i="14"/>
  <c r="N51" i="14" s="1"/>
  <c r="A51" i="14"/>
  <c r="X50" i="14"/>
  <c r="V50" i="14"/>
  <c r="T50" i="14"/>
  <c r="P50" i="14"/>
  <c r="O50" i="14"/>
  <c r="L50" i="14"/>
  <c r="K50" i="14"/>
  <c r="W50" i="14" s="1"/>
  <c r="J50" i="14"/>
  <c r="I50" i="14"/>
  <c r="H50" i="14"/>
  <c r="G50" i="14"/>
  <c r="F50" i="14"/>
  <c r="R50" i="14" s="1"/>
  <c r="E50" i="14"/>
  <c r="Q50" i="14" s="1"/>
  <c r="D50" i="14"/>
  <c r="C50" i="14"/>
  <c r="B50" i="14"/>
  <c r="N50" i="14" s="1"/>
  <c r="A50" i="14"/>
  <c r="X49" i="14"/>
  <c r="W49" i="14"/>
  <c r="U49" i="14"/>
  <c r="R49" i="14"/>
  <c r="Q49" i="14"/>
  <c r="L49" i="14"/>
  <c r="K49" i="14"/>
  <c r="J49" i="14"/>
  <c r="V49" i="14" s="1"/>
  <c r="I49" i="14"/>
  <c r="U50" i="14" s="1"/>
  <c r="H49" i="14"/>
  <c r="T49" i="14" s="1"/>
  <c r="G49" i="14"/>
  <c r="S49" i="14" s="1"/>
  <c r="F49" i="14"/>
  <c r="E49" i="14"/>
  <c r="D49" i="14"/>
  <c r="P49" i="14" s="1"/>
  <c r="C49" i="14"/>
  <c r="O49" i="14" s="1"/>
  <c r="B49" i="14"/>
  <c r="N49" i="14" s="1"/>
  <c r="A49" i="14"/>
  <c r="X48" i="14"/>
  <c r="W48" i="14"/>
  <c r="T48" i="14"/>
  <c r="P48" i="14"/>
  <c r="O48" i="14"/>
  <c r="N48" i="14"/>
  <c r="L48" i="14"/>
  <c r="K48" i="14"/>
  <c r="J48" i="14"/>
  <c r="V48" i="14" s="1"/>
  <c r="I48" i="14"/>
  <c r="H48" i="14"/>
  <c r="G48" i="14"/>
  <c r="S48" i="14" s="1"/>
  <c r="F48" i="14"/>
  <c r="R48" i="14" s="1"/>
  <c r="E48" i="14"/>
  <c r="Q48" i="14" s="1"/>
  <c r="D48" i="14"/>
  <c r="C48" i="14"/>
  <c r="B48" i="14"/>
  <c r="A48" i="14"/>
  <c r="W47" i="14"/>
  <c r="R47" i="14"/>
  <c r="Q47" i="14"/>
  <c r="L47" i="14"/>
  <c r="X47" i="14" s="1"/>
  <c r="K47" i="14"/>
  <c r="J47" i="14"/>
  <c r="V47" i="14" s="1"/>
  <c r="I47" i="14"/>
  <c r="H47" i="14"/>
  <c r="T47" i="14" s="1"/>
  <c r="G47" i="14"/>
  <c r="S47" i="14" s="1"/>
  <c r="F47" i="14"/>
  <c r="E47" i="14"/>
  <c r="D47" i="14"/>
  <c r="P47" i="14" s="1"/>
  <c r="C47" i="14"/>
  <c r="O47" i="14" s="1"/>
  <c r="B47" i="14"/>
  <c r="N47" i="14" s="1"/>
  <c r="A47" i="14"/>
  <c r="X46" i="14"/>
  <c r="U46" i="14"/>
  <c r="T46" i="14"/>
  <c r="O46" i="14"/>
  <c r="L46" i="14"/>
  <c r="K46" i="14"/>
  <c r="W46" i="14" s="1"/>
  <c r="J46" i="14"/>
  <c r="V46" i="14" s="1"/>
  <c r="I46" i="14"/>
  <c r="H46" i="14"/>
  <c r="G46" i="14"/>
  <c r="F46" i="14"/>
  <c r="R46" i="14" s="1"/>
  <c r="E46" i="14"/>
  <c r="Q46" i="14" s="1"/>
  <c r="D46" i="14"/>
  <c r="P46" i="14" s="1"/>
  <c r="C46" i="14"/>
  <c r="B46" i="14"/>
  <c r="N46" i="14" s="1"/>
  <c r="A46" i="14"/>
  <c r="R45" i="14"/>
  <c r="Q45" i="14"/>
  <c r="O45" i="14"/>
  <c r="L45" i="14"/>
  <c r="X45" i="14" s="1"/>
  <c r="K45" i="14"/>
  <c r="W45" i="14" s="1"/>
  <c r="J45" i="14"/>
  <c r="V45" i="14" s="1"/>
  <c r="I45" i="14"/>
  <c r="H45" i="14"/>
  <c r="T45" i="14" s="1"/>
  <c r="G45" i="14"/>
  <c r="F45" i="14"/>
  <c r="E45" i="14"/>
  <c r="D45" i="14"/>
  <c r="P45" i="14" s="1"/>
  <c r="C45" i="14"/>
  <c r="B45" i="14"/>
  <c r="N45" i="14" s="1"/>
  <c r="A45" i="14"/>
  <c r="X44" i="14"/>
  <c r="W44" i="14"/>
  <c r="T44" i="14"/>
  <c r="S44" i="14"/>
  <c r="P44" i="14"/>
  <c r="O44" i="14"/>
  <c r="N44" i="14"/>
  <c r="L44" i="14"/>
  <c r="K44" i="14"/>
  <c r="J44" i="14"/>
  <c r="V44" i="14" s="1"/>
  <c r="I44" i="14"/>
  <c r="H44" i="14"/>
  <c r="G44" i="14"/>
  <c r="F44" i="14"/>
  <c r="R44" i="14" s="1"/>
  <c r="E44" i="14"/>
  <c r="Q44" i="14" s="1"/>
  <c r="D44" i="14"/>
  <c r="C44" i="14"/>
  <c r="B44" i="14"/>
  <c r="A44" i="14"/>
  <c r="V43" i="14"/>
  <c r="T43" i="14"/>
  <c r="S43" i="14"/>
  <c r="O43" i="14"/>
  <c r="L43" i="14"/>
  <c r="X43" i="14" s="1"/>
  <c r="K43" i="14"/>
  <c r="W43" i="14" s="1"/>
  <c r="J43" i="14"/>
  <c r="I43" i="14"/>
  <c r="H43" i="14"/>
  <c r="G43" i="14"/>
  <c r="F43" i="14"/>
  <c r="R43" i="14" s="1"/>
  <c r="E43" i="14"/>
  <c r="Q43" i="14" s="1"/>
  <c r="D43" i="14"/>
  <c r="P43" i="14" s="1"/>
  <c r="C43" i="14"/>
  <c r="B43" i="14"/>
  <c r="N43" i="14" s="1"/>
  <c r="A43" i="14"/>
  <c r="X42" i="14"/>
  <c r="W42" i="14"/>
  <c r="S42" i="14"/>
  <c r="R42" i="14"/>
  <c r="P42" i="14"/>
  <c r="O42" i="14"/>
  <c r="N42" i="14"/>
  <c r="L42" i="14"/>
  <c r="K42" i="14"/>
  <c r="J42" i="14"/>
  <c r="V42" i="14" s="1"/>
  <c r="I42" i="14"/>
  <c r="U42" i="14" s="1"/>
  <c r="H42" i="14"/>
  <c r="T42" i="14" s="1"/>
  <c r="G42" i="14"/>
  <c r="F42" i="14"/>
  <c r="E42" i="14"/>
  <c r="Q42" i="14" s="1"/>
  <c r="D42" i="14"/>
  <c r="C42" i="14"/>
  <c r="B42" i="14"/>
  <c r="A42" i="14"/>
  <c r="T41" i="14"/>
  <c r="S41" i="14"/>
  <c r="R41" i="14"/>
  <c r="O41" i="14"/>
  <c r="N41" i="14"/>
  <c r="L41" i="14"/>
  <c r="X41" i="14" s="1"/>
  <c r="K41" i="14"/>
  <c r="W41" i="14" s="1"/>
  <c r="J41" i="14"/>
  <c r="V41" i="14" s="1"/>
  <c r="I41" i="14"/>
  <c r="H41" i="14"/>
  <c r="G41" i="14"/>
  <c r="F41" i="14"/>
  <c r="E41" i="14"/>
  <c r="Q41" i="14" s="1"/>
  <c r="D41" i="14"/>
  <c r="P41" i="14" s="1"/>
  <c r="C41" i="14"/>
  <c r="B41" i="14"/>
  <c r="A41" i="14"/>
  <c r="X40" i="14"/>
  <c r="W40" i="14"/>
  <c r="S40" i="14"/>
  <c r="R40" i="14"/>
  <c r="P40" i="14"/>
  <c r="O40" i="14"/>
  <c r="N40" i="14"/>
  <c r="L40" i="14"/>
  <c r="K40" i="14"/>
  <c r="J40" i="14"/>
  <c r="V40" i="14" s="1"/>
  <c r="I40" i="14"/>
  <c r="H40" i="14"/>
  <c r="T40" i="14" s="1"/>
  <c r="G40" i="14"/>
  <c r="F40" i="14"/>
  <c r="E40" i="14"/>
  <c r="Q40" i="14" s="1"/>
  <c r="D40" i="14"/>
  <c r="C40" i="14"/>
  <c r="B40" i="14"/>
  <c r="A40" i="14"/>
  <c r="V39" i="14"/>
  <c r="T39" i="14"/>
  <c r="S39" i="14"/>
  <c r="O39" i="14"/>
  <c r="L39" i="14"/>
  <c r="X39" i="14" s="1"/>
  <c r="K39" i="14"/>
  <c r="W39" i="14" s="1"/>
  <c r="J39" i="14"/>
  <c r="I39" i="14"/>
  <c r="H39" i="14"/>
  <c r="G39" i="14"/>
  <c r="F39" i="14"/>
  <c r="R39" i="14" s="1"/>
  <c r="E39" i="14"/>
  <c r="Q39" i="14" s="1"/>
  <c r="D39" i="14"/>
  <c r="P39" i="14" s="1"/>
  <c r="C39" i="14"/>
  <c r="B39" i="14"/>
  <c r="N39" i="14" s="1"/>
  <c r="A39" i="14"/>
  <c r="X38" i="14"/>
  <c r="W38" i="14"/>
  <c r="S38" i="14"/>
  <c r="R38" i="14"/>
  <c r="P38" i="14"/>
  <c r="O38" i="14"/>
  <c r="N38" i="14"/>
  <c r="L38" i="14"/>
  <c r="K38" i="14"/>
  <c r="J38" i="14"/>
  <c r="V38" i="14" s="1"/>
  <c r="I38" i="14"/>
  <c r="U38" i="14" s="1"/>
  <c r="H38" i="14"/>
  <c r="T38" i="14" s="1"/>
  <c r="G38" i="14"/>
  <c r="F38" i="14"/>
  <c r="E38" i="14"/>
  <c r="Q38" i="14" s="1"/>
  <c r="D38" i="14"/>
  <c r="C38" i="14"/>
  <c r="B38" i="14"/>
  <c r="A38" i="14"/>
  <c r="T37" i="14"/>
  <c r="S37" i="14"/>
  <c r="R37" i="14"/>
  <c r="O37" i="14"/>
  <c r="N37" i="14"/>
  <c r="L37" i="14"/>
  <c r="X37" i="14" s="1"/>
  <c r="K37" i="14"/>
  <c r="W37" i="14" s="1"/>
  <c r="J37" i="14"/>
  <c r="V37" i="14" s="1"/>
  <c r="I37" i="14"/>
  <c r="H37" i="14"/>
  <c r="G37" i="14"/>
  <c r="F37" i="14"/>
  <c r="E37" i="14"/>
  <c r="Q37" i="14" s="1"/>
  <c r="D37" i="14"/>
  <c r="P37" i="14" s="1"/>
  <c r="C37" i="14"/>
  <c r="B37" i="14"/>
  <c r="A37" i="14"/>
  <c r="X36" i="14"/>
  <c r="W36" i="14"/>
  <c r="S36" i="14"/>
  <c r="R36" i="14"/>
  <c r="P36" i="14"/>
  <c r="O36" i="14"/>
  <c r="N36" i="14"/>
  <c r="L36" i="14"/>
  <c r="K36" i="14"/>
  <c r="J36" i="14"/>
  <c r="V36" i="14" s="1"/>
  <c r="I36" i="14"/>
  <c r="H36" i="14"/>
  <c r="T36" i="14" s="1"/>
  <c r="G36" i="14"/>
  <c r="F36" i="14"/>
  <c r="E36" i="14"/>
  <c r="Q36" i="14" s="1"/>
  <c r="D36" i="14"/>
  <c r="C36" i="14"/>
  <c r="B36" i="14"/>
  <c r="A36" i="14"/>
  <c r="V35" i="14"/>
  <c r="T35" i="14"/>
  <c r="S35" i="14"/>
  <c r="O35" i="14"/>
  <c r="L35" i="14"/>
  <c r="X35" i="14" s="1"/>
  <c r="K35" i="14"/>
  <c r="W35" i="14" s="1"/>
  <c r="J35" i="14"/>
  <c r="I35" i="14"/>
  <c r="H35" i="14"/>
  <c r="G35" i="14"/>
  <c r="F35" i="14"/>
  <c r="R35" i="14" s="1"/>
  <c r="E35" i="14"/>
  <c r="Q35" i="14" s="1"/>
  <c r="D35" i="14"/>
  <c r="P35" i="14" s="1"/>
  <c r="C35" i="14"/>
  <c r="B35" i="14"/>
  <c r="N35" i="14" s="1"/>
  <c r="A35" i="14"/>
  <c r="X34" i="14"/>
  <c r="W34" i="14"/>
  <c r="S34" i="14"/>
  <c r="R34" i="14"/>
  <c r="P34" i="14"/>
  <c r="O34" i="14"/>
  <c r="N34" i="14"/>
  <c r="L34" i="14"/>
  <c r="K34" i="14"/>
  <c r="J34" i="14"/>
  <c r="V34" i="14" s="1"/>
  <c r="I34" i="14"/>
  <c r="U34" i="14" s="1"/>
  <c r="H34" i="14"/>
  <c r="T34" i="14" s="1"/>
  <c r="G34" i="14"/>
  <c r="F34" i="14"/>
  <c r="E34" i="14"/>
  <c r="Q34" i="14" s="1"/>
  <c r="D34" i="14"/>
  <c r="C34" i="14"/>
  <c r="B34" i="14"/>
  <c r="A34" i="14"/>
  <c r="T33" i="14"/>
  <c r="S33" i="14"/>
  <c r="R33" i="14"/>
  <c r="O33" i="14"/>
  <c r="N33" i="14"/>
  <c r="L33" i="14"/>
  <c r="X33" i="14" s="1"/>
  <c r="K33" i="14"/>
  <c r="W33" i="14" s="1"/>
  <c r="J33" i="14"/>
  <c r="V33" i="14" s="1"/>
  <c r="I33" i="14"/>
  <c r="H33" i="14"/>
  <c r="G33" i="14"/>
  <c r="F33" i="14"/>
  <c r="E33" i="14"/>
  <c r="Q33" i="14" s="1"/>
  <c r="D33" i="14"/>
  <c r="P33" i="14" s="1"/>
  <c r="C33" i="14"/>
  <c r="B33" i="14"/>
  <c r="A33" i="14"/>
  <c r="X32" i="14"/>
  <c r="W32" i="14"/>
  <c r="S32" i="14"/>
  <c r="R32" i="14"/>
  <c r="P32" i="14"/>
  <c r="O32" i="14"/>
  <c r="N32" i="14"/>
  <c r="L32" i="14"/>
  <c r="K32" i="14"/>
  <c r="J32" i="14"/>
  <c r="V32" i="14" s="1"/>
  <c r="I32" i="14"/>
  <c r="H32" i="14"/>
  <c r="T32" i="14" s="1"/>
  <c r="G32" i="14"/>
  <c r="F32" i="14"/>
  <c r="E32" i="14"/>
  <c r="Q32" i="14" s="1"/>
  <c r="D32" i="14"/>
  <c r="C32" i="14"/>
  <c r="B32" i="14"/>
  <c r="A32" i="14"/>
  <c r="W31" i="14"/>
  <c r="U31" i="14"/>
  <c r="T31" i="14"/>
  <c r="S31" i="14"/>
  <c r="N31" i="14"/>
  <c r="L31" i="14"/>
  <c r="X31" i="14" s="1"/>
  <c r="K31" i="14"/>
  <c r="J31" i="14"/>
  <c r="V31" i="14" s="1"/>
  <c r="I31" i="14"/>
  <c r="H31" i="14"/>
  <c r="G31" i="14"/>
  <c r="F31" i="14"/>
  <c r="R31" i="14" s="1"/>
  <c r="E31" i="14"/>
  <c r="Q31" i="14" s="1"/>
  <c r="D31" i="14"/>
  <c r="P31" i="14" s="1"/>
  <c r="C31" i="14"/>
  <c r="O31" i="14" s="1"/>
  <c r="B31" i="14"/>
  <c r="A31" i="14"/>
  <c r="X30" i="14"/>
  <c r="W30" i="14"/>
  <c r="V30" i="14"/>
  <c r="S30" i="14"/>
  <c r="R30" i="14"/>
  <c r="P30" i="14"/>
  <c r="O30" i="14"/>
  <c r="N30" i="14"/>
  <c r="L30" i="14"/>
  <c r="K30" i="14"/>
  <c r="J30" i="14"/>
  <c r="I30" i="14"/>
  <c r="H30" i="14"/>
  <c r="T30" i="14" s="1"/>
  <c r="G30" i="14"/>
  <c r="F30" i="14"/>
  <c r="E30" i="14"/>
  <c r="Q30" i="14" s="1"/>
  <c r="D30" i="14"/>
  <c r="C30" i="14"/>
  <c r="B30" i="14"/>
  <c r="A30" i="14"/>
  <c r="W29" i="14"/>
  <c r="U29" i="14"/>
  <c r="T29" i="14"/>
  <c r="S29" i="14"/>
  <c r="L29" i="14"/>
  <c r="X29" i="14" s="1"/>
  <c r="K29" i="14"/>
  <c r="J29" i="14"/>
  <c r="V29" i="14" s="1"/>
  <c r="I29" i="14"/>
  <c r="H29" i="14"/>
  <c r="G29" i="14"/>
  <c r="F29" i="14"/>
  <c r="R29" i="14" s="1"/>
  <c r="E29" i="14"/>
  <c r="Q29" i="14" s="1"/>
  <c r="D29" i="14"/>
  <c r="P29" i="14" s="1"/>
  <c r="C29" i="14"/>
  <c r="O29" i="14" s="1"/>
  <c r="B29" i="14"/>
  <c r="N29" i="14" s="1"/>
  <c r="A29" i="14"/>
  <c r="X28" i="14"/>
  <c r="W28" i="14"/>
  <c r="S28" i="14"/>
  <c r="R28" i="14"/>
  <c r="Q28" i="14"/>
  <c r="P28" i="14"/>
  <c r="O28" i="14"/>
  <c r="N28" i="14"/>
  <c r="L28" i="14"/>
  <c r="K28" i="14"/>
  <c r="J28" i="14"/>
  <c r="V28" i="14" s="1"/>
  <c r="I28" i="14"/>
  <c r="H28" i="14"/>
  <c r="T28" i="14" s="1"/>
  <c r="G28" i="14"/>
  <c r="F28" i="14"/>
  <c r="E28" i="14"/>
  <c r="D28" i="14"/>
  <c r="C28" i="14"/>
  <c r="B28" i="14"/>
  <c r="A28" i="14"/>
  <c r="V27" i="14"/>
  <c r="T27" i="14"/>
  <c r="S27" i="14"/>
  <c r="O27" i="14"/>
  <c r="N27" i="14"/>
  <c r="L27" i="14"/>
  <c r="X27" i="14" s="1"/>
  <c r="K27" i="14"/>
  <c r="W27" i="14" s="1"/>
  <c r="J27" i="14"/>
  <c r="I27" i="14"/>
  <c r="U27" i="14" s="1"/>
  <c r="H27" i="14"/>
  <c r="G27" i="14"/>
  <c r="F27" i="14"/>
  <c r="R27" i="14" s="1"/>
  <c r="E27" i="14"/>
  <c r="Q27" i="14" s="1"/>
  <c r="D27" i="14"/>
  <c r="P27" i="14" s="1"/>
  <c r="C27" i="14"/>
  <c r="B27" i="14"/>
  <c r="A27" i="14"/>
  <c r="X26" i="14"/>
  <c r="V26" i="14"/>
  <c r="Q26" i="14"/>
  <c r="P26" i="14"/>
  <c r="N26" i="14"/>
  <c r="L26" i="14"/>
  <c r="K26" i="14"/>
  <c r="W26" i="14" s="1"/>
  <c r="J26" i="14"/>
  <c r="I26" i="14"/>
  <c r="H26" i="14"/>
  <c r="T26" i="14" s="1"/>
  <c r="G26" i="14"/>
  <c r="S26" i="14" s="1"/>
  <c r="F26" i="14"/>
  <c r="R26" i="14" s="1"/>
  <c r="E26" i="14"/>
  <c r="D26" i="14"/>
  <c r="C26" i="14"/>
  <c r="O26" i="14" s="1"/>
  <c r="B26" i="14"/>
  <c r="A26" i="14"/>
  <c r="X25" i="14"/>
  <c r="T25" i="14"/>
  <c r="R25" i="14"/>
  <c r="Q25" i="14"/>
  <c r="P25" i="14"/>
  <c r="L25" i="14"/>
  <c r="K25" i="14"/>
  <c r="W25" i="14" s="1"/>
  <c r="J25" i="14"/>
  <c r="V25" i="14" s="1"/>
  <c r="I25" i="14"/>
  <c r="U25" i="14" s="1"/>
  <c r="H25" i="14"/>
  <c r="G25" i="14"/>
  <c r="F25" i="14"/>
  <c r="E25" i="14"/>
  <c r="D25" i="14"/>
  <c r="C25" i="14"/>
  <c r="O25" i="14" s="1"/>
  <c r="B25" i="14"/>
  <c r="N25" i="14" s="1"/>
  <c r="A25" i="14"/>
  <c r="W24" i="14"/>
  <c r="U24" i="14"/>
  <c r="T24" i="14"/>
  <c r="P24" i="14"/>
  <c r="O24" i="14"/>
  <c r="L24" i="14"/>
  <c r="X24" i="14" s="1"/>
  <c r="K24" i="14"/>
  <c r="J24" i="14"/>
  <c r="V24" i="14" s="1"/>
  <c r="I24" i="14"/>
  <c r="H24" i="14"/>
  <c r="G24" i="14"/>
  <c r="S25" i="14" s="1"/>
  <c r="F24" i="14"/>
  <c r="R24" i="14" s="1"/>
  <c r="E24" i="14"/>
  <c r="Q24" i="14" s="1"/>
  <c r="D24" i="14"/>
  <c r="C24" i="14"/>
  <c r="B24" i="14"/>
  <c r="N24" i="14" s="1"/>
  <c r="A24" i="14"/>
  <c r="X23" i="14"/>
  <c r="T23" i="14"/>
  <c r="S23" i="14"/>
  <c r="R23" i="14"/>
  <c r="Q23" i="14"/>
  <c r="P23" i="14"/>
  <c r="L23" i="14"/>
  <c r="K23" i="14"/>
  <c r="W23" i="14" s="1"/>
  <c r="J23" i="14"/>
  <c r="V23" i="14" s="1"/>
  <c r="I23" i="14"/>
  <c r="U23" i="14" s="1"/>
  <c r="H23" i="14"/>
  <c r="G23" i="14"/>
  <c r="F23" i="14"/>
  <c r="E23" i="14"/>
  <c r="D23" i="14"/>
  <c r="C23" i="14"/>
  <c r="O23" i="14" s="1"/>
  <c r="B23" i="14"/>
  <c r="N23" i="14" s="1"/>
  <c r="A23" i="14"/>
  <c r="X22" i="14"/>
  <c r="W22" i="14"/>
  <c r="V22" i="14"/>
  <c r="T22" i="14"/>
  <c r="S22" i="14"/>
  <c r="P22" i="14"/>
  <c r="O22" i="14"/>
  <c r="L22" i="14"/>
  <c r="K22" i="14"/>
  <c r="J22" i="14"/>
  <c r="I22" i="14"/>
  <c r="H22" i="14"/>
  <c r="G22" i="14"/>
  <c r="F22" i="14"/>
  <c r="R22" i="14" s="1"/>
  <c r="E22" i="14"/>
  <c r="Q22" i="14" s="1"/>
  <c r="D22" i="14"/>
  <c r="C22" i="14"/>
  <c r="B22" i="14"/>
  <c r="N22" i="14" s="1"/>
  <c r="A22" i="14"/>
  <c r="X21" i="14"/>
  <c r="S21" i="14"/>
  <c r="R21" i="14"/>
  <c r="Q21" i="14"/>
  <c r="P21" i="14"/>
  <c r="L21" i="14"/>
  <c r="K21" i="14"/>
  <c r="W21" i="14" s="1"/>
  <c r="J21" i="14"/>
  <c r="V21" i="14" s="1"/>
  <c r="I21" i="14"/>
  <c r="U21" i="14" s="1"/>
  <c r="H21" i="14"/>
  <c r="T21" i="14" s="1"/>
  <c r="G21" i="14"/>
  <c r="F21" i="14"/>
  <c r="E21" i="14"/>
  <c r="D21" i="14"/>
  <c r="C21" i="14"/>
  <c r="O21" i="14" s="1"/>
  <c r="B21" i="14"/>
  <c r="N21" i="14" s="1"/>
  <c r="A21" i="14"/>
  <c r="X20" i="14"/>
  <c r="W20" i="14"/>
  <c r="U20" i="14"/>
  <c r="T20" i="14"/>
  <c r="S20" i="14"/>
  <c r="P20" i="14"/>
  <c r="O20" i="14"/>
  <c r="N20" i="14"/>
  <c r="L20" i="14"/>
  <c r="K20" i="14"/>
  <c r="J20" i="14"/>
  <c r="V20" i="14" s="1"/>
  <c r="I20" i="14"/>
  <c r="H20" i="14"/>
  <c r="G20" i="14"/>
  <c r="F20" i="14"/>
  <c r="R20" i="14" s="1"/>
  <c r="E20" i="14"/>
  <c r="Q20" i="14" s="1"/>
  <c r="D20" i="14"/>
  <c r="C20" i="14"/>
  <c r="B20" i="14"/>
  <c r="A20" i="14"/>
  <c r="X19" i="14"/>
  <c r="R19" i="14"/>
  <c r="Q19" i="14"/>
  <c r="P19" i="14"/>
  <c r="O19" i="14"/>
  <c r="L19" i="14"/>
  <c r="K19" i="14"/>
  <c r="W19" i="14" s="1"/>
  <c r="J19" i="14"/>
  <c r="V19" i="14" s="1"/>
  <c r="I19" i="14"/>
  <c r="U19" i="14" s="1"/>
  <c r="H19" i="14"/>
  <c r="T19" i="14" s="1"/>
  <c r="G19" i="14"/>
  <c r="F19" i="14"/>
  <c r="E19" i="14"/>
  <c r="D19" i="14"/>
  <c r="C19" i="14"/>
  <c r="B19" i="14"/>
  <c r="N19" i="14" s="1"/>
  <c r="A19" i="14"/>
  <c r="W18" i="14"/>
  <c r="V18" i="14"/>
  <c r="T18" i="14"/>
  <c r="P18" i="14"/>
  <c r="O18" i="14"/>
  <c r="N18" i="14"/>
  <c r="L18" i="14"/>
  <c r="X18" i="14" s="1"/>
  <c r="K18" i="14"/>
  <c r="J18" i="14"/>
  <c r="I18" i="14"/>
  <c r="H18" i="14"/>
  <c r="G18" i="14"/>
  <c r="S19" i="14" s="1"/>
  <c r="F18" i="14"/>
  <c r="R18" i="14" s="1"/>
  <c r="E18" i="14"/>
  <c r="Q18" i="14" s="1"/>
  <c r="D18" i="14"/>
  <c r="C18" i="14"/>
  <c r="B18" i="14"/>
  <c r="A18" i="14"/>
  <c r="X17" i="14"/>
  <c r="S17" i="14"/>
  <c r="Q17" i="14"/>
  <c r="P17" i="14"/>
  <c r="O17" i="14"/>
  <c r="L17" i="14"/>
  <c r="K17" i="14"/>
  <c r="W17" i="14" s="1"/>
  <c r="J17" i="14"/>
  <c r="V17" i="14" s="1"/>
  <c r="I17" i="14"/>
  <c r="U17" i="14" s="1"/>
  <c r="H17" i="14"/>
  <c r="T17" i="14" s="1"/>
  <c r="G17" i="14"/>
  <c r="F17" i="14"/>
  <c r="R17" i="14" s="1"/>
  <c r="E17" i="14"/>
  <c r="D17" i="14"/>
  <c r="C17" i="14"/>
  <c r="B17" i="14"/>
  <c r="N17" i="14" s="1"/>
  <c r="A17" i="14"/>
  <c r="X16" i="14"/>
  <c r="W16" i="14"/>
  <c r="V16" i="14"/>
  <c r="U16" i="14"/>
  <c r="T16" i="14"/>
  <c r="S16" i="14"/>
  <c r="P16" i="14"/>
  <c r="O16" i="14"/>
  <c r="N16" i="14"/>
  <c r="L16" i="14"/>
  <c r="K16" i="14"/>
  <c r="J16" i="14"/>
  <c r="I16" i="14"/>
  <c r="H16" i="14"/>
  <c r="G16" i="14"/>
  <c r="F16" i="14"/>
  <c r="R16" i="14" s="1"/>
  <c r="E16" i="14"/>
  <c r="Q16" i="14" s="1"/>
  <c r="D16" i="14"/>
  <c r="C16" i="14"/>
  <c r="B16" i="14"/>
  <c r="A16" i="14"/>
  <c r="X15" i="14"/>
  <c r="Q15" i="14"/>
  <c r="P15" i="14"/>
  <c r="O15" i="14"/>
  <c r="L15" i="14"/>
  <c r="K15" i="14"/>
  <c r="W15" i="14" s="1"/>
  <c r="J15" i="14"/>
  <c r="V15" i="14" s="1"/>
  <c r="I15" i="14"/>
  <c r="U15" i="14" s="1"/>
  <c r="H15" i="14"/>
  <c r="T15" i="14" s="1"/>
  <c r="G15" i="14"/>
  <c r="F15" i="14"/>
  <c r="R15" i="14" s="1"/>
  <c r="E15" i="14"/>
  <c r="D15" i="14"/>
  <c r="C15" i="14"/>
  <c r="B15" i="14"/>
  <c r="N15" i="14" s="1"/>
  <c r="A15" i="14"/>
  <c r="X14" i="14"/>
  <c r="W14" i="14"/>
  <c r="U14" i="14"/>
  <c r="T14" i="14"/>
  <c r="P14" i="14"/>
  <c r="O14" i="14"/>
  <c r="N14" i="14"/>
  <c r="L14" i="14"/>
  <c r="K14" i="14"/>
  <c r="J14" i="14"/>
  <c r="V14" i="14" s="1"/>
  <c r="I14" i="14"/>
  <c r="H14" i="14"/>
  <c r="G14" i="14"/>
  <c r="S15" i="14" s="1"/>
  <c r="F14" i="14"/>
  <c r="R14" i="14" s="1"/>
  <c r="E14" i="14"/>
  <c r="Q14" i="14" s="1"/>
  <c r="D14" i="14"/>
  <c r="C14" i="14"/>
  <c r="B14" i="14"/>
  <c r="A14" i="14"/>
  <c r="X13" i="14"/>
  <c r="T13" i="14"/>
  <c r="S13" i="14"/>
  <c r="Q13" i="14"/>
  <c r="P13" i="14"/>
  <c r="O13" i="14"/>
  <c r="L13" i="14"/>
  <c r="K13" i="14"/>
  <c r="W13" i="14" s="1"/>
  <c r="J13" i="14"/>
  <c r="V13" i="14" s="1"/>
  <c r="I13" i="14"/>
  <c r="U13" i="14" s="1"/>
  <c r="H13" i="14"/>
  <c r="G13" i="14"/>
  <c r="F13" i="14"/>
  <c r="R13" i="14" s="1"/>
  <c r="E13" i="14"/>
  <c r="D13" i="14"/>
  <c r="C13" i="14"/>
  <c r="B13" i="14"/>
  <c r="N13" i="14" s="1"/>
  <c r="A13" i="14"/>
  <c r="W12" i="14"/>
  <c r="V12" i="14"/>
  <c r="T12" i="14"/>
  <c r="S12" i="14"/>
  <c r="O12" i="14"/>
  <c r="N12" i="14"/>
  <c r="L12" i="14"/>
  <c r="X12" i="14" s="1"/>
  <c r="K12" i="14"/>
  <c r="J12" i="14"/>
  <c r="I12" i="14"/>
  <c r="H12" i="14"/>
  <c r="G12" i="14"/>
  <c r="F12" i="14"/>
  <c r="R12" i="14" s="1"/>
  <c r="E12" i="14"/>
  <c r="Q12" i="14" s="1"/>
  <c r="D12" i="14"/>
  <c r="P12" i="14" s="1"/>
  <c r="C12" i="14"/>
  <c r="B12" i="14"/>
  <c r="A12" i="14"/>
  <c r="X11" i="14"/>
  <c r="T11" i="14"/>
  <c r="S11" i="14"/>
  <c r="Q11" i="14"/>
  <c r="P11" i="14"/>
  <c r="L11" i="14"/>
  <c r="K11" i="14"/>
  <c r="W11" i="14" s="1"/>
  <c r="J11" i="14"/>
  <c r="V11" i="14" s="1"/>
  <c r="I11" i="14"/>
  <c r="U11" i="14" s="1"/>
  <c r="H11" i="14"/>
  <c r="G11" i="14"/>
  <c r="F11" i="14"/>
  <c r="R11" i="14" s="1"/>
  <c r="E11" i="14"/>
  <c r="D11" i="14"/>
  <c r="C11" i="14"/>
  <c r="O11" i="14" s="1"/>
  <c r="B11" i="14"/>
  <c r="N11" i="14" s="1"/>
  <c r="A11" i="14"/>
  <c r="X10" i="14"/>
  <c r="W10" i="14"/>
  <c r="V10" i="14"/>
  <c r="U10" i="14"/>
  <c r="T10" i="14"/>
  <c r="S10" i="14"/>
  <c r="O10" i="14"/>
  <c r="N10" i="14"/>
  <c r="L10" i="14"/>
  <c r="K10" i="14"/>
  <c r="J10" i="14"/>
  <c r="I10" i="14"/>
  <c r="H10" i="14"/>
  <c r="G10" i="14"/>
  <c r="F10" i="14"/>
  <c r="R10" i="14" s="1"/>
  <c r="E10" i="14"/>
  <c r="Q10" i="14" s="1"/>
  <c r="D10" i="14"/>
  <c r="P10" i="14" s="1"/>
  <c r="C10" i="14"/>
  <c r="B10" i="14"/>
  <c r="A10" i="14"/>
  <c r="X9" i="14"/>
  <c r="T9" i="14"/>
  <c r="R9" i="14"/>
  <c r="Q9" i="14"/>
  <c r="P9" i="14"/>
  <c r="L9" i="14"/>
  <c r="K9" i="14"/>
  <c r="W9" i="14" s="1"/>
  <c r="J9" i="14"/>
  <c r="V9" i="14" s="1"/>
  <c r="I9" i="14"/>
  <c r="U9" i="14" s="1"/>
  <c r="H9" i="14"/>
  <c r="G9" i="14"/>
  <c r="F9" i="14"/>
  <c r="E9" i="14"/>
  <c r="D9" i="14"/>
  <c r="C9" i="14"/>
  <c r="O9" i="14" s="1"/>
  <c r="B9" i="14"/>
  <c r="N9" i="14" s="1"/>
  <c r="A9" i="14"/>
  <c r="W8" i="14"/>
  <c r="U8" i="14"/>
  <c r="T8" i="14"/>
  <c r="O8" i="14"/>
  <c r="L8" i="14"/>
  <c r="X8" i="14" s="1"/>
  <c r="K8" i="14"/>
  <c r="J8" i="14"/>
  <c r="V8" i="14" s="1"/>
  <c r="I8" i="14"/>
  <c r="H8" i="14"/>
  <c r="G8" i="14"/>
  <c r="S9" i="14" s="1"/>
  <c r="F8" i="14"/>
  <c r="R8" i="14" s="1"/>
  <c r="E8" i="14"/>
  <c r="Q8" i="14" s="1"/>
  <c r="D8" i="14"/>
  <c r="P8" i="14" s="1"/>
  <c r="C8" i="14"/>
  <c r="B8" i="14"/>
  <c r="N8" i="14" s="1"/>
  <c r="A8" i="14"/>
  <c r="X7" i="14"/>
  <c r="T7" i="14"/>
  <c r="S7" i="14"/>
  <c r="R7" i="14"/>
  <c r="Q7" i="14"/>
  <c r="P7" i="14"/>
  <c r="L7" i="14"/>
  <c r="K7" i="14"/>
  <c r="W7" i="14" s="1"/>
  <c r="J7" i="14"/>
  <c r="V7" i="14" s="1"/>
  <c r="I7" i="14"/>
  <c r="U7" i="14" s="1"/>
  <c r="H7" i="14"/>
  <c r="G7" i="14"/>
  <c r="F7" i="14"/>
  <c r="E7" i="14"/>
  <c r="D7" i="14"/>
  <c r="C7" i="14"/>
  <c r="O7" i="14" s="1"/>
  <c r="B7" i="14"/>
  <c r="N7" i="14" s="1"/>
  <c r="A7" i="14"/>
  <c r="X6" i="14"/>
  <c r="W6" i="14"/>
  <c r="V6" i="14"/>
  <c r="U6" i="14"/>
  <c r="T6" i="14"/>
  <c r="S6" i="14"/>
  <c r="P6" i="14"/>
  <c r="O6" i="14"/>
  <c r="L6" i="14"/>
  <c r="K6" i="14"/>
  <c r="J6" i="14"/>
  <c r="I6" i="14"/>
  <c r="H6" i="14"/>
  <c r="G6" i="14"/>
  <c r="F6" i="14"/>
  <c r="R6" i="14" s="1"/>
  <c r="E6" i="14"/>
  <c r="Q6" i="14" s="1"/>
  <c r="D6" i="14"/>
  <c r="C6" i="14"/>
  <c r="B6" i="14"/>
  <c r="N6" i="14" s="1"/>
  <c r="A6" i="14"/>
  <c r="L5" i="14"/>
  <c r="K5" i="14"/>
  <c r="J5" i="14"/>
  <c r="I5" i="14"/>
  <c r="H5" i="14"/>
  <c r="G5" i="14"/>
  <c r="F5" i="14"/>
  <c r="E5" i="14"/>
  <c r="D5" i="14"/>
  <c r="C5" i="14"/>
  <c r="B5" i="14"/>
  <c r="A5" i="14"/>
  <c r="C30" i="13"/>
  <c r="C29" i="13"/>
  <c r="C28" i="13"/>
  <c r="C27" i="13"/>
  <c r="D27" i="13" s="1"/>
  <c r="B27" i="13"/>
  <c r="C26" i="13"/>
  <c r="C25" i="13"/>
  <c r="C24" i="13"/>
  <c r="C23" i="13"/>
  <c r="C22" i="13"/>
  <c r="C21" i="13"/>
  <c r="B21" i="13"/>
  <c r="D21" i="13" s="1"/>
  <c r="C20" i="13"/>
  <c r="C19" i="13"/>
  <c r="C18" i="13"/>
  <c r="C17" i="13"/>
  <c r="C16" i="13"/>
  <c r="C15" i="13"/>
  <c r="C14" i="13"/>
  <c r="C13" i="13"/>
  <c r="C11" i="13"/>
  <c r="C10" i="13"/>
  <c r="C9" i="13"/>
  <c r="C8" i="13"/>
  <c r="C7" i="13"/>
  <c r="C65" i="12"/>
  <c r="B65" i="12"/>
  <c r="A65" i="12"/>
  <c r="C64" i="12"/>
  <c r="B64" i="12"/>
  <c r="A64" i="12"/>
  <c r="B63" i="12"/>
  <c r="C63" i="12" s="1"/>
  <c r="A63" i="12"/>
  <c r="C62" i="12"/>
  <c r="B62" i="12"/>
  <c r="A62" i="12"/>
  <c r="C61" i="12"/>
  <c r="A61" i="12"/>
  <c r="C60" i="12"/>
  <c r="B60" i="12"/>
  <c r="A60" i="12"/>
  <c r="B59" i="12"/>
  <c r="C59" i="12" s="1"/>
  <c r="A59" i="12"/>
  <c r="C58" i="12"/>
  <c r="B58" i="12"/>
  <c r="A58" i="12"/>
  <c r="C57" i="12"/>
  <c r="A57" i="12"/>
  <c r="C56" i="12"/>
  <c r="B56" i="12"/>
  <c r="A56" i="12"/>
  <c r="B55" i="12"/>
  <c r="C55" i="12" s="1"/>
  <c r="A55" i="12"/>
  <c r="C54" i="12"/>
  <c r="B54" i="12"/>
  <c r="A54" i="12"/>
  <c r="C53" i="12"/>
  <c r="B53" i="12"/>
  <c r="A53" i="12"/>
  <c r="C52" i="12"/>
  <c r="B52" i="12"/>
  <c r="A52" i="12"/>
  <c r="B51" i="12"/>
  <c r="C51" i="12" s="1"/>
  <c r="A51" i="12"/>
  <c r="B50" i="12"/>
  <c r="C50" i="12" s="1"/>
  <c r="A50" i="12"/>
  <c r="C49" i="12"/>
  <c r="B49" i="12"/>
  <c r="A49" i="12"/>
  <c r="C48" i="12"/>
  <c r="B48" i="12"/>
  <c r="A48" i="12"/>
  <c r="B47" i="12"/>
  <c r="C47" i="12" s="1"/>
  <c r="A47" i="12"/>
  <c r="C46" i="12"/>
  <c r="B46" i="12"/>
  <c r="A46" i="12"/>
  <c r="C45" i="12"/>
  <c r="B45" i="12"/>
  <c r="A45" i="12"/>
  <c r="C44" i="12"/>
  <c r="B44" i="12"/>
  <c r="A44" i="12"/>
  <c r="B43" i="12"/>
  <c r="C43" i="12" s="1"/>
  <c r="A43" i="12"/>
  <c r="B42" i="12"/>
  <c r="C42" i="12" s="1"/>
  <c r="A42" i="12"/>
  <c r="C41" i="12"/>
  <c r="B41" i="12"/>
  <c r="A41" i="12"/>
  <c r="C40" i="12"/>
  <c r="B40" i="12"/>
  <c r="A40" i="12"/>
  <c r="B39" i="12"/>
  <c r="C39" i="12" s="1"/>
  <c r="A39" i="12"/>
  <c r="C38" i="12"/>
  <c r="B38" i="12"/>
  <c r="A38" i="12"/>
  <c r="C37" i="12"/>
  <c r="B37" i="12"/>
  <c r="A37" i="12"/>
  <c r="C36" i="12"/>
  <c r="B36" i="12"/>
  <c r="A36" i="12"/>
  <c r="B35" i="12"/>
  <c r="C35" i="12" s="1"/>
  <c r="A35" i="12"/>
  <c r="B34" i="12"/>
  <c r="C34" i="12" s="1"/>
  <c r="AE285" i="2" s="1"/>
  <c r="A34" i="12"/>
  <c r="C33" i="12"/>
  <c r="B33" i="12"/>
  <c r="A33" i="12"/>
  <c r="C32" i="12"/>
  <c r="B32" i="12"/>
  <c r="A32" i="12"/>
  <c r="B31" i="12"/>
  <c r="C31" i="12" s="1"/>
  <c r="A31" i="12"/>
  <c r="B30" i="12"/>
  <c r="C30" i="12" s="1"/>
  <c r="A30" i="12"/>
  <c r="B29" i="12"/>
  <c r="C29" i="12" s="1"/>
  <c r="A29" i="12"/>
  <c r="C28" i="12"/>
  <c r="B28" i="12"/>
  <c r="A28" i="12"/>
  <c r="B27" i="12"/>
  <c r="C27" i="12" s="1"/>
  <c r="A27" i="12"/>
  <c r="B26" i="12"/>
  <c r="C26" i="12" s="1"/>
  <c r="A26" i="12"/>
  <c r="B25" i="12"/>
  <c r="C25" i="12" s="1"/>
  <c r="A25" i="12"/>
  <c r="C24" i="12"/>
  <c r="B24" i="12"/>
  <c r="A24" i="12"/>
  <c r="B23" i="12"/>
  <c r="C23" i="12" s="1"/>
  <c r="A23" i="12"/>
  <c r="B22" i="12"/>
  <c r="C22" i="12" s="1"/>
  <c r="A22" i="12"/>
  <c r="B21" i="12"/>
  <c r="C21" i="12" s="1"/>
  <c r="A21" i="12"/>
  <c r="C20" i="12"/>
  <c r="B20" i="12"/>
  <c r="A20" i="12"/>
  <c r="B19" i="12"/>
  <c r="C19" i="12" s="1"/>
  <c r="A19" i="12"/>
  <c r="B18" i="12"/>
  <c r="C18" i="12" s="1"/>
  <c r="A18" i="12"/>
  <c r="B17" i="12"/>
  <c r="C17" i="12" s="1"/>
  <c r="A17" i="12"/>
  <c r="B16" i="12"/>
  <c r="C16" i="12" s="1"/>
  <c r="A16" i="12"/>
  <c r="B15" i="12"/>
  <c r="C15" i="12" s="1"/>
  <c r="A15" i="12"/>
  <c r="B14" i="12"/>
  <c r="C14" i="12" s="1"/>
  <c r="A14" i="12"/>
  <c r="B13" i="12"/>
  <c r="C13" i="12" s="1"/>
  <c r="A13" i="12"/>
  <c r="B12" i="12"/>
  <c r="C12" i="12" s="1"/>
  <c r="A12" i="12"/>
  <c r="C11" i="12"/>
  <c r="B11" i="12"/>
  <c r="A11" i="12"/>
  <c r="B10" i="12"/>
  <c r="C10" i="12" s="1"/>
  <c r="A10" i="12"/>
  <c r="C9" i="12"/>
  <c r="B9" i="12"/>
  <c r="A9" i="12"/>
  <c r="P8" i="12"/>
  <c r="B8" i="12"/>
  <c r="C8" i="12" s="1"/>
  <c r="A8" i="12"/>
  <c r="P7" i="12"/>
  <c r="C7" i="12"/>
  <c r="B7" i="12"/>
  <c r="A7" i="12"/>
  <c r="P6" i="12"/>
  <c r="B6" i="12"/>
  <c r="C6" i="12" s="1"/>
  <c r="A6" i="12"/>
  <c r="P5" i="12"/>
  <c r="C5" i="12"/>
  <c r="B5" i="12"/>
  <c r="A5" i="12"/>
  <c r="B9" i="11"/>
  <c r="B8" i="11"/>
  <c r="B7" i="11"/>
  <c r="B6" i="11"/>
  <c r="V701" i="10"/>
  <c r="S701" i="10"/>
  <c r="R701" i="10"/>
  <c r="Z701" i="10" s="1"/>
  <c r="O701" i="10"/>
  <c r="P701" i="10" s="1"/>
  <c r="V700" i="10"/>
  <c r="S700" i="10"/>
  <c r="AA700" i="10" s="1"/>
  <c r="R700" i="10"/>
  <c r="P700" i="10"/>
  <c r="O700" i="10"/>
  <c r="S699" i="10"/>
  <c r="R699" i="10"/>
  <c r="Z699" i="10" s="1"/>
  <c r="O699" i="10"/>
  <c r="P699" i="10" s="1"/>
  <c r="X698" i="10"/>
  <c r="S698" i="10"/>
  <c r="AA698" i="10" s="1"/>
  <c r="R698" i="10"/>
  <c r="P698" i="10"/>
  <c r="O698" i="10"/>
  <c r="S697" i="10"/>
  <c r="AA697" i="10" s="1"/>
  <c r="R697" i="10"/>
  <c r="AD697" i="10" s="1"/>
  <c r="O697" i="10"/>
  <c r="P697" i="10" s="1"/>
  <c r="T696" i="10"/>
  <c r="S696" i="10"/>
  <c r="R696" i="10"/>
  <c r="P696" i="10"/>
  <c r="X696" i="10" s="1"/>
  <c r="O696" i="10"/>
  <c r="V695" i="10"/>
  <c r="S695" i="10"/>
  <c r="R695" i="10"/>
  <c r="Z695" i="10" s="1"/>
  <c r="P695" i="10"/>
  <c r="O695" i="10"/>
  <c r="W694" i="10"/>
  <c r="V694" i="10"/>
  <c r="S694" i="10"/>
  <c r="AA694" i="10" s="1"/>
  <c r="R694" i="10"/>
  <c r="Z694" i="10" s="1"/>
  <c r="O694" i="10"/>
  <c r="P694" i="10" s="1"/>
  <c r="W693" i="10"/>
  <c r="V693" i="10"/>
  <c r="S693" i="10"/>
  <c r="R693" i="10"/>
  <c r="Z693" i="10" s="1"/>
  <c r="O693" i="10"/>
  <c r="P693" i="10" s="1"/>
  <c r="W692" i="10"/>
  <c r="V692" i="10"/>
  <c r="S692" i="10"/>
  <c r="AA692" i="10" s="1"/>
  <c r="R692" i="10"/>
  <c r="P692" i="10"/>
  <c r="X692" i="10" s="1"/>
  <c r="O692" i="10"/>
  <c r="Z691" i="10"/>
  <c r="S691" i="10"/>
  <c r="R691" i="10"/>
  <c r="O691" i="10"/>
  <c r="P691" i="10" s="1"/>
  <c r="Z690" i="10"/>
  <c r="X690" i="10"/>
  <c r="S690" i="10"/>
  <c r="R690" i="10"/>
  <c r="P690" i="10"/>
  <c r="O690" i="10"/>
  <c r="T689" i="10"/>
  <c r="S689" i="10"/>
  <c r="R689" i="10"/>
  <c r="O689" i="10"/>
  <c r="P689" i="10" s="1"/>
  <c r="Z688" i="10"/>
  <c r="X688" i="10"/>
  <c r="S688" i="10"/>
  <c r="R688" i="10"/>
  <c r="P688" i="10"/>
  <c r="O688" i="10"/>
  <c r="AA687" i="10"/>
  <c r="S687" i="10"/>
  <c r="R687" i="10"/>
  <c r="O687" i="10"/>
  <c r="P687" i="10" s="1"/>
  <c r="AE686" i="10"/>
  <c r="W686" i="10"/>
  <c r="T686" i="10"/>
  <c r="S686" i="10"/>
  <c r="R686" i="10"/>
  <c r="O686" i="10"/>
  <c r="P686" i="10" s="1"/>
  <c r="W685" i="10"/>
  <c r="V685" i="10"/>
  <c r="S685" i="10"/>
  <c r="R685" i="10"/>
  <c r="O685" i="10"/>
  <c r="P685" i="10" s="1"/>
  <c r="W684" i="10"/>
  <c r="S684" i="10"/>
  <c r="R684" i="10"/>
  <c r="P684" i="10"/>
  <c r="O684" i="10"/>
  <c r="S683" i="10"/>
  <c r="AA683" i="10" s="1"/>
  <c r="R683" i="10"/>
  <c r="O683" i="10"/>
  <c r="P683" i="10" s="1"/>
  <c r="Z682" i="10"/>
  <c r="X682" i="10"/>
  <c r="S682" i="10"/>
  <c r="W683" i="10" s="1"/>
  <c r="R682" i="10"/>
  <c r="V682" i="10" s="1"/>
  <c r="P682" i="10"/>
  <c r="O682" i="10"/>
  <c r="AE681" i="10"/>
  <c r="S681" i="10"/>
  <c r="R681" i="10"/>
  <c r="O681" i="10"/>
  <c r="P681" i="10" s="1"/>
  <c r="T681" i="10" s="1"/>
  <c r="AA680" i="10"/>
  <c r="S680" i="10"/>
  <c r="R680" i="10"/>
  <c r="Z680" i="10" s="1"/>
  <c r="P680" i="10"/>
  <c r="O680" i="10"/>
  <c r="AA679" i="10"/>
  <c r="S679" i="10"/>
  <c r="R679" i="10"/>
  <c r="Z679" i="10" s="1"/>
  <c r="O679" i="10"/>
  <c r="P679" i="10" s="1"/>
  <c r="W678" i="10"/>
  <c r="V678" i="10"/>
  <c r="S678" i="10"/>
  <c r="R678" i="10"/>
  <c r="V679" i="10" s="1"/>
  <c r="O678" i="10"/>
  <c r="P678" i="10" s="1"/>
  <c r="X678" i="10" s="1"/>
  <c r="AD677" i="10"/>
  <c r="AA677" i="10"/>
  <c r="V677" i="10"/>
  <c r="S677" i="10"/>
  <c r="W677" i="10" s="1"/>
  <c r="R677" i="10"/>
  <c r="Z677" i="10" s="1"/>
  <c r="O677" i="10"/>
  <c r="P677" i="10" s="1"/>
  <c r="W676" i="10"/>
  <c r="V676" i="10"/>
  <c r="S676" i="10"/>
  <c r="R676" i="10"/>
  <c r="P676" i="10"/>
  <c r="O676" i="10"/>
  <c r="Z675" i="10"/>
  <c r="S675" i="10"/>
  <c r="R675" i="10"/>
  <c r="P675" i="10"/>
  <c r="O675" i="10"/>
  <c r="V674" i="10"/>
  <c r="S674" i="10"/>
  <c r="R674" i="10"/>
  <c r="P674" i="10"/>
  <c r="O674" i="10"/>
  <c r="AA673" i="10"/>
  <c r="Z673" i="10"/>
  <c r="S673" i="10"/>
  <c r="R673" i="10"/>
  <c r="O673" i="10"/>
  <c r="P673" i="10" s="1"/>
  <c r="T672" i="10"/>
  <c r="S672" i="10"/>
  <c r="R672" i="10"/>
  <c r="P672" i="10"/>
  <c r="O672" i="10"/>
  <c r="AA671" i="10"/>
  <c r="V671" i="10"/>
  <c r="S671" i="10"/>
  <c r="R671" i="10"/>
  <c r="Z671" i="10" s="1"/>
  <c r="O671" i="10"/>
  <c r="P671" i="10" s="1"/>
  <c r="Z670" i="10"/>
  <c r="W670" i="10"/>
  <c r="V670" i="10"/>
  <c r="T670" i="10"/>
  <c r="S670" i="10"/>
  <c r="AA670" i="10" s="1"/>
  <c r="R670" i="10"/>
  <c r="O670" i="10"/>
  <c r="P670" i="10" s="1"/>
  <c r="AD669" i="10"/>
  <c r="AA669" i="10"/>
  <c r="W669" i="10"/>
  <c r="V669" i="10"/>
  <c r="S669" i="10"/>
  <c r="AE669" i="10" s="1"/>
  <c r="R669" i="10"/>
  <c r="Z669" i="10" s="1"/>
  <c r="O669" i="10"/>
  <c r="P669" i="10" s="1"/>
  <c r="AE668" i="10"/>
  <c r="W668" i="10"/>
  <c r="S668" i="10"/>
  <c r="AA668" i="10" s="1"/>
  <c r="R668" i="10"/>
  <c r="Z668" i="10" s="1"/>
  <c r="O668" i="10"/>
  <c r="P668" i="10" s="1"/>
  <c r="S667" i="10"/>
  <c r="R667" i="10"/>
  <c r="P667" i="10"/>
  <c r="O667" i="10"/>
  <c r="AD666" i="10"/>
  <c r="S666" i="10"/>
  <c r="R666" i="10"/>
  <c r="P666" i="10"/>
  <c r="O666" i="10"/>
  <c r="Z665" i="10"/>
  <c r="W665" i="10"/>
  <c r="S665" i="10"/>
  <c r="R665" i="10"/>
  <c r="O665" i="10"/>
  <c r="P665" i="10" s="1"/>
  <c r="AA664" i="10"/>
  <c r="S664" i="10"/>
  <c r="R664" i="10"/>
  <c r="P664" i="10"/>
  <c r="O664" i="10"/>
  <c r="AA663" i="10"/>
  <c r="V663" i="10"/>
  <c r="T663" i="10"/>
  <c r="S663" i="10"/>
  <c r="R663" i="10"/>
  <c r="O663" i="10"/>
  <c r="P663" i="10" s="1"/>
  <c r="AD662" i="10"/>
  <c r="S662" i="10"/>
  <c r="AA662" i="10" s="1"/>
  <c r="R662" i="10"/>
  <c r="O662" i="10"/>
  <c r="P662" i="10" s="1"/>
  <c r="X674" i="10" s="1"/>
  <c r="AA661" i="10"/>
  <c r="W661" i="10"/>
  <c r="V661" i="10"/>
  <c r="S661" i="10"/>
  <c r="AE661" i="10" s="1"/>
  <c r="R661" i="10"/>
  <c r="O661" i="10"/>
  <c r="P661" i="10" s="1"/>
  <c r="W660" i="10"/>
  <c r="V660" i="10"/>
  <c r="T660" i="10"/>
  <c r="S660" i="10"/>
  <c r="R660" i="10"/>
  <c r="Z660" i="10" s="1"/>
  <c r="P660" i="10"/>
  <c r="O660" i="10"/>
  <c r="Z659" i="10"/>
  <c r="X659" i="10"/>
  <c r="W659" i="10"/>
  <c r="S659" i="10"/>
  <c r="R659" i="10"/>
  <c r="P659" i="10"/>
  <c r="O659" i="10"/>
  <c r="Z658" i="10"/>
  <c r="V658" i="10"/>
  <c r="S658" i="10"/>
  <c r="R658" i="10"/>
  <c r="P658" i="10"/>
  <c r="O658" i="10"/>
  <c r="Z657" i="10"/>
  <c r="T657" i="10"/>
  <c r="S657" i="10"/>
  <c r="R657" i="10"/>
  <c r="O657" i="10"/>
  <c r="P657" i="10" s="1"/>
  <c r="Z656" i="10"/>
  <c r="X656" i="10"/>
  <c r="S656" i="10"/>
  <c r="R656" i="10"/>
  <c r="P656" i="10"/>
  <c r="T656" i="10" s="1"/>
  <c r="O656" i="10"/>
  <c r="V655" i="10"/>
  <c r="S655" i="10"/>
  <c r="R655" i="10"/>
  <c r="Z655" i="10" s="1"/>
  <c r="O655" i="10"/>
  <c r="P655" i="10" s="1"/>
  <c r="S654" i="10"/>
  <c r="R654" i="10"/>
  <c r="V654" i="10" s="1"/>
  <c r="O654" i="10"/>
  <c r="P654" i="10" s="1"/>
  <c r="AD653" i="10"/>
  <c r="V653" i="10"/>
  <c r="S653" i="10"/>
  <c r="R653" i="10"/>
  <c r="Z653" i="10" s="1"/>
  <c r="P653" i="10"/>
  <c r="O653" i="10"/>
  <c r="AE652" i="10"/>
  <c r="X652" i="10"/>
  <c r="W652" i="10"/>
  <c r="S652" i="10"/>
  <c r="AA652" i="10" s="1"/>
  <c r="R652" i="10"/>
  <c r="P652" i="10"/>
  <c r="O652" i="10"/>
  <c r="X651" i="10"/>
  <c r="W651" i="10"/>
  <c r="S651" i="10"/>
  <c r="R651" i="10"/>
  <c r="O651" i="10"/>
  <c r="P651" i="10" s="1"/>
  <c r="Z650" i="10"/>
  <c r="X650" i="10"/>
  <c r="S650" i="10"/>
  <c r="R650" i="10"/>
  <c r="P650" i="10"/>
  <c r="O650" i="10"/>
  <c r="AE649" i="10"/>
  <c r="W649" i="10"/>
  <c r="S649" i="10"/>
  <c r="R649" i="10"/>
  <c r="O649" i="10"/>
  <c r="P649" i="10" s="1"/>
  <c r="AB648" i="10"/>
  <c r="AA648" i="10"/>
  <c r="X648" i="10"/>
  <c r="S648" i="10"/>
  <c r="R648" i="10"/>
  <c r="P648" i="10"/>
  <c r="T648" i="10" s="1"/>
  <c r="O648" i="10"/>
  <c r="S647" i="10"/>
  <c r="R647" i="10"/>
  <c r="Z647" i="10" s="1"/>
  <c r="P647" i="10"/>
  <c r="O647" i="10"/>
  <c r="AE646" i="10"/>
  <c r="AA646" i="10"/>
  <c r="W646" i="10"/>
  <c r="V646" i="10"/>
  <c r="S646" i="10"/>
  <c r="R646" i="10"/>
  <c r="V647" i="10" s="1"/>
  <c r="O646" i="10"/>
  <c r="P646" i="10" s="1"/>
  <c r="W645" i="10"/>
  <c r="S645" i="10"/>
  <c r="AA645" i="10" s="1"/>
  <c r="R645" i="10"/>
  <c r="Z645" i="10" s="1"/>
  <c r="P645" i="10"/>
  <c r="O645" i="10"/>
  <c r="X644" i="10"/>
  <c r="V644" i="10"/>
  <c r="S644" i="10"/>
  <c r="AA644" i="10" s="1"/>
  <c r="R644" i="10"/>
  <c r="P644" i="10"/>
  <c r="O644" i="10"/>
  <c r="AD643" i="10"/>
  <c r="S643" i="10"/>
  <c r="AA643" i="10" s="1"/>
  <c r="R643" i="10"/>
  <c r="O643" i="10"/>
  <c r="P643" i="10" s="1"/>
  <c r="V642" i="10"/>
  <c r="S642" i="10"/>
  <c r="R642" i="10"/>
  <c r="O642" i="10"/>
  <c r="P642" i="10" s="1"/>
  <c r="S641" i="10"/>
  <c r="R641" i="10"/>
  <c r="AD701" i="10" s="1"/>
  <c r="O641" i="10"/>
  <c r="P641" i="10" s="1"/>
  <c r="X640" i="10"/>
  <c r="T640" i="10"/>
  <c r="S640" i="10"/>
  <c r="R640" i="10"/>
  <c r="P640" i="10"/>
  <c r="O640" i="10"/>
  <c r="S639" i="10"/>
  <c r="R639" i="10"/>
  <c r="P639" i="10"/>
  <c r="O639" i="10"/>
  <c r="AA638" i="10"/>
  <c r="Z638" i="10"/>
  <c r="V638" i="10"/>
  <c r="S638" i="10"/>
  <c r="R638" i="10"/>
  <c r="O638" i="10"/>
  <c r="P638" i="10" s="1"/>
  <c r="AA637" i="10"/>
  <c r="W637" i="10"/>
  <c r="S637" i="10"/>
  <c r="R637" i="10"/>
  <c r="Z637" i="10" s="1"/>
  <c r="O637" i="10"/>
  <c r="P637" i="10" s="1"/>
  <c r="S636" i="10"/>
  <c r="AA636" i="10" s="1"/>
  <c r="R636" i="10"/>
  <c r="Z636" i="10" s="1"/>
  <c r="P636" i="10"/>
  <c r="AB696" i="10" s="1"/>
  <c r="O636" i="10"/>
  <c r="AD635" i="10"/>
  <c r="Z635" i="10"/>
  <c r="W635" i="10"/>
  <c r="S635" i="10"/>
  <c r="R635" i="10"/>
  <c r="O635" i="10"/>
  <c r="P635" i="10" s="1"/>
  <c r="Z634" i="10"/>
  <c r="S634" i="10"/>
  <c r="R634" i="10"/>
  <c r="P634" i="10"/>
  <c r="O634" i="10"/>
  <c r="X633" i="10"/>
  <c r="W633" i="10"/>
  <c r="S633" i="10"/>
  <c r="AE693" i="10" s="1"/>
  <c r="R633" i="10"/>
  <c r="AD693" i="10" s="1"/>
  <c r="O633" i="10"/>
  <c r="P633" i="10" s="1"/>
  <c r="Z632" i="10"/>
  <c r="T632" i="10"/>
  <c r="S632" i="10"/>
  <c r="AE692" i="10" s="1"/>
  <c r="R632" i="10"/>
  <c r="P632" i="10"/>
  <c r="O632" i="10"/>
  <c r="AA631" i="10"/>
  <c r="V631" i="10"/>
  <c r="S631" i="10"/>
  <c r="R631" i="10"/>
  <c r="P631" i="10"/>
  <c r="O631" i="10"/>
  <c r="W630" i="10"/>
  <c r="V630" i="10"/>
  <c r="S630" i="10"/>
  <c r="R630" i="10"/>
  <c r="O630" i="10"/>
  <c r="P630" i="10" s="1"/>
  <c r="W629" i="10"/>
  <c r="S629" i="10"/>
  <c r="R629" i="10"/>
  <c r="Z629" i="10" s="1"/>
  <c r="O629" i="10"/>
  <c r="P629" i="10" s="1"/>
  <c r="V628" i="10"/>
  <c r="S628" i="10"/>
  <c r="AA628" i="10" s="1"/>
  <c r="R628" i="10"/>
  <c r="Z628" i="10" s="1"/>
  <c r="P628" i="10"/>
  <c r="O628" i="10"/>
  <c r="AD627" i="10"/>
  <c r="Z627" i="10"/>
  <c r="W627" i="10"/>
  <c r="S627" i="10"/>
  <c r="R627" i="10"/>
  <c r="O627" i="10"/>
  <c r="P627" i="10" s="1"/>
  <c r="AD626" i="10"/>
  <c r="AA626" i="10"/>
  <c r="V626" i="10"/>
  <c r="S626" i="10"/>
  <c r="R626" i="10"/>
  <c r="Z626" i="10" s="1"/>
  <c r="P626" i="10"/>
  <c r="O626" i="10"/>
  <c r="W625" i="10"/>
  <c r="S625" i="10"/>
  <c r="R625" i="10"/>
  <c r="AD685" i="10" s="1"/>
  <c r="O625" i="10"/>
  <c r="P625" i="10" s="1"/>
  <c r="Z624" i="10"/>
  <c r="S624" i="10"/>
  <c r="AE684" i="10" s="1"/>
  <c r="R624" i="10"/>
  <c r="P624" i="10"/>
  <c r="O624" i="10"/>
  <c r="V623" i="10"/>
  <c r="S623" i="10"/>
  <c r="R623" i="10"/>
  <c r="AD623" i="10" s="1"/>
  <c r="P623" i="10"/>
  <c r="O623" i="10"/>
  <c r="AA622" i="10"/>
  <c r="V622" i="10"/>
  <c r="T622" i="10"/>
  <c r="S622" i="10"/>
  <c r="R622" i="10"/>
  <c r="O622" i="10"/>
  <c r="P622" i="10" s="1"/>
  <c r="AB621" i="10"/>
  <c r="AA621" i="10"/>
  <c r="W621" i="10"/>
  <c r="S621" i="10"/>
  <c r="AA633" i="10" s="1"/>
  <c r="R621" i="10"/>
  <c r="Z621" i="10" s="1"/>
  <c r="O621" i="10"/>
  <c r="P621" i="10" s="1"/>
  <c r="AD620" i="10"/>
  <c r="AB620" i="10"/>
  <c r="S620" i="10"/>
  <c r="AA620" i="10" s="1"/>
  <c r="R620" i="10"/>
  <c r="P620" i="10"/>
  <c r="O620" i="10"/>
  <c r="Z619" i="10"/>
  <c r="S619" i="10"/>
  <c r="R619" i="10"/>
  <c r="O619" i="10"/>
  <c r="P619" i="10" s="1"/>
  <c r="Z618" i="10"/>
  <c r="S618" i="10"/>
  <c r="R618" i="10"/>
  <c r="V618" i="10" s="1"/>
  <c r="P618" i="10"/>
  <c r="O618" i="10"/>
  <c r="S617" i="10"/>
  <c r="R617" i="10"/>
  <c r="O617" i="10"/>
  <c r="P617" i="10" s="1"/>
  <c r="Z616" i="10"/>
  <c r="T616" i="10"/>
  <c r="S616" i="10"/>
  <c r="AE676" i="10" s="1"/>
  <c r="R616" i="10"/>
  <c r="O616" i="10"/>
  <c r="P616" i="10" s="1"/>
  <c r="AD615" i="10"/>
  <c r="S615" i="10"/>
  <c r="R615" i="10"/>
  <c r="P615" i="10"/>
  <c r="O615" i="10"/>
  <c r="V614" i="10"/>
  <c r="T614" i="10"/>
  <c r="S614" i="10"/>
  <c r="R614" i="10"/>
  <c r="O614" i="10"/>
  <c r="P614" i="10" s="1"/>
  <c r="Z613" i="10"/>
  <c r="S613" i="10"/>
  <c r="R613" i="10"/>
  <c r="O613" i="10"/>
  <c r="P613" i="10" s="1"/>
  <c r="AD612" i="10"/>
  <c r="X612" i="10"/>
  <c r="V612" i="10"/>
  <c r="S612" i="10"/>
  <c r="R612" i="10"/>
  <c r="P612" i="10"/>
  <c r="O612" i="10"/>
  <c r="AD611" i="10"/>
  <c r="W611" i="10"/>
  <c r="S611" i="10"/>
  <c r="AA611" i="10" s="1"/>
  <c r="R611" i="10"/>
  <c r="O611" i="10"/>
  <c r="P611" i="10" s="1"/>
  <c r="Z610" i="10"/>
  <c r="V610" i="10"/>
  <c r="S610" i="10"/>
  <c r="R610" i="10"/>
  <c r="AD670" i="10" s="1"/>
  <c r="O610" i="10"/>
  <c r="P610" i="10" s="1"/>
  <c r="AB609" i="10"/>
  <c r="W609" i="10"/>
  <c r="S609" i="10"/>
  <c r="R609" i="10"/>
  <c r="Z609" i="10" s="1"/>
  <c r="P609" i="10"/>
  <c r="O609" i="10"/>
  <c r="S608" i="10"/>
  <c r="R608" i="10"/>
  <c r="P608" i="10"/>
  <c r="O608" i="10"/>
  <c r="AA607" i="10"/>
  <c r="S607" i="10"/>
  <c r="R607" i="10"/>
  <c r="P607" i="10"/>
  <c r="O607" i="10"/>
  <c r="AB606" i="10"/>
  <c r="AA606" i="10"/>
  <c r="V606" i="10"/>
  <c r="S606" i="10"/>
  <c r="R606" i="10"/>
  <c r="O606" i="10"/>
  <c r="P606" i="10" s="1"/>
  <c r="S605" i="10"/>
  <c r="R605" i="10"/>
  <c r="O605" i="10"/>
  <c r="P605" i="10" s="1"/>
  <c r="AD604" i="10"/>
  <c r="AA604" i="10"/>
  <c r="S604" i="10"/>
  <c r="R604" i="10"/>
  <c r="P604" i="10"/>
  <c r="O604" i="10"/>
  <c r="AD603" i="10"/>
  <c r="Z603" i="10"/>
  <c r="S603" i="10"/>
  <c r="AA603" i="10" s="1"/>
  <c r="R603" i="10"/>
  <c r="O603" i="10"/>
  <c r="P603" i="10" s="1"/>
  <c r="AA602" i="10"/>
  <c r="Z602" i="10"/>
  <c r="X602" i="10"/>
  <c r="W602" i="10"/>
  <c r="V602" i="10"/>
  <c r="S602" i="10"/>
  <c r="AE662" i="10" s="1"/>
  <c r="R602" i="10"/>
  <c r="O602" i="10"/>
  <c r="P602" i="10" s="1"/>
  <c r="AD601" i="10"/>
  <c r="W601" i="10"/>
  <c r="S601" i="10"/>
  <c r="R601" i="10"/>
  <c r="AD661" i="10" s="1"/>
  <c r="P601" i="10"/>
  <c r="O601" i="10"/>
  <c r="AE600" i="10"/>
  <c r="Z600" i="10"/>
  <c r="W600" i="10"/>
  <c r="V600" i="10"/>
  <c r="T600" i="10"/>
  <c r="S600" i="10"/>
  <c r="AE660" i="10" s="1"/>
  <c r="R600" i="10"/>
  <c r="AD660" i="10" s="1"/>
  <c r="O600" i="10"/>
  <c r="P600" i="10" s="1"/>
  <c r="AE599" i="10"/>
  <c r="Z599" i="10"/>
  <c r="V599" i="10"/>
  <c r="S599" i="10"/>
  <c r="R599" i="10"/>
  <c r="P599" i="10"/>
  <c r="O599" i="10"/>
  <c r="AD598" i="10"/>
  <c r="S598" i="10"/>
  <c r="R598" i="10"/>
  <c r="O598" i="10"/>
  <c r="P598" i="10" s="1"/>
  <c r="Z597" i="10"/>
  <c r="W597" i="10"/>
  <c r="S597" i="10"/>
  <c r="R597" i="10"/>
  <c r="O597" i="10"/>
  <c r="P597" i="10" s="1"/>
  <c r="AD596" i="10"/>
  <c r="AA596" i="10"/>
  <c r="X596" i="10"/>
  <c r="T596" i="10"/>
  <c r="S596" i="10"/>
  <c r="R596" i="10"/>
  <c r="P596" i="10"/>
  <c r="O596" i="10"/>
  <c r="AE595" i="10"/>
  <c r="AB595" i="10"/>
  <c r="AA595" i="10"/>
  <c r="T595" i="10"/>
  <c r="S595" i="10"/>
  <c r="R595" i="10"/>
  <c r="O595" i="10"/>
  <c r="P595" i="10" s="1"/>
  <c r="AA594" i="10"/>
  <c r="S594" i="10"/>
  <c r="R594" i="10"/>
  <c r="P594" i="10"/>
  <c r="O594" i="10"/>
  <c r="AA593" i="10"/>
  <c r="X593" i="10"/>
  <c r="S593" i="10"/>
  <c r="R593" i="10"/>
  <c r="P593" i="10"/>
  <c r="T594" i="10" s="1"/>
  <c r="O593" i="10"/>
  <c r="T592" i="10"/>
  <c r="S592" i="10"/>
  <c r="AA592" i="10" s="1"/>
  <c r="R592" i="10"/>
  <c r="P592" i="10"/>
  <c r="O592" i="10"/>
  <c r="AA591" i="10"/>
  <c r="S591" i="10"/>
  <c r="R591" i="10"/>
  <c r="O591" i="10"/>
  <c r="P591" i="10" s="1"/>
  <c r="AB590" i="10"/>
  <c r="X590" i="10"/>
  <c r="S590" i="10"/>
  <c r="R590" i="10"/>
  <c r="P590" i="10"/>
  <c r="O590" i="10"/>
  <c r="X589" i="10"/>
  <c r="W589" i="10"/>
  <c r="S589" i="10"/>
  <c r="AA601" i="10" s="1"/>
  <c r="R589" i="10"/>
  <c r="P589" i="10"/>
  <c r="O589" i="10"/>
  <c r="AD588" i="10"/>
  <c r="V588" i="10"/>
  <c r="S588" i="10"/>
  <c r="R588" i="10"/>
  <c r="P588" i="10"/>
  <c r="O588" i="10"/>
  <c r="AE587" i="10"/>
  <c r="Z587" i="10"/>
  <c r="W587" i="10"/>
  <c r="V587" i="10"/>
  <c r="S587" i="10"/>
  <c r="R587" i="10"/>
  <c r="AD647" i="10" s="1"/>
  <c r="O587" i="10"/>
  <c r="P587" i="10" s="1"/>
  <c r="AE586" i="10"/>
  <c r="V586" i="10"/>
  <c r="S586" i="10"/>
  <c r="R586" i="10"/>
  <c r="O586" i="10"/>
  <c r="P586" i="10" s="1"/>
  <c r="AD585" i="10"/>
  <c r="S585" i="10"/>
  <c r="R585" i="10"/>
  <c r="O585" i="10"/>
  <c r="P585" i="10" s="1"/>
  <c r="AE584" i="10"/>
  <c r="AB584" i="10"/>
  <c r="Z584" i="10"/>
  <c r="S584" i="10"/>
  <c r="R584" i="10"/>
  <c r="AD644" i="10" s="1"/>
  <c r="O584" i="10"/>
  <c r="P584" i="10" s="1"/>
  <c r="AD583" i="10"/>
  <c r="S583" i="10"/>
  <c r="R583" i="10"/>
  <c r="O583" i="10"/>
  <c r="P583" i="10" s="1"/>
  <c r="AE582" i="10"/>
  <c r="AA582" i="10"/>
  <c r="V582" i="10"/>
  <c r="T582" i="10"/>
  <c r="S582" i="10"/>
  <c r="R582" i="10"/>
  <c r="AD582" i="10" s="1"/>
  <c r="O582" i="10"/>
  <c r="P582" i="10" s="1"/>
  <c r="W581" i="10"/>
  <c r="S581" i="10"/>
  <c r="AA581" i="10" s="1"/>
  <c r="R581" i="10"/>
  <c r="O581" i="10"/>
  <c r="P581" i="10" s="1"/>
  <c r="AA580" i="10"/>
  <c r="V580" i="10"/>
  <c r="S580" i="10"/>
  <c r="R580" i="10"/>
  <c r="Z580" i="10" s="1"/>
  <c r="P580" i="10"/>
  <c r="O580" i="10"/>
  <c r="W579" i="10"/>
  <c r="V579" i="10"/>
  <c r="S579" i="10"/>
  <c r="R579" i="10"/>
  <c r="O579" i="10"/>
  <c r="P579" i="10" s="1"/>
  <c r="AD578" i="10"/>
  <c r="S578" i="10"/>
  <c r="AA578" i="10" s="1"/>
  <c r="R578" i="10"/>
  <c r="AD638" i="10" s="1"/>
  <c r="O578" i="10"/>
  <c r="P578" i="10" s="1"/>
  <c r="S577" i="10"/>
  <c r="R577" i="10"/>
  <c r="P577" i="10"/>
  <c r="O577" i="10"/>
  <c r="Z576" i="10"/>
  <c r="W576" i="10"/>
  <c r="S576" i="10"/>
  <c r="AA588" i="10" s="1"/>
  <c r="R576" i="10"/>
  <c r="P576" i="10"/>
  <c r="O576" i="10"/>
  <c r="T575" i="10"/>
  <c r="S575" i="10"/>
  <c r="R575" i="10"/>
  <c r="P575" i="10"/>
  <c r="O575" i="10"/>
  <c r="AD574" i="10"/>
  <c r="Z574" i="10"/>
  <c r="T574" i="10"/>
  <c r="S574" i="10"/>
  <c r="R574" i="10"/>
  <c r="O574" i="10"/>
  <c r="P574" i="10" s="1"/>
  <c r="V573" i="10"/>
  <c r="S573" i="10"/>
  <c r="R573" i="10"/>
  <c r="O573" i="10"/>
  <c r="P573" i="10" s="1"/>
  <c r="X572" i="10"/>
  <c r="W572" i="10"/>
  <c r="V572" i="10"/>
  <c r="T572" i="10"/>
  <c r="S572" i="10"/>
  <c r="R572" i="10"/>
  <c r="O572" i="10"/>
  <c r="P572" i="10" s="1"/>
  <c r="AE571" i="10"/>
  <c r="AD571" i="10"/>
  <c r="W571" i="10"/>
  <c r="T571" i="10"/>
  <c r="S571" i="10"/>
  <c r="AA571" i="10" s="1"/>
  <c r="R571" i="10"/>
  <c r="O571" i="10"/>
  <c r="P571" i="10" s="1"/>
  <c r="AE570" i="10"/>
  <c r="Z570" i="10"/>
  <c r="S570" i="10"/>
  <c r="AE630" i="10" s="1"/>
  <c r="R570" i="10"/>
  <c r="O570" i="10"/>
  <c r="P570" i="10" s="1"/>
  <c r="AA569" i="10"/>
  <c r="W569" i="10"/>
  <c r="V569" i="10"/>
  <c r="S569" i="10"/>
  <c r="W570" i="10" s="1"/>
  <c r="R569" i="10"/>
  <c r="O569" i="10"/>
  <c r="P569" i="10" s="1"/>
  <c r="AE568" i="10"/>
  <c r="T568" i="10"/>
  <c r="S568" i="10"/>
  <c r="R568" i="10"/>
  <c r="O568" i="10"/>
  <c r="P568" i="10" s="1"/>
  <c r="Z567" i="10"/>
  <c r="S567" i="10"/>
  <c r="R567" i="10"/>
  <c r="P567" i="10"/>
  <c r="O567" i="10"/>
  <c r="AD566" i="10"/>
  <c r="AA566" i="10"/>
  <c r="V566" i="10"/>
  <c r="T566" i="10"/>
  <c r="S566" i="10"/>
  <c r="AE626" i="10" s="1"/>
  <c r="R566" i="10"/>
  <c r="Z578" i="10" s="1"/>
  <c r="O566" i="10"/>
  <c r="P566" i="10" s="1"/>
  <c r="AE565" i="10"/>
  <c r="AD565" i="10"/>
  <c r="AB565" i="10"/>
  <c r="W565" i="10"/>
  <c r="V565" i="10"/>
  <c r="S565" i="10"/>
  <c r="AA565" i="10" s="1"/>
  <c r="R565" i="10"/>
  <c r="O565" i="10"/>
  <c r="P565" i="10" s="1"/>
  <c r="AD564" i="10"/>
  <c r="W564" i="10"/>
  <c r="V564" i="10"/>
  <c r="S564" i="10"/>
  <c r="R564" i="10"/>
  <c r="P564" i="10"/>
  <c r="O564" i="10"/>
  <c r="W563" i="10"/>
  <c r="V563" i="10"/>
  <c r="S563" i="10"/>
  <c r="R563" i="10"/>
  <c r="P563" i="10"/>
  <c r="O563" i="10"/>
  <c r="AE562" i="10"/>
  <c r="AD562" i="10"/>
  <c r="S562" i="10"/>
  <c r="AA562" i="10" s="1"/>
  <c r="R562" i="10"/>
  <c r="AD622" i="10" s="1"/>
  <c r="O562" i="10"/>
  <c r="P562" i="10" s="1"/>
  <c r="S561" i="10"/>
  <c r="R561" i="10"/>
  <c r="P561" i="10"/>
  <c r="O561" i="10"/>
  <c r="S560" i="10"/>
  <c r="R560" i="10"/>
  <c r="O560" i="10"/>
  <c r="P560" i="10" s="1"/>
  <c r="T560" i="10" s="1"/>
  <c r="AB559" i="10"/>
  <c r="S559" i="10"/>
  <c r="R559" i="10"/>
  <c r="P559" i="10"/>
  <c r="O559" i="10"/>
  <c r="AB558" i="10"/>
  <c r="S558" i="10"/>
  <c r="R558" i="10"/>
  <c r="O558" i="10"/>
  <c r="P558" i="10" s="1"/>
  <c r="AA557" i="10"/>
  <c r="W557" i="10"/>
  <c r="S557" i="10"/>
  <c r="R557" i="10"/>
  <c r="O557" i="10"/>
  <c r="P557" i="10" s="1"/>
  <c r="AD556" i="10"/>
  <c r="V556" i="10"/>
  <c r="S556" i="10"/>
  <c r="R556" i="10"/>
  <c r="O556" i="10"/>
  <c r="P556" i="10" s="1"/>
  <c r="AE555" i="10"/>
  <c r="W555" i="10"/>
  <c r="V555" i="10"/>
  <c r="T555" i="10"/>
  <c r="S555" i="10"/>
  <c r="R555" i="10"/>
  <c r="O555" i="10"/>
  <c r="P555" i="10" s="1"/>
  <c r="X555" i="10" s="1"/>
  <c r="AD554" i="10"/>
  <c r="Z554" i="10"/>
  <c r="S554" i="10"/>
  <c r="AA554" i="10" s="1"/>
  <c r="R554" i="10"/>
  <c r="V554" i="10" s="1"/>
  <c r="P554" i="10"/>
  <c r="O554" i="10"/>
  <c r="W553" i="10"/>
  <c r="V553" i="10"/>
  <c r="S553" i="10"/>
  <c r="W554" i="10" s="1"/>
  <c r="R553" i="10"/>
  <c r="O553" i="10"/>
  <c r="P553" i="10" s="1"/>
  <c r="AA552" i="10"/>
  <c r="S552" i="10"/>
  <c r="R552" i="10"/>
  <c r="O552" i="10"/>
  <c r="P552" i="10" s="1"/>
  <c r="T552" i="10" s="1"/>
  <c r="X551" i="10"/>
  <c r="S551" i="10"/>
  <c r="R551" i="10"/>
  <c r="P551" i="10"/>
  <c r="O551" i="10"/>
  <c r="AA550" i="10"/>
  <c r="Z550" i="10"/>
  <c r="T550" i="10"/>
  <c r="S550" i="10"/>
  <c r="R550" i="10"/>
  <c r="Z562" i="10" s="1"/>
  <c r="O550" i="10"/>
  <c r="P550" i="10" s="1"/>
  <c r="W549" i="10"/>
  <c r="S549" i="10"/>
  <c r="R549" i="10"/>
  <c r="O549" i="10"/>
  <c r="P549" i="10" s="1"/>
  <c r="W548" i="10"/>
  <c r="S548" i="10"/>
  <c r="R548" i="10"/>
  <c r="Z548" i="10" s="1"/>
  <c r="P548" i="10"/>
  <c r="O548" i="10"/>
  <c r="X547" i="10"/>
  <c r="W547" i="10"/>
  <c r="V547" i="10"/>
  <c r="S547" i="10"/>
  <c r="R547" i="10"/>
  <c r="P547" i="10"/>
  <c r="O547" i="10"/>
  <c r="AE546" i="10"/>
  <c r="Z546" i="10"/>
  <c r="W546" i="10"/>
  <c r="V546" i="10"/>
  <c r="S546" i="10"/>
  <c r="R546" i="10"/>
  <c r="P546" i="10"/>
  <c r="O546" i="10"/>
  <c r="Z545" i="10"/>
  <c r="X545" i="10"/>
  <c r="V545" i="10"/>
  <c r="S545" i="10"/>
  <c r="R545" i="10"/>
  <c r="O545" i="10"/>
  <c r="P545" i="10" s="1"/>
  <c r="T544" i="10"/>
  <c r="S544" i="10"/>
  <c r="R544" i="10"/>
  <c r="O544" i="10"/>
  <c r="P544" i="10" s="1"/>
  <c r="AD543" i="10"/>
  <c r="V543" i="10"/>
  <c r="T543" i="10"/>
  <c r="S543" i="10"/>
  <c r="R543" i="10"/>
  <c r="Z543" i="10" s="1"/>
  <c r="P543" i="10"/>
  <c r="AB603" i="10" s="1"/>
  <c r="O543" i="10"/>
  <c r="T542" i="10"/>
  <c r="S542" i="10"/>
  <c r="R542" i="10"/>
  <c r="O542" i="10"/>
  <c r="P542" i="10" s="1"/>
  <c r="AD541" i="10"/>
  <c r="S541" i="10"/>
  <c r="R541" i="10"/>
  <c r="V541" i="10" s="1"/>
  <c r="P541" i="10"/>
  <c r="X541" i="10" s="1"/>
  <c r="O541" i="10"/>
  <c r="AA540" i="10"/>
  <c r="S540" i="10"/>
  <c r="R540" i="10"/>
  <c r="P540" i="10"/>
  <c r="O540" i="10"/>
  <c r="S539" i="10"/>
  <c r="R539" i="10"/>
  <c r="P539" i="10"/>
  <c r="O539" i="10"/>
  <c r="AA538" i="10"/>
  <c r="Z538" i="10"/>
  <c r="S538" i="10"/>
  <c r="R538" i="10"/>
  <c r="P538" i="10"/>
  <c r="O538" i="10"/>
  <c r="S537" i="10"/>
  <c r="R537" i="10"/>
  <c r="P537" i="10"/>
  <c r="O537" i="10"/>
  <c r="AA536" i="10"/>
  <c r="Z536" i="10"/>
  <c r="S536" i="10"/>
  <c r="R536" i="10"/>
  <c r="O536" i="10"/>
  <c r="P536" i="10" s="1"/>
  <c r="AE535" i="10"/>
  <c r="S535" i="10"/>
  <c r="R535" i="10"/>
  <c r="O535" i="10"/>
  <c r="P535" i="10" s="1"/>
  <c r="V534" i="10"/>
  <c r="S534" i="10"/>
  <c r="R534" i="10"/>
  <c r="Z534" i="10" s="1"/>
  <c r="O534" i="10"/>
  <c r="P534" i="10" s="1"/>
  <c r="AE533" i="10"/>
  <c r="W533" i="10"/>
  <c r="S533" i="10"/>
  <c r="R533" i="10"/>
  <c r="AD593" i="10" s="1"/>
  <c r="P533" i="10"/>
  <c r="O533" i="10"/>
  <c r="S532" i="10"/>
  <c r="AE592" i="10" s="1"/>
  <c r="R532" i="10"/>
  <c r="O532" i="10"/>
  <c r="P532" i="10" s="1"/>
  <c r="Z531" i="10"/>
  <c r="S531" i="10"/>
  <c r="R531" i="10"/>
  <c r="AD531" i="10" s="1"/>
  <c r="P531" i="10"/>
  <c r="O531" i="10"/>
  <c r="AB530" i="10"/>
  <c r="AA530" i="10"/>
  <c r="W530" i="10"/>
  <c r="S530" i="10"/>
  <c r="AE530" i="10" s="1"/>
  <c r="R530" i="10"/>
  <c r="P530" i="10"/>
  <c r="O530" i="10"/>
  <c r="AA529" i="10"/>
  <c r="X529" i="10"/>
  <c r="S529" i="10"/>
  <c r="R529" i="10"/>
  <c r="P529" i="10"/>
  <c r="O529" i="10"/>
  <c r="AD528" i="10"/>
  <c r="S528" i="10"/>
  <c r="R528" i="10"/>
  <c r="O528" i="10"/>
  <c r="P528" i="10" s="1"/>
  <c r="AE527" i="10"/>
  <c r="S527" i="10"/>
  <c r="R527" i="10"/>
  <c r="O527" i="10"/>
  <c r="P527" i="10" s="1"/>
  <c r="X526" i="10"/>
  <c r="W526" i="10"/>
  <c r="V526" i="10"/>
  <c r="S526" i="10"/>
  <c r="R526" i="10"/>
  <c r="AD586" i="10" s="1"/>
  <c r="O526" i="10"/>
  <c r="P526" i="10" s="1"/>
  <c r="AE525" i="10"/>
  <c r="X525" i="10"/>
  <c r="W525" i="10"/>
  <c r="V525" i="10"/>
  <c r="S525" i="10"/>
  <c r="R525" i="10"/>
  <c r="P525" i="10"/>
  <c r="O525" i="10"/>
  <c r="X524" i="10"/>
  <c r="S524" i="10"/>
  <c r="AA524" i="10" s="1"/>
  <c r="R524" i="10"/>
  <c r="O524" i="10"/>
  <c r="P524" i="10" s="1"/>
  <c r="Z523" i="10"/>
  <c r="V523" i="10"/>
  <c r="S523" i="10"/>
  <c r="R523" i="10"/>
  <c r="AD523" i="10" s="1"/>
  <c r="O523" i="10"/>
  <c r="P523" i="10" s="1"/>
  <c r="AA522" i="10"/>
  <c r="Z522" i="10"/>
  <c r="S522" i="10"/>
  <c r="AE522" i="10" s="1"/>
  <c r="R522" i="10"/>
  <c r="P522" i="10"/>
  <c r="O522" i="10"/>
  <c r="X521" i="10"/>
  <c r="S521" i="10"/>
  <c r="R521" i="10"/>
  <c r="P521" i="10"/>
  <c r="AB581" i="10" s="1"/>
  <c r="O521" i="10"/>
  <c r="Z520" i="10"/>
  <c r="S520" i="10"/>
  <c r="R520" i="10"/>
  <c r="V520" i="10" s="1"/>
  <c r="O520" i="10"/>
  <c r="P520" i="10" s="1"/>
  <c r="AE519" i="10"/>
  <c r="W519" i="10"/>
  <c r="V519" i="10"/>
  <c r="S519" i="10"/>
  <c r="AE579" i="10" s="1"/>
  <c r="R519" i="10"/>
  <c r="O519" i="10"/>
  <c r="P519" i="10" s="1"/>
  <c r="W518" i="10"/>
  <c r="V518" i="10"/>
  <c r="S518" i="10"/>
  <c r="R518" i="10"/>
  <c r="Z518" i="10" s="1"/>
  <c r="O518" i="10"/>
  <c r="P518" i="10" s="1"/>
  <c r="AE517" i="10"/>
  <c r="AB517" i="10"/>
  <c r="W517" i="10"/>
  <c r="S517" i="10"/>
  <c r="R517" i="10"/>
  <c r="Z517" i="10" s="1"/>
  <c r="P517" i="10"/>
  <c r="X517" i="10" s="1"/>
  <c r="O517" i="10"/>
  <c r="S516" i="10"/>
  <c r="AA516" i="10" s="1"/>
  <c r="R516" i="10"/>
  <c r="O516" i="10"/>
  <c r="P516" i="10" s="1"/>
  <c r="AE515" i="10"/>
  <c r="Z515" i="10"/>
  <c r="V515" i="10"/>
  <c r="S515" i="10"/>
  <c r="R515" i="10"/>
  <c r="AD515" i="10" s="1"/>
  <c r="O515" i="10"/>
  <c r="P515" i="10" s="1"/>
  <c r="AB514" i="10"/>
  <c r="AA514" i="10"/>
  <c r="Z514" i="10"/>
  <c r="S514" i="10"/>
  <c r="AE514" i="10" s="1"/>
  <c r="R514" i="10"/>
  <c r="P514" i="10"/>
  <c r="O514" i="10"/>
  <c r="S513" i="10"/>
  <c r="R513" i="10"/>
  <c r="V513" i="10" s="1"/>
  <c r="P513" i="10"/>
  <c r="O513" i="10"/>
  <c r="S512" i="10"/>
  <c r="R512" i="10"/>
  <c r="V512" i="10" s="1"/>
  <c r="O512" i="10"/>
  <c r="P512" i="10" s="1"/>
  <c r="AE511" i="10"/>
  <c r="AB511" i="10"/>
  <c r="AA511" i="10"/>
  <c r="W511" i="10"/>
  <c r="V511" i="10"/>
  <c r="S511" i="10"/>
  <c r="R511" i="10"/>
  <c r="O511" i="10"/>
  <c r="P511" i="10" s="1"/>
  <c r="AE510" i="10"/>
  <c r="AD510" i="10"/>
  <c r="AA510" i="10"/>
  <c r="W510" i="10"/>
  <c r="S510" i="10"/>
  <c r="R510" i="10"/>
  <c r="Z510" i="10" s="1"/>
  <c r="O510" i="10"/>
  <c r="P510" i="10" s="1"/>
  <c r="AE509" i="10"/>
  <c r="AD509" i="10"/>
  <c r="W509" i="10"/>
  <c r="S509" i="10"/>
  <c r="R509" i="10"/>
  <c r="O509" i="10"/>
  <c r="P509" i="10" s="1"/>
  <c r="AD508" i="10"/>
  <c r="W508" i="10"/>
  <c r="V508" i="10"/>
  <c r="S508" i="10"/>
  <c r="R508" i="10"/>
  <c r="P508" i="10"/>
  <c r="O508" i="10"/>
  <c r="AE507" i="10"/>
  <c r="AD507" i="10"/>
  <c r="AB507" i="10"/>
  <c r="Z507" i="10"/>
  <c r="V507" i="10"/>
  <c r="S507" i="10"/>
  <c r="R507" i="10"/>
  <c r="P507" i="10"/>
  <c r="O507" i="10"/>
  <c r="AB506" i="10"/>
  <c r="AA506" i="10"/>
  <c r="X506" i="10"/>
  <c r="T506" i="10"/>
  <c r="S506" i="10"/>
  <c r="AE506" i="10" s="1"/>
  <c r="R506" i="10"/>
  <c r="O506" i="10"/>
  <c r="P506" i="10" s="1"/>
  <c r="AD505" i="10"/>
  <c r="AB505" i="10"/>
  <c r="AA505" i="10"/>
  <c r="S505" i="10"/>
  <c r="R505" i="10"/>
  <c r="P505" i="10"/>
  <c r="O505" i="10"/>
  <c r="AB504" i="10"/>
  <c r="W504" i="10"/>
  <c r="V504" i="10"/>
  <c r="S504" i="10"/>
  <c r="R504" i="10"/>
  <c r="O504" i="10"/>
  <c r="P504" i="10" s="1"/>
  <c r="AA503" i="10"/>
  <c r="W503" i="10"/>
  <c r="V503" i="10"/>
  <c r="S503" i="10"/>
  <c r="AE563" i="10" s="1"/>
  <c r="R503" i="10"/>
  <c r="AD563" i="10" s="1"/>
  <c r="O503" i="10"/>
  <c r="P503" i="10" s="1"/>
  <c r="AD502" i="10"/>
  <c r="AB502" i="10"/>
  <c r="W502" i="10"/>
  <c r="S502" i="10"/>
  <c r="AA502" i="10" s="1"/>
  <c r="R502" i="10"/>
  <c r="Z502" i="10" s="1"/>
  <c r="P502" i="10"/>
  <c r="X502" i="10" s="1"/>
  <c r="O502" i="10"/>
  <c r="AE501" i="10"/>
  <c r="S501" i="10"/>
  <c r="AA501" i="10" s="1"/>
  <c r="R501" i="10"/>
  <c r="O501" i="10"/>
  <c r="P501" i="10" s="1"/>
  <c r="V500" i="10"/>
  <c r="S500" i="10"/>
  <c r="R500" i="10"/>
  <c r="O500" i="10"/>
  <c r="P500" i="10" s="1"/>
  <c r="AE499" i="10"/>
  <c r="AA499" i="10"/>
  <c r="X499" i="10"/>
  <c r="W499" i="10"/>
  <c r="S499" i="10"/>
  <c r="R499" i="10"/>
  <c r="AD499" i="10" s="1"/>
  <c r="O499" i="10"/>
  <c r="P499" i="10" s="1"/>
  <c r="AB498" i="10"/>
  <c r="X498" i="10"/>
  <c r="T498" i="10"/>
  <c r="S498" i="10"/>
  <c r="AE498" i="10" s="1"/>
  <c r="R498" i="10"/>
  <c r="P498" i="10"/>
  <c r="O498" i="10"/>
  <c r="AA497" i="10"/>
  <c r="S497" i="10"/>
  <c r="R497" i="10"/>
  <c r="O497" i="10"/>
  <c r="P497" i="10" s="1"/>
  <c r="S496" i="10"/>
  <c r="R496" i="10"/>
  <c r="O496" i="10"/>
  <c r="P496" i="10" s="1"/>
  <c r="AA495" i="10"/>
  <c r="W495" i="10"/>
  <c r="V495" i="10"/>
  <c r="S495" i="10"/>
  <c r="AE495" i="10" s="1"/>
  <c r="R495" i="10"/>
  <c r="AD555" i="10" s="1"/>
  <c r="O495" i="10"/>
  <c r="P495" i="10" s="1"/>
  <c r="AD494" i="10"/>
  <c r="AB494" i="10"/>
  <c r="W494" i="10"/>
  <c r="S494" i="10"/>
  <c r="AA494" i="10" s="1"/>
  <c r="R494" i="10"/>
  <c r="P494" i="10"/>
  <c r="X494" i="10" s="1"/>
  <c r="O494" i="10"/>
  <c r="AE493" i="10"/>
  <c r="S493" i="10"/>
  <c r="AA493" i="10" s="1"/>
  <c r="R493" i="10"/>
  <c r="O493" i="10"/>
  <c r="P493" i="10" s="1"/>
  <c r="S492" i="10"/>
  <c r="R492" i="10"/>
  <c r="O492" i="10"/>
  <c r="P492" i="10" s="1"/>
  <c r="AE491" i="10"/>
  <c r="AA491" i="10"/>
  <c r="W491" i="10"/>
  <c r="S491" i="10"/>
  <c r="R491" i="10"/>
  <c r="AD491" i="10" s="1"/>
  <c r="O491" i="10"/>
  <c r="P491" i="10" s="1"/>
  <c r="AB490" i="10"/>
  <c r="X490" i="10"/>
  <c r="T490" i="10"/>
  <c r="S490" i="10"/>
  <c r="AE490" i="10" s="1"/>
  <c r="R490" i="10"/>
  <c r="P490" i="10"/>
  <c r="O490" i="10"/>
  <c r="AD489" i="10"/>
  <c r="AA489" i="10"/>
  <c r="Z489" i="10"/>
  <c r="S489" i="10"/>
  <c r="R489" i="10"/>
  <c r="V489" i="10" s="1"/>
  <c r="O489" i="10"/>
  <c r="P489" i="10" s="1"/>
  <c r="AB549" i="10" s="1"/>
  <c r="AD488" i="10"/>
  <c r="T488" i="10"/>
  <c r="S488" i="10"/>
  <c r="R488" i="10"/>
  <c r="O488" i="10"/>
  <c r="P488" i="10" s="1"/>
  <c r="AA487" i="10"/>
  <c r="W487" i="10"/>
  <c r="V487" i="10"/>
  <c r="S487" i="10"/>
  <c r="AE547" i="10" s="1"/>
  <c r="R487" i="10"/>
  <c r="Z487" i="10" s="1"/>
  <c r="P487" i="10"/>
  <c r="O487" i="10"/>
  <c r="W486" i="10"/>
  <c r="V486" i="10"/>
  <c r="S486" i="10"/>
  <c r="AA486" i="10" s="1"/>
  <c r="R486" i="10"/>
  <c r="P486" i="10"/>
  <c r="X486" i="10" s="1"/>
  <c r="O486" i="10"/>
  <c r="AE485" i="10"/>
  <c r="Z485" i="10"/>
  <c r="S485" i="10"/>
  <c r="AE545" i="10" s="1"/>
  <c r="R485" i="10"/>
  <c r="O485" i="10"/>
  <c r="P485" i="10" s="1"/>
  <c r="S484" i="10"/>
  <c r="R484" i="10"/>
  <c r="O484" i="10"/>
  <c r="P484" i="10" s="1"/>
  <c r="AA483" i="10"/>
  <c r="W483" i="10"/>
  <c r="S483" i="10"/>
  <c r="R483" i="10"/>
  <c r="AD483" i="10" s="1"/>
  <c r="P483" i="10"/>
  <c r="O483" i="10"/>
  <c r="X482" i="10"/>
  <c r="T482" i="10"/>
  <c r="S482" i="10"/>
  <c r="AE482" i="10" s="1"/>
  <c r="R482" i="10"/>
  <c r="P482" i="10"/>
  <c r="AB542" i="10" s="1"/>
  <c r="O482" i="10"/>
  <c r="AD481" i="10"/>
  <c r="AA481" i="10"/>
  <c r="Z481" i="10"/>
  <c r="S481" i="10"/>
  <c r="R481" i="10"/>
  <c r="O481" i="10"/>
  <c r="P481" i="10" s="1"/>
  <c r="S480" i="10"/>
  <c r="R480" i="10"/>
  <c r="O480" i="10"/>
  <c r="P480" i="10" s="1"/>
  <c r="AA479" i="10"/>
  <c r="W479" i="10"/>
  <c r="V479" i="10"/>
  <c r="S479" i="10"/>
  <c r="AE539" i="10" s="1"/>
  <c r="R479" i="10"/>
  <c r="Z479" i="10" s="1"/>
  <c r="P479" i="10"/>
  <c r="O479" i="10"/>
  <c r="AD478" i="10"/>
  <c r="W478" i="10"/>
  <c r="V478" i="10"/>
  <c r="T478" i="10"/>
  <c r="S478" i="10"/>
  <c r="AA478" i="10" s="1"/>
  <c r="R478" i="10"/>
  <c r="P478" i="10"/>
  <c r="X478" i="10" s="1"/>
  <c r="O478" i="10"/>
  <c r="AD477" i="10"/>
  <c r="Z477" i="10"/>
  <c r="S477" i="10"/>
  <c r="AA477" i="10" s="1"/>
  <c r="R477" i="10"/>
  <c r="O477" i="10"/>
  <c r="P477" i="10" s="1"/>
  <c r="AE476" i="10"/>
  <c r="S476" i="10"/>
  <c r="R476" i="10"/>
  <c r="O476" i="10"/>
  <c r="P476" i="10" s="1"/>
  <c r="AE475" i="10"/>
  <c r="AA475" i="10"/>
  <c r="W475" i="10"/>
  <c r="S475" i="10"/>
  <c r="R475" i="10"/>
  <c r="AD475" i="10" s="1"/>
  <c r="O475" i="10"/>
  <c r="P475" i="10" s="1"/>
  <c r="X474" i="10"/>
  <c r="T474" i="10"/>
  <c r="S474" i="10"/>
  <c r="AE474" i="10" s="1"/>
  <c r="R474" i="10"/>
  <c r="P474" i="10"/>
  <c r="O474" i="10"/>
  <c r="AA473" i="10"/>
  <c r="Z473" i="10"/>
  <c r="V473" i="10"/>
  <c r="S473" i="10"/>
  <c r="R473" i="10"/>
  <c r="AD533" i="10" s="1"/>
  <c r="O473" i="10"/>
  <c r="P473" i="10" s="1"/>
  <c r="AE472" i="10"/>
  <c r="AB472" i="10"/>
  <c r="W472" i="10"/>
  <c r="S472" i="10"/>
  <c r="R472" i="10"/>
  <c r="O472" i="10"/>
  <c r="P472" i="10" s="1"/>
  <c r="AA471" i="10"/>
  <c r="W471" i="10"/>
  <c r="V471" i="10"/>
  <c r="S471" i="10"/>
  <c r="AE471" i="10" s="1"/>
  <c r="R471" i="10"/>
  <c r="Z471" i="10" s="1"/>
  <c r="O471" i="10"/>
  <c r="P471" i="10" s="1"/>
  <c r="W470" i="10"/>
  <c r="V470" i="10"/>
  <c r="T470" i="10"/>
  <c r="S470" i="10"/>
  <c r="AA470" i="10" s="1"/>
  <c r="R470" i="10"/>
  <c r="P470" i="10"/>
  <c r="X470" i="10" s="1"/>
  <c r="O470" i="10"/>
  <c r="AE469" i="10"/>
  <c r="AD469" i="10"/>
  <c r="Z469" i="10"/>
  <c r="S469" i="10"/>
  <c r="AA469" i="10" s="1"/>
  <c r="R469" i="10"/>
  <c r="O469" i="10"/>
  <c r="P469" i="10" s="1"/>
  <c r="AE468" i="10"/>
  <c r="Z468" i="10"/>
  <c r="X468" i="10"/>
  <c r="W468" i="10"/>
  <c r="S468" i="10"/>
  <c r="R468" i="10"/>
  <c r="O468" i="10"/>
  <c r="P468" i="10" s="1"/>
  <c r="AE467" i="10"/>
  <c r="AA467" i="10"/>
  <c r="W467" i="10"/>
  <c r="S467" i="10"/>
  <c r="R467" i="10"/>
  <c r="AD467" i="10" s="1"/>
  <c r="P467" i="10"/>
  <c r="O467" i="10"/>
  <c r="X466" i="10"/>
  <c r="T466" i="10"/>
  <c r="S466" i="10"/>
  <c r="AE466" i="10" s="1"/>
  <c r="R466" i="10"/>
  <c r="P466" i="10"/>
  <c r="O466" i="10"/>
  <c r="AA465" i="10"/>
  <c r="Z465" i="10"/>
  <c r="V465" i="10"/>
  <c r="S465" i="10"/>
  <c r="R465" i="10"/>
  <c r="AD525" i="10" s="1"/>
  <c r="O465" i="10"/>
  <c r="P465" i="10" s="1"/>
  <c r="AE464" i="10"/>
  <c r="AD464" i="10"/>
  <c r="W464" i="10"/>
  <c r="V464" i="10"/>
  <c r="S464" i="10"/>
  <c r="R464" i="10"/>
  <c r="Z464" i="10" s="1"/>
  <c r="O464" i="10"/>
  <c r="P464" i="10" s="1"/>
  <c r="AA463" i="10"/>
  <c r="W463" i="10"/>
  <c r="V463" i="10"/>
  <c r="S463" i="10"/>
  <c r="AE463" i="10" s="1"/>
  <c r="R463" i="10"/>
  <c r="Z463" i="10" s="1"/>
  <c r="O463" i="10"/>
  <c r="P463" i="10" s="1"/>
  <c r="AB462" i="10"/>
  <c r="W462" i="10"/>
  <c r="V462" i="10"/>
  <c r="T462" i="10"/>
  <c r="S462" i="10"/>
  <c r="AA462" i="10" s="1"/>
  <c r="R462" i="10"/>
  <c r="Z462" i="10" s="1"/>
  <c r="P462" i="10"/>
  <c r="X462" i="10" s="1"/>
  <c r="O462" i="10"/>
  <c r="S461" i="10"/>
  <c r="AA461" i="10" s="1"/>
  <c r="R461" i="10"/>
  <c r="O461" i="10"/>
  <c r="P461" i="10" s="1"/>
  <c r="AE460" i="10"/>
  <c r="Z460" i="10"/>
  <c r="X460" i="10"/>
  <c r="W460" i="10"/>
  <c r="V460" i="10"/>
  <c r="S460" i="10"/>
  <c r="R460" i="10"/>
  <c r="O460" i="10"/>
  <c r="P460" i="10" s="1"/>
  <c r="AA459" i="10"/>
  <c r="W459" i="10"/>
  <c r="S459" i="10"/>
  <c r="R459" i="10"/>
  <c r="AD459" i="10" s="1"/>
  <c r="O459" i="10"/>
  <c r="P459" i="10" s="1"/>
  <c r="AB458" i="10"/>
  <c r="X458" i="10"/>
  <c r="T458" i="10"/>
  <c r="S458" i="10"/>
  <c r="AE458" i="10" s="1"/>
  <c r="R458" i="10"/>
  <c r="P458" i="10"/>
  <c r="O458" i="10"/>
  <c r="AA457" i="10"/>
  <c r="Z457" i="10"/>
  <c r="V457" i="10"/>
  <c r="S457" i="10"/>
  <c r="R457" i="10"/>
  <c r="O457" i="10"/>
  <c r="P457" i="10" s="1"/>
  <c r="AD456" i="10"/>
  <c r="AB456" i="10"/>
  <c r="W456" i="10"/>
  <c r="V456" i="10"/>
  <c r="S456" i="10"/>
  <c r="R456" i="10"/>
  <c r="O456" i="10"/>
  <c r="P456" i="10" s="1"/>
  <c r="X456" i="10" s="1"/>
  <c r="AA455" i="10"/>
  <c r="X455" i="10"/>
  <c r="W455" i="10"/>
  <c r="V455" i="10"/>
  <c r="S455" i="10"/>
  <c r="AE455" i="10" s="1"/>
  <c r="R455" i="10"/>
  <c r="Z455" i="10" s="1"/>
  <c r="O455" i="10"/>
  <c r="P455" i="10" s="1"/>
  <c r="AD454" i="10"/>
  <c r="AB454" i="10"/>
  <c r="W454" i="10"/>
  <c r="T454" i="10"/>
  <c r="S454" i="10"/>
  <c r="AA454" i="10" s="1"/>
  <c r="R454" i="10"/>
  <c r="Z454" i="10" s="1"/>
  <c r="P454" i="10"/>
  <c r="X454" i="10" s="1"/>
  <c r="O454" i="10"/>
  <c r="AE453" i="10"/>
  <c r="Z453" i="10"/>
  <c r="S453" i="10"/>
  <c r="AA453" i="10" s="1"/>
  <c r="R453" i="10"/>
  <c r="O453" i="10"/>
  <c r="P453" i="10" s="1"/>
  <c r="Z452" i="10"/>
  <c r="X452" i="10"/>
  <c r="V452" i="10"/>
  <c r="S452" i="10"/>
  <c r="R452" i="10"/>
  <c r="AD452" i="10" s="1"/>
  <c r="O452" i="10"/>
  <c r="P452" i="10" s="1"/>
  <c r="AA451" i="10"/>
  <c r="X451" i="10"/>
  <c r="W451" i="10"/>
  <c r="S451" i="10"/>
  <c r="R451" i="10"/>
  <c r="AD451" i="10" s="1"/>
  <c r="O451" i="10"/>
  <c r="P451" i="10" s="1"/>
  <c r="X450" i="10"/>
  <c r="T450" i="10"/>
  <c r="S450" i="10"/>
  <c r="AE450" i="10" s="1"/>
  <c r="R450" i="10"/>
  <c r="P450" i="10"/>
  <c r="O450" i="10"/>
  <c r="AA449" i="10"/>
  <c r="V449" i="10"/>
  <c r="S449" i="10"/>
  <c r="R449" i="10"/>
  <c r="O449" i="10"/>
  <c r="P449" i="10" s="1"/>
  <c r="AB448" i="10"/>
  <c r="W448" i="10"/>
  <c r="V448" i="10"/>
  <c r="T448" i="10"/>
  <c r="S448" i="10"/>
  <c r="R448" i="10"/>
  <c r="O448" i="10"/>
  <c r="P448" i="10" s="1"/>
  <c r="AA447" i="10"/>
  <c r="X447" i="10"/>
  <c r="W447" i="10"/>
  <c r="V447" i="10"/>
  <c r="S447" i="10"/>
  <c r="R447" i="10"/>
  <c r="Z447" i="10" s="1"/>
  <c r="O447" i="10"/>
  <c r="P447" i="10" s="1"/>
  <c r="AD446" i="10"/>
  <c r="W446" i="10"/>
  <c r="T446" i="10"/>
  <c r="S446" i="10"/>
  <c r="AA446" i="10" s="1"/>
  <c r="R446" i="10"/>
  <c r="Z446" i="10" s="1"/>
  <c r="P446" i="10"/>
  <c r="X446" i="10" s="1"/>
  <c r="O446" i="10"/>
  <c r="AE445" i="10"/>
  <c r="S445" i="10"/>
  <c r="AA445" i="10" s="1"/>
  <c r="R445" i="10"/>
  <c r="O445" i="10"/>
  <c r="P445" i="10" s="1"/>
  <c r="X444" i="10"/>
  <c r="W444" i="10"/>
  <c r="S444" i="10"/>
  <c r="R444" i="10"/>
  <c r="O444" i="10"/>
  <c r="P444" i="10" s="1"/>
  <c r="AA443" i="10"/>
  <c r="X443" i="10"/>
  <c r="W443" i="10"/>
  <c r="S443" i="10"/>
  <c r="R443" i="10"/>
  <c r="O443" i="10"/>
  <c r="P443" i="10" s="1"/>
  <c r="X442" i="10"/>
  <c r="S442" i="10"/>
  <c r="R442" i="10"/>
  <c r="P442" i="10"/>
  <c r="O442" i="10"/>
  <c r="AA441" i="10"/>
  <c r="S441" i="10"/>
  <c r="R441" i="10"/>
  <c r="O441" i="10"/>
  <c r="P441" i="10" s="1"/>
  <c r="T440" i="10"/>
  <c r="S440" i="10"/>
  <c r="R440" i="10"/>
  <c r="O440" i="10"/>
  <c r="P440" i="10" s="1"/>
  <c r="X439" i="10"/>
  <c r="W439" i="10"/>
  <c r="V439" i="10"/>
  <c r="S439" i="10"/>
  <c r="AE439" i="10" s="1"/>
  <c r="R439" i="10"/>
  <c r="O439" i="10"/>
  <c r="P439" i="10" s="1"/>
  <c r="AD438" i="10"/>
  <c r="W438" i="10"/>
  <c r="S438" i="10"/>
  <c r="R438" i="10"/>
  <c r="Z438" i="10" s="1"/>
  <c r="P438" i="10"/>
  <c r="X438" i="10" s="1"/>
  <c r="O438" i="10"/>
  <c r="AE437" i="10"/>
  <c r="S437" i="10"/>
  <c r="AA437" i="10" s="1"/>
  <c r="R437" i="10"/>
  <c r="O437" i="10"/>
  <c r="P437" i="10" s="1"/>
  <c r="W436" i="10"/>
  <c r="V436" i="10"/>
  <c r="S436" i="10"/>
  <c r="R436" i="10"/>
  <c r="O436" i="10"/>
  <c r="P436" i="10" s="1"/>
  <c r="W435" i="10"/>
  <c r="S435" i="10"/>
  <c r="R435" i="10"/>
  <c r="AD435" i="10" s="1"/>
  <c r="O435" i="10"/>
  <c r="P435" i="10" s="1"/>
  <c r="AB434" i="10"/>
  <c r="T434" i="10"/>
  <c r="S434" i="10"/>
  <c r="R434" i="10"/>
  <c r="P434" i="10"/>
  <c r="O434" i="10"/>
  <c r="AA433" i="10"/>
  <c r="S433" i="10"/>
  <c r="R433" i="10"/>
  <c r="O433" i="10"/>
  <c r="P433" i="10" s="1"/>
  <c r="S432" i="10"/>
  <c r="R432" i="10"/>
  <c r="O432" i="10"/>
  <c r="P432" i="10" s="1"/>
  <c r="W431" i="10"/>
  <c r="V431" i="10"/>
  <c r="S431" i="10"/>
  <c r="AE431" i="10" s="1"/>
  <c r="R431" i="10"/>
  <c r="Z431" i="10" s="1"/>
  <c r="O431" i="10"/>
  <c r="P431" i="10" s="1"/>
  <c r="AD430" i="10"/>
  <c r="W430" i="10"/>
  <c r="S430" i="10"/>
  <c r="R430" i="10"/>
  <c r="Z430" i="10" s="1"/>
  <c r="P430" i="10"/>
  <c r="X430" i="10" s="1"/>
  <c r="O430" i="10"/>
  <c r="AE429" i="10"/>
  <c r="S429" i="10"/>
  <c r="R429" i="10"/>
  <c r="P429" i="10"/>
  <c r="O429" i="10"/>
  <c r="W428" i="10"/>
  <c r="S428" i="10"/>
  <c r="W429" i="10" s="1"/>
  <c r="R428" i="10"/>
  <c r="O428" i="10"/>
  <c r="P428" i="10" s="1"/>
  <c r="S427" i="10"/>
  <c r="AA427" i="10" s="1"/>
  <c r="R427" i="10"/>
  <c r="O427" i="10"/>
  <c r="P427" i="10" s="1"/>
  <c r="AB426" i="10"/>
  <c r="S426" i="10"/>
  <c r="R426" i="10"/>
  <c r="P426" i="10"/>
  <c r="O426" i="10"/>
  <c r="AA425" i="10"/>
  <c r="S425" i="10"/>
  <c r="R425" i="10"/>
  <c r="O425" i="10"/>
  <c r="P425" i="10" s="1"/>
  <c r="AD424" i="10"/>
  <c r="V424" i="10"/>
  <c r="S424" i="10"/>
  <c r="AA424" i="10" s="1"/>
  <c r="R424" i="10"/>
  <c r="O424" i="10"/>
  <c r="P424" i="10" s="1"/>
  <c r="AD423" i="10"/>
  <c r="V423" i="10"/>
  <c r="S423" i="10"/>
  <c r="R423" i="10"/>
  <c r="Z423" i="10" s="1"/>
  <c r="O423" i="10"/>
  <c r="P423" i="10" s="1"/>
  <c r="W422" i="10"/>
  <c r="V422" i="10"/>
  <c r="S422" i="10"/>
  <c r="R422" i="10"/>
  <c r="O422" i="10"/>
  <c r="P422" i="10" s="1"/>
  <c r="AE421" i="10"/>
  <c r="Z421" i="10"/>
  <c r="V421" i="10"/>
  <c r="S421" i="10"/>
  <c r="R421" i="10"/>
  <c r="P421" i="10"/>
  <c r="O421" i="10"/>
  <c r="V420" i="10"/>
  <c r="S420" i="10"/>
  <c r="R420" i="10"/>
  <c r="O420" i="10"/>
  <c r="P420" i="10" s="1"/>
  <c r="Z419" i="10"/>
  <c r="S419" i="10"/>
  <c r="R419" i="10"/>
  <c r="O419" i="10"/>
  <c r="P419" i="10" s="1"/>
  <c r="Z418" i="10"/>
  <c r="S418" i="10"/>
  <c r="R418" i="10"/>
  <c r="P418" i="10"/>
  <c r="O418" i="10"/>
  <c r="AB417" i="10"/>
  <c r="T417" i="10"/>
  <c r="S417" i="10"/>
  <c r="R417" i="10"/>
  <c r="O417" i="10"/>
  <c r="P417" i="10" s="1"/>
  <c r="AA416" i="10"/>
  <c r="S416" i="10"/>
  <c r="R416" i="10"/>
  <c r="O416" i="10"/>
  <c r="P416" i="10" s="1"/>
  <c r="AE415" i="10"/>
  <c r="AD415" i="10"/>
  <c r="AA415" i="10"/>
  <c r="W415" i="10"/>
  <c r="V415" i="10"/>
  <c r="T415" i="10"/>
  <c r="S415" i="10"/>
  <c r="R415" i="10"/>
  <c r="Z415" i="10" s="1"/>
  <c r="P415" i="10"/>
  <c r="O415" i="10"/>
  <c r="AE414" i="10"/>
  <c r="AD414" i="10"/>
  <c r="W414" i="10"/>
  <c r="S414" i="10"/>
  <c r="R414" i="10"/>
  <c r="O414" i="10"/>
  <c r="P414" i="10" s="1"/>
  <c r="AE413" i="10"/>
  <c r="S413" i="10"/>
  <c r="R413" i="10"/>
  <c r="P413" i="10"/>
  <c r="O413" i="10"/>
  <c r="W412" i="10"/>
  <c r="S412" i="10"/>
  <c r="W413" i="10" s="1"/>
  <c r="R412" i="10"/>
  <c r="AD472" i="10" s="1"/>
  <c r="O412" i="10"/>
  <c r="P412" i="10" s="1"/>
  <c r="AE411" i="10"/>
  <c r="S411" i="10"/>
  <c r="R411" i="10"/>
  <c r="O411" i="10"/>
  <c r="P411" i="10" s="1"/>
  <c r="AA410" i="10"/>
  <c r="S410" i="10"/>
  <c r="R410" i="10"/>
  <c r="P410" i="10"/>
  <c r="O410" i="10"/>
  <c r="AA409" i="10"/>
  <c r="Z409" i="10"/>
  <c r="S409" i="10"/>
  <c r="R409" i="10"/>
  <c r="O409" i="10"/>
  <c r="P409" i="10" s="1"/>
  <c r="S408" i="10"/>
  <c r="R408" i="10"/>
  <c r="O408" i="10"/>
  <c r="P408" i="10" s="1"/>
  <c r="AE407" i="10"/>
  <c r="X407" i="10"/>
  <c r="S407" i="10"/>
  <c r="AA407" i="10" s="1"/>
  <c r="R407" i="10"/>
  <c r="O407" i="10"/>
  <c r="P407" i="10" s="1"/>
  <c r="AE406" i="10"/>
  <c r="Z406" i="10"/>
  <c r="W406" i="10"/>
  <c r="S406" i="10"/>
  <c r="AA406" i="10" s="1"/>
  <c r="R406" i="10"/>
  <c r="O406" i="10"/>
  <c r="P406" i="10" s="1"/>
  <c r="AE405" i="10"/>
  <c r="AA405" i="10"/>
  <c r="W405" i="10"/>
  <c r="V405" i="10"/>
  <c r="S405" i="10"/>
  <c r="R405" i="10"/>
  <c r="O405" i="10"/>
  <c r="P405" i="10" s="1"/>
  <c r="Z404" i="10"/>
  <c r="X404" i="10"/>
  <c r="V404" i="10"/>
  <c r="S404" i="10"/>
  <c r="R404" i="10"/>
  <c r="O404" i="10"/>
  <c r="P404" i="10" s="1"/>
  <c r="AB404" i="10" s="1"/>
  <c r="Z403" i="10"/>
  <c r="X403" i="10"/>
  <c r="S403" i="10"/>
  <c r="R403" i="10"/>
  <c r="O403" i="10"/>
  <c r="P403" i="10" s="1"/>
  <c r="T402" i="10"/>
  <c r="S402" i="10"/>
  <c r="R402" i="10"/>
  <c r="P402" i="10"/>
  <c r="O402" i="10"/>
  <c r="AB401" i="10"/>
  <c r="V401" i="10"/>
  <c r="T401" i="10"/>
  <c r="S401" i="10"/>
  <c r="R401" i="10"/>
  <c r="O401" i="10"/>
  <c r="P401" i="10" s="1"/>
  <c r="AE400" i="10"/>
  <c r="AD400" i="10"/>
  <c r="Z400" i="10"/>
  <c r="V400" i="10"/>
  <c r="S400" i="10"/>
  <c r="R400" i="10"/>
  <c r="P400" i="10"/>
  <c r="O400" i="10"/>
  <c r="AD399" i="10"/>
  <c r="S399" i="10"/>
  <c r="R399" i="10"/>
  <c r="Z399" i="10" s="1"/>
  <c r="P399" i="10"/>
  <c r="O399" i="10"/>
  <c r="AE398" i="10"/>
  <c r="Z398" i="10"/>
  <c r="S398" i="10"/>
  <c r="AA398" i="10" s="1"/>
  <c r="R398" i="10"/>
  <c r="P398" i="10"/>
  <c r="O398" i="10"/>
  <c r="AD397" i="10"/>
  <c r="AA397" i="10"/>
  <c r="S397" i="10"/>
  <c r="R397" i="10"/>
  <c r="P397" i="10"/>
  <c r="O397" i="10"/>
  <c r="AA396" i="10"/>
  <c r="S396" i="10"/>
  <c r="R396" i="10"/>
  <c r="P396" i="10"/>
  <c r="O396" i="10"/>
  <c r="W395" i="10"/>
  <c r="S395" i="10"/>
  <c r="R395" i="10"/>
  <c r="O395" i="10"/>
  <c r="P395" i="10" s="1"/>
  <c r="Z394" i="10"/>
  <c r="X394" i="10"/>
  <c r="V394" i="10"/>
  <c r="S394" i="10"/>
  <c r="R394" i="10"/>
  <c r="P394" i="10"/>
  <c r="AB394" i="10" s="1"/>
  <c r="O394" i="10"/>
  <c r="AE393" i="10"/>
  <c r="V393" i="10"/>
  <c r="T393" i="10"/>
  <c r="S393" i="10"/>
  <c r="R393" i="10"/>
  <c r="O393" i="10"/>
  <c r="P393" i="10" s="1"/>
  <c r="AE392" i="10"/>
  <c r="AD392" i="10"/>
  <c r="X392" i="10"/>
  <c r="V392" i="10"/>
  <c r="T392" i="10"/>
  <c r="S392" i="10"/>
  <c r="R392" i="10"/>
  <c r="O392" i="10"/>
  <c r="P392" i="10" s="1"/>
  <c r="AD391" i="10"/>
  <c r="AA391" i="10"/>
  <c r="W391" i="10"/>
  <c r="S391" i="10"/>
  <c r="AE451" i="10" s="1"/>
  <c r="R391" i="10"/>
  <c r="Z391" i="10" s="1"/>
  <c r="O391" i="10"/>
  <c r="P391" i="10" s="1"/>
  <c r="AE390" i="10"/>
  <c r="S390" i="10"/>
  <c r="AA390" i="10" s="1"/>
  <c r="R390" i="10"/>
  <c r="O390" i="10"/>
  <c r="P390" i="10" s="1"/>
  <c r="AE389" i="10"/>
  <c r="AD389" i="10"/>
  <c r="S389" i="10"/>
  <c r="R389" i="10"/>
  <c r="O389" i="10"/>
  <c r="P389" i="10" s="1"/>
  <c r="AA388" i="10"/>
  <c r="Z388" i="10"/>
  <c r="S388" i="10"/>
  <c r="W388" i="10" s="1"/>
  <c r="R388" i="10"/>
  <c r="O388" i="10"/>
  <c r="P388" i="10" s="1"/>
  <c r="AA387" i="10"/>
  <c r="X387" i="10"/>
  <c r="W387" i="10"/>
  <c r="V387" i="10"/>
  <c r="S387" i="10"/>
  <c r="R387" i="10"/>
  <c r="AD447" i="10" s="1"/>
  <c r="P387" i="10"/>
  <c r="AB387" i="10" s="1"/>
  <c r="O387" i="10"/>
  <c r="AE386" i="10"/>
  <c r="AD386" i="10"/>
  <c r="W386" i="10"/>
  <c r="V386" i="10"/>
  <c r="S386" i="10"/>
  <c r="AE446" i="10" s="1"/>
  <c r="R386" i="10"/>
  <c r="P386" i="10"/>
  <c r="O386" i="10"/>
  <c r="W385" i="10"/>
  <c r="S385" i="10"/>
  <c r="R385" i="10"/>
  <c r="O385" i="10"/>
  <c r="P385" i="10" s="1"/>
  <c r="S384" i="10"/>
  <c r="R384" i="10"/>
  <c r="P384" i="10"/>
  <c r="O384" i="10"/>
  <c r="Z383" i="10"/>
  <c r="S383" i="10"/>
  <c r="R383" i="10"/>
  <c r="P383" i="10"/>
  <c r="O383" i="10"/>
  <c r="Z382" i="10"/>
  <c r="T382" i="10"/>
  <c r="S382" i="10"/>
  <c r="R382" i="10"/>
  <c r="P382" i="10"/>
  <c r="O382" i="10"/>
  <c r="AA381" i="10"/>
  <c r="S381" i="10"/>
  <c r="R381" i="10"/>
  <c r="O381" i="10"/>
  <c r="P381" i="10" s="1"/>
  <c r="AE380" i="10"/>
  <c r="W380" i="10"/>
  <c r="V380" i="10"/>
  <c r="T380" i="10"/>
  <c r="S380" i="10"/>
  <c r="R380" i="10"/>
  <c r="Z392" i="10" s="1"/>
  <c r="O380" i="10"/>
  <c r="P380" i="10" s="1"/>
  <c r="AD379" i="10"/>
  <c r="AA379" i="10"/>
  <c r="V379" i="10"/>
  <c r="S379" i="10"/>
  <c r="W379" i="10" s="1"/>
  <c r="R379" i="10"/>
  <c r="AD439" i="10" s="1"/>
  <c r="P379" i="10"/>
  <c r="O379" i="10"/>
  <c r="AD378" i="10"/>
  <c r="AB378" i="10"/>
  <c r="W378" i="10"/>
  <c r="S378" i="10"/>
  <c r="AE438" i="10" s="1"/>
  <c r="R378" i="10"/>
  <c r="P378" i="10"/>
  <c r="O378" i="10"/>
  <c r="Z377" i="10"/>
  <c r="W377" i="10"/>
  <c r="S377" i="10"/>
  <c r="R377" i="10"/>
  <c r="O377" i="10"/>
  <c r="P377" i="10" s="1"/>
  <c r="AE376" i="10"/>
  <c r="AD376" i="10"/>
  <c r="S376" i="10"/>
  <c r="AA376" i="10" s="1"/>
  <c r="R376" i="10"/>
  <c r="O376" i="10"/>
  <c r="P376" i="10" s="1"/>
  <c r="AE375" i="10"/>
  <c r="AB375" i="10"/>
  <c r="AA375" i="10"/>
  <c r="S375" i="10"/>
  <c r="R375" i="10"/>
  <c r="P375" i="10"/>
  <c r="O375" i="10"/>
  <c r="AA374" i="10"/>
  <c r="Z374" i="10"/>
  <c r="T374" i="10"/>
  <c r="S374" i="10"/>
  <c r="R374" i="10"/>
  <c r="P374" i="10"/>
  <c r="O374" i="10"/>
  <c r="AD373" i="10"/>
  <c r="S373" i="10"/>
  <c r="R373" i="10"/>
  <c r="O373" i="10"/>
  <c r="P373" i="10" s="1"/>
  <c r="AE372" i="10"/>
  <c r="AD372" i="10"/>
  <c r="S372" i="10"/>
  <c r="R372" i="10"/>
  <c r="O372" i="10"/>
  <c r="P372" i="10" s="1"/>
  <c r="AA371" i="10"/>
  <c r="W371" i="10"/>
  <c r="V371" i="10"/>
  <c r="S371" i="10"/>
  <c r="R371" i="10"/>
  <c r="AD431" i="10" s="1"/>
  <c r="O371" i="10"/>
  <c r="P371" i="10" s="1"/>
  <c r="AE370" i="10"/>
  <c r="AD370" i="10"/>
  <c r="W370" i="10"/>
  <c r="S370" i="10"/>
  <c r="AE430" i="10" s="1"/>
  <c r="R370" i="10"/>
  <c r="O370" i="10"/>
  <c r="P370" i="10" s="1"/>
  <c r="AE369" i="10"/>
  <c r="W369" i="10"/>
  <c r="S369" i="10"/>
  <c r="AA369" i="10" s="1"/>
  <c r="R369" i="10"/>
  <c r="O369" i="10"/>
  <c r="P369" i="10" s="1"/>
  <c r="AD368" i="10"/>
  <c r="AA368" i="10"/>
  <c r="S368" i="10"/>
  <c r="R368" i="10"/>
  <c r="O368" i="10"/>
  <c r="P368" i="10" s="1"/>
  <c r="AE367" i="10"/>
  <c r="Z367" i="10"/>
  <c r="S367" i="10"/>
  <c r="R367" i="10"/>
  <c r="O367" i="10"/>
  <c r="P367" i="10" s="1"/>
  <c r="S366" i="10"/>
  <c r="R366" i="10"/>
  <c r="P366" i="10"/>
  <c r="O366" i="10"/>
  <c r="AB365" i="10"/>
  <c r="AA365" i="10"/>
  <c r="V365" i="10"/>
  <c r="S365" i="10"/>
  <c r="R365" i="10"/>
  <c r="O365" i="10"/>
  <c r="P365" i="10" s="1"/>
  <c r="AE364" i="10"/>
  <c r="AD364" i="10"/>
  <c r="V364" i="10"/>
  <c r="S364" i="10"/>
  <c r="R364" i="10"/>
  <c r="O364" i="10"/>
  <c r="P364" i="10" s="1"/>
  <c r="AE363" i="10"/>
  <c r="V363" i="10"/>
  <c r="S363" i="10"/>
  <c r="R363" i="10"/>
  <c r="Z363" i="10" s="1"/>
  <c r="P363" i="10"/>
  <c r="O363" i="10"/>
  <c r="AD362" i="10"/>
  <c r="W362" i="10"/>
  <c r="S362" i="10"/>
  <c r="AE422" i="10" s="1"/>
  <c r="R362" i="10"/>
  <c r="AD422" i="10" s="1"/>
  <c r="O362" i="10"/>
  <c r="P362" i="10" s="1"/>
  <c r="W361" i="10"/>
  <c r="S361" i="10"/>
  <c r="R361" i="10"/>
  <c r="O361" i="10"/>
  <c r="P361" i="10" s="1"/>
  <c r="AE360" i="10"/>
  <c r="AD360" i="10"/>
  <c r="X360" i="10"/>
  <c r="W360" i="10"/>
  <c r="V360" i="10"/>
  <c r="S360" i="10"/>
  <c r="AA360" i="10" s="1"/>
  <c r="R360" i="10"/>
  <c r="O360" i="10"/>
  <c r="P360" i="10" s="1"/>
  <c r="AE359" i="10"/>
  <c r="AA359" i="10"/>
  <c r="Z359" i="10"/>
  <c r="S359" i="10"/>
  <c r="W359" i="10" s="1"/>
  <c r="R359" i="10"/>
  <c r="P359" i="10"/>
  <c r="AB359" i="10" s="1"/>
  <c r="O359" i="10"/>
  <c r="AA358" i="10"/>
  <c r="Z358" i="10"/>
  <c r="T358" i="10"/>
  <c r="S358" i="10"/>
  <c r="R358" i="10"/>
  <c r="P358" i="10"/>
  <c r="O358" i="10"/>
  <c r="AB357" i="10"/>
  <c r="V357" i="10"/>
  <c r="S357" i="10"/>
  <c r="R357" i="10"/>
  <c r="O357" i="10"/>
  <c r="P357" i="10" s="1"/>
  <c r="AE356" i="10"/>
  <c r="AD356" i="10"/>
  <c r="S356" i="10"/>
  <c r="W356" i="10" s="1"/>
  <c r="R356" i="10"/>
  <c r="O356" i="10"/>
  <c r="P356" i="10" s="1"/>
  <c r="AB355" i="10"/>
  <c r="W355" i="10"/>
  <c r="V355" i="10"/>
  <c r="S355" i="10"/>
  <c r="R355" i="10"/>
  <c r="Z355" i="10" s="1"/>
  <c r="P355" i="10"/>
  <c r="O355" i="10"/>
  <c r="W354" i="10"/>
  <c r="S354" i="10"/>
  <c r="AA354" i="10" s="1"/>
  <c r="R354" i="10"/>
  <c r="O354" i="10"/>
  <c r="P354" i="10" s="1"/>
  <c r="AE353" i="10"/>
  <c r="S353" i="10"/>
  <c r="AA353" i="10" s="1"/>
  <c r="R353" i="10"/>
  <c r="O353" i="10"/>
  <c r="P353" i="10" s="1"/>
  <c r="Z352" i="10"/>
  <c r="S352" i="10"/>
  <c r="R352" i="10"/>
  <c r="O352" i="10"/>
  <c r="P352" i="10" s="1"/>
  <c r="AE351" i="10"/>
  <c r="Z351" i="10"/>
  <c r="S351" i="10"/>
  <c r="AA351" i="10" s="1"/>
  <c r="R351" i="10"/>
  <c r="O351" i="10"/>
  <c r="P351" i="10" s="1"/>
  <c r="S350" i="10"/>
  <c r="R350" i="10"/>
  <c r="P350" i="10"/>
  <c r="O350" i="10"/>
  <c r="S349" i="10"/>
  <c r="R349" i="10"/>
  <c r="AD349" i="10" s="1"/>
  <c r="O349" i="10"/>
  <c r="P349" i="10" s="1"/>
  <c r="AD348" i="10"/>
  <c r="AA348" i="10"/>
  <c r="Z348" i="10"/>
  <c r="W348" i="10"/>
  <c r="V348" i="10"/>
  <c r="S348" i="10"/>
  <c r="R348" i="10"/>
  <c r="O348" i="10"/>
  <c r="P348" i="10" s="1"/>
  <c r="AE347" i="10"/>
  <c r="AD347" i="10"/>
  <c r="V347" i="10"/>
  <c r="S347" i="10"/>
  <c r="R347" i="10"/>
  <c r="AD407" i="10" s="1"/>
  <c r="P347" i="10"/>
  <c r="O347" i="10"/>
  <c r="W346" i="10"/>
  <c r="S346" i="10"/>
  <c r="R346" i="10"/>
  <c r="O346" i="10"/>
  <c r="P346" i="10" s="1"/>
  <c r="S345" i="10"/>
  <c r="R345" i="10"/>
  <c r="P345" i="10"/>
  <c r="O345" i="10"/>
  <c r="X344" i="10"/>
  <c r="S344" i="10"/>
  <c r="R344" i="10"/>
  <c r="O344" i="10"/>
  <c r="P344" i="10" s="1"/>
  <c r="AA343" i="10"/>
  <c r="Z343" i="10"/>
  <c r="S343" i="10"/>
  <c r="R343" i="10"/>
  <c r="O343" i="10"/>
  <c r="P343" i="10" s="1"/>
  <c r="AA342" i="10"/>
  <c r="Z342" i="10"/>
  <c r="X342" i="10"/>
  <c r="S342" i="10"/>
  <c r="R342" i="10"/>
  <c r="P342" i="10"/>
  <c r="O342" i="10"/>
  <c r="AD341" i="10"/>
  <c r="V341" i="10"/>
  <c r="S341" i="10"/>
  <c r="R341" i="10"/>
  <c r="Z341" i="10" s="1"/>
  <c r="O341" i="10"/>
  <c r="P341" i="10" s="1"/>
  <c r="AB340" i="10"/>
  <c r="Z340" i="10"/>
  <c r="S340" i="10"/>
  <c r="W340" i="10" s="1"/>
  <c r="R340" i="10"/>
  <c r="V340" i="10" s="1"/>
  <c r="O340" i="10"/>
  <c r="P340" i="10" s="1"/>
  <c r="AE339" i="10"/>
  <c r="W339" i="10"/>
  <c r="V339" i="10"/>
  <c r="S339" i="10"/>
  <c r="R339" i="10"/>
  <c r="O339" i="10"/>
  <c r="P339" i="10" s="1"/>
  <c r="AD338" i="10"/>
  <c r="W338" i="10"/>
  <c r="S338" i="10"/>
  <c r="AA338" i="10" s="1"/>
  <c r="R338" i="10"/>
  <c r="O338" i="10"/>
  <c r="P338" i="10" s="1"/>
  <c r="AE337" i="10"/>
  <c r="S337" i="10"/>
  <c r="R337" i="10"/>
  <c r="O337" i="10"/>
  <c r="P337" i="10" s="1"/>
  <c r="S336" i="10"/>
  <c r="R336" i="10"/>
  <c r="P336" i="10"/>
  <c r="O336" i="10"/>
  <c r="Z335" i="10"/>
  <c r="S335" i="10"/>
  <c r="R335" i="10"/>
  <c r="O335" i="10"/>
  <c r="P335" i="10" s="1"/>
  <c r="AB334" i="10"/>
  <c r="AA334" i="10"/>
  <c r="Z334" i="10"/>
  <c r="S334" i="10"/>
  <c r="R334" i="10"/>
  <c r="P334" i="10"/>
  <c r="O334" i="10"/>
  <c r="AB333" i="10"/>
  <c r="S333" i="10"/>
  <c r="R333" i="10"/>
  <c r="O333" i="10"/>
  <c r="P333" i="10" s="1"/>
  <c r="V332" i="10"/>
  <c r="T332" i="10"/>
  <c r="S332" i="10"/>
  <c r="R332" i="10"/>
  <c r="O332" i="10"/>
  <c r="P332" i="10" s="1"/>
  <c r="AA331" i="10"/>
  <c r="V331" i="10"/>
  <c r="S331" i="10"/>
  <c r="R331" i="10"/>
  <c r="Z331" i="10" s="1"/>
  <c r="P331" i="10"/>
  <c r="O331" i="10"/>
  <c r="AD330" i="10"/>
  <c r="X330" i="10"/>
  <c r="W330" i="10"/>
  <c r="T330" i="10"/>
  <c r="S330" i="10"/>
  <c r="AA330" i="10" s="1"/>
  <c r="R330" i="10"/>
  <c r="Z330" i="10" s="1"/>
  <c r="O330" i="10"/>
  <c r="P330" i="10" s="1"/>
  <c r="Z329" i="10"/>
  <c r="X329" i="10"/>
  <c r="S329" i="10"/>
  <c r="R329" i="10"/>
  <c r="O329" i="10"/>
  <c r="P329" i="10" s="1"/>
  <c r="AD328" i="10"/>
  <c r="V328" i="10"/>
  <c r="S328" i="10"/>
  <c r="W329" i="10" s="1"/>
  <c r="R328" i="10"/>
  <c r="Z328" i="10" s="1"/>
  <c r="O328" i="10"/>
  <c r="P328" i="10" s="1"/>
  <c r="T327" i="10"/>
  <c r="S327" i="10"/>
  <c r="R327" i="10"/>
  <c r="O327" i="10"/>
  <c r="P327" i="10" s="1"/>
  <c r="AA326" i="10"/>
  <c r="Z326" i="10"/>
  <c r="X326" i="10"/>
  <c r="T326" i="10"/>
  <c r="S326" i="10"/>
  <c r="R326" i="10"/>
  <c r="P326" i="10"/>
  <c r="O326" i="10"/>
  <c r="AD325" i="10"/>
  <c r="T325" i="10"/>
  <c r="S325" i="10"/>
  <c r="R325" i="10"/>
  <c r="O325" i="10"/>
  <c r="P325" i="10" s="1"/>
  <c r="Z324" i="10"/>
  <c r="S324" i="10"/>
  <c r="R324" i="10"/>
  <c r="V324" i="10" s="1"/>
  <c r="O324" i="10"/>
  <c r="P324" i="10" s="1"/>
  <c r="W323" i="10"/>
  <c r="V323" i="10"/>
  <c r="S323" i="10"/>
  <c r="R323" i="10"/>
  <c r="O323" i="10"/>
  <c r="P323" i="10" s="1"/>
  <c r="AD322" i="10"/>
  <c r="W322" i="10"/>
  <c r="V322" i="10"/>
  <c r="S322" i="10"/>
  <c r="AA322" i="10" s="1"/>
  <c r="R322" i="10"/>
  <c r="P322" i="10"/>
  <c r="O322" i="10"/>
  <c r="Z321" i="10"/>
  <c r="W321" i="10"/>
  <c r="S321" i="10"/>
  <c r="R321" i="10"/>
  <c r="O321" i="10"/>
  <c r="P321" i="10" s="1"/>
  <c r="AE320" i="10"/>
  <c r="AD320" i="10"/>
  <c r="S320" i="10"/>
  <c r="R320" i="10"/>
  <c r="V320" i="10" s="1"/>
  <c r="P320" i="10"/>
  <c r="O320" i="10"/>
  <c r="Z319" i="10"/>
  <c r="S319" i="10"/>
  <c r="AA319" i="10" s="1"/>
  <c r="R319" i="10"/>
  <c r="P319" i="10"/>
  <c r="O319" i="10"/>
  <c r="AA318" i="10"/>
  <c r="Z318" i="10"/>
  <c r="S318" i="10"/>
  <c r="R318" i="10"/>
  <c r="P318" i="10"/>
  <c r="O318" i="10"/>
  <c r="AA317" i="10"/>
  <c r="S317" i="10"/>
  <c r="R317" i="10"/>
  <c r="O317" i="10"/>
  <c r="P317" i="10" s="1"/>
  <c r="AE316" i="10"/>
  <c r="AD316" i="10"/>
  <c r="W316" i="10"/>
  <c r="V316" i="10"/>
  <c r="T316" i="10"/>
  <c r="S316" i="10"/>
  <c r="R316" i="10"/>
  <c r="O316" i="10"/>
  <c r="P316" i="10" s="1"/>
  <c r="AD315" i="10"/>
  <c r="AA315" i="10"/>
  <c r="V315" i="10"/>
  <c r="S315" i="10"/>
  <c r="W315" i="10" s="1"/>
  <c r="R315" i="10"/>
  <c r="P315" i="10"/>
  <c r="O315" i="10"/>
  <c r="W314" i="10"/>
  <c r="T314" i="10"/>
  <c r="S314" i="10"/>
  <c r="AA314" i="10" s="1"/>
  <c r="R314" i="10"/>
  <c r="Z314" i="10" s="1"/>
  <c r="P314" i="10"/>
  <c r="O314" i="10"/>
  <c r="X313" i="10"/>
  <c r="W313" i="10"/>
  <c r="V313" i="10"/>
  <c r="S313" i="10"/>
  <c r="R313" i="10"/>
  <c r="O313" i="10"/>
  <c r="P313" i="10" s="1"/>
  <c r="AE312" i="10"/>
  <c r="AD312" i="10"/>
  <c r="S312" i="10"/>
  <c r="AA312" i="10" s="1"/>
  <c r="R312" i="10"/>
  <c r="O312" i="10"/>
  <c r="P312" i="10" s="1"/>
  <c r="S311" i="10"/>
  <c r="R311" i="10"/>
  <c r="O311" i="10"/>
  <c r="P311" i="10" s="1"/>
  <c r="AA310" i="10"/>
  <c r="Z310" i="10"/>
  <c r="T310" i="10"/>
  <c r="S310" i="10"/>
  <c r="R310" i="10"/>
  <c r="P310" i="10"/>
  <c r="O310" i="10"/>
  <c r="AD309" i="10"/>
  <c r="V309" i="10"/>
  <c r="S309" i="10"/>
  <c r="R309" i="10"/>
  <c r="Z309" i="10" s="1"/>
  <c r="O309" i="10"/>
  <c r="P309" i="10" s="1"/>
  <c r="AE308" i="10"/>
  <c r="AD308" i="10"/>
  <c r="T308" i="10"/>
  <c r="S308" i="10"/>
  <c r="R308" i="10"/>
  <c r="O308" i="10"/>
  <c r="P308" i="10" s="1"/>
  <c r="X307" i="10"/>
  <c r="W307" i="10"/>
  <c r="V307" i="10"/>
  <c r="S307" i="10"/>
  <c r="R307" i="10"/>
  <c r="O307" i="10"/>
  <c r="P307" i="10" s="1"/>
  <c r="AD306" i="10"/>
  <c r="W306" i="10"/>
  <c r="S306" i="10"/>
  <c r="R306" i="10"/>
  <c r="O306" i="10"/>
  <c r="P306" i="10" s="1"/>
  <c r="AE305" i="10"/>
  <c r="W305" i="10"/>
  <c r="V305" i="10"/>
  <c r="S305" i="10"/>
  <c r="R305" i="10"/>
  <c r="O305" i="10"/>
  <c r="P305" i="10" s="1"/>
  <c r="AE304" i="10"/>
  <c r="AD304" i="10"/>
  <c r="AA304" i="10"/>
  <c r="S304" i="10"/>
  <c r="R304" i="10"/>
  <c r="P304" i="10"/>
  <c r="O304" i="10"/>
  <c r="AA303" i="10"/>
  <c r="W303" i="10"/>
  <c r="S303" i="10"/>
  <c r="R303" i="10"/>
  <c r="P303" i="10"/>
  <c r="O303" i="10"/>
  <c r="AA302" i="10"/>
  <c r="Z302" i="10"/>
  <c r="S302" i="10"/>
  <c r="R302" i="10"/>
  <c r="P302" i="10"/>
  <c r="O302" i="10"/>
  <c r="AE301" i="10"/>
  <c r="AA301" i="10"/>
  <c r="W301" i="10"/>
  <c r="S301" i="10"/>
  <c r="AE361" i="10" s="1"/>
  <c r="R301" i="10"/>
  <c r="O301" i="10"/>
  <c r="P301" i="10" s="1"/>
  <c r="AE300" i="10"/>
  <c r="AD300" i="10"/>
  <c r="Z300" i="10"/>
  <c r="X300" i="10"/>
  <c r="W300" i="10"/>
  <c r="V300" i="10"/>
  <c r="S300" i="10"/>
  <c r="R300" i="10"/>
  <c r="O300" i="10"/>
  <c r="P300" i="10" s="1"/>
  <c r="AE299" i="10"/>
  <c r="AD299" i="10"/>
  <c r="W299" i="10"/>
  <c r="V299" i="10"/>
  <c r="S299" i="10"/>
  <c r="AA299" i="10" s="1"/>
  <c r="R299" i="10"/>
  <c r="O299" i="10"/>
  <c r="P299" i="10" s="1"/>
  <c r="AD298" i="10"/>
  <c r="S298" i="10"/>
  <c r="AA298" i="10" s="1"/>
  <c r="R298" i="10"/>
  <c r="Z298" i="10" s="1"/>
  <c r="P298" i="10"/>
  <c r="O298" i="10"/>
  <c r="AA297" i="10"/>
  <c r="X297" i="10"/>
  <c r="S297" i="10"/>
  <c r="W298" i="10" s="1"/>
  <c r="R297" i="10"/>
  <c r="O297" i="10"/>
  <c r="P297" i="10" s="1"/>
  <c r="AE296" i="10"/>
  <c r="S296" i="10"/>
  <c r="R296" i="10"/>
  <c r="O296" i="10"/>
  <c r="P296" i="10" s="1"/>
  <c r="Z295" i="10"/>
  <c r="T295" i="10"/>
  <c r="S295" i="10"/>
  <c r="R295" i="10"/>
  <c r="P295" i="10"/>
  <c r="O295" i="10"/>
  <c r="S294" i="10"/>
  <c r="R294" i="10"/>
  <c r="P294" i="10"/>
  <c r="O294" i="10"/>
  <c r="Z293" i="10"/>
  <c r="S293" i="10"/>
  <c r="R293" i="10"/>
  <c r="O293" i="10"/>
  <c r="P293" i="10" s="1"/>
  <c r="AE292" i="10"/>
  <c r="AA292" i="10"/>
  <c r="X292" i="10"/>
  <c r="S292" i="10"/>
  <c r="W292" i="10" s="1"/>
  <c r="R292" i="10"/>
  <c r="O292" i="10"/>
  <c r="P292" i="10" s="1"/>
  <c r="AD291" i="10"/>
  <c r="AA291" i="10"/>
  <c r="W291" i="10"/>
  <c r="V291" i="10"/>
  <c r="S291" i="10"/>
  <c r="R291" i="10"/>
  <c r="Z291" i="10" s="1"/>
  <c r="O291" i="10"/>
  <c r="P291" i="10" s="1"/>
  <c r="AE290" i="10"/>
  <c r="AD290" i="10"/>
  <c r="Z290" i="10"/>
  <c r="X290" i="10"/>
  <c r="W290" i="10"/>
  <c r="S290" i="10"/>
  <c r="R290" i="10"/>
  <c r="V290" i="10" s="1"/>
  <c r="O290" i="10"/>
  <c r="P290" i="10" s="1"/>
  <c r="Z289" i="10"/>
  <c r="V289" i="10"/>
  <c r="S289" i="10"/>
  <c r="R289" i="10"/>
  <c r="O289" i="10"/>
  <c r="P289" i="10" s="1"/>
  <c r="AD288" i="10"/>
  <c r="V288" i="10"/>
  <c r="T288" i="10"/>
  <c r="S288" i="10"/>
  <c r="R288" i="10"/>
  <c r="P288" i="10"/>
  <c r="X288" i="10" s="1"/>
  <c r="O288" i="10"/>
  <c r="AA287" i="10"/>
  <c r="W287" i="10"/>
  <c r="S287" i="10"/>
  <c r="AE287" i="10" s="1"/>
  <c r="R287" i="10"/>
  <c r="O287" i="10"/>
  <c r="P287" i="10" s="1"/>
  <c r="T287" i="10" s="1"/>
  <c r="AA286" i="10"/>
  <c r="T286" i="10"/>
  <c r="S286" i="10"/>
  <c r="R286" i="10"/>
  <c r="P286" i="10"/>
  <c r="O286" i="10"/>
  <c r="S285" i="10"/>
  <c r="R285" i="10"/>
  <c r="O285" i="10"/>
  <c r="P285" i="10" s="1"/>
  <c r="T284" i="10"/>
  <c r="S284" i="10"/>
  <c r="R284" i="10"/>
  <c r="O284" i="10"/>
  <c r="P284" i="10" s="1"/>
  <c r="W283" i="10"/>
  <c r="S283" i="10"/>
  <c r="R283" i="10"/>
  <c r="O283" i="10"/>
  <c r="P283" i="10" s="1"/>
  <c r="W282" i="10"/>
  <c r="S282" i="10"/>
  <c r="AA282" i="10" s="1"/>
  <c r="R282" i="10"/>
  <c r="O282" i="10"/>
  <c r="P282" i="10" s="1"/>
  <c r="AA281" i="10"/>
  <c r="Z281" i="10"/>
  <c r="W281" i="10"/>
  <c r="S281" i="10"/>
  <c r="R281" i="10"/>
  <c r="P281" i="10"/>
  <c r="O281" i="10"/>
  <c r="AE280" i="10"/>
  <c r="AA280" i="10"/>
  <c r="W280" i="10"/>
  <c r="S280" i="10"/>
  <c r="R280" i="10"/>
  <c r="P280" i="10"/>
  <c r="O280" i="10"/>
  <c r="S279" i="10"/>
  <c r="R279" i="10"/>
  <c r="P279" i="10"/>
  <c r="O279" i="10"/>
  <c r="V278" i="10"/>
  <c r="T278" i="10"/>
  <c r="S278" i="10"/>
  <c r="R278" i="10"/>
  <c r="P278" i="10"/>
  <c r="AB278" i="10" s="1"/>
  <c r="O278" i="10"/>
  <c r="AD277" i="10"/>
  <c r="T277" i="10"/>
  <c r="S277" i="10"/>
  <c r="R277" i="10"/>
  <c r="O277" i="10"/>
  <c r="P277" i="10" s="1"/>
  <c r="AA276" i="10"/>
  <c r="W276" i="10"/>
  <c r="V276" i="10"/>
  <c r="S276" i="10"/>
  <c r="R276" i="10"/>
  <c r="O276" i="10"/>
  <c r="P276" i="10" s="1"/>
  <c r="AE275" i="10"/>
  <c r="S275" i="10"/>
  <c r="W275" i="10" s="1"/>
  <c r="R275" i="10"/>
  <c r="Z275" i="10" s="1"/>
  <c r="O275" i="10"/>
  <c r="P275" i="10" s="1"/>
  <c r="AE274" i="10"/>
  <c r="Z274" i="10"/>
  <c r="V274" i="10"/>
  <c r="T274" i="10"/>
  <c r="S274" i="10"/>
  <c r="R274" i="10"/>
  <c r="V275" i="10" s="1"/>
  <c r="O274" i="10"/>
  <c r="P274" i="10" s="1"/>
  <c r="AD273" i="10"/>
  <c r="V273" i="10"/>
  <c r="S273" i="10"/>
  <c r="R273" i="10"/>
  <c r="P273" i="10"/>
  <c r="O273" i="10"/>
  <c r="AA272" i="10"/>
  <c r="Z272" i="10"/>
  <c r="S272" i="10"/>
  <c r="R272" i="10"/>
  <c r="O272" i="10"/>
  <c r="P272" i="10" s="1"/>
  <c r="S271" i="10"/>
  <c r="R271" i="10"/>
  <c r="O271" i="10"/>
  <c r="P271" i="10" s="1"/>
  <c r="V270" i="10"/>
  <c r="S270" i="10"/>
  <c r="R270" i="10"/>
  <c r="AD270" i="10" s="1"/>
  <c r="P270" i="10"/>
  <c r="O270" i="10"/>
  <c r="AE269" i="10"/>
  <c r="AD269" i="10"/>
  <c r="Z269" i="10"/>
  <c r="W269" i="10"/>
  <c r="V269" i="10"/>
  <c r="S269" i="10"/>
  <c r="AE329" i="10" s="1"/>
  <c r="R269" i="10"/>
  <c r="O269" i="10"/>
  <c r="P269" i="10" s="1"/>
  <c r="AE268" i="10"/>
  <c r="AD268" i="10"/>
  <c r="AA268" i="10"/>
  <c r="Z268" i="10"/>
  <c r="S268" i="10"/>
  <c r="R268" i="10"/>
  <c r="O268" i="10"/>
  <c r="P268" i="10" s="1"/>
  <c r="V267" i="10"/>
  <c r="S267" i="10"/>
  <c r="R267" i="10"/>
  <c r="Z267" i="10" s="1"/>
  <c r="O267" i="10"/>
  <c r="P267" i="10" s="1"/>
  <c r="AA266" i="10"/>
  <c r="X266" i="10"/>
  <c r="S266" i="10"/>
  <c r="R266" i="10"/>
  <c r="O266" i="10"/>
  <c r="P266" i="10" s="1"/>
  <c r="X278" i="10" s="1"/>
  <c r="V265" i="10"/>
  <c r="S265" i="10"/>
  <c r="R265" i="10"/>
  <c r="Z277" i="10" s="1"/>
  <c r="O265" i="10"/>
  <c r="P265" i="10" s="1"/>
  <c r="AE264" i="10"/>
  <c r="AA264" i="10"/>
  <c r="Z264" i="10"/>
  <c r="S264" i="10"/>
  <c r="R264" i="10"/>
  <c r="P264" i="10"/>
  <c r="O264" i="10"/>
  <c r="S263" i="10"/>
  <c r="W264" i="10" s="1"/>
  <c r="R263" i="10"/>
  <c r="O263" i="10"/>
  <c r="P263" i="10" s="1"/>
  <c r="Z262" i="10"/>
  <c r="X262" i="10"/>
  <c r="S262" i="10"/>
  <c r="R262" i="10"/>
  <c r="O262" i="10"/>
  <c r="P262" i="10" s="1"/>
  <c r="AA261" i="10"/>
  <c r="Z261" i="10"/>
  <c r="W261" i="10"/>
  <c r="S261" i="10"/>
  <c r="R261" i="10"/>
  <c r="O261" i="10"/>
  <c r="P261" i="10" s="1"/>
  <c r="AE260" i="10"/>
  <c r="AA260" i="10"/>
  <c r="Z260" i="10"/>
  <c r="W260" i="10"/>
  <c r="V260" i="10"/>
  <c r="S260" i="10"/>
  <c r="R260" i="10"/>
  <c r="O260" i="10"/>
  <c r="P260" i="10" s="1"/>
  <c r="S259" i="10"/>
  <c r="R259" i="10"/>
  <c r="O259" i="10"/>
  <c r="P259" i="10" s="1"/>
  <c r="AE258" i="10"/>
  <c r="S258" i="10"/>
  <c r="R258" i="10"/>
  <c r="P258" i="10"/>
  <c r="O258" i="10"/>
  <c r="Z257" i="10"/>
  <c r="V257" i="10"/>
  <c r="S257" i="10"/>
  <c r="AA269" i="10" s="1"/>
  <c r="R257" i="10"/>
  <c r="O257" i="10"/>
  <c r="P257" i="10" s="1"/>
  <c r="AE256" i="10"/>
  <c r="AA256" i="10"/>
  <c r="Z256" i="10"/>
  <c r="S256" i="10"/>
  <c r="R256" i="10"/>
  <c r="O256" i="10"/>
  <c r="P256" i="10" s="1"/>
  <c r="AB255" i="10"/>
  <c r="W255" i="10"/>
  <c r="S255" i="10"/>
  <c r="W256" i="10" s="1"/>
  <c r="R255" i="10"/>
  <c r="O255" i="10"/>
  <c r="P255" i="10" s="1"/>
  <c r="AB254" i="10"/>
  <c r="AA254" i="10"/>
  <c r="S254" i="10"/>
  <c r="R254" i="10"/>
  <c r="O254" i="10"/>
  <c r="P254" i="10" s="1"/>
  <c r="AB253" i="10"/>
  <c r="X253" i="10"/>
  <c r="S253" i="10"/>
  <c r="R253" i="10"/>
  <c r="P253" i="10"/>
  <c r="O253" i="10"/>
  <c r="AE252" i="10"/>
  <c r="AA252" i="10"/>
  <c r="Z252" i="10"/>
  <c r="V252" i="10"/>
  <c r="S252" i="10"/>
  <c r="R252" i="10"/>
  <c r="P252" i="10"/>
  <c r="O252" i="10"/>
  <c r="V251" i="10"/>
  <c r="T251" i="10"/>
  <c r="S251" i="10"/>
  <c r="R251" i="10"/>
  <c r="Z251" i="10" s="1"/>
  <c r="O251" i="10"/>
  <c r="P251" i="10" s="1"/>
  <c r="AB250" i="10"/>
  <c r="Z250" i="10"/>
  <c r="S250" i="10"/>
  <c r="R250" i="10"/>
  <c r="O250" i="10"/>
  <c r="P250" i="10" s="1"/>
  <c r="Z249" i="10"/>
  <c r="V249" i="10"/>
  <c r="S249" i="10"/>
  <c r="R249" i="10"/>
  <c r="O249" i="10"/>
  <c r="P249" i="10" s="1"/>
  <c r="AE248" i="10"/>
  <c r="AA248" i="10"/>
  <c r="Z248" i="10"/>
  <c r="S248" i="10"/>
  <c r="R248" i="10"/>
  <c r="O248" i="10"/>
  <c r="P248" i="10" s="1"/>
  <c r="T247" i="10"/>
  <c r="S247" i="10"/>
  <c r="R247" i="10"/>
  <c r="O247" i="10"/>
  <c r="P247" i="10" s="1"/>
  <c r="X247" i="10" s="1"/>
  <c r="Z246" i="10"/>
  <c r="T246" i="10"/>
  <c r="S246" i="10"/>
  <c r="R246" i="10"/>
  <c r="O246" i="10"/>
  <c r="P246" i="10" s="1"/>
  <c r="AB246" i="10" s="1"/>
  <c r="AA245" i="10"/>
  <c r="Z245" i="10"/>
  <c r="X245" i="10"/>
  <c r="W245" i="10"/>
  <c r="S245" i="10"/>
  <c r="R245" i="10"/>
  <c r="V245" i="10" s="1"/>
  <c r="O245" i="10"/>
  <c r="P245" i="10" s="1"/>
  <c r="AE244" i="10"/>
  <c r="AA244" i="10"/>
  <c r="Z244" i="10"/>
  <c r="W244" i="10"/>
  <c r="S244" i="10"/>
  <c r="R244" i="10"/>
  <c r="O244" i="10"/>
  <c r="P244" i="10" s="1"/>
  <c r="AE243" i="10"/>
  <c r="V243" i="10"/>
  <c r="S243" i="10"/>
  <c r="AA243" i="10" s="1"/>
  <c r="R243" i="10"/>
  <c r="O243" i="10"/>
  <c r="P243" i="10" s="1"/>
  <c r="AE242" i="10"/>
  <c r="S242" i="10"/>
  <c r="R242" i="10"/>
  <c r="P242" i="10"/>
  <c r="O242" i="10"/>
  <c r="Z241" i="10"/>
  <c r="X241" i="10"/>
  <c r="V241" i="10"/>
  <c r="S241" i="10"/>
  <c r="R241" i="10"/>
  <c r="O241" i="10"/>
  <c r="P241" i="10" s="1"/>
  <c r="AA240" i="10"/>
  <c r="Z240" i="10"/>
  <c r="X240" i="10"/>
  <c r="T240" i="10"/>
  <c r="S240" i="10"/>
  <c r="R240" i="10"/>
  <c r="O240" i="10"/>
  <c r="P240" i="10" s="1"/>
  <c r="AA239" i="10"/>
  <c r="V239" i="10"/>
  <c r="S239" i="10"/>
  <c r="W240" i="10" s="1"/>
  <c r="R239" i="10"/>
  <c r="O239" i="10"/>
  <c r="P239" i="10" s="1"/>
  <c r="S238" i="10"/>
  <c r="R238" i="10"/>
  <c r="O238" i="10"/>
  <c r="P238" i="10" s="1"/>
  <c r="S237" i="10"/>
  <c r="R237" i="10"/>
  <c r="P237" i="10"/>
  <c r="O237" i="10"/>
  <c r="AE236" i="10"/>
  <c r="AA236" i="10"/>
  <c r="Z236" i="10"/>
  <c r="W236" i="10"/>
  <c r="V236" i="10"/>
  <c r="S236" i="10"/>
  <c r="R236" i="10"/>
  <c r="O236" i="10"/>
  <c r="P236" i="10" s="1"/>
  <c r="AE235" i="10"/>
  <c r="W235" i="10"/>
  <c r="V235" i="10"/>
  <c r="T235" i="10"/>
  <c r="S235" i="10"/>
  <c r="R235" i="10"/>
  <c r="O235" i="10"/>
  <c r="P235" i="10" s="1"/>
  <c r="AA234" i="10"/>
  <c r="Z234" i="10"/>
  <c r="S234" i="10"/>
  <c r="R234" i="10"/>
  <c r="P234" i="10"/>
  <c r="O234" i="10"/>
  <c r="AB233" i="10"/>
  <c r="AA233" i="10"/>
  <c r="Z233" i="10"/>
  <c r="S233" i="10"/>
  <c r="R233" i="10"/>
  <c r="V233" i="10" s="1"/>
  <c r="P233" i="10"/>
  <c r="O233" i="10"/>
  <c r="AE232" i="10"/>
  <c r="AA232" i="10"/>
  <c r="Z232" i="10"/>
  <c r="V232" i="10"/>
  <c r="S232" i="10"/>
  <c r="R232" i="10"/>
  <c r="P232" i="10"/>
  <c r="O232" i="10"/>
  <c r="AB231" i="10"/>
  <c r="T231" i="10"/>
  <c r="S231" i="10"/>
  <c r="R231" i="10"/>
  <c r="O231" i="10"/>
  <c r="P231" i="10" s="1"/>
  <c r="X231" i="10" s="1"/>
  <c r="X230" i="10"/>
  <c r="S230" i="10"/>
  <c r="W230" i="10" s="1"/>
  <c r="R230" i="10"/>
  <c r="O230" i="10"/>
  <c r="P230" i="10" s="1"/>
  <c r="AA229" i="10"/>
  <c r="Z229" i="10"/>
  <c r="X229" i="10"/>
  <c r="W229" i="10"/>
  <c r="S229" i="10"/>
  <c r="R229" i="10"/>
  <c r="O229" i="10"/>
  <c r="P229" i="10" s="1"/>
  <c r="AE228" i="10"/>
  <c r="Z228" i="10"/>
  <c r="V228" i="10"/>
  <c r="S228" i="10"/>
  <c r="R228" i="10"/>
  <c r="P228" i="10"/>
  <c r="O228" i="10"/>
  <c r="AB227" i="10"/>
  <c r="S227" i="10"/>
  <c r="W228" i="10" s="1"/>
  <c r="R227" i="10"/>
  <c r="O227" i="10"/>
  <c r="P227" i="10" s="1"/>
  <c r="S226" i="10"/>
  <c r="R226" i="10"/>
  <c r="P226" i="10"/>
  <c r="O226" i="10"/>
  <c r="S225" i="10"/>
  <c r="R225" i="10"/>
  <c r="O225" i="10"/>
  <c r="P225" i="10" s="1"/>
  <c r="AE224" i="10"/>
  <c r="Z224" i="10"/>
  <c r="W224" i="10"/>
  <c r="V224" i="10"/>
  <c r="S224" i="10"/>
  <c r="R224" i="10"/>
  <c r="O224" i="10"/>
  <c r="P224" i="10" s="1"/>
  <c r="AE223" i="10"/>
  <c r="W223" i="10"/>
  <c r="V223" i="10"/>
  <c r="S223" i="10"/>
  <c r="AA223" i="10" s="1"/>
  <c r="R223" i="10"/>
  <c r="O223" i="10"/>
  <c r="P223" i="10" s="1"/>
  <c r="AA222" i="10"/>
  <c r="Z222" i="10"/>
  <c r="S222" i="10"/>
  <c r="R222" i="10"/>
  <c r="P222" i="10"/>
  <c r="O222" i="10"/>
  <c r="AB221" i="10"/>
  <c r="AA221" i="10"/>
  <c r="Z221" i="10"/>
  <c r="S221" i="10"/>
  <c r="R221" i="10"/>
  <c r="V221" i="10" s="1"/>
  <c r="P221" i="10"/>
  <c r="O221" i="10"/>
  <c r="AE220" i="10"/>
  <c r="AA220" i="10"/>
  <c r="Z220" i="10"/>
  <c r="S220" i="10"/>
  <c r="R220" i="10"/>
  <c r="P220" i="10"/>
  <c r="O220" i="10"/>
  <c r="AB219" i="10"/>
  <c r="T219" i="10"/>
  <c r="S219" i="10"/>
  <c r="R219" i="10"/>
  <c r="O219" i="10"/>
  <c r="P219" i="10" s="1"/>
  <c r="S218" i="10"/>
  <c r="R218" i="10"/>
  <c r="Z230" i="10" s="1"/>
  <c r="P218" i="10"/>
  <c r="O218" i="10"/>
  <c r="AE217" i="10"/>
  <c r="AA217" i="10"/>
  <c r="W217" i="10"/>
  <c r="S217" i="10"/>
  <c r="R217" i="10"/>
  <c r="O217" i="10"/>
  <c r="P217" i="10" s="1"/>
  <c r="S216" i="10"/>
  <c r="R216" i="10"/>
  <c r="O216" i="10"/>
  <c r="P216" i="10" s="1"/>
  <c r="AA215" i="10"/>
  <c r="S215" i="10"/>
  <c r="AE215" i="10" s="1"/>
  <c r="R215" i="10"/>
  <c r="O215" i="10"/>
  <c r="P215" i="10" s="1"/>
  <c r="AE214" i="10"/>
  <c r="V214" i="10"/>
  <c r="S214" i="10"/>
  <c r="R214" i="10"/>
  <c r="O214" i="10"/>
  <c r="P214" i="10" s="1"/>
  <c r="AE213" i="10"/>
  <c r="V213" i="10"/>
  <c r="S213" i="10"/>
  <c r="AA213" i="10" s="1"/>
  <c r="R213" i="10"/>
  <c r="O213" i="10"/>
  <c r="P213" i="10" s="1"/>
  <c r="AE212" i="10"/>
  <c r="AA212" i="10"/>
  <c r="T212" i="10"/>
  <c r="S212" i="10"/>
  <c r="R212" i="10"/>
  <c r="O212" i="10"/>
  <c r="P212" i="10" s="1"/>
  <c r="AB211" i="10"/>
  <c r="AA211" i="10"/>
  <c r="S211" i="10"/>
  <c r="R211" i="10"/>
  <c r="V211" i="10" s="1"/>
  <c r="O211" i="10"/>
  <c r="P211" i="10" s="1"/>
  <c r="V210" i="10"/>
  <c r="T210" i="10"/>
  <c r="S210" i="10"/>
  <c r="R210" i="10"/>
  <c r="P210" i="10"/>
  <c r="O210" i="10"/>
  <c r="AA209" i="10"/>
  <c r="S209" i="10"/>
  <c r="W209" i="10" s="1"/>
  <c r="R209" i="10"/>
  <c r="V209" i="10" s="1"/>
  <c r="P209" i="10"/>
  <c r="X209" i="10" s="1"/>
  <c r="O209" i="10"/>
  <c r="AA208" i="10"/>
  <c r="S208" i="10"/>
  <c r="R208" i="10"/>
  <c r="O208" i="10"/>
  <c r="P208" i="10" s="1"/>
  <c r="S207" i="10"/>
  <c r="P207" i="10"/>
  <c r="O207" i="10"/>
  <c r="S206" i="10"/>
  <c r="AE206" i="10" s="1"/>
  <c r="O206" i="10"/>
  <c r="P206" i="10" s="1"/>
  <c r="AA205" i="10"/>
  <c r="S205" i="10"/>
  <c r="O205" i="10"/>
  <c r="P205" i="10" s="1"/>
  <c r="AE204" i="10"/>
  <c r="X204" i="10"/>
  <c r="W204" i="10"/>
  <c r="S204" i="10"/>
  <c r="AA204" i="10" s="1"/>
  <c r="O204" i="10"/>
  <c r="P204" i="10" s="1"/>
  <c r="AE203" i="10"/>
  <c r="AA203" i="10"/>
  <c r="S203" i="10"/>
  <c r="O203" i="10"/>
  <c r="P203" i="10" s="1"/>
  <c r="AE202" i="10"/>
  <c r="AB202" i="10"/>
  <c r="X202" i="10"/>
  <c r="T202" i="10"/>
  <c r="S202" i="10"/>
  <c r="O202" i="10"/>
  <c r="P202" i="10" s="1"/>
  <c r="AE201" i="10"/>
  <c r="X201" i="10"/>
  <c r="S201" i="10"/>
  <c r="P201" i="10"/>
  <c r="O201" i="10"/>
  <c r="AA200" i="10"/>
  <c r="W200" i="10"/>
  <c r="S200" i="10"/>
  <c r="O200" i="10"/>
  <c r="P200" i="10" s="1"/>
  <c r="AE199" i="10"/>
  <c r="AA199" i="10"/>
  <c r="S199" i="10"/>
  <c r="W199" i="10" s="1"/>
  <c r="P199" i="10"/>
  <c r="O199" i="10"/>
  <c r="S198" i="10"/>
  <c r="P198" i="10"/>
  <c r="O198" i="10"/>
  <c r="X197" i="10"/>
  <c r="W197" i="10"/>
  <c r="S197" i="10"/>
  <c r="O197" i="10"/>
  <c r="P197" i="10" s="1"/>
  <c r="AE196" i="10"/>
  <c r="AA196" i="10"/>
  <c r="S196" i="10"/>
  <c r="W196" i="10" s="1"/>
  <c r="O196" i="10"/>
  <c r="P196" i="10" s="1"/>
  <c r="AA195" i="10"/>
  <c r="S195" i="10"/>
  <c r="O195" i="10"/>
  <c r="P195" i="10" s="1"/>
  <c r="S194" i="10"/>
  <c r="O194" i="10"/>
  <c r="P194" i="10" s="1"/>
  <c r="AB193" i="10"/>
  <c r="S193" i="10"/>
  <c r="O193" i="10"/>
  <c r="P193" i="10" s="1"/>
  <c r="AE192" i="10"/>
  <c r="AA192" i="10"/>
  <c r="S192" i="10"/>
  <c r="P192" i="10"/>
  <c r="O192" i="10"/>
  <c r="AE191" i="10"/>
  <c r="S191" i="10"/>
  <c r="P191" i="10"/>
  <c r="O191" i="10"/>
  <c r="AA190" i="10"/>
  <c r="S190" i="10"/>
  <c r="O190" i="10"/>
  <c r="P190" i="10" s="1"/>
  <c r="AE189" i="10"/>
  <c r="S189" i="10"/>
  <c r="O189" i="10"/>
  <c r="P189" i="10" s="1"/>
  <c r="AE188" i="10"/>
  <c r="S188" i="10"/>
  <c r="W188" i="10" s="1"/>
  <c r="O188" i="10"/>
  <c r="P188" i="10" s="1"/>
  <c r="AA187" i="10"/>
  <c r="S187" i="10"/>
  <c r="O187" i="10"/>
  <c r="P187" i="10" s="1"/>
  <c r="AB186" i="10"/>
  <c r="S186" i="10"/>
  <c r="O186" i="10"/>
  <c r="P186" i="10" s="1"/>
  <c r="AE185" i="10"/>
  <c r="S185" i="10"/>
  <c r="W185" i="10" s="1"/>
  <c r="P185" i="10"/>
  <c r="O185" i="10"/>
  <c r="AE184" i="10"/>
  <c r="S184" i="10"/>
  <c r="O184" i="10"/>
  <c r="P184" i="10" s="1"/>
  <c r="AE183" i="10"/>
  <c r="T183" i="10"/>
  <c r="S183" i="10"/>
  <c r="W184" i="10" s="1"/>
  <c r="P183" i="10"/>
  <c r="O183" i="10"/>
  <c r="AA182" i="10"/>
  <c r="W182" i="10"/>
  <c r="S182" i="10"/>
  <c r="P182" i="10"/>
  <c r="O182" i="10"/>
  <c r="T181" i="10"/>
  <c r="S181" i="10"/>
  <c r="O181" i="10"/>
  <c r="P181" i="10" s="1"/>
  <c r="S180" i="10"/>
  <c r="P180" i="10"/>
  <c r="O180" i="10"/>
  <c r="W179" i="10"/>
  <c r="S179" i="10"/>
  <c r="O179" i="10"/>
  <c r="P179" i="10" s="1"/>
  <c r="AE178" i="10"/>
  <c r="S178" i="10"/>
  <c r="O178" i="10"/>
  <c r="P178" i="10" s="1"/>
  <c r="AB177" i="10"/>
  <c r="T177" i="10"/>
  <c r="S177" i="10"/>
  <c r="O177" i="10"/>
  <c r="P177" i="10" s="1"/>
  <c r="X177" i="10" s="1"/>
  <c r="W176" i="10"/>
  <c r="T176" i="10"/>
  <c r="S176" i="10"/>
  <c r="P176" i="10"/>
  <c r="O176" i="10"/>
  <c r="AE175" i="10"/>
  <c r="AB175" i="10"/>
  <c r="AA175" i="10"/>
  <c r="W175" i="10"/>
  <c r="S175" i="10"/>
  <c r="P175" i="10"/>
  <c r="O175" i="10"/>
  <c r="AA174" i="10"/>
  <c r="S174" i="10"/>
  <c r="O174" i="10"/>
  <c r="P174" i="10" s="1"/>
  <c r="AE173" i="10"/>
  <c r="W173" i="10"/>
  <c r="S173" i="10"/>
  <c r="O173" i="10"/>
  <c r="P173" i="10" s="1"/>
  <c r="AE172" i="10"/>
  <c r="AA172" i="10"/>
  <c r="S172" i="10"/>
  <c r="W172" i="10" s="1"/>
  <c r="O172" i="10"/>
  <c r="P172" i="10" s="1"/>
  <c r="AB171" i="10"/>
  <c r="X171" i="10"/>
  <c r="W171" i="10"/>
  <c r="S171" i="10"/>
  <c r="O171" i="10"/>
  <c r="P171" i="10" s="1"/>
  <c r="AE170" i="10"/>
  <c r="S170" i="10"/>
  <c r="AE230" i="10" s="1"/>
  <c r="O170" i="10"/>
  <c r="P170" i="10" s="1"/>
  <c r="AE169" i="10"/>
  <c r="X169" i="10"/>
  <c r="S169" i="10"/>
  <c r="P169" i="10"/>
  <c r="O169" i="10"/>
  <c r="AA168" i="10"/>
  <c r="S168" i="10"/>
  <c r="O168" i="10"/>
  <c r="P168" i="10" s="1"/>
  <c r="AE167" i="10"/>
  <c r="AB167" i="10"/>
  <c r="S167" i="10"/>
  <c r="AA179" i="10" s="1"/>
  <c r="P167" i="10"/>
  <c r="O167" i="10"/>
  <c r="S166" i="10"/>
  <c r="O166" i="10"/>
  <c r="P166" i="10" s="1"/>
  <c r="S165" i="10"/>
  <c r="O165" i="10"/>
  <c r="P165" i="10" s="1"/>
  <c r="AE164" i="10"/>
  <c r="AB164" i="10"/>
  <c r="AA164" i="10"/>
  <c r="S164" i="10"/>
  <c r="W164" i="10" s="1"/>
  <c r="O164" i="10"/>
  <c r="P164" i="10" s="1"/>
  <c r="S163" i="10"/>
  <c r="O163" i="10"/>
  <c r="P163" i="10" s="1"/>
  <c r="S162" i="10"/>
  <c r="O162" i="10"/>
  <c r="P162" i="10" s="1"/>
  <c r="AB161" i="10"/>
  <c r="T161" i="10"/>
  <c r="S161" i="10"/>
  <c r="O161" i="10"/>
  <c r="P161" i="10" s="1"/>
  <c r="X161" i="10" s="1"/>
  <c r="AE160" i="10"/>
  <c r="S160" i="10"/>
  <c r="O160" i="10"/>
  <c r="P160" i="10" s="1"/>
  <c r="S159" i="10"/>
  <c r="P159" i="10"/>
  <c r="O159" i="10"/>
  <c r="S158" i="10"/>
  <c r="O158" i="10"/>
  <c r="P158" i="10" s="1"/>
  <c r="AE157" i="10"/>
  <c r="S157" i="10"/>
  <c r="O157" i="10"/>
  <c r="P157" i="10" s="1"/>
  <c r="S156" i="10"/>
  <c r="O156" i="10"/>
  <c r="P156" i="10" s="1"/>
  <c r="AA155" i="10"/>
  <c r="S155" i="10"/>
  <c r="O155" i="10"/>
  <c r="P155" i="10" s="1"/>
  <c r="AB154" i="10"/>
  <c r="S154" i="10"/>
  <c r="O154" i="10"/>
  <c r="P154" i="10" s="1"/>
  <c r="AE153" i="10"/>
  <c r="S153" i="10"/>
  <c r="W153" i="10" s="1"/>
  <c r="O153" i="10"/>
  <c r="P153" i="10" s="1"/>
  <c r="S152" i="10"/>
  <c r="P152" i="10"/>
  <c r="O152" i="10"/>
  <c r="S151" i="10"/>
  <c r="P151" i="10"/>
  <c r="O151" i="10"/>
  <c r="AA150" i="10"/>
  <c r="W150" i="10"/>
  <c r="S150" i="10"/>
  <c r="O150" i="10"/>
  <c r="P150" i="10" s="1"/>
  <c r="X149" i="10"/>
  <c r="S149" i="10"/>
  <c r="O149" i="10"/>
  <c r="P149" i="10" s="1"/>
  <c r="S148" i="10"/>
  <c r="O148" i="10"/>
  <c r="P148" i="10" s="1"/>
  <c r="X147" i="10"/>
  <c r="W147" i="10"/>
  <c r="S147" i="10"/>
  <c r="AE147" i="10" s="1"/>
  <c r="O147" i="10"/>
  <c r="P147" i="10" s="1"/>
  <c r="AE146" i="10"/>
  <c r="AB146" i="10"/>
  <c r="W146" i="10"/>
  <c r="S146" i="10"/>
  <c r="O146" i="10"/>
  <c r="P146" i="10" s="1"/>
  <c r="S145" i="10"/>
  <c r="O145" i="10"/>
  <c r="P145" i="10" s="1"/>
  <c r="W144" i="10"/>
  <c r="T144" i="10"/>
  <c r="S144" i="10"/>
  <c r="P144" i="10"/>
  <c r="O144" i="10"/>
  <c r="AE143" i="10"/>
  <c r="AA143" i="10"/>
  <c r="W143" i="10"/>
  <c r="S143" i="10"/>
  <c r="P143" i="10"/>
  <c r="O143" i="10"/>
  <c r="AB142" i="10"/>
  <c r="S142" i="10"/>
  <c r="P142" i="10"/>
  <c r="O142" i="10"/>
  <c r="AE141" i="10"/>
  <c r="W141" i="10"/>
  <c r="S141" i="10"/>
  <c r="O141" i="10"/>
  <c r="P141" i="10" s="1"/>
  <c r="AE140" i="10"/>
  <c r="AA140" i="10"/>
  <c r="S140" i="10"/>
  <c r="O140" i="10"/>
  <c r="P140" i="10" s="1"/>
  <c r="AA139" i="10"/>
  <c r="S139" i="10"/>
  <c r="P139" i="10"/>
  <c r="O139" i="10"/>
  <c r="AE138" i="10"/>
  <c r="AB138" i="10"/>
  <c r="S138" i="10"/>
  <c r="O138" i="10"/>
  <c r="P138" i="10" s="1"/>
  <c r="AE137" i="10"/>
  <c r="S137" i="10"/>
  <c r="P137" i="10"/>
  <c r="AB137" i="10" s="1"/>
  <c r="O137" i="10"/>
  <c r="AA136" i="10"/>
  <c r="S136" i="10"/>
  <c r="O136" i="10"/>
  <c r="P136" i="10" s="1"/>
  <c r="AE135" i="10"/>
  <c r="S135" i="10"/>
  <c r="P135" i="10"/>
  <c r="O135" i="10"/>
  <c r="S134" i="10"/>
  <c r="P134" i="10"/>
  <c r="O134" i="10"/>
  <c r="S133" i="10"/>
  <c r="O133" i="10"/>
  <c r="P133" i="10" s="1"/>
  <c r="AE132" i="10"/>
  <c r="AA132" i="10"/>
  <c r="S132" i="10"/>
  <c r="W132" i="10" s="1"/>
  <c r="P132" i="10"/>
  <c r="O132" i="10"/>
  <c r="X131" i="10"/>
  <c r="S131" i="10"/>
  <c r="AE131" i="10" s="1"/>
  <c r="O131" i="10"/>
  <c r="P131" i="10" s="1"/>
  <c r="S130" i="10"/>
  <c r="O130" i="10"/>
  <c r="P130" i="10" s="1"/>
  <c r="S129" i="10"/>
  <c r="O129" i="10"/>
  <c r="P129" i="10" s="1"/>
  <c r="AE128" i="10"/>
  <c r="W128" i="10"/>
  <c r="S128" i="10"/>
  <c r="O128" i="10"/>
  <c r="P128" i="10" s="1"/>
  <c r="AE127" i="10"/>
  <c r="S127" i="10"/>
  <c r="P127" i="10"/>
  <c r="O127" i="10"/>
  <c r="W126" i="10"/>
  <c r="S126" i="10"/>
  <c r="AE126" i="10" s="1"/>
  <c r="O126" i="10"/>
  <c r="P126" i="10" s="1"/>
  <c r="AE125" i="10"/>
  <c r="W125" i="10"/>
  <c r="S125" i="10"/>
  <c r="O125" i="10"/>
  <c r="P125" i="10" s="1"/>
  <c r="AE124" i="10"/>
  <c r="S124" i="10"/>
  <c r="W124" i="10" s="1"/>
  <c r="O124" i="10"/>
  <c r="P124" i="10" s="1"/>
  <c r="AA123" i="10"/>
  <c r="S123" i="10"/>
  <c r="O123" i="10"/>
  <c r="P123" i="10" s="1"/>
  <c r="S122" i="10"/>
  <c r="O122" i="10"/>
  <c r="P122" i="10" s="1"/>
  <c r="S121" i="10"/>
  <c r="W121" i="10" s="1"/>
  <c r="P121" i="10"/>
  <c r="O121" i="10"/>
  <c r="AA120" i="10"/>
  <c r="S120" i="10"/>
  <c r="P120" i="10"/>
  <c r="O120" i="10"/>
  <c r="T119" i="10"/>
  <c r="S119" i="10"/>
  <c r="P119" i="10"/>
  <c r="O119" i="10"/>
  <c r="AB118" i="10"/>
  <c r="AA118" i="10"/>
  <c r="X118" i="10"/>
  <c r="W118" i="10"/>
  <c r="S118" i="10"/>
  <c r="O118" i="10"/>
  <c r="P118" i="10" s="1"/>
  <c r="AE117" i="10"/>
  <c r="X117" i="10"/>
  <c r="T117" i="10"/>
  <c r="S117" i="10"/>
  <c r="O117" i="10"/>
  <c r="P117" i="10" s="1"/>
  <c r="S116" i="10"/>
  <c r="O116" i="10"/>
  <c r="P116" i="10" s="1"/>
  <c r="W115" i="10"/>
  <c r="S115" i="10"/>
  <c r="AE115" i="10" s="1"/>
  <c r="O115" i="10"/>
  <c r="P115" i="10" s="1"/>
  <c r="AE114" i="10"/>
  <c r="AB114" i="10"/>
  <c r="W114" i="10"/>
  <c r="S114" i="10"/>
  <c r="O114" i="10"/>
  <c r="P114" i="10" s="1"/>
  <c r="AE113" i="10"/>
  <c r="AB113" i="10"/>
  <c r="AA113" i="10"/>
  <c r="S113" i="10"/>
  <c r="W113" i="10" s="1"/>
  <c r="O113" i="10"/>
  <c r="P113" i="10" s="1"/>
  <c r="W112" i="10"/>
  <c r="S112" i="10"/>
  <c r="P112" i="10"/>
  <c r="O112" i="10"/>
  <c r="AB111" i="10"/>
  <c r="AA111" i="10"/>
  <c r="W111" i="10"/>
  <c r="S111" i="10"/>
  <c r="P111" i="10"/>
  <c r="O111" i="10"/>
  <c r="AB110" i="10"/>
  <c r="AA110" i="10"/>
  <c r="S110" i="10"/>
  <c r="P110" i="10"/>
  <c r="O110" i="10"/>
  <c r="AE109" i="10"/>
  <c r="W109" i="10"/>
  <c r="S109" i="10"/>
  <c r="O109" i="10"/>
  <c r="P109" i="10" s="1"/>
  <c r="AA108" i="10"/>
  <c r="S108" i="10"/>
  <c r="O108" i="10"/>
  <c r="P108" i="10" s="1"/>
  <c r="X107" i="10"/>
  <c r="S107" i="10"/>
  <c r="P107" i="10"/>
  <c r="O107" i="10"/>
  <c r="AB106" i="10"/>
  <c r="S106" i="10"/>
  <c r="O106" i="10"/>
  <c r="P106" i="10" s="1"/>
  <c r="X106" i="10" s="1"/>
  <c r="AE105" i="10"/>
  <c r="S105" i="10"/>
  <c r="P105" i="10"/>
  <c r="O105" i="10"/>
  <c r="AA104" i="10"/>
  <c r="S104" i="10"/>
  <c r="O104" i="10"/>
  <c r="P104" i="10" s="1"/>
  <c r="S103" i="10"/>
  <c r="P103" i="10"/>
  <c r="O103" i="10"/>
  <c r="S102" i="10"/>
  <c r="P102" i="10"/>
  <c r="O102" i="10"/>
  <c r="S101" i="10"/>
  <c r="O101" i="10"/>
  <c r="P101" i="10" s="1"/>
  <c r="AA100" i="10"/>
  <c r="S100" i="10"/>
  <c r="W100" i="10" s="1"/>
  <c r="O100" i="10"/>
  <c r="P100" i="10" s="1"/>
  <c r="S99" i="10"/>
  <c r="AE99" i="10" s="1"/>
  <c r="O99" i="10"/>
  <c r="P99" i="10" s="1"/>
  <c r="AE98" i="10"/>
  <c r="T98" i="10"/>
  <c r="S98" i="10"/>
  <c r="O98" i="10"/>
  <c r="P98" i="10" s="1"/>
  <c r="S97" i="10"/>
  <c r="O97" i="10"/>
  <c r="P97" i="10" s="1"/>
  <c r="AE96" i="10"/>
  <c r="AA96" i="10"/>
  <c r="S96" i="10"/>
  <c r="O96" i="10"/>
  <c r="P96" i="10" s="1"/>
  <c r="S95" i="10"/>
  <c r="P95" i="10"/>
  <c r="O95" i="10"/>
  <c r="AA94" i="10"/>
  <c r="S94" i="10"/>
  <c r="O94" i="10"/>
  <c r="P94" i="10" s="1"/>
  <c r="AE93" i="10"/>
  <c r="S93" i="10"/>
  <c r="AA93" i="10" s="1"/>
  <c r="O93" i="10"/>
  <c r="P93" i="10" s="1"/>
  <c r="AE92" i="10"/>
  <c r="S92" i="10"/>
  <c r="W92" i="10" s="1"/>
  <c r="P92" i="10"/>
  <c r="O92" i="10"/>
  <c r="AA91" i="10"/>
  <c r="W91" i="10"/>
  <c r="S91" i="10"/>
  <c r="AE91" i="10" s="1"/>
  <c r="P91" i="10"/>
  <c r="O91" i="10"/>
  <c r="X90" i="10"/>
  <c r="T90" i="10"/>
  <c r="S90" i="10"/>
  <c r="O90" i="10"/>
  <c r="P90" i="10" s="1"/>
  <c r="S89" i="10"/>
  <c r="O89" i="10"/>
  <c r="P89" i="10" s="1"/>
  <c r="AA88" i="10"/>
  <c r="W88" i="10"/>
  <c r="S88" i="10"/>
  <c r="O88" i="10"/>
  <c r="P88" i="10" s="1"/>
  <c r="AE87" i="10"/>
  <c r="AB87" i="10"/>
  <c r="AA87" i="10"/>
  <c r="W87" i="10"/>
  <c r="S87" i="10"/>
  <c r="AA99" i="10" s="1"/>
  <c r="P87" i="10"/>
  <c r="O87" i="10"/>
  <c r="W86" i="10"/>
  <c r="S86" i="10"/>
  <c r="P86" i="10"/>
  <c r="O86" i="10"/>
  <c r="X85" i="10"/>
  <c r="S85" i="10"/>
  <c r="O85" i="10"/>
  <c r="P85" i="10" s="1"/>
  <c r="S84" i="10"/>
  <c r="O84" i="10"/>
  <c r="P84" i="10" s="1"/>
  <c r="AA83" i="10"/>
  <c r="X83" i="10"/>
  <c r="W83" i="10"/>
  <c r="S83" i="10"/>
  <c r="AE83" i="10" s="1"/>
  <c r="O83" i="10"/>
  <c r="P83" i="10" s="1"/>
  <c r="AE82" i="10"/>
  <c r="W82" i="10"/>
  <c r="S82" i="10"/>
  <c r="O82" i="10"/>
  <c r="P82" i="10" s="1"/>
  <c r="AE81" i="10"/>
  <c r="AB81" i="10"/>
  <c r="S81" i="10"/>
  <c r="W81" i="10" s="1"/>
  <c r="P81" i="10"/>
  <c r="O81" i="10"/>
  <c r="AE80" i="10"/>
  <c r="X80" i="10"/>
  <c r="W80" i="10"/>
  <c r="S80" i="10"/>
  <c r="P80" i="10"/>
  <c r="O80" i="10"/>
  <c r="AE79" i="10"/>
  <c r="AA79" i="10"/>
  <c r="S79" i="10"/>
  <c r="P79" i="10"/>
  <c r="O79" i="10"/>
  <c r="W78" i="10"/>
  <c r="S78" i="10"/>
  <c r="O78" i="10"/>
  <c r="P78" i="10" s="1"/>
  <c r="W77" i="10"/>
  <c r="T77" i="10"/>
  <c r="S77" i="10"/>
  <c r="AA77" i="10" s="1"/>
  <c r="O77" i="10"/>
  <c r="P77" i="10" s="1"/>
  <c r="AA76" i="10"/>
  <c r="T76" i="10"/>
  <c r="S76" i="10"/>
  <c r="O76" i="10"/>
  <c r="P76" i="10" s="1"/>
  <c r="W75" i="10"/>
  <c r="S75" i="10"/>
  <c r="P75" i="10"/>
  <c r="O75" i="10"/>
  <c r="AB74" i="10"/>
  <c r="S74" i="10"/>
  <c r="O74" i="10"/>
  <c r="P74" i="10" s="1"/>
  <c r="S73" i="10"/>
  <c r="W73" i="10" s="1"/>
  <c r="P73" i="10"/>
  <c r="O73" i="10"/>
  <c r="X72" i="10"/>
  <c r="W72" i="10"/>
  <c r="S72" i="10"/>
  <c r="O72" i="10"/>
  <c r="P72" i="10" s="1"/>
  <c r="AA71" i="10"/>
  <c r="W71" i="10"/>
  <c r="T71" i="10"/>
  <c r="S71" i="10"/>
  <c r="P71" i="10"/>
  <c r="X71" i="10" s="1"/>
  <c r="O71" i="10"/>
  <c r="S70" i="10"/>
  <c r="O70" i="10"/>
  <c r="P70" i="10" s="1"/>
  <c r="X69" i="10"/>
  <c r="S69" i="10"/>
  <c r="O69" i="10"/>
  <c r="P69" i="10" s="1"/>
  <c r="AE68" i="10"/>
  <c r="AA68" i="10"/>
  <c r="S68" i="10"/>
  <c r="W68" i="10" s="1"/>
  <c r="P68" i="10"/>
  <c r="O68" i="10"/>
  <c r="AA67" i="10"/>
  <c r="W67" i="10"/>
  <c r="S67" i="10"/>
  <c r="O67" i="10"/>
  <c r="P67" i="10" s="1"/>
  <c r="X66" i="10"/>
  <c r="W66" i="10"/>
  <c r="S66" i="10"/>
  <c r="P66" i="10"/>
  <c r="O66" i="10"/>
  <c r="AA65" i="10"/>
  <c r="W65" i="10"/>
  <c r="S65" i="10"/>
  <c r="O65" i="10"/>
  <c r="P65" i="10" s="1"/>
  <c r="X64" i="10"/>
  <c r="W64" i="10"/>
  <c r="S64" i="10"/>
  <c r="O64" i="10"/>
  <c r="P64" i="10" s="1"/>
  <c r="AA63" i="10"/>
  <c r="S63" i="10"/>
  <c r="O63" i="10"/>
  <c r="P63" i="10" s="1"/>
  <c r="T63" i="10" s="1"/>
  <c r="S62" i="10"/>
  <c r="P62" i="10"/>
  <c r="O62" i="10"/>
  <c r="W61" i="10"/>
  <c r="S61" i="10"/>
  <c r="AA61" i="10" s="1"/>
  <c r="O61" i="10"/>
  <c r="P61" i="10" s="1"/>
  <c r="S60" i="10"/>
  <c r="P60" i="10"/>
  <c r="O60" i="10"/>
  <c r="X59" i="10"/>
  <c r="W59" i="10"/>
  <c r="S59" i="10"/>
  <c r="P59" i="10"/>
  <c r="O59" i="10"/>
  <c r="W58" i="10"/>
  <c r="S58" i="10"/>
  <c r="O58" i="10"/>
  <c r="P58" i="10" s="1"/>
  <c r="AA57" i="10"/>
  <c r="X57" i="10"/>
  <c r="W57" i="10"/>
  <c r="S57" i="10"/>
  <c r="O57" i="10"/>
  <c r="P57" i="10" s="1"/>
  <c r="AA56" i="10"/>
  <c r="W56" i="10"/>
  <c r="S56" i="10"/>
  <c r="O56" i="10"/>
  <c r="P56" i="10" s="1"/>
  <c r="T55" i="10"/>
  <c r="S55" i="10"/>
  <c r="O55" i="10"/>
  <c r="P55" i="10" s="1"/>
  <c r="X55" i="10" s="1"/>
  <c r="X54" i="10"/>
  <c r="W54" i="10"/>
  <c r="T54" i="10"/>
  <c r="S54" i="10"/>
  <c r="O54" i="10"/>
  <c r="P54" i="10" s="1"/>
  <c r="S53" i="10"/>
  <c r="O53" i="10"/>
  <c r="P53" i="10" s="1"/>
  <c r="T53" i="10" s="1"/>
  <c r="X52" i="10"/>
  <c r="S52" i="10"/>
  <c r="O52" i="10"/>
  <c r="P52" i="10" s="1"/>
  <c r="T52" i="10" s="1"/>
  <c r="W51" i="10"/>
  <c r="S51" i="10"/>
  <c r="O51" i="10"/>
  <c r="P51" i="10" s="1"/>
  <c r="AA50" i="10"/>
  <c r="W50" i="10"/>
  <c r="S50" i="10"/>
  <c r="O50" i="10"/>
  <c r="P50" i="10" s="1"/>
  <c r="AA49" i="10"/>
  <c r="X49" i="10"/>
  <c r="S49" i="10"/>
  <c r="O49" i="10"/>
  <c r="P49" i="10" s="1"/>
  <c r="S48" i="10"/>
  <c r="P48" i="10"/>
  <c r="O48" i="10"/>
  <c r="S47" i="10"/>
  <c r="O47" i="10"/>
  <c r="P47" i="10" s="1"/>
  <c r="X47" i="10" s="1"/>
  <c r="W46" i="10"/>
  <c r="T46" i="10"/>
  <c r="S46" i="10"/>
  <c r="O46" i="10"/>
  <c r="P46" i="10" s="1"/>
  <c r="AA45" i="10"/>
  <c r="S45" i="10"/>
  <c r="P45" i="10"/>
  <c r="O45" i="10"/>
  <c r="T44" i="10"/>
  <c r="S44" i="10"/>
  <c r="P44" i="10"/>
  <c r="O44" i="10"/>
  <c r="T43" i="10"/>
  <c r="S43" i="10"/>
  <c r="O43" i="10"/>
  <c r="P43" i="10" s="1"/>
  <c r="AA42" i="10"/>
  <c r="X42" i="10"/>
  <c r="S42" i="10"/>
  <c r="W42" i="10" s="1"/>
  <c r="P42" i="10"/>
  <c r="O42" i="10"/>
  <c r="AA41" i="10"/>
  <c r="S41" i="10"/>
  <c r="P41" i="10"/>
  <c r="O41" i="10"/>
  <c r="S40" i="10"/>
  <c r="O40" i="10"/>
  <c r="P40" i="10" s="1"/>
  <c r="X40" i="10" s="1"/>
  <c r="AA39" i="10"/>
  <c r="S39" i="10"/>
  <c r="P39" i="10"/>
  <c r="O39" i="10"/>
  <c r="W38" i="10"/>
  <c r="S38" i="10"/>
  <c r="O38" i="10"/>
  <c r="P38" i="10" s="1"/>
  <c r="F38" i="10"/>
  <c r="C38" i="10"/>
  <c r="B38" i="10"/>
  <c r="AA37" i="10"/>
  <c r="S37" i="10"/>
  <c r="W37" i="10" s="1"/>
  <c r="O37" i="10"/>
  <c r="P37" i="10" s="1"/>
  <c r="C37" i="10"/>
  <c r="B37" i="10"/>
  <c r="T36" i="10"/>
  <c r="S36" i="10"/>
  <c r="O36" i="10"/>
  <c r="P36" i="10" s="1"/>
  <c r="C36" i="10"/>
  <c r="B36" i="10"/>
  <c r="S35" i="10"/>
  <c r="P35" i="10"/>
  <c r="X35" i="10" s="1"/>
  <c r="O35" i="10"/>
  <c r="C35" i="10"/>
  <c r="S34" i="10"/>
  <c r="O34" i="10"/>
  <c r="P34" i="10" s="1"/>
  <c r="C34" i="10"/>
  <c r="AA33" i="10"/>
  <c r="X33" i="10"/>
  <c r="S33" i="10"/>
  <c r="O33" i="10"/>
  <c r="P33" i="10" s="1"/>
  <c r="T33" i="10" s="1"/>
  <c r="C33" i="10"/>
  <c r="B33" i="10"/>
  <c r="S32" i="10"/>
  <c r="AA32" i="10" s="1"/>
  <c r="P32" i="10"/>
  <c r="O32" i="10"/>
  <c r="C32" i="10"/>
  <c r="B32" i="10"/>
  <c r="AA31" i="10"/>
  <c r="S31" i="10"/>
  <c r="W31" i="10" s="1"/>
  <c r="O31" i="10"/>
  <c r="P31" i="10" s="1"/>
  <c r="C31" i="10"/>
  <c r="B31" i="10"/>
  <c r="AA30" i="10"/>
  <c r="W30" i="10"/>
  <c r="S30" i="10"/>
  <c r="O30" i="10"/>
  <c r="P30" i="10" s="1"/>
  <c r="C30" i="10"/>
  <c r="B30" i="10"/>
  <c r="T29" i="10"/>
  <c r="S29" i="10"/>
  <c r="P29" i="10"/>
  <c r="O29" i="10"/>
  <c r="C29" i="10"/>
  <c r="B29" i="10"/>
  <c r="B34" i="10" s="1"/>
  <c r="T28" i="10"/>
  <c r="S28" i="10"/>
  <c r="O28" i="10"/>
  <c r="P28" i="10" s="1"/>
  <c r="C28" i="10"/>
  <c r="B28" i="10"/>
  <c r="W27" i="10"/>
  <c r="S27" i="10"/>
  <c r="P27" i="10"/>
  <c r="O27" i="10"/>
  <c r="S26" i="10"/>
  <c r="P26" i="10"/>
  <c r="O26" i="10"/>
  <c r="S25" i="10"/>
  <c r="O25" i="10"/>
  <c r="P25" i="10" s="1"/>
  <c r="F25" i="10"/>
  <c r="E25" i="10"/>
  <c r="D25" i="10"/>
  <c r="W24" i="10"/>
  <c r="S24" i="10"/>
  <c r="P24" i="10"/>
  <c r="O24" i="10"/>
  <c r="E24" i="10"/>
  <c r="F24" i="10" s="1"/>
  <c r="D24" i="10"/>
  <c r="W23" i="10"/>
  <c r="T23" i="10"/>
  <c r="S23" i="10"/>
  <c r="P23" i="10"/>
  <c r="O23" i="10"/>
  <c r="W22" i="10"/>
  <c r="S22" i="10"/>
  <c r="O22" i="10"/>
  <c r="P22" i="10" s="1"/>
  <c r="AB82" i="10" s="1"/>
  <c r="W21" i="10"/>
  <c r="S21" i="10"/>
  <c r="O21" i="10"/>
  <c r="P21" i="10" s="1"/>
  <c r="S20" i="10"/>
  <c r="P20" i="10"/>
  <c r="O20" i="10"/>
  <c r="W19" i="10"/>
  <c r="S19" i="10"/>
  <c r="O19" i="10"/>
  <c r="P19" i="10" s="1"/>
  <c r="AA18" i="10"/>
  <c r="S18" i="10"/>
  <c r="O18" i="10"/>
  <c r="P18" i="10" s="1"/>
  <c r="S17" i="10"/>
  <c r="P17" i="10"/>
  <c r="X29" i="10" s="1"/>
  <c r="O17" i="10"/>
  <c r="W16" i="10"/>
  <c r="S16" i="10"/>
  <c r="AE76" i="10" s="1"/>
  <c r="O16" i="10"/>
  <c r="P16" i="10" s="1"/>
  <c r="T15" i="10"/>
  <c r="S15" i="10"/>
  <c r="P15" i="10"/>
  <c r="X27" i="10" s="1"/>
  <c r="O15" i="10"/>
  <c r="W14" i="10"/>
  <c r="S14" i="10"/>
  <c r="O14" i="10"/>
  <c r="P14" i="10" s="1"/>
  <c r="T14" i="10" s="1"/>
  <c r="T13" i="10"/>
  <c r="S13" i="10"/>
  <c r="W13" i="10" s="1"/>
  <c r="P13" i="10"/>
  <c r="O13" i="10"/>
  <c r="S12" i="10"/>
  <c r="AE72" i="10" s="1"/>
  <c r="O12" i="10"/>
  <c r="P12" i="10" s="1"/>
  <c r="S11" i="10"/>
  <c r="P11" i="10"/>
  <c r="O11" i="10"/>
  <c r="S10" i="10"/>
  <c r="O10" i="10"/>
  <c r="P10" i="10" s="1"/>
  <c r="S9" i="10"/>
  <c r="P9" i="10"/>
  <c r="O9" i="10"/>
  <c r="S8" i="10"/>
  <c r="AA20" i="10" s="1"/>
  <c r="O8" i="10"/>
  <c r="P8" i="10" s="1"/>
  <c r="T8" i="10" s="1"/>
  <c r="S7" i="10"/>
  <c r="AA19" i="10" s="1"/>
  <c r="O7" i="10"/>
  <c r="P7" i="10" s="1"/>
  <c r="T7" i="10" s="1"/>
  <c r="B7" i="10"/>
  <c r="W6" i="10"/>
  <c r="U6" i="10"/>
  <c r="S6" i="10"/>
  <c r="W7" i="10" s="1"/>
  <c r="P6" i="10"/>
  <c r="O6" i="10"/>
  <c r="B6" i="10"/>
  <c r="S5" i="10"/>
  <c r="Q5" i="10"/>
  <c r="Q6" i="10" s="1"/>
  <c r="Q7" i="10" s="1"/>
  <c r="O5" i="10"/>
  <c r="E21" i="9"/>
  <c r="D21" i="9"/>
  <c r="C21" i="9"/>
  <c r="B21" i="9"/>
  <c r="D20" i="9"/>
  <c r="C20" i="9"/>
  <c r="B20" i="9"/>
  <c r="D19" i="9"/>
  <c r="C19" i="9"/>
  <c r="B19" i="9"/>
  <c r="D17" i="9"/>
  <c r="C17" i="9"/>
  <c r="B17" i="9"/>
  <c r="C16" i="9"/>
  <c r="D15" i="9"/>
  <c r="C15" i="9"/>
  <c r="B15" i="9"/>
  <c r="D14" i="9"/>
  <c r="C14" i="9"/>
  <c r="B14" i="9"/>
  <c r="D13" i="9"/>
  <c r="C13" i="9"/>
  <c r="B13" i="9"/>
  <c r="D12" i="9"/>
  <c r="C12" i="9"/>
  <c r="B12" i="9"/>
  <c r="D11" i="9"/>
  <c r="C11" i="9"/>
  <c r="B11" i="9"/>
  <c r="M97" i="8"/>
  <c r="L97" i="8"/>
  <c r="K97" i="8"/>
  <c r="I97" i="8"/>
  <c r="G97" i="8"/>
  <c r="F97" i="8"/>
  <c r="E97" i="8"/>
  <c r="D97" i="8"/>
  <c r="C97" i="8"/>
  <c r="B97" i="8"/>
  <c r="M96" i="8"/>
  <c r="L96" i="8"/>
  <c r="K96" i="8"/>
  <c r="I96" i="8"/>
  <c r="G96" i="8"/>
  <c r="F96" i="8"/>
  <c r="E96" i="8"/>
  <c r="D96" i="8"/>
  <c r="C96" i="8"/>
  <c r="B96" i="8"/>
  <c r="M95" i="8"/>
  <c r="L95" i="8"/>
  <c r="K95" i="8"/>
  <c r="I95" i="8"/>
  <c r="G95" i="8"/>
  <c r="F95" i="8"/>
  <c r="E95" i="8"/>
  <c r="D95" i="8"/>
  <c r="C95" i="8"/>
  <c r="B95" i="8"/>
  <c r="M94" i="8"/>
  <c r="L94" i="8"/>
  <c r="K94" i="8"/>
  <c r="I94" i="8"/>
  <c r="G94" i="8"/>
  <c r="F94" i="8"/>
  <c r="E94" i="8"/>
  <c r="D94" i="8"/>
  <c r="C94" i="8"/>
  <c r="B94" i="8"/>
  <c r="M93" i="8"/>
  <c r="L93" i="8"/>
  <c r="K93" i="8"/>
  <c r="I93" i="8"/>
  <c r="G93" i="8"/>
  <c r="F93" i="8"/>
  <c r="E93" i="8"/>
  <c r="D93" i="8"/>
  <c r="C93" i="8"/>
  <c r="B93" i="8"/>
  <c r="M92" i="8"/>
  <c r="L92" i="8"/>
  <c r="K92" i="8"/>
  <c r="I92" i="8"/>
  <c r="G92" i="8"/>
  <c r="F92" i="8"/>
  <c r="E92" i="8"/>
  <c r="D92" i="8"/>
  <c r="C92" i="8"/>
  <c r="B92" i="8"/>
  <c r="M91" i="8"/>
  <c r="L91" i="8"/>
  <c r="K91" i="8"/>
  <c r="I91" i="8"/>
  <c r="G91" i="8"/>
  <c r="F91" i="8"/>
  <c r="E91" i="8"/>
  <c r="D91" i="8"/>
  <c r="C91" i="8"/>
  <c r="B91" i="8"/>
  <c r="M90" i="8"/>
  <c r="L90" i="8"/>
  <c r="K90" i="8"/>
  <c r="I90" i="8"/>
  <c r="G90" i="8"/>
  <c r="F90" i="8"/>
  <c r="E90" i="8"/>
  <c r="D90" i="8"/>
  <c r="C90" i="8"/>
  <c r="B90" i="8"/>
  <c r="M89" i="8"/>
  <c r="L89" i="8"/>
  <c r="K89" i="8"/>
  <c r="I89" i="8"/>
  <c r="G89" i="8"/>
  <c r="F89" i="8"/>
  <c r="E89" i="8"/>
  <c r="D89" i="8"/>
  <c r="C89" i="8"/>
  <c r="B89" i="8"/>
  <c r="M88" i="8"/>
  <c r="L88" i="8"/>
  <c r="K88" i="8"/>
  <c r="I88" i="8"/>
  <c r="G88" i="8"/>
  <c r="F88" i="8"/>
  <c r="E88" i="8"/>
  <c r="D88" i="8"/>
  <c r="C88" i="8"/>
  <c r="B88" i="8"/>
  <c r="M87" i="8"/>
  <c r="L87" i="8"/>
  <c r="K87" i="8"/>
  <c r="I87" i="8"/>
  <c r="G87" i="8"/>
  <c r="F87" i="8"/>
  <c r="E87" i="8"/>
  <c r="D87" i="8"/>
  <c r="C87" i="8"/>
  <c r="B87" i="8"/>
  <c r="M86" i="8"/>
  <c r="L86" i="8"/>
  <c r="K86" i="8"/>
  <c r="I86" i="8"/>
  <c r="G86" i="8"/>
  <c r="F86" i="8"/>
  <c r="E86" i="8"/>
  <c r="D86" i="8"/>
  <c r="C86" i="8"/>
  <c r="B86" i="8"/>
  <c r="M85" i="8"/>
  <c r="L85" i="8"/>
  <c r="K85" i="8"/>
  <c r="I85" i="8"/>
  <c r="G85" i="8"/>
  <c r="F85" i="8"/>
  <c r="E85" i="8"/>
  <c r="D85" i="8"/>
  <c r="C85" i="8"/>
  <c r="B85" i="8"/>
  <c r="M84" i="8"/>
  <c r="L84" i="8"/>
  <c r="K84" i="8"/>
  <c r="I84" i="8"/>
  <c r="G84" i="8"/>
  <c r="F84" i="8"/>
  <c r="E84" i="8"/>
  <c r="D84" i="8"/>
  <c r="C84" i="8"/>
  <c r="B84" i="8"/>
  <c r="M83" i="8"/>
  <c r="L83" i="8"/>
  <c r="K83" i="8"/>
  <c r="I83" i="8"/>
  <c r="G83" i="8"/>
  <c r="F83" i="8"/>
  <c r="E83" i="8"/>
  <c r="D83" i="8"/>
  <c r="C83" i="8"/>
  <c r="B83" i="8"/>
  <c r="M82" i="8"/>
  <c r="L82" i="8"/>
  <c r="K82" i="8"/>
  <c r="I82" i="8"/>
  <c r="G82" i="8"/>
  <c r="F82" i="8"/>
  <c r="E82" i="8"/>
  <c r="D82" i="8"/>
  <c r="C82" i="8"/>
  <c r="B82" i="8"/>
  <c r="M81" i="8"/>
  <c r="L81" i="8"/>
  <c r="K81" i="8"/>
  <c r="I81" i="8"/>
  <c r="G81" i="8"/>
  <c r="F81" i="8"/>
  <c r="E81" i="8"/>
  <c r="D81" i="8"/>
  <c r="C81" i="8"/>
  <c r="B81" i="8"/>
  <c r="M80" i="8"/>
  <c r="L80" i="8"/>
  <c r="K80" i="8"/>
  <c r="I80" i="8"/>
  <c r="G80" i="8"/>
  <c r="F80" i="8"/>
  <c r="E80" i="8"/>
  <c r="D80" i="8"/>
  <c r="C80" i="8"/>
  <c r="B80" i="8"/>
  <c r="M79" i="8"/>
  <c r="L79" i="8"/>
  <c r="K79" i="8"/>
  <c r="I79" i="8"/>
  <c r="G79" i="8"/>
  <c r="F79" i="8"/>
  <c r="E79" i="8"/>
  <c r="D79" i="8"/>
  <c r="C79" i="8"/>
  <c r="B79" i="8"/>
  <c r="M78" i="8"/>
  <c r="L78" i="8"/>
  <c r="K78" i="8"/>
  <c r="I78" i="8"/>
  <c r="G78" i="8"/>
  <c r="F78" i="8"/>
  <c r="E78" i="8"/>
  <c r="D78" i="8"/>
  <c r="C78" i="8"/>
  <c r="B78" i="8"/>
  <c r="M77" i="8"/>
  <c r="L77" i="8"/>
  <c r="K77" i="8"/>
  <c r="I77" i="8"/>
  <c r="G77" i="8"/>
  <c r="F77" i="8"/>
  <c r="E77" i="8"/>
  <c r="D77" i="8"/>
  <c r="C77" i="8"/>
  <c r="B77" i="8"/>
  <c r="M76" i="8"/>
  <c r="L76" i="8"/>
  <c r="K76" i="8"/>
  <c r="I76" i="8"/>
  <c r="G76" i="8"/>
  <c r="F76" i="8"/>
  <c r="E76" i="8"/>
  <c r="D76" i="8"/>
  <c r="C76" i="8"/>
  <c r="B76" i="8"/>
  <c r="M75" i="8"/>
  <c r="L75" i="8"/>
  <c r="K75" i="8"/>
  <c r="I75" i="8"/>
  <c r="H75" i="8"/>
  <c r="G75" i="8"/>
  <c r="F75" i="8"/>
  <c r="E75" i="8"/>
  <c r="D75" i="8"/>
  <c r="C75" i="8"/>
  <c r="B75" i="8"/>
  <c r="M74" i="8"/>
  <c r="L74" i="8"/>
  <c r="K74" i="8"/>
  <c r="I74" i="8"/>
  <c r="H74" i="8"/>
  <c r="G74" i="8"/>
  <c r="F74" i="8"/>
  <c r="E74" i="8"/>
  <c r="D74" i="8"/>
  <c r="C74" i="8"/>
  <c r="B74" i="8"/>
  <c r="M73" i="8"/>
  <c r="L73" i="8"/>
  <c r="K73" i="8"/>
  <c r="I73" i="8"/>
  <c r="G73" i="8"/>
  <c r="F73" i="8"/>
  <c r="E73" i="8"/>
  <c r="D73" i="8"/>
  <c r="C73" i="8"/>
  <c r="B73" i="8"/>
  <c r="M72" i="8"/>
  <c r="L72" i="8"/>
  <c r="K72" i="8"/>
  <c r="I72" i="8"/>
  <c r="G72" i="8"/>
  <c r="F72" i="8"/>
  <c r="E72" i="8"/>
  <c r="D72" i="8"/>
  <c r="C72" i="8"/>
  <c r="B72" i="8"/>
  <c r="M71" i="8"/>
  <c r="L71" i="8"/>
  <c r="K71" i="8"/>
  <c r="I71" i="8"/>
  <c r="G71" i="8"/>
  <c r="F71" i="8"/>
  <c r="E71" i="8"/>
  <c r="D71" i="8"/>
  <c r="C71" i="8"/>
  <c r="B71" i="8"/>
  <c r="M70" i="8"/>
  <c r="L70" i="8"/>
  <c r="K70" i="8"/>
  <c r="I70" i="8"/>
  <c r="G70" i="8"/>
  <c r="F70" i="8"/>
  <c r="E70" i="8"/>
  <c r="D70" i="8"/>
  <c r="C70" i="8"/>
  <c r="B70" i="8"/>
  <c r="M69" i="8"/>
  <c r="L69" i="8"/>
  <c r="K69" i="8"/>
  <c r="I69" i="8"/>
  <c r="H69" i="8"/>
  <c r="G69" i="8"/>
  <c r="F69" i="8"/>
  <c r="E69" i="8"/>
  <c r="D69" i="8"/>
  <c r="C69" i="8"/>
  <c r="B69" i="8"/>
  <c r="M68" i="8"/>
  <c r="L68" i="8"/>
  <c r="K68" i="8"/>
  <c r="I68" i="8"/>
  <c r="H68" i="8"/>
  <c r="G68" i="8"/>
  <c r="F68" i="8"/>
  <c r="E68" i="8"/>
  <c r="D68" i="8"/>
  <c r="C68" i="8"/>
  <c r="B68" i="8"/>
  <c r="M67" i="8"/>
  <c r="L67" i="8"/>
  <c r="K67" i="8"/>
  <c r="I67" i="8"/>
  <c r="H67" i="8"/>
  <c r="G67" i="8"/>
  <c r="F67" i="8"/>
  <c r="E67" i="8"/>
  <c r="D67" i="8"/>
  <c r="C67" i="8"/>
  <c r="B67" i="8"/>
  <c r="M66" i="8"/>
  <c r="L66" i="8"/>
  <c r="K66" i="8"/>
  <c r="J66" i="8"/>
  <c r="I66" i="8"/>
  <c r="G66" i="8"/>
  <c r="F66" i="8"/>
  <c r="E66" i="8"/>
  <c r="D66" i="8"/>
  <c r="C66" i="8"/>
  <c r="B66" i="8"/>
  <c r="M65" i="8"/>
  <c r="L65" i="8"/>
  <c r="K65" i="8"/>
  <c r="J65" i="8"/>
  <c r="I65" i="8"/>
  <c r="G65" i="8"/>
  <c r="F65" i="8"/>
  <c r="E65" i="8"/>
  <c r="D65" i="8"/>
  <c r="C65" i="8"/>
  <c r="B65" i="8"/>
  <c r="M64" i="8"/>
  <c r="L64" i="8"/>
  <c r="K64" i="8"/>
  <c r="J64" i="8"/>
  <c r="I64" i="8"/>
  <c r="G64" i="8"/>
  <c r="F64" i="8"/>
  <c r="E64" i="8"/>
  <c r="D64" i="8"/>
  <c r="C64" i="8"/>
  <c r="B64" i="8"/>
  <c r="M63" i="8"/>
  <c r="L63" i="8"/>
  <c r="K63" i="8"/>
  <c r="I63" i="8"/>
  <c r="G63" i="8"/>
  <c r="F63" i="8"/>
  <c r="E63" i="8"/>
  <c r="D63" i="8"/>
  <c r="C63" i="8"/>
  <c r="B63" i="8"/>
  <c r="M62" i="8"/>
  <c r="L62" i="8"/>
  <c r="K62" i="8"/>
  <c r="I62" i="8"/>
  <c r="G62" i="8"/>
  <c r="F62" i="8"/>
  <c r="E62" i="8"/>
  <c r="D62" i="8"/>
  <c r="C62" i="8"/>
  <c r="B62" i="8"/>
  <c r="M61" i="8"/>
  <c r="L61" i="8"/>
  <c r="K61" i="8"/>
  <c r="I61" i="8"/>
  <c r="G61" i="8"/>
  <c r="F61" i="8"/>
  <c r="E61" i="8"/>
  <c r="D61" i="8"/>
  <c r="C61" i="8"/>
  <c r="B61" i="8"/>
  <c r="M60" i="8"/>
  <c r="L60" i="8"/>
  <c r="K60" i="8"/>
  <c r="I60" i="8"/>
  <c r="G60" i="8"/>
  <c r="F60" i="8"/>
  <c r="E60" i="8"/>
  <c r="D60" i="8"/>
  <c r="C60" i="8"/>
  <c r="B60" i="8"/>
  <c r="M59" i="8"/>
  <c r="L59" i="8"/>
  <c r="K59" i="8"/>
  <c r="I59" i="8"/>
  <c r="G59" i="8"/>
  <c r="F59" i="8"/>
  <c r="E59" i="8"/>
  <c r="D59" i="8"/>
  <c r="C59" i="8"/>
  <c r="B59" i="8"/>
  <c r="M58" i="8"/>
  <c r="L58" i="8"/>
  <c r="K58" i="8"/>
  <c r="I58" i="8"/>
  <c r="G58" i="8"/>
  <c r="F58" i="8"/>
  <c r="E58" i="8"/>
  <c r="D58" i="8"/>
  <c r="C58" i="8"/>
  <c r="B58" i="8"/>
  <c r="M57" i="8"/>
  <c r="L57" i="8"/>
  <c r="K57" i="8"/>
  <c r="I57" i="8"/>
  <c r="G57" i="8"/>
  <c r="F57" i="8"/>
  <c r="E57" i="8"/>
  <c r="D57" i="8"/>
  <c r="C57" i="8"/>
  <c r="B57" i="8"/>
  <c r="M56" i="8"/>
  <c r="L56" i="8"/>
  <c r="K56" i="8"/>
  <c r="I56" i="8"/>
  <c r="H56" i="8"/>
  <c r="G56" i="8"/>
  <c r="F56" i="8"/>
  <c r="E56" i="8"/>
  <c r="D56" i="8"/>
  <c r="C56" i="8"/>
  <c r="B56" i="8"/>
  <c r="M55" i="8"/>
  <c r="L55" i="8"/>
  <c r="K55" i="8"/>
  <c r="I55" i="8"/>
  <c r="H55" i="8"/>
  <c r="G55" i="8"/>
  <c r="F55" i="8"/>
  <c r="E55" i="8"/>
  <c r="D55" i="8"/>
  <c r="C55" i="8"/>
  <c r="B55" i="8"/>
  <c r="M54" i="8"/>
  <c r="L54" i="8"/>
  <c r="K54" i="8"/>
  <c r="I54" i="8"/>
  <c r="H54" i="8"/>
  <c r="G54" i="8"/>
  <c r="F54" i="8"/>
  <c r="E54" i="8"/>
  <c r="D54" i="8"/>
  <c r="C54" i="8"/>
  <c r="B54" i="8"/>
  <c r="M53" i="8"/>
  <c r="L53" i="8"/>
  <c r="K53" i="8"/>
  <c r="I53" i="8"/>
  <c r="H53" i="8"/>
  <c r="G53" i="8"/>
  <c r="F53" i="8"/>
  <c r="E53" i="8"/>
  <c r="D53" i="8"/>
  <c r="C53" i="8"/>
  <c r="B53" i="8"/>
  <c r="M52" i="8"/>
  <c r="L52" i="8"/>
  <c r="K52" i="8"/>
  <c r="I52" i="8"/>
  <c r="H52" i="8"/>
  <c r="G52" i="8"/>
  <c r="F52" i="8"/>
  <c r="E52" i="8"/>
  <c r="D52" i="8"/>
  <c r="C52" i="8"/>
  <c r="B52" i="8"/>
  <c r="M51" i="8"/>
  <c r="L51" i="8"/>
  <c r="K51" i="8"/>
  <c r="I51" i="8"/>
  <c r="H51" i="8"/>
  <c r="G51" i="8"/>
  <c r="F51" i="8"/>
  <c r="E51" i="8"/>
  <c r="D51" i="8"/>
  <c r="C51" i="8"/>
  <c r="B51" i="8"/>
  <c r="M50" i="8"/>
  <c r="L50" i="8"/>
  <c r="K50" i="8"/>
  <c r="I50" i="8"/>
  <c r="H50" i="8"/>
  <c r="G50" i="8"/>
  <c r="F50" i="8"/>
  <c r="E50" i="8"/>
  <c r="D50" i="8"/>
  <c r="C50" i="8"/>
  <c r="B50" i="8"/>
  <c r="M49" i="8"/>
  <c r="L49" i="8"/>
  <c r="K49" i="8"/>
  <c r="I49" i="8"/>
  <c r="H49" i="8"/>
  <c r="G49" i="8"/>
  <c r="F49" i="8"/>
  <c r="E49" i="8"/>
  <c r="D49" i="8"/>
  <c r="C49" i="8"/>
  <c r="B49" i="8"/>
  <c r="M48" i="8"/>
  <c r="L48" i="8"/>
  <c r="K48" i="8"/>
  <c r="I48" i="8"/>
  <c r="H48" i="8"/>
  <c r="G48" i="8"/>
  <c r="F48" i="8"/>
  <c r="E48" i="8"/>
  <c r="D48" i="8"/>
  <c r="C48" i="8"/>
  <c r="B48" i="8"/>
  <c r="M47" i="8"/>
  <c r="L47" i="8"/>
  <c r="K47" i="8"/>
  <c r="I47" i="8"/>
  <c r="H47" i="8"/>
  <c r="G47" i="8"/>
  <c r="F47" i="8"/>
  <c r="E47" i="8"/>
  <c r="D47" i="8"/>
  <c r="C47" i="8"/>
  <c r="B47" i="8"/>
  <c r="M46" i="8"/>
  <c r="L46" i="8"/>
  <c r="K46" i="8"/>
  <c r="I46" i="8"/>
  <c r="H46" i="8"/>
  <c r="G46" i="8"/>
  <c r="F46" i="8"/>
  <c r="E46" i="8"/>
  <c r="D46" i="8"/>
  <c r="C46" i="8"/>
  <c r="B46" i="8"/>
  <c r="M45" i="8"/>
  <c r="L45" i="8"/>
  <c r="K45" i="8"/>
  <c r="I45" i="8"/>
  <c r="H45" i="8"/>
  <c r="G45" i="8"/>
  <c r="F45" i="8"/>
  <c r="E45" i="8"/>
  <c r="D45" i="8"/>
  <c r="C45" i="8"/>
  <c r="B45" i="8"/>
  <c r="M44" i="8"/>
  <c r="L44" i="8"/>
  <c r="K44" i="8"/>
  <c r="I44" i="8"/>
  <c r="H44" i="8"/>
  <c r="G44" i="8"/>
  <c r="F44" i="8"/>
  <c r="E44" i="8"/>
  <c r="D44" i="8"/>
  <c r="C44" i="8"/>
  <c r="B44" i="8"/>
  <c r="M43" i="8"/>
  <c r="L43" i="8"/>
  <c r="K43" i="8"/>
  <c r="I43" i="8"/>
  <c r="H43" i="8"/>
  <c r="G43" i="8"/>
  <c r="F43" i="8"/>
  <c r="E43" i="8"/>
  <c r="D43" i="8"/>
  <c r="C43" i="8"/>
  <c r="B43" i="8"/>
  <c r="M42" i="8"/>
  <c r="L42" i="8"/>
  <c r="K42" i="8"/>
  <c r="I42" i="8"/>
  <c r="H42" i="8"/>
  <c r="G42" i="8"/>
  <c r="F42" i="8"/>
  <c r="E42" i="8"/>
  <c r="D42" i="8"/>
  <c r="C42" i="8"/>
  <c r="B42" i="8"/>
  <c r="M41" i="8"/>
  <c r="L41" i="8"/>
  <c r="K41" i="8"/>
  <c r="I41" i="8"/>
  <c r="H41" i="8"/>
  <c r="G41" i="8"/>
  <c r="F41" i="8"/>
  <c r="E41" i="8"/>
  <c r="D41" i="8"/>
  <c r="C41" i="8"/>
  <c r="B41" i="8"/>
  <c r="M40" i="8"/>
  <c r="L40" i="8"/>
  <c r="K40" i="8"/>
  <c r="I40" i="8"/>
  <c r="H40" i="8"/>
  <c r="G40" i="8"/>
  <c r="F40" i="8"/>
  <c r="E40" i="8"/>
  <c r="D40" i="8"/>
  <c r="C40" i="8"/>
  <c r="B40" i="8"/>
  <c r="M39" i="8"/>
  <c r="L39" i="8"/>
  <c r="K39" i="8"/>
  <c r="I39" i="8"/>
  <c r="G39" i="8"/>
  <c r="F39" i="8"/>
  <c r="E39" i="8"/>
  <c r="D39" i="8"/>
  <c r="C39" i="8"/>
  <c r="B39" i="8"/>
  <c r="M38" i="8"/>
  <c r="L38" i="8"/>
  <c r="K38" i="8"/>
  <c r="I38" i="8"/>
  <c r="G38" i="8"/>
  <c r="F38" i="8"/>
  <c r="E38" i="8"/>
  <c r="D38" i="8"/>
  <c r="C38" i="8"/>
  <c r="B38" i="8"/>
  <c r="M37" i="8"/>
  <c r="L37" i="8"/>
  <c r="K37" i="8"/>
  <c r="I37" i="8"/>
  <c r="G37" i="8"/>
  <c r="F37" i="8"/>
  <c r="E37" i="8"/>
  <c r="D37" i="8"/>
  <c r="C37" i="8"/>
  <c r="B37" i="8"/>
  <c r="M36" i="8"/>
  <c r="L36" i="8"/>
  <c r="K36" i="8"/>
  <c r="I36" i="8"/>
  <c r="G36" i="8"/>
  <c r="F36" i="8"/>
  <c r="E36" i="8"/>
  <c r="D36" i="8"/>
  <c r="C36" i="8"/>
  <c r="B36" i="8"/>
  <c r="M35" i="8"/>
  <c r="L35" i="8"/>
  <c r="K35" i="8"/>
  <c r="I35" i="8"/>
  <c r="H35" i="8"/>
  <c r="G35" i="8"/>
  <c r="F35" i="8"/>
  <c r="E35" i="8"/>
  <c r="D35" i="8"/>
  <c r="C35" i="8"/>
  <c r="B35" i="8"/>
  <c r="M34" i="8"/>
  <c r="L34" i="8"/>
  <c r="K34" i="8"/>
  <c r="I34" i="8"/>
  <c r="H34" i="8"/>
  <c r="G34" i="8"/>
  <c r="F34" i="8"/>
  <c r="E34" i="8"/>
  <c r="D34" i="8"/>
  <c r="C34" i="8"/>
  <c r="B34" i="8"/>
  <c r="M33" i="8"/>
  <c r="L33" i="8"/>
  <c r="K33" i="8"/>
  <c r="I33" i="8"/>
  <c r="G33" i="8"/>
  <c r="F33" i="8"/>
  <c r="E33" i="8"/>
  <c r="D33" i="8"/>
  <c r="C33" i="8"/>
  <c r="B33" i="8"/>
  <c r="M32" i="8"/>
  <c r="L32" i="8"/>
  <c r="K32" i="8"/>
  <c r="I32" i="8"/>
  <c r="G32" i="8"/>
  <c r="F32" i="8"/>
  <c r="E32" i="8"/>
  <c r="D32" i="8"/>
  <c r="C32" i="8"/>
  <c r="B32" i="8"/>
  <c r="M31" i="8"/>
  <c r="L31" i="8"/>
  <c r="K31" i="8"/>
  <c r="I31" i="8"/>
  <c r="G31" i="8"/>
  <c r="F31" i="8"/>
  <c r="E31" i="8"/>
  <c r="D31" i="8"/>
  <c r="C31" i="8"/>
  <c r="B31" i="8"/>
  <c r="M30" i="8"/>
  <c r="L30" i="8"/>
  <c r="K30" i="8"/>
  <c r="I30" i="8"/>
  <c r="G30" i="8"/>
  <c r="F30" i="8"/>
  <c r="E30" i="8"/>
  <c r="D30" i="8"/>
  <c r="C30" i="8"/>
  <c r="B30" i="8"/>
  <c r="M29" i="8"/>
  <c r="L29" i="8"/>
  <c r="K29" i="8"/>
  <c r="J29" i="8"/>
  <c r="I29" i="8"/>
  <c r="G29" i="8"/>
  <c r="F29" i="8"/>
  <c r="E29" i="8"/>
  <c r="D29" i="8"/>
  <c r="C29" i="8"/>
  <c r="B29" i="8"/>
  <c r="M28" i="8"/>
  <c r="L28" i="8"/>
  <c r="K28" i="8"/>
  <c r="J28" i="8"/>
  <c r="I28" i="8"/>
  <c r="G28" i="8"/>
  <c r="F28" i="8"/>
  <c r="E28" i="8"/>
  <c r="D28" i="8"/>
  <c r="C28" i="8"/>
  <c r="B28" i="8"/>
  <c r="M27" i="8"/>
  <c r="L27" i="8"/>
  <c r="K27" i="8"/>
  <c r="I27" i="8"/>
  <c r="G27" i="8"/>
  <c r="F27" i="8"/>
  <c r="E27" i="8"/>
  <c r="D27" i="8"/>
  <c r="C27" i="8"/>
  <c r="B27" i="8"/>
  <c r="M26" i="8"/>
  <c r="L26" i="8"/>
  <c r="K26" i="8"/>
  <c r="I26" i="8"/>
  <c r="G26" i="8"/>
  <c r="F26" i="8"/>
  <c r="E26" i="8"/>
  <c r="D26" i="8"/>
  <c r="C26" i="8"/>
  <c r="B26" i="8"/>
  <c r="M25" i="8"/>
  <c r="L25" i="8"/>
  <c r="K25" i="8"/>
  <c r="I25" i="8"/>
  <c r="H25" i="8"/>
  <c r="G25" i="8"/>
  <c r="F25" i="8"/>
  <c r="E25" i="8"/>
  <c r="D25" i="8"/>
  <c r="C25" i="8"/>
  <c r="B25" i="8"/>
  <c r="M24" i="8"/>
  <c r="L24" i="8"/>
  <c r="K24" i="8"/>
  <c r="I24" i="8"/>
  <c r="H24" i="8"/>
  <c r="G24" i="8"/>
  <c r="F24" i="8"/>
  <c r="E24" i="8"/>
  <c r="D24" i="8"/>
  <c r="C24" i="8"/>
  <c r="B24" i="8"/>
  <c r="M23" i="8"/>
  <c r="L23" i="8"/>
  <c r="K23" i="8"/>
  <c r="J23" i="8"/>
  <c r="I23" i="8"/>
  <c r="G23" i="8"/>
  <c r="F23" i="8"/>
  <c r="E23" i="8"/>
  <c r="D23" i="8"/>
  <c r="C23" i="8"/>
  <c r="B23" i="8"/>
  <c r="M22" i="8"/>
  <c r="L22" i="8"/>
  <c r="K22" i="8"/>
  <c r="J22" i="8"/>
  <c r="I22" i="8"/>
  <c r="G22" i="8"/>
  <c r="F22" i="8"/>
  <c r="E22" i="8"/>
  <c r="D22" i="8"/>
  <c r="C22" i="8"/>
  <c r="B22" i="8"/>
  <c r="M21" i="8"/>
  <c r="L21" i="8"/>
  <c r="K21" i="8"/>
  <c r="J21" i="8"/>
  <c r="I21" i="8"/>
  <c r="G21" i="8"/>
  <c r="F21" i="8"/>
  <c r="E21" i="8"/>
  <c r="D21" i="8"/>
  <c r="C21" i="8"/>
  <c r="B21" i="8"/>
  <c r="E13" i="8"/>
  <c r="E12" i="8"/>
  <c r="E7" i="8"/>
  <c r="E6" i="8"/>
  <c r="C51" i="7"/>
  <c r="B51" i="7"/>
  <c r="D51" i="7" s="1"/>
  <c r="E51" i="7" s="1"/>
  <c r="I51" i="7" s="1"/>
  <c r="D50" i="7"/>
  <c r="E50" i="7" s="1"/>
  <c r="I50" i="7" s="1"/>
  <c r="C50" i="7"/>
  <c r="B50" i="7"/>
  <c r="C49" i="7"/>
  <c r="B49" i="7"/>
  <c r="D49" i="7" s="1"/>
  <c r="E49" i="7" s="1"/>
  <c r="I49" i="7" s="1"/>
  <c r="I48" i="7"/>
  <c r="I47" i="7"/>
  <c r="I46" i="7"/>
  <c r="B46" i="7"/>
  <c r="I45" i="7"/>
  <c r="C44" i="7"/>
  <c r="B44" i="7"/>
  <c r="D44" i="7" s="1"/>
  <c r="E44" i="7" s="1"/>
  <c r="I44" i="7" s="1"/>
  <c r="D43" i="7"/>
  <c r="E43" i="7" s="1"/>
  <c r="I43" i="7" s="1"/>
  <c r="C43" i="7"/>
  <c r="B43" i="7"/>
  <c r="D42" i="7"/>
  <c r="E42" i="7" s="1"/>
  <c r="I42" i="7" s="1"/>
  <c r="C42" i="7"/>
  <c r="B42" i="7"/>
  <c r="D41" i="7"/>
  <c r="E41" i="7" s="1"/>
  <c r="C41" i="7"/>
  <c r="B41" i="7"/>
  <c r="I16" i="7"/>
  <c r="E16" i="6" s="1"/>
  <c r="I15" i="7"/>
  <c r="E15" i="6" s="1"/>
  <c r="B52" i="6" s="1"/>
  <c r="B15" i="7"/>
  <c r="I14" i="7"/>
  <c r="E14" i="6" s="1"/>
  <c r="D30" i="1" s="1"/>
  <c r="C14" i="7"/>
  <c r="B14" i="7"/>
  <c r="D13" i="7"/>
  <c r="G12" i="7"/>
  <c r="E12" i="7"/>
  <c r="D12" i="7"/>
  <c r="C12" i="7"/>
  <c r="B12" i="7"/>
  <c r="D11" i="7"/>
  <c r="C11" i="7"/>
  <c r="B11" i="7"/>
  <c r="D10" i="7"/>
  <c r="I9" i="7"/>
  <c r="B9" i="7"/>
  <c r="I8" i="7"/>
  <c r="I7" i="7"/>
  <c r="E7" i="6" s="1"/>
  <c r="I6" i="7"/>
  <c r="C6" i="7"/>
  <c r="B2" i="7"/>
  <c r="E2" i="1" s="1"/>
  <c r="B49" i="6"/>
  <c r="B46" i="6"/>
  <c r="B44" i="6"/>
  <c r="C36" i="6"/>
  <c r="D35" i="6"/>
  <c r="D33" i="6"/>
  <c r="E32" i="6"/>
  <c r="H27" i="6"/>
  <c r="G26" i="6"/>
  <c r="I25" i="6"/>
  <c r="G25" i="6"/>
  <c r="I24" i="6"/>
  <c r="G24" i="6"/>
  <c r="G23" i="6"/>
  <c r="G16" i="6"/>
  <c r="F16" i="6"/>
  <c r="D16" i="6"/>
  <c r="C16" i="1" s="1"/>
  <c r="G15" i="6"/>
  <c r="F15" i="6"/>
  <c r="C15" i="6"/>
  <c r="G14" i="6"/>
  <c r="F14" i="6"/>
  <c r="D14" i="6"/>
  <c r="C14" i="1" s="1"/>
  <c r="P56" i="2" s="1"/>
  <c r="C14" i="6"/>
  <c r="G13" i="6"/>
  <c r="F13" i="6"/>
  <c r="E13" i="6"/>
  <c r="G12" i="6"/>
  <c r="F12" i="6"/>
  <c r="E12" i="6"/>
  <c r="B74" i="11" s="1"/>
  <c r="D12" i="6"/>
  <c r="H12" i="6" s="1"/>
  <c r="G11" i="6"/>
  <c r="F11" i="6"/>
  <c r="E11" i="6"/>
  <c r="B73" i="11" s="1"/>
  <c r="D11" i="6"/>
  <c r="C11" i="1" s="1"/>
  <c r="C11" i="6"/>
  <c r="C73" i="11" s="1"/>
  <c r="G10" i="6"/>
  <c r="F10" i="6"/>
  <c r="E10" i="6"/>
  <c r="G9" i="6"/>
  <c r="F9" i="6"/>
  <c r="E9" i="6"/>
  <c r="G8" i="6"/>
  <c r="F8" i="6"/>
  <c r="E8" i="6"/>
  <c r="B70" i="11" s="1"/>
  <c r="I7" i="6"/>
  <c r="J7" i="6" s="1"/>
  <c r="G7" i="6"/>
  <c r="F7" i="6"/>
  <c r="C7" i="6"/>
  <c r="C69" i="11" s="1"/>
  <c r="G6" i="6"/>
  <c r="F6" i="6"/>
  <c r="B38" i="6" s="1"/>
  <c r="E6" i="6"/>
  <c r="C6" i="6"/>
  <c r="H72" i="5"/>
  <c r="G72" i="5"/>
  <c r="H71" i="5"/>
  <c r="B71" i="5"/>
  <c r="H70" i="5"/>
  <c r="E70" i="5"/>
  <c r="H69" i="5"/>
  <c r="L64" i="5"/>
  <c r="K64" i="5"/>
  <c r="J64" i="5"/>
  <c r="I64" i="5"/>
  <c r="H64" i="5"/>
  <c r="G64" i="5"/>
  <c r="F64" i="5"/>
  <c r="E64" i="5"/>
  <c r="D64" i="5"/>
  <c r="C64" i="5"/>
  <c r="B64" i="5"/>
  <c r="L63" i="5"/>
  <c r="K63" i="5"/>
  <c r="J63" i="5"/>
  <c r="I63" i="5"/>
  <c r="H63" i="5"/>
  <c r="G63" i="5"/>
  <c r="F63" i="5"/>
  <c r="E63" i="5"/>
  <c r="D63" i="5"/>
  <c r="C63" i="5"/>
  <c r="B63" i="5"/>
  <c r="P62" i="5"/>
  <c r="E60" i="11" s="1"/>
  <c r="L62" i="5"/>
  <c r="K62" i="5"/>
  <c r="J62" i="5"/>
  <c r="I62" i="5"/>
  <c r="H62" i="5"/>
  <c r="G62" i="5"/>
  <c r="F62" i="5"/>
  <c r="E62" i="5"/>
  <c r="E72" i="5" s="1"/>
  <c r="D62" i="5"/>
  <c r="C62" i="5"/>
  <c r="B62" i="5"/>
  <c r="B72" i="5" s="1"/>
  <c r="P61" i="5"/>
  <c r="E59" i="11" s="1"/>
  <c r="L61" i="5"/>
  <c r="K61" i="5"/>
  <c r="J61" i="5"/>
  <c r="I61" i="5"/>
  <c r="H61" i="5"/>
  <c r="G61" i="5"/>
  <c r="G71" i="5" s="1"/>
  <c r="F61" i="5"/>
  <c r="E61" i="5"/>
  <c r="E71" i="5" s="1"/>
  <c r="D61" i="5"/>
  <c r="C61" i="5"/>
  <c r="B61" i="5"/>
  <c r="P60" i="5"/>
  <c r="E58" i="11" s="1"/>
  <c r="L60" i="5"/>
  <c r="K60" i="5"/>
  <c r="J60" i="5"/>
  <c r="I60" i="5"/>
  <c r="H60" i="5"/>
  <c r="G60" i="5"/>
  <c r="F60" i="5"/>
  <c r="E60" i="5"/>
  <c r="D60" i="5"/>
  <c r="C60" i="5"/>
  <c r="B60" i="5"/>
  <c r="B70" i="5" s="1"/>
  <c r="P59" i="5"/>
  <c r="E57" i="11" s="1"/>
  <c r="L59" i="5"/>
  <c r="K59" i="5"/>
  <c r="J59" i="5"/>
  <c r="I59" i="5"/>
  <c r="H59" i="5"/>
  <c r="G59" i="5"/>
  <c r="G69" i="5" s="1"/>
  <c r="F59" i="5"/>
  <c r="E59" i="5"/>
  <c r="D59" i="5"/>
  <c r="C59" i="5"/>
  <c r="B59" i="5"/>
  <c r="K58" i="5"/>
  <c r="K64" i="10" s="1"/>
  <c r="J58" i="5"/>
  <c r="J64" i="10" s="1"/>
  <c r="H58" i="5"/>
  <c r="E58" i="5"/>
  <c r="C58" i="5"/>
  <c r="C64" i="10" s="1"/>
  <c r="B58" i="5"/>
  <c r="B68" i="5" s="1"/>
  <c r="J57" i="5"/>
  <c r="H57" i="5"/>
  <c r="G57" i="5"/>
  <c r="E57" i="5"/>
  <c r="B57" i="5"/>
  <c r="L56" i="5"/>
  <c r="K56" i="5"/>
  <c r="H56" i="5"/>
  <c r="H67" i="5" s="1"/>
  <c r="E56" i="5"/>
  <c r="E61" i="11" s="1"/>
  <c r="C56" i="5"/>
  <c r="L51" i="5"/>
  <c r="M51" i="5" s="1"/>
  <c r="K50" i="5"/>
  <c r="M50" i="5" s="1"/>
  <c r="H15" i="4" s="1"/>
  <c r="J49" i="5"/>
  <c r="M49" i="5" s="1"/>
  <c r="H14" i="4" s="1"/>
  <c r="D43" i="5"/>
  <c r="M43" i="5" s="1"/>
  <c r="H8" i="4" s="1"/>
  <c r="C42" i="5"/>
  <c r="M42" i="5" s="1"/>
  <c r="H7" i="4" s="1"/>
  <c r="C30" i="5"/>
  <c r="K29" i="5"/>
  <c r="C24" i="5"/>
  <c r="K22" i="5"/>
  <c r="L21" i="5"/>
  <c r="C21" i="5"/>
  <c r="M15" i="5"/>
  <c r="H30" i="5" s="1"/>
  <c r="L15" i="5"/>
  <c r="K15" i="5"/>
  <c r="K30" i="5" s="1"/>
  <c r="J15" i="5"/>
  <c r="H15" i="5"/>
  <c r="F15" i="5"/>
  <c r="E15" i="5"/>
  <c r="D15" i="5"/>
  <c r="C15" i="5"/>
  <c r="B15" i="5"/>
  <c r="M14" i="5"/>
  <c r="L14" i="5"/>
  <c r="K14" i="5"/>
  <c r="J14" i="5"/>
  <c r="H14" i="5"/>
  <c r="F14" i="5"/>
  <c r="E14" i="5"/>
  <c r="D14" i="5"/>
  <c r="C14" i="5"/>
  <c r="B14" i="5"/>
  <c r="L13" i="5"/>
  <c r="K13" i="5"/>
  <c r="J13" i="5"/>
  <c r="H13" i="5"/>
  <c r="F13" i="5"/>
  <c r="E13" i="5"/>
  <c r="D13" i="5"/>
  <c r="C13" i="5"/>
  <c r="B13" i="5"/>
  <c r="M11" i="5"/>
  <c r="D26" i="5" s="1"/>
  <c r="L11" i="5"/>
  <c r="K11" i="5"/>
  <c r="J11" i="5"/>
  <c r="H11" i="5"/>
  <c r="F11" i="5"/>
  <c r="E11" i="5"/>
  <c r="D11" i="5"/>
  <c r="C11" i="5"/>
  <c r="B11" i="5"/>
  <c r="M9" i="5"/>
  <c r="L9" i="5"/>
  <c r="L24" i="5" s="1"/>
  <c r="K9" i="5"/>
  <c r="K24" i="5" s="1"/>
  <c r="J9" i="5"/>
  <c r="H9" i="5"/>
  <c r="F9" i="5"/>
  <c r="E9" i="5"/>
  <c r="D9" i="5"/>
  <c r="C9" i="5"/>
  <c r="B9" i="5"/>
  <c r="L8" i="5"/>
  <c r="K8" i="5"/>
  <c r="J8" i="5"/>
  <c r="H8" i="5"/>
  <c r="F8" i="5"/>
  <c r="E8" i="5"/>
  <c r="E44" i="5" s="1"/>
  <c r="M44" i="5" s="1"/>
  <c r="D8" i="5"/>
  <c r="C8" i="5"/>
  <c r="B8" i="5"/>
  <c r="M7" i="5"/>
  <c r="F22" i="5" s="1"/>
  <c r="L7" i="5"/>
  <c r="L22" i="5" s="1"/>
  <c r="K7" i="5"/>
  <c r="J7" i="5"/>
  <c r="H7" i="5"/>
  <c r="F7" i="5"/>
  <c r="E7" i="5"/>
  <c r="D7" i="5"/>
  <c r="D22" i="5" s="1"/>
  <c r="C7" i="5"/>
  <c r="C22" i="5" s="1"/>
  <c r="B7" i="5"/>
  <c r="M6" i="5"/>
  <c r="L6" i="5"/>
  <c r="K6" i="5"/>
  <c r="J6" i="5"/>
  <c r="H6" i="5"/>
  <c r="H21" i="5" s="1"/>
  <c r="F6" i="5"/>
  <c r="E6" i="5"/>
  <c r="D6" i="5"/>
  <c r="D21" i="5" s="1"/>
  <c r="C6" i="5"/>
  <c r="B6" i="5"/>
  <c r="L5" i="5"/>
  <c r="K5" i="5"/>
  <c r="J5" i="5"/>
  <c r="H5" i="5"/>
  <c r="F5" i="5"/>
  <c r="E5" i="5"/>
  <c r="D5" i="5"/>
  <c r="C5" i="5"/>
  <c r="B5" i="5"/>
  <c r="D113" i="4"/>
  <c r="B16" i="4" s="1"/>
  <c r="C113" i="4"/>
  <c r="B112" i="4"/>
  <c r="D112" i="4" s="1"/>
  <c r="D111" i="4"/>
  <c r="B111" i="4"/>
  <c r="C108" i="4"/>
  <c r="B107" i="4"/>
  <c r="D107" i="4" s="1"/>
  <c r="C102" i="4"/>
  <c r="B101" i="4"/>
  <c r="D101" i="4" s="1"/>
  <c r="B100" i="4"/>
  <c r="D100" i="4" s="1"/>
  <c r="D102" i="4" s="1"/>
  <c r="B14" i="4" s="1"/>
  <c r="B106" i="4" s="1"/>
  <c r="D106" i="4" s="1"/>
  <c r="C97" i="4"/>
  <c r="C92" i="4"/>
  <c r="C87" i="4"/>
  <c r="C81" i="4"/>
  <c r="C76" i="4"/>
  <c r="B75" i="4"/>
  <c r="D75" i="4" s="1"/>
  <c r="C70" i="4"/>
  <c r="C65" i="4"/>
  <c r="B64" i="4"/>
  <c r="D64" i="4" s="1"/>
  <c r="C59" i="4"/>
  <c r="B58" i="4"/>
  <c r="D58" i="4" s="1"/>
  <c r="C49" i="4"/>
  <c r="B49" i="4"/>
  <c r="B48" i="4"/>
  <c r="C47" i="4"/>
  <c r="B47" i="4"/>
  <c r="C46" i="4"/>
  <c r="C48" i="4" s="1"/>
  <c r="C50" i="4" s="1"/>
  <c r="B63" i="4" s="1"/>
  <c r="D63" i="4" s="1"/>
  <c r="B46" i="4"/>
  <c r="G35" i="4"/>
  <c r="F35" i="4"/>
  <c r="D35" i="4"/>
  <c r="C35" i="4"/>
  <c r="B35" i="4"/>
  <c r="E25" i="4" s="1"/>
  <c r="G34" i="4"/>
  <c r="F34" i="4"/>
  <c r="E34" i="4"/>
  <c r="D34" i="4"/>
  <c r="C34" i="4"/>
  <c r="B34" i="4"/>
  <c r="E33" i="4"/>
  <c r="D33" i="4"/>
  <c r="G33" i="4" s="1"/>
  <c r="C33" i="4"/>
  <c r="F33" i="4" s="1"/>
  <c r="B33" i="4"/>
  <c r="F31" i="4"/>
  <c r="D31" i="4"/>
  <c r="G31" i="4" s="1"/>
  <c r="C31" i="4"/>
  <c r="B31" i="4"/>
  <c r="G29" i="4"/>
  <c r="D29" i="4"/>
  <c r="C29" i="4"/>
  <c r="F29" i="4" s="1"/>
  <c r="B29" i="4"/>
  <c r="G28" i="4"/>
  <c r="D28" i="4"/>
  <c r="C28" i="4"/>
  <c r="F28" i="4" s="1"/>
  <c r="B28" i="4"/>
  <c r="G27" i="4"/>
  <c r="F27" i="4"/>
  <c r="D27" i="4"/>
  <c r="C27" i="4"/>
  <c r="B27" i="4"/>
  <c r="F26" i="4"/>
  <c r="D26" i="4"/>
  <c r="G26" i="4" s="1"/>
  <c r="C26" i="4"/>
  <c r="B26" i="4"/>
  <c r="F25" i="4"/>
  <c r="H25" i="4" s="1"/>
  <c r="B56" i="4" s="1"/>
  <c r="D25" i="4"/>
  <c r="G25" i="4" s="1"/>
  <c r="C25" i="4"/>
  <c r="B25" i="4"/>
  <c r="I16" i="4"/>
  <c r="D16" i="4" s="1"/>
  <c r="H16" i="4"/>
  <c r="F16" i="4"/>
  <c r="I14" i="4"/>
  <c r="D14" i="4" s="1"/>
  <c r="F14" i="4"/>
  <c r="F13" i="4"/>
  <c r="F10" i="4"/>
  <c r="H9" i="4"/>
  <c r="F9" i="4"/>
  <c r="F8" i="4"/>
  <c r="F6" i="4"/>
  <c r="B25" i="3"/>
  <c r="B22" i="3"/>
  <c r="D15" i="3"/>
  <c r="C15" i="3"/>
  <c r="B15" i="3"/>
  <c r="D14" i="3"/>
  <c r="F15" i="4" s="1"/>
  <c r="C14" i="3"/>
  <c r="B14" i="3"/>
  <c r="D26" i="11" s="1"/>
  <c r="D13" i="3"/>
  <c r="C13" i="3"/>
  <c r="E25" i="11" s="1"/>
  <c r="B13" i="3"/>
  <c r="D25" i="11" s="1"/>
  <c r="D12" i="3"/>
  <c r="C12" i="3"/>
  <c r="C13" i="7" s="1"/>
  <c r="B12" i="3"/>
  <c r="B13" i="7" s="1"/>
  <c r="D11" i="3"/>
  <c r="F12" i="4" s="1"/>
  <c r="C11" i="3"/>
  <c r="E23" i="11" s="1"/>
  <c r="B11" i="3"/>
  <c r="D23" i="11" s="1"/>
  <c r="D10" i="3"/>
  <c r="F11" i="4" s="1"/>
  <c r="C10" i="3"/>
  <c r="E22" i="11" s="1"/>
  <c r="B10" i="3"/>
  <c r="D9" i="3"/>
  <c r="C9" i="3"/>
  <c r="C10" i="7" s="1"/>
  <c r="B9" i="3"/>
  <c r="D8" i="3"/>
  <c r="C8" i="3"/>
  <c r="E20" i="11" s="1"/>
  <c r="B8" i="3"/>
  <c r="D7" i="3"/>
  <c r="C7" i="3"/>
  <c r="B7" i="3"/>
  <c r="D6" i="3"/>
  <c r="F7" i="4" s="1"/>
  <c r="C6" i="3"/>
  <c r="B6" i="3"/>
  <c r="D18" i="11" s="1"/>
  <c r="D5" i="3"/>
  <c r="C5" i="3"/>
  <c r="B5" i="3"/>
  <c r="D17" i="11" s="1"/>
  <c r="P317" i="2"/>
  <c r="AE316" i="2"/>
  <c r="AB316" i="2"/>
  <c r="P316" i="2"/>
  <c r="AE315" i="2"/>
  <c r="AB315" i="2"/>
  <c r="AE314" i="2"/>
  <c r="AB314" i="2"/>
  <c r="P314" i="2"/>
  <c r="AE313" i="2"/>
  <c r="AB313" i="2"/>
  <c r="AE312" i="2"/>
  <c r="AB312" i="2"/>
  <c r="P312" i="2"/>
  <c r="AE311" i="2"/>
  <c r="AB311" i="2"/>
  <c r="P311" i="2"/>
  <c r="AE310" i="2"/>
  <c r="AB310" i="2"/>
  <c r="AE309" i="2"/>
  <c r="AB309" i="2"/>
  <c r="P309" i="2"/>
  <c r="AE308" i="2"/>
  <c r="AB308" i="2"/>
  <c r="P308" i="2"/>
  <c r="AE307" i="2"/>
  <c r="AB307" i="2"/>
  <c r="AE306" i="2"/>
  <c r="AB306" i="2"/>
  <c r="AE305" i="2"/>
  <c r="AB305" i="2"/>
  <c r="AE304" i="2"/>
  <c r="AB304" i="2"/>
  <c r="AE303" i="2"/>
  <c r="AB303" i="2"/>
  <c r="AE302" i="2"/>
  <c r="AB302" i="2"/>
  <c r="AE301" i="2"/>
  <c r="AB301" i="2"/>
  <c r="AE300" i="2"/>
  <c r="AB300" i="2"/>
  <c r="AE299" i="2"/>
  <c r="AB299" i="2"/>
  <c r="AE298" i="2"/>
  <c r="AB298" i="2"/>
  <c r="AE297" i="2"/>
  <c r="AB297" i="2"/>
  <c r="AE296" i="2"/>
  <c r="AB296" i="2"/>
  <c r="AE295" i="2"/>
  <c r="AB295" i="2"/>
  <c r="AE294" i="2"/>
  <c r="AB294" i="2"/>
  <c r="AE293" i="2"/>
  <c r="AB293" i="2"/>
  <c r="AE292" i="2"/>
  <c r="AB292" i="2"/>
  <c r="AE291" i="2"/>
  <c r="AB291" i="2"/>
  <c r="AE290" i="2"/>
  <c r="AB290" i="2"/>
  <c r="AE289" i="2"/>
  <c r="AB289" i="2"/>
  <c r="AE288" i="2"/>
  <c r="AB288" i="2"/>
  <c r="N288" i="2"/>
  <c r="AE287" i="2"/>
  <c r="AB287" i="2"/>
  <c r="N287" i="2"/>
  <c r="AE286" i="2"/>
  <c r="AB286" i="2"/>
  <c r="N286" i="2"/>
  <c r="AB285" i="2"/>
  <c r="N285" i="2"/>
  <c r="AE284" i="2"/>
  <c r="AB284" i="2"/>
  <c r="N284" i="2"/>
  <c r="AE283" i="2"/>
  <c r="AB283" i="2"/>
  <c r="N283" i="2"/>
  <c r="AE282" i="2"/>
  <c r="AB282" i="2"/>
  <c r="N282" i="2"/>
  <c r="AE281" i="2"/>
  <c r="AB281" i="2"/>
  <c r="AE280" i="2"/>
  <c r="AB280" i="2"/>
  <c r="AE279" i="2"/>
  <c r="AB279" i="2"/>
  <c r="AE278" i="2"/>
  <c r="AB278" i="2"/>
  <c r="AE277" i="2"/>
  <c r="AB277" i="2"/>
  <c r="AE276" i="2"/>
  <c r="AB276" i="2"/>
  <c r="AE275" i="2"/>
  <c r="AB275" i="2"/>
  <c r="AE274" i="2"/>
  <c r="AB274" i="2"/>
  <c r="AE273" i="2"/>
  <c r="AB273" i="2"/>
  <c r="AE272" i="2"/>
  <c r="AB272" i="2"/>
  <c r="AE271" i="2"/>
  <c r="AB271" i="2"/>
  <c r="AE270" i="2"/>
  <c r="AB270" i="2"/>
  <c r="AE269" i="2"/>
  <c r="AB269" i="2"/>
  <c r="AE268" i="2"/>
  <c r="AB268" i="2"/>
  <c r="AE267" i="2"/>
  <c r="AB267" i="2"/>
  <c r="AE266" i="2"/>
  <c r="AB266" i="2"/>
  <c r="AE265" i="2"/>
  <c r="AB265" i="2"/>
  <c r="AE264" i="2"/>
  <c r="AB264" i="2"/>
  <c r="AE263" i="2"/>
  <c r="AB263" i="2"/>
  <c r="AE262" i="2"/>
  <c r="AB262" i="2"/>
  <c r="AE261" i="2"/>
  <c r="AB261" i="2"/>
  <c r="AE260" i="2"/>
  <c r="AB260" i="2"/>
  <c r="AE259" i="2"/>
  <c r="AB259" i="2"/>
  <c r="AE258" i="2"/>
  <c r="AB258" i="2"/>
  <c r="AE257" i="2"/>
  <c r="AB257" i="2"/>
  <c r="AE256" i="2"/>
  <c r="AB256" i="2"/>
  <c r="N183" i="2"/>
  <c r="N182" i="2"/>
  <c r="N181" i="2"/>
  <c r="N180" i="2"/>
  <c r="N179" i="2"/>
  <c r="N178" i="2"/>
  <c r="N166" i="2"/>
  <c r="N165" i="2"/>
  <c r="N164" i="2"/>
  <c r="N163" i="2"/>
  <c r="N162" i="2"/>
  <c r="N161" i="2"/>
  <c r="N160" i="2"/>
  <c r="N159" i="2"/>
  <c r="N158" i="2"/>
  <c r="N157" i="2"/>
  <c r="N156" i="2"/>
  <c r="N155" i="2"/>
  <c r="V154" i="2"/>
  <c r="N154" i="2"/>
  <c r="V153" i="2"/>
  <c r="N153" i="2"/>
  <c r="V152" i="2"/>
  <c r="N152" i="2"/>
  <c r="V151" i="2"/>
  <c r="V150" i="2"/>
  <c r="V149" i="2"/>
  <c r="V148" i="2"/>
  <c r="V147" i="2"/>
  <c r="V146" i="2"/>
  <c r="V145" i="2"/>
  <c r="V144" i="2"/>
  <c r="V143" i="2"/>
  <c r="V142" i="2"/>
  <c r="V141" i="2"/>
  <c r="V140" i="2"/>
  <c r="V139" i="2"/>
  <c r="V138" i="2"/>
  <c r="V137" i="2"/>
  <c r="V136" i="2"/>
  <c r="V135" i="2"/>
  <c r="V134" i="2"/>
  <c r="V133" i="2"/>
  <c r="V132" i="2"/>
  <c r="V131" i="2"/>
  <c r="V130" i="2"/>
  <c r="V129" i="2"/>
  <c r="V128" i="2"/>
  <c r="V127" i="2"/>
  <c r="V126" i="2"/>
  <c r="V125" i="2"/>
  <c r="V124" i="2"/>
  <c r="V123" i="2"/>
  <c r="V122" i="2"/>
  <c r="V121" i="2"/>
  <c r="V120" i="2"/>
  <c r="V119" i="2"/>
  <c r="V118" i="2"/>
  <c r="V117" i="2"/>
  <c r="V116" i="2"/>
  <c r="V115" i="2"/>
  <c r="V114" i="2"/>
  <c r="V113" i="2"/>
  <c r="V112" i="2"/>
  <c r="V111" i="2"/>
  <c r="V110" i="2"/>
  <c r="V109" i="2"/>
  <c r="V108" i="2"/>
  <c r="V107" i="2"/>
  <c r="V106" i="2"/>
  <c r="V105" i="2"/>
  <c r="V104" i="2"/>
  <c r="V103" i="2"/>
  <c r="R103" i="2"/>
  <c r="V102" i="2"/>
  <c r="R102" i="2"/>
  <c r="V101" i="2"/>
  <c r="R101" i="2"/>
  <c r="V100" i="2"/>
  <c r="R100" i="2"/>
  <c r="V99" i="2"/>
  <c r="V98" i="2"/>
  <c r="V97" i="2"/>
  <c r="V96" i="2"/>
  <c r="V95" i="2"/>
  <c r="V94" i="2"/>
  <c r="V93" i="2"/>
  <c r="V92" i="2"/>
  <c r="V91" i="2"/>
  <c r="V90" i="2"/>
  <c r="V89" i="2"/>
  <c r="V88" i="2"/>
  <c r="V87" i="2"/>
  <c r="V86" i="2"/>
  <c r="V85" i="2"/>
  <c r="V84" i="2"/>
  <c r="V83" i="2"/>
  <c r="V82" i="2"/>
  <c r="V81" i="2"/>
  <c r="V80" i="2"/>
  <c r="V79" i="2"/>
  <c r="V78" i="2"/>
  <c r="V77" i="2"/>
  <c r="V76" i="2"/>
  <c r="Z77" i="2" s="1"/>
  <c r="Z78" i="2" s="1"/>
  <c r="Z79" i="2" s="1"/>
  <c r="Z80" i="2" s="1"/>
  <c r="Z81" i="2" s="1"/>
  <c r="Z82" i="2" s="1"/>
  <c r="Z83" i="2" s="1"/>
  <c r="Z84" i="2" s="1"/>
  <c r="Z85" i="2" s="1"/>
  <c r="Z86" i="2" s="1"/>
  <c r="Z87" i="2" s="1"/>
  <c r="Z88" i="2" s="1"/>
  <c r="Z89" i="2" s="1"/>
  <c r="Z90" i="2" s="1"/>
  <c r="Z91" i="2" s="1"/>
  <c r="Z92" i="2" s="1"/>
  <c r="Z93" i="2" s="1"/>
  <c r="Z94" i="2" s="1"/>
  <c r="Z95" i="2" s="1"/>
  <c r="Z96" i="2" s="1"/>
  <c r="Z97" i="2" s="1"/>
  <c r="Z98" i="2" s="1"/>
  <c r="Z99" i="2" s="1"/>
  <c r="Z100" i="2" s="1"/>
  <c r="Z101" i="2" s="1"/>
  <c r="Z102" i="2" s="1"/>
  <c r="Z103" i="2" s="1"/>
  <c r="Z104" i="2" s="1"/>
  <c r="Z105" i="2" s="1"/>
  <c r="Z106" i="2" s="1"/>
  <c r="Z107" i="2" s="1"/>
  <c r="Z108" i="2" s="1"/>
  <c r="Z109" i="2" s="1"/>
  <c r="Z110" i="2" s="1"/>
  <c r="Z111" i="2" s="1"/>
  <c r="Z112" i="2" s="1"/>
  <c r="Z113" i="2" s="1"/>
  <c r="Z114" i="2" s="1"/>
  <c r="Z115" i="2" s="1"/>
  <c r="Z116" i="2" s="1"/>
  <c r="Z117" i="2" s="1"/>
  <c r="Z118" i="2" s="1"/>
  <c r="Z119" i="2" s="1"/>
  <c r="Z120" i="2" s="1"/>
  <c r="Z121" i="2" s="1"/>
  <c r="Z122" i="2" s="1"/>
  <c r="Z123" i="2" s="1"/>
  <c r="Z124" i="2" s="1"/>
  <c r="Z125" i="2" s="1"/>
  <c r="Z126" i="2" s="1"/>
  <c r="Z127" i="2" s="1"/>
  <c r="Z128" i="2" s="1"/>
  <c r="Z129" i="2" s="1"/>
  <c r="Z130" i="2" s="1"/>
  <c r="Z131" i="2" s="1"/>
  <c r="Z132" i="2" s="1"/>
  <c r="Z133" i="2" s="1"/>
  <c r="Z134" i="2" s="1"/>
  <c r="Z135" i="2" s="1"/>
  <c r="Z136" i="2" s="1"/>
  <c r="Z137" i="2" s="1"/>
  <c r="Z138" i="2" s="1"/>
  <c r="Z139" i="2" s="1"/>
  <c r="Z140" i="2" s="1"/>
  <c r="Z141" i="2" s="1"/>
  <c r="Z142" i="2" s="1"/>
  <c r="Z143" i="2" s="1"/>
  <c r="Z144" i="2" s="1"/>
  <c r="Z145" i="2" s="1"/>
  <c r="Z146" i="2" s="1"/>
  <c r="Z147" i="2" s="1"/>
  <c r="Z148" i="2" s="1"/>
  <c r="Z149" i="2" s="1"/>
  <c r="Z150" i="2" s="1"/>
  <c r="Z151" i="2" s="1"/>
  <c r="Z152" i="2" s="1"/>
  <c r="Z153" i="2" s="1"/>
  <c r="Z154" i="2" s="1"/>
  <c r="Z75" i="2"/>
  <c r="Z76" i="2" s="1"/>
  <c r="V75" i="2"/>
  <c r="V74" i="2"/>
  <c r="P58" i="2"/>
  <c r="Q54" i="2"/>
  <c r="Q53" i="2"/>
  <c r="P53" i="2"/>
  <c r="Q51" i="2"/>
  <c r="Q50" i="2"/>
  <c r="Q48" i="2"/>
  <c r="O48" i="2"/>
  <c r="K41" i="1"/>
  <c r="C27" i="1"/>
  <c r="C26" i="1"/>
  <c r="I16" i="1"/>
  <c r="I15" i="1"/>
  <c r="I14" i="1"/>
  <c r="D12" i="1"/>
  <c r="I11" i="1"/>
  <c r="D11" i="1"/>
  <c r="I10" i="1"/>
  <c r="I9" i="1"/>
  <c r="D9" i="1"/>
  <c r="I8" i="1"/>
  <c r="D8" i="1"/>
  <c r="F7" i="1"/>
  <c r="E7" i="1"/>
  <c r="D7" i="1"/>
  <c r="Q49" i="2" s="1"/>
  <c r="B7" i="1"/>
  <c r="O49" i="2" s="1"/>
  <c r="I6" i="1"/>
  <c r="D6" i="1"/>
  <c r="B6" i="1"/>
  <c r="D56" i="4" l="1"/>
  <c r="B24" i="5"/>
  <c r="E26" i="11"/>
  <c r="K57" i="5"/>
  <c r="C15" i="7"/>
  <c r="B22" i="5"/>
  <c r="K70" i="5"/>
  <c r="AD85" i="14"/>
  <c r="AD49" i="14"/>
  <c r="AD59" i="14"/>
  <c r="AD31" i="14"/>
  <c r="AD10" i="14"/>
  <c r="AD29" i="14"/>
  <c r="AD16" i="14"/>
  <c r="AD27" i="14"/>
  <c r="AD53" i="14"/>
  <c r="AD20" i="14"/>
  <c r="AD6" i="14"/>
  <c r="AD25" i="14"/>
  <c r="F21" i="5"/>
  <c r="J65" i="10"/>
  <c r="J67" i="10" s="1"/>
  <c r="J66" i="10"/>
  <c r="C76" i="11"/>
  <c r="B14" i="1"/>
  <c r="O56" i="2" s="1"/>
  <c r="K65" i="10"/>
  <c r="K67" i="10" s="1"/>
  <c r="K66" i="10"/>
  <c r="H33" i="4"/>
  <c r="J71" i="5"/>
  <c r="J72" i="5"/>
  <c r="D21" i="11"/>
  <c r="F56" i="5"/>
  <c r="B10" i="7"/>
  <c r="C10" i="6"/>
  <c r="I10" i="6" s="1"/>
  <c r="I41" i="7"/>
  <c r="E18" i="11"/>
  <c r="C57" i="5"/>
  <c r="AA7" i="14" s="1"/>
  <c r="D7" i="6"/>
  <c r="C7" i="1" s="1"/>
  <c r="P49" i="2" s="1"/>
  <c r="C7" i="7"/>
  <c r="H28" i="7" s="1"/>
  <c r="K20" i="5"/>
  <c r="B20" i="5"/>
  <c r="M5" i="5"/>
  <c r="B11" i="13"/>
  <c r="D11" i="13" s="1"/>
  <c r="E38" i="6"/>
  <c r="C77" i="11"/>
  <c r="B15" i="1"/>
  <c r="O57" i="2" s="1"/>
  <c r="B76" i="11"/>
  <c r="I14" i="6"/>
  <c r="D14" i="1"/>
  <c r="Q56" i="2" s="1"/>
  <c r="H14" i="6"/>
  <c r="B51" i="6"/>
  <c r="J16" i="1"/>
  <c r="K16" i="1" s="1"/>
  <c r="P182" i="2"/>
  <c r="P183" i="2"/>
  <c r="P180" i="2"/>
  <c r="G19" i="4"/>
  <c r="P178" i="2"/>
  <c r="P179" i="2"/>
  <c r="P181" i="2"/>
  <c r="B69" i="4"/>
  <c r="D69" i="4" s="1"/>
  <c r="E27" i="4"/>
  <c r="H27" i="4" s="1"/>
  <c r="B68" i="4" s="1"/>
  <c r="P310" i="2"/>
  <c r="D24" i="5"/>
  <c r="K26" i="5"/>
  <c r="B29" i="5"/>
  <c r="C29" i="5"/>
  <c r="K21" i="5"/>
  <c r="I70" i="5"/>
  <c r="K68" i="5"/>
  <c r="D15" i="6"/>
  <c r="C15" i="1" s="1"/>
  <c r="P57" i="2" s="1"/>
  <c r="F30" i="5"/>
  <c r="H24" i="5"/>
  <c r="L29" i="5"/>
  <c r="J68" i="5"/>
  <c r="B30" i="3"/>
  <c r="H34" i="4"/>
  <c r="B26" i="5"/>
  <c r="D29" i="5"/>
  <c r="B41" i="5"/>
  <c r="J70" i="5"/>
  <c r="T9" i="10"/>
  <c r="X21" i="10"/>
  <c r="X41" i="10"/>
  <c r="T41" i="10"/>
  <c r="X53" i="10"/>
  <c r="B36" i="6"/>
  <c r="I11" i="7"/>
  <c r="H11" i="7"/>
  <c r="F11" i="7"/>
  <c r="C46" i="7" s="1"/>
  <c r="D46" i="7" s="1"/>
  <c r="E46" i="7" s="1"/>
  <c r="D24" i="11"/>
  <c r="C13" i="6"/>
  <c r="I56" i="5"/>
  <c r="B30" i="5"/>
  <c r="D19" i="11"/>
  <c r="C8" i="6"/>
  <c r="D27" i="11"/>
  <c r="B16" i="7"/>
  <c r="C16" i="6"/>
  <c r="K28" i="5"/>
  <c r="D10" i="6"/>
  <c r="C10" i="1" s="1"/>
  <c r="P52" i="2" s="1"/>
  <c r="B75" i="11"/>
  <c r="I13" i="6"/>
  <c r="H16" i="6"/>
  <c r="B50" i="6"/>
  <c r="E11" i="7"/>
  <c r="E19" i="11"/>
  <c r="D57" i="5"/>
  <c r="D70" i="5" s="1"/>
  <c r="E27" i="11"/>
  <c r="C16" i="7"/>
  <c r="L57" i="5"/>
  <c r="L72" i="5" s="1"/>
  <c r="C68" i="5"/>
  <c r="B72" i="11"/>
  <c r="B47" i="6"/>
  <c r="F58" i="5"/>
  <c r="I15" i="6"/>
  <c r="G11" i="7"/>
  <c r="I13" i="7"/>
  <c r="H13" i="7"/>
  <c r="B48" i="7"/>
  <c r="D48" i="7" s="1"/>
  <c r="E48" i="7" s="1"/>
  <c r="F13" i="7"/>
  <c r="C48" i="7" s="1"/>
  <c r="B78" i="11"/>
  <c r="B53" i="6"/>
  <c r="L58" i="5"/>
  <c r="B11" i="1"/>
  <c r="O53" i="2" s="1"/>
  <c r="E26" i="4"/>
  <c r="H26" i="4" s="1"/>
  <c r="B62" i="4" s="1"/>
  <c r="B80" i="4"/>
  <c r="D80" i="4" s="1"/>
  <c r="E29" i="4"/>
  <c r="B105" i="4"/>
  <c r="M13" i="5"/>
  <c r="F29" i="5"/>
  <c r="F57" i="5"/>
  <c r="E64" i="10"/>
  <c r="E68" i="5"/>
  <c r="L69" i="5"/>
  <c r="C68" i="11"/>
  <c r="D8" i="6"/>
  <c r="B71" i="11"/>
  <c r="B69" i="11"/>
  <c r="H7" i="6"/>
  <c r="H22" i="7"/>
  <c r="I10" i="7"/>
  <c r="H10" i="7"/>
  <c r="F10" i="7"/>
  <c r="E13" i="7"/>
  <c r="F22" i="7"/>
  <c r="E24" i="11"/>
  <c r="D13" i="6"/>
  <c r="C13" i="1" s="1"/>
  <c r="P55" i="2" s="1"/>
  <c r="I26" i="6"/>
  <c r="I57" i="5"/>
  <c r="F24" i="5"/>
  <c r="D56" i="5"/>
  <c r="AA25" i="14"/>
  <c r="AA15" i="14"/>
  <c r="AA21" i="14"/>
  <c r="B64" i="10"/>
  <c r="B69" i="5"/>
  <c r="J69" i="5"/>
  <c r="B77" i="11"/>
  <c r="H15" i="6"/>
  <c r="D22" i="11"/>
  <c r="G56" i="5"/>
  <c r="G67" i="5" s="1"/>
  <c r="H29" i="5"/>
  <c r="L30" i="5"/>
  <c r="D30" i="5"/>
  <c r="L26" i="5"/>
  <c r="C66" i="10"/>
  <c r="C65" i="10"/>
  <c r="C67" i="10" s="1"/>
  <c r="P318" i="2"/>
  <c r="E17" i="11"/>
  <c r="C16" i="3"/>
  <c r="B8" i="13" s="1"/>
  <c r="D8" i="13" s="1"/>
  <c r="D20" i="11"/>
  <c r="C9" i="6"/>
  <c r="C17" i="6" s="1"/>
  <c r="B16" i="3"/>
  <c r="B7" i="13" s="1"/>
  <c r="D7" i="13" s="1"/>
  <c r="B91" i="4"/>
  <c r="D91" i="4" s="1"/>
  <c r="E31" i="4"/>
  <c r="H31" i="4" s="1"/>
  <c r="E35" i="4"/>
  <c r="H35" i="4" s="1"/>
  <c r="B50" i="4"/>
  <c r="B57" i="4" s="1"/>
  <c r="D57" i="4" s="1"/>
  <c r="H20" i="5"/>
  <c r="M8" i="5"/>
  <c r="E24" i="5" s="1"/>
  <c r="H47" i="5"/>
  <c r="M47" i="5" s="1"/>
  <c r="H12" i="4" s="1"/>
  <c r="H26" i="5"/>
  <c r="H22" i="5"/>
  <c r="C26" i="5"/>
  <c r="H64" i="10"/>
  <c r="H68" i="5"/>
  <c r="E69" i="5"/>
  <c r="G70" i="5"/>
  <c r="E67" i="5"/>
  <c r="D6" i="6"/>
  <c r="B8" i="7"/>
  <c r="E10" i="7"/>
  <c r="G13" i="7"/>
  <c r="B45" i="7"/>
  <c r="AE71" i="10"/>
  <c r="W12" i="10"/>
  <c r="W11" i="10"/>
  <c r="T19" i="10"/>
  <c r="X19" i="10"/>
  <c r="AB242" i="10"/>
  <c r="X242" i="10"/>
  <c r="T242" i="10"/>
  <c r="AB248" i="10"/>
  <c r="X248" i="10"/>
  <c r="T248" i="10"/>
  <c r="E21" i="11"/>
  <c r="I23" i="6"/>
  <c r="I27" i="6" s="1"/>
  <c r="C20" i="5"/>
  <c r="C67" i="5"/>
  <c r="C12" i="1"/>
  <c r="P54" i="2" s="1"/>
  <c r="D10" i="1"/>
  <c r="Q52" i="2" s="1"/>
  <c r="D13" i="1"/>
  <c r="Q55" i="2" s="1"/>
  <c r="D15" i="1"/>
  <c r="Q57" i="2" s="1"/>
  <c r="D16" i="1"/>
  <c r="Q58" i="2" s="1"/>
  <c r="E28" i="4"/>
  <c r="H28" i="4" s="1"/>
  <c r="B73" i="4" s="1"/>
  <c r="J22" i="5"/>
  <c r="K67" i="5"/>
  <c r="I58" i="5"/>
  <c r="AB85" i="14" s="1"/>
  <c r="C72" i="5"/>
  <c r="K72" i="5"/>
  <c r="B10" i="13"/>
  <c r="D10" i="13" s="1"/>
  <c r="B68" i="11"/>
  <c r="C45" i="10"/>
  <c r="B37" i="6"/>
  <c r="E37" i="6" s="1"/>
  <c r="I6" i="6"/>
  <c r="B34" i="6"/>
  <c r="H10" i="6"/>
  <c r="I11" i="6"/>
  <c r="E17" i="6"/>
  <c r="B9" i="13" s="1"/>
  <c r="D9" i="13" s="1"/>
  <c r="B35" i="6"/>
  <c r="B43" i="6"/>
  <c r="C8" i="7"/>
  <c r="F28" i="7" s="1"/>
  <c r="G10" i="7"/>
  <c r="B47" i="7"/>
  <c r="D47" i="7" s="1"/>
  <c r="E47" i="7" s="1"/>
  <c r="I12" i="7"/>
  <c r="H12" i="7"/>
  <c r="F12" i="7"/>
  <c r="C47" i="7" s="1"/>
  <c r="D17" i="7"/>
  <c r="T102" i="10"/>
  <c r="AB102" i="10"/>
  <c r="X102" i="10"/>
  <c r="X114" i="10"/>
  <c r="T134" i="10"/>
  <c r="AB134" i="10"/>
  <c r="X134" i="10"/>
  <c r="X146" i="10"/>
  <c r="X148" i="10"/>
  <c r="AB148" i="10"/>
  <c r="T149" i="10"/>
  <c r="W218" i="10"/>
  <c r="AE218" i="10"/>
  <c r="AA218" i="10"/>
  <c r="AA230" i="10"/>
  <c r="AB224" i="10"/>
  <c r="T224" i="10"/>
  <c r="X224" i="10"/>
  <c r="X272" i="10"/>
  <c r="T272" i="10"/>
  <c r="X284" i="10"/>
  <c r="AB272" i="10"/>
  <c r="X694" i="10"/>
  <c r="T695" i="10"/>
  <c r="AB694" i="10"/>
  <c r="T694" i="10"/>
  <c r="AB699" i="10"/>
  <c r="T699" i="10"/>
  <c r="X699" i="10"/>
  <c r="X701" i="10"/>
  <c r="AB701" i="10"/>
  <c r="T701" i="10"/>
  <c r="B24" i="13"/>
  <c r="D24" i="13" s="1"/>
  <c r="P5" i="10"/>
  <c r="X17" i="10" s="1"/>
  <c r="B51" i="10" s="1"/>
  <c r="K34" i="1" s="1"/>
  <c r="X39" i="10"/>
  <c r="T39" i="10"/>
  <c r="X51" i="10"/>
  <c r="AB129" i="10"/>
  <c r="T129" i="10"/>
  <c r="X129" i="10"/>
  <c r="X238" i="10"/>
  <c r="T238" i="10"/>
  <c r="X250" i="10"/>
  <c r="AB238" i="10"/>
  <c r="AB367" i="10"/>
  <c r="X367" i="10"/>
  <c r="T367" i="10"/>
  <c r="U7" i="10"/>
  <c r="Q8" i="10"/>
  <c r="G25" i="10"/>
  <c r="G24" i="10"/>
  <c r="D30" i="10" s="1"/>
  <c r="X22" i="10"/>
  <c r="T10" i="10"/>
  <c r="X100" i="10"/>
  <c r="X112" i="10"/>
  <c r="AB100" i="10"/>
  <c r="T100" i="10"/>
  <c r="T101" i="10"/>
  <c r="AB120" i="10"/>
  <c r="X120" i="10"/>
  <c r="T120" i="10"/>
  <c r="T148" i="10"/>
  <c r="T208" i="10"/>
  <c r="X208" i="10"/>
  <c r="AB208" i="10"/>
  <c r="AB214" i="10"/>
  <c r="T214" i="10"/>
  <c r="AB274" i="10"/>
  <c r="X214" i="10"/>
  <c r="B23" i="13"/>
  <c r="D23" i="13" s="1"/>
  <c r="F26" i="5"/>
  <c r="F45" i="5"/>
  <c r="M45" i="5" s="1"/>
  <c r="H10" i="4" s="1"/>
  <c r="D58" i="5"/>
  <c r="AB53" i="14" s="1"/>
  <c r="AC85" i="14"/>
  <c r="AC53" i="14"/>
  <c r="AC57" i="14"/>
  <c r="AC54" i="14"/>
  <c r="AC25" i="14"/>
  <c r="AC11" i="14"/>
  <c r="AC49" i="14"/>
  <c r="AC13" i="14"/>
  <c r="AC71" i="14"/>
  <c r="AC15" i="14"/>
  <c r="AC17" i="14"/>
  <c r="AC19" i="14"/>
  <c r="AC59" i="14"/>
  <c r="AC21" i="14"/>
  <c r="AC23" i="14"/>
  <c r="AC7" i="14"/>
  <c r="AC58" i="14"/>
  <c r="AC9" i="14"/>
  <c r="C12" i="6"/>
  <c r="B45" i="6"/>
  <c r="B6" i="7"/>
  <c r="G28" i="7" s="1"/>
  <c r="X103" i="10"/>
  <c r="T103" i="10"/>
  <c r="AB103" i="10"/>
  <c r="X115" i="10"/>
  <c r="T123" i="10"/>
  <c r="AB183" i="10"/>
  <c r="X123" i="10"/>
  <c r="AB123" i="10"/>
  <c r="AB130" i="10"/>
  <c r="X130" i="10"/>
  <c r="T130" i="10"/>
  <c r="T139" i="10"/>
  <c r="AB139" i="10"/>
  <c r="X139" i="10"/>
  <c r="AA159" i="10"/>
  <c r="W159" i="10"/>
  <c r="W160" i="10"/>
  <c r="AA171" i="10"/>
  <c r="AE159" i="10"/>
  <c r="T185" i="10"/>
  <c r="T186" i="10"/>
  <c r="X185" i="10"/>
  <c r="AB185" i="10"/>
  <c r="X226" i="10"/>
  <c r="AB226" i="10"/>
  <c r="T226" i="10"/>
  <c r="AB286" i="10"/>
  <c r="X243" i="10"/>
  <c r="T243" i="10"/>
  <c r="AB243" i="10"/>
  <c r="AB303" i="10"/>
  <c r="AB353" i="10"/>
  <c r="T353" i="10"/>
  <c r="X353" i="10"/>
  <c r="T459" i="10"/>
  <c r="AB459" i="10"/>
  <c r="X459" i="10"/>
  <c r="AB519" i="10"/>
  <c r="X471" i="10"/>
  <c r="T463" i="10"/>
  <c r="X463" i="10"/>
  <c r="AB463" i="10"/>
  <c r="AE77" i="10"/>
  <c r="AA29" i="10"/>
  <c r="AA17" i="10"/>
  <c r="W17" i="10"/>
  <c r="W18" i="10"/>
  <c r="X61" i="10"/>
  <c r="T61" i="10"/>
  <c r="T179" i="10"/>
  <c r="AB179" i="10"/>
  <c r="X179" i="10"/>
  <c r="T339" i="10"/>
  <c r="AB399" i="10"/>
  <c r="AB339" i="10"/>
  <c r="X339" i="10"/>
  <c r="X390" i="10"/>
  <c r="X402" i="10"/>
  <c r="T391" i="10"/>
  <c r="T390" i="10"/>
  <c r="AB450" i="10"/>
  <c r="AB390" i="10"/>
  <c r="AE513" i="10"/>
  <c r="W513" i="10"/>
  <c r="AA513" i="10"/>
  <c r="W514" i="10"/>
  <c r="AB515" i="10"/>
  <c r="T515" i="10"/>
  <c r="X515" i="10"/>
  <c r="AB575" i="10"/>
  <c r="C9" i="7"/>
  <c r="W25" i="10"/>
  <c r="AA25" i="10"/>
  <c r="D28" i="10"/>
  <c r="D43" i="10" s="1"/>
  <c r="O204" i="2" s="1"/>
  <c r="D37" i="10"/>
  <c r="X68" i="10"/>
  <c r="T69" i="10"/>
  <c r="AB68" i="10"/>
  <c r="T68" i="10"/>
  <c r="X145" i="10"/>
  <c r="AB145" i="10"/>
  <c r="AB205" i="10"/>
  <c r="T145" i="10"/>
  <c r="T163" i="10"/>
  <c r="X163" i="10"/>
  <c r="AB163" i="10"/>
  <c r="T283" i="10"/>
  <c r="AB283" i="10"/>
  <c r="X283" i="10"/>
  <c r="T422" i="10"/>
  <c r="AB482" i="10"/>
  <c r="X422" i="10"/>
  <c r="X434" i="10"/>
  <c r="AB422" i="10"/>
  <c r="B56" i="5"/>
  <c r="J56" i="5"/>
  <c r="J67" i="5" s="1"/>
  <c r="G58" i="5"/>
  <c r="AB49" i="14" s="1"/>
  <c r="D9" i="6"/>
  <c r="H11" i="6"/>
  <c r="B48" i="6"/>
  <c r="B7" i="7"/>
  <c r="X23" i="10"/>
  <c r="AB71" i="10"/>
  <c r="T11" i="10"/>
  <c r="T24" i="10"/>
  <c r="X36" i="10"/>
  <c r="X24" i="10"/>
  <c r="T56" i="10"/>
  <c r="X56" i="10"/>
  <c r="AB368" i="10"/>
  <c r="T368" i="10"/>
  <c r="X368" i="10"/>
  <c r="T371" i="10"/>
  <c r="AB371" i="10"/>
  <c r="X371" i="10"/>
  <c r="X79" i="10"/>
  <c r="AB79" i="10"/>
  <c r="T79" i="10"/>
  <c r="W89" i="10"/>
  <c r="AE89" i="10"/>
  <c r="AA89" i="10"/>
  <c r="AA95" i="10"/>
  <c r="W95" i="10"/>
  <c r="W96" i="10"/>
  <c r="AE95" i="10"/>
  <c r="AA107" i="10"/>
  <c r="T174" i="10"/>
  <c r="X174" i="10"/>
  <c r="X186" i="10"/>
  <c r="AB174" i="10"/>
  <c r="W177" i="10"/>
  <c r="AE177" i="10"/>
  <c r="W178" i="10"/>
  <c r="AA177" i="10"/>
  <c r="AA251" i="10"/>
  <c r="AE251" i="10"/>
  <c r="W252" i="10"/>
  <c r="AB258" i="10"/>
  <c r="X258" i="10"/>
  <c r="T258" i="10"/>
  <c r="AA288" i="10"/>
  <c r="AA300" i="10"/>
  <c r="AE348" i="10"/>
  <c r="AE288" i="10"/>
  <c r="W289" i="10"/>
  <c r="W288" i="10"/>
  <c r="AB345" i="10"/>
  <c r="T345" i="10"/>
  <c r="X345" i="10"/>
  <c r="AB385" i="10"/>
  <c r="T385" i="10"/>
  <c r="X385" i="10"/>
  <c r="AA22" i="10"/>
  <c r="W10" i="10"/>
  <c r="E35" i="10"/>
  <c r="AE73" i="10"/>
  <c r="X84" i="10"/>
  <c r="AB84" i="10"/>
  <c r="T84" i="10"/>
  <c r="AB136" i="10"/>
  <c r="X136" i="10"/>
  <c r="T136" i="10"/>
  <c r="X140" i="10"/>
  <c r="AB140" i="10"/>
  <c r="T140" i="10"/>
  <c r="AD307" i="10"/>
  <c r="Z247" i="10"/>
  <c r="V247" i="10"/>
  <c r="V248" i="10"/>
  <c r="AB268" i="10"/>
  <c r="T268" i="10"/>
  <c r="X268" i="10"/>
  <c r="W311" i="10"/>
  <c r="AE371" i="10"/>
  <c r="AE311" i="10"/>
  <c r="AA323" i="10"/>
  <c r="AA311" i="10"/>
  <c r="AB354" i="10"/>
  <c r="T354" i="10"/>
  <c r="AB414" i="10"/>
  <c r="X354" i="10"/>
  <c r="AE443" i="10"/>
  <c r="AA383" i="10"/>
  <c r="AA395" i="10"/>
  <c r="AE383" i="10"/>
  <c r="W383" i="10"/>
  <c r="AE417" i="10"/>
  <c r="W417" i="10"/>
  <c r="AE477" i="10"/>
  <c r="AA417" i="10"/>
  <c r="T12" i="10"/>
  <c r="T25" i="10"/>
  <c r="X25" i="10"/>
  <c r="T155" i="10"/>
  <c r="X155" i="10"/>
  <c r="AB155" i="10"/>
  <c r="T225" i="10"/>
  <c r="AB225" i="10"/>
  <c r="AB285" i="10"/>
  <c r="X225" i="10"/>
  <c r="T237" i="10"/>
  <c r="X237" i="10"/>
  <c r="AB237" i="10"/>
  <c r="W251" i="10"/>
  <c r="W43" i="10"/>
  <c r="AA43" i="10"/>
  <c r="AA55" i="10"/>
  <c r="T65" i="10"/>
  <c r="X77" i="10"/>
  <c r="AB109" i="10"/>
  <c r="X109" i="10"/>
  <c r="T109" i="10"/>
  <c r="T153" i="10"/>
  <c r="AB213" i="10"/>
  <c r="AB153" i="10"/>
  <c r="X165" i="10"/>
  <c r="X153" i="10"/>
  <c r="T154" i="10"/>
  <c r="T229" i="10"/>
  <c r="T230" i="10"/>
  <c r="AB229" i="10"/>
  <c r="AB370" i="10"/>
  <c r="T370" i="10"/>
  <c r="AB430" i="10"/>
  <c r="X370" i="10"/>
  <c r="T31" i="10"/>
  <c r="X31" i="10"/>
  <c r="AA35" i="10"/>
  <c r="W35" i="10"/>
  <c r="W36" i="10"/>
  <c r="T166" i="10"/>
  <c r="X166" i="10"/>
  <c r="X178" i="10"/>
  <c r="AB166" i="10"/>
  <c r="W180" i="10"/>
  <c r="AA180" i="10"/>
  <c r="AE180" i="10"/>
  <c r="AE240" i="10"/>
  <c r="W193" i="10"/>
  <c r="AE193" i="10"/>
  <c r="AA193" i="10"/>
  <c r="X196" i="10"/>
  <c r="T197" i="10"/>
  <c r="T196" i="10"/>
  <c r="AB196" i="10"/>
  <c r="T222" i="10"/>
  <c r="AB222" i="10"/>
  <c r="AB282" i="10"/>
  <c r="X222" i="10"/>
  <c r="T223" i="10"/>
  <c r="AB289" i="10"/>
  <c r="T289" i="10"/>
  <c r="X289" i="10"/>
  <c r="AB320" i="10"/>
  <c r="T320" i="10"/>
  <c r="X320" i="10"/>
  <c r="V362" i="10"/>
  <c r="AD361" i="10"/>
  <c r="Z361" i="10"/>
  <c r="V361" i="10"/>
  <c r="AB532" i="10"/>
  <c r="T532" i="10"/>
  <c r="AB592" i="10"/>
  <c r="X532" i="10"/>
  <c r="T533" i="10"/>
  <c r="AB66" i="10"/>
  <c r="W9" i="10"/>
  <c r="AA21" i="10"/>
  <c r="W15" i="10"/>
  <c r="AA27" i="10"/>
  <c r="T18" i="10"/>
  <c r="X18" i="10"/>
  <c r="E29" i="10"/>
  <c r="T30" i="10"/>
  <c r="AB90" i="10"/>
  <c r="X30" i="10"/>
  <c r="D33" i="10"/>
  <c r="X48" i="10"/>
  <c r="T48" i="10"/>
  <c r="T49" i="10"/>
  <c r="W52" i="10"/>
  <c r="AE112" i="10"/>
  <c r="AA52" i="10"/>
  <c r="W53" i="10"/>
  <c r="T58" i="10"/>
  <c r="X58" i="10"/>
  <c r="X65" i="10"/>
  <c r="X124" i="10"/>
  <c r="T124" i="10"/>
  <c r="AB124" i="10"/>
  <c r="T131" i="10"/>
  <c r="AB131" i="10"/>
  <c r="AB191" i="10"/>
  <c r="X164" i="10"/>
  <c r="T165" i="10"/>
  <c r="T164" i="10"/>
  <c r="X176" i="10"/>
  <c r="T170" i="10"/>
  <c r="AB170" i="10"/>
  <c r="X170" i="10"/>
  <c r="T187" i="10"/>
  <c r="X187" i="10"/>
  <c r="AB247" i="10"/>
  <c r="AB187" i="10"/>
  <c r="AB212" i="10"/>
  <c r="X212" i="10"/>
  <c r="T213" i="10"/>
  <c r="AB217" i="10"/>
  <c r="T217" i="10"/>
  <c r="AB277" i="10"/>
  <c r="X217" i="10"/>
  <c r="T271" i="10"/>
  <c r="X271" i="10"/>
  <c r="AB331" i="10"/>
  <c r="AB271" i="10"/>
  <c r="AB281" i="10"/>
  <c r="T281" i="10"/>
  <c r="AB341" i="10"/>
  <c r="X281" i="10"/>
  <c r="AB336" i="10"/>
  <c r="T336" i="10"/>
  <c r="X336" i="10"/>
  <c r="AB423" i="10"/>
  <c r="T424" i="10"/>
  <c r="X423" i="10"/>
  <c r="AB483" i="10"/>
  <c r="T423" i="10"/>
  <c r="X435" i="10"/>
  <c r="X26" i="10"/>
  <c r="AB86" i="10"/>
  <c r="X38" i="10"/>
  <c r="T26" i="10"/>
  <c r="E33" i="10"/>
  <c r="X34" i="10"/>
  <c r="T34" i="10"/>
  <c r="T35" i="10"/>
  <c r="D36" i="10"/>
  <c r="X46" i="10"/>
  <c r="T70" i="10"/>
  <c r="AB70" i="10"/>
  <c r="X82" i="10"/>
  <c r="AB88" i="10"/>
  <c r="X88" i="10"/>
  <c r="T88" i="10"/>
  <c r="AA90" i="10"/>
  <c r="AE90" i="10"/>
  <c r="W90" i="10"/>
  <c r="AA115" i="10"/>
  <c r="W104" i="10"/>
  <c r="AA103" i="10"/>
  <c r="W103" i="10"/>
  <c r="AE103" i="10"/>
  <c r="X113" i="10"/>
  <c r="T113" i="10"/>
  <c r="W120" i="10"/>
  <c r="AA131" i="10"/>
  <c r="AE119" i="10"/>
  <c r="AA119" i="10"/>
  <c r="W119" i="10"/>
  <c r="W145" i="10"/>
  <c r="AE145" i="10"/>
  <c r="AA145" i="10"/>
  <c r="V219" i="10"/>
  <c r="V220" i="10"/>
  <c r="T249" i="10"/>
  <c r="X249" i="10"/>
  <c r="AB249" i="10"/>
  <c r="AB309" i="10"/>
  <c r="T265" i="10"/>
  <c r="X265" i="10"/>
  <c r="AB265" i="10"/>
  <c r="AB325" i="10"/>
  <c r="AB279" i="10"/>
  <c r="T279" i="10"/>
  <c r="X279" i="10"/>
  <c r="W327" i="10"/>
  <c r="AA327" i="10"/>
  <c r="AE387" i="10"/>
  <c r="AE327" i="10"/>
  <c r="AA339" i="10"/>
  <c r="AD333" i="10"/>
  <c r="Z333" i="10"/>
  <c r="V333" i="10"/>
  <c r="AD393" i="10"/>
  <c r="X346" i="10"/>
  <c r="T346" i="10"/>
  <c r="AB346" i="10"/>
  <c r="W453" i="10"/>
  <c r="AA452" i="10"/>
  <c r="AE452" i="10"/>
  <c r="W452" i="10"/>
  <c r="Z544" i="10"/>
  <c r="V532" i="10"/>
  <c r="V533" i="10"/>
  <c r="Z532" i="10"/>
  <c r="AD532" i="10"/>
  <c r="AD592" i="10"/>
  <c r="X592" i="10"/>
  <c r="T581" i="10"/>
  <c r="X580" i="10"/>
  <c r="T580" i="10"/>
  <c r="AB640" i="10"/>
  <c r="AB580" i="10"/>
  <c r="T20" i="10"/>
  <c r="X20" i="10"/>
  <c r="W26" i="10"/>
  <c r="D32" i="10"/>
  <c r="W34" i="10"/>
  <c r="AA34" i="10"/>
  <c r="E36" i="10"/>
  <c r="T37" i="10"/>
  <c r="X37" i="10"/>
  <c r="T67" i="10"/>
  <c r="AB67" i="10"/>
  <c r="X67" i="10"/>
  <c r="AB73" i="10"/>
  <c r="X73" i="10"/>
  <c r="T73" i="10"/>
  <c r="T75" i="10"/>
  <c r="AB75" i="10"/>
  <c r="X75" i="10"/>
  <c r="T81" i="10"/>
  <c r="X81" i="10"/>
  <c r="X92" i="10"/>
  <c r="AB92" i="10"/>
  <c r="T92" i="10"/>
  <c r="AB104" i="10"/>
  <c r="X104" i="10"/>
  <c r="T104" i="10"/>
  <c r="X108" i="10"/>
  <c r="AB108" i="10"/>
  <c r="T108" i="10"/>
  <c r="W116" i="10"/>
  <c r="AA116" i="10"/>
  <c r="AA128" i="10"/>
  <c r="AE176" i="10"/>
  <c r="AE116" i="10"/>
  <c r="AB128" i="10"/>
  <c r="T128" i="10"/>
  <c r="X128" i="10"/>
  <c r="X156" i="10"/>
  <c r="T156" i="10"/>
  <c r="AB156" i="10"/>
  <c r="X168" i="10"/>
  <c r="AB188" i="10"/>
  <c r="AA194" i="10"/>
  <c r="W195" i="10"/>
  <c r="W194" i="10"/>
  <c r="AE254" i="10"/>
  <c r="AA206" i="10"/>
  <c r="AE194" i="10"/>
  <c r="T198" i="10"/>
  <c r="X210" i="10"/>
  <c r="AB198" i="10"/>
  <c r="X198" i="10"/>
  <c r="AB200" i="10"/>
  <c r="T200" i="10"/>
  <c r="X200" i="10"/>
  <c r="T201" i="10"/>
  <c r="W219" i="10"/>
  <c r="AE279" i="10"/>
  <c r="W220" i="10"/>
  <c r="AE219" i="10"/>
  <c r="AA219" i="10"/>
  <c r="W8" i="10"/>
  <c r="G17" i="10" s="1"/>
  <c r="T16" i="10"/>
  <c r="AA26" i="10"/>
  <c r="AA28" i="10"/>
  <c r="W28" i="10"/>
  <c r="W29" i="10"/>
  <c r="AE88" i="10"/>
  <c r="E32" i="10"/>
  <c r="T38" i="10"/>
  <c r="AA40" i="10"/>
  <c r="AE100" i="10"/>
  <c r="W40" i="10"/>
  <c r="AA47" i="10"/>
  <c r="AA59" i="10"/>
  <c r="W47" i="10"/>
  <c r="AA62" i="10"/>
  <c r="W62" i="10"/>
  <c r="X70" i="10"/>
  <c r="AB76" i="10"/>
  <c r="AB85" i="10"/>
  <c r="T85" i="10"/>
  <c r="AE94" i="10"/>
  <c r="W94" i="10"/>
  <c r="T99" i="10"/>
  <c r="X99" i="10"/>
  <c r="AB99" i="10"/>
  <c r="AA122" i="10"/>
  <c r="AE122" i="10"/>
  <c r="W123" i="10"/>
  <c r="W122" i="10"/>
  <c r="AE158" i="10"/>
  <c r="W158" i="10"/>
  <c r="AA158" i="10"/>
  <c r="AB184" i="10"/>
  <c r="X184" i="10"/>
  <c r="T184" i="10"/>
  <c r="V216" i="10"/>
  <c r="AD276" i="10"/>
  <c r="Z253" i="10"/>
  <c r="V253" i="10"/>
  <c r="Z265" i="10"/>
  <c r="AA259" i="10"/>
  <c r="W259" i="10"/>
  <c r="AE319" i="10"/>
  <c r="AE259" i="10"/>
  <c r="AB264" i="10"/>
  <c r="AB324" i="10"/>
  <c r="T264" i="10"/>
  <c r="X264" i="10"/>
  <c r="X275" i="10"/>
  <c r="T275" i="10"/>
  <c r="AB275" i="10"/>
  <c r="X287" i="10"/>
  <c r="T276" i="10"/>
  <c r="T282" i="10"/>
  <c r="W295" i="10"/>
  <c r="AA307" i="10"/>
  <c r="AA295" i="10"/>
  <c r="AE295" i="10"/>
  <c r="AE355" i="10"/>
  <c r="AD311" i="10"/>
  <c r="V311" i="10"/>
  <c r="AD371" i="10"/>
  <c r="Z311" i="10"/>
  <c r="AE325" i="10"/>
  <c r="W325" i="10"/>
  <c r="AA325" i="10"/>
  <c r="AE385" i="10"/>
  <c r="X409" i="10"/>
  <c r="AB409" i="10"/>
  <c r="T409" i="10"/>
  <c r="X480" i="10"/>
  <c r="T480" i="10"/>
  <c r="AB480" i="10"/>
  <c r="W41" i="10"/>
  <c r="W48" i="10"/>
  <c r="AA48" i="10"/>
  <c r="AE108" i="10"/>
  <c r="AA51" i="10"/>
  <c r="AE111" i="10"/>
  <c r="AA69" i="10"/>
  <c r="AE69" i="10"/>
  <c r="W69" i="10"/>
  <c r="X74" i="10"/>
  <c r="T74" i="10"/>
  <c r="AA85" i="10"/>
  <c r="W85" i="10"/>
  <c r="AE85" i="10"/>
  <c r="AB93" i="10"/>
  <c r="T93" i="10"/>
  <c r="X93" i="10"/>
  <c r="T121" i="10"/>
  <c r="X133" i="10"/>
  <c r="AB121" i="10"/>
  <c r="T122" i="10"/>
  <c r="X121" i="10"/>
  <c r="T126" i="10"/>
  <c r="AB126" i="10"/>
  <c r="X126" i="10"/>
  <c r="T127" i="10"/>
  <c r="W129" i="10"/>
  <c r="AE129" i="10"/>
  <c r="AA129" i="10"/>
  <c r="AE134" i="10"/>
  <c r="AA134" i="10"/>
  <c r="W134" i="10"/>
  <c r="AE163" i="10"/>
  <c r="AB169" i="10"/>
  <c r="T169" i="10"/>
  <c r="AB181" i="10"/>
  <c r="X181" i="10"/>
  <c r="X199" i="10"/>
  <c r="T199" i="10"/>
  <c r="AE207" i="10"/>
  <c r="W208" i="10"/>
  <c r="W207" i="10"/>
  <c r="V226" i="10"/>
  <c r="Z226" i="10"/>
  <c r="AD286" i="10"/>
  <c r="AB232" i="10"/>
  <c r="X232" i="10"/>
  <c r="T232" i="10"/>
  <c r="T234" i="10"/>
  <c r="AB294" i="10"/>
  <c r="X246" i="10"/>
  <c r="AB234" i="10"/>
  <c r="AB236" i="10"/>
  <c r="T236" i="10"/>
  <c r="Z243" i="10"/>
  <c r="V244" i="10"/>
  <c r="AB256" i="10"/>
  <c r="X256" i="10"/>
  <c r="T257" i="10"/>
  <c r="AB257" i="10"/>
  <c r="X257" i="10"/>
  <c r="V258" i="10"/>
  <c r="Z258" i="10"/>
  <c r="Z270" i="10"/>
  <c r="AB259" i="10"/>
  <c r="X263" i="10"/>
  <c r="AB263" i="10"/>
  <c r="T263" i="10"/>
  <c r="AE265" i="10"/>
  <c r="W265" i="10"/>
  <c r="AA265" i="10"/>
  <c r="W274" i="10"/>
  <c r="W273" i="10"/>
  <c r="AE273" i="10"/>
  <c r="AA273" i="10"/>
  <c r="AA277" i="10"/>
  <c r="AA289" i="10"/>
  <c r="W277" i="10"/>
  <c r="AE278" i="10"/>
  <c r="W278" i="10"/>
  <c r="AA278" i="10"/>
  <c r="AB306" i="10"/>
  <c r="T306" i="10"/>
  <c r="AB319" i="10"/>
  <c r="X319" i="10"/>
  <c r="T319" i="10"/>
  <c r="AB379" i="10"/>
  <c r="W324" i="10"/>
  <c r="AE384" i="10"/>
  <c r="AE324" i="10"/>
  <c r="AA324" i="10"/>
  <c r="AE333" i="10"/>
  <c r="W333" i="10"/>
  <c r="AA333" i="10"/>
  <c r="AB338" i="10"/>
  <c r="X338" i="10"/>
  <c r="T338" i="10"/>
  <c r="T406" i="10"/>
  <c r="AB466" i="10"/>
  <c r="X406" i="10"/>
  <c r="AB406" i="10"/>
  <c r="AB421" i="10"/>
  <c r="T421" i="10"/>
  <c r="X421" i="10"/>
  <c r="X464" i="10"/>
  <c r="T464" i="10"/>
  <c r="X476" i="10"/>
  <c r="AB464" i="10"/>
  <c r="Z480" i="10"/>
  <c r="V480" i="10"/>
  <c r="AD540" i="10"/>
  <c r="AD480" i="10"/>
  <c r="AB493" i="10"/>
  <c r="T493" i="10"/>
  <c r="X505" i="10"/>
  <c r="X493" i="10"/>
  <c r="T494" i="10"/>
  <c r="Z497" i="10"/>
  <c r="V497" i="10"/>
  <c r="AD497" i="10"/>
  <c r="D34" i="10"/>
  <c r="X32" i="10"/>
  <c r="B35" i="10"/>
  <c r="D35" i="10" s="1"/>
  <c r="F35" i="10" s="1"/>
  <c r="E18" i="9" s="1"/>
  <c r="T50" i="10"/>
  <c r="X50" i="10"/>
  <c r="T51" i="10"/>
  <c r="AA53" i="10"/>
  <c r="X60" i="10"/>
  <c r="AE67" i="10"/>
  <c r="AA74" i="10"/>
  <c r="W74" i="10"/>
  <c r="AA86" i="10"/>
  <c r="T78" i="10"/>
  <c r="X78" i="10"/>
  <c r="AB78" i="10"/>
  <c r="AA81" i="10"/>
  <c r="T89" i="10"/>
  <c r="X101" i="10"/>
  <c r="X95" i="10"/>
  <c r="AB95" i="10"/>
  <c r="T95" i="10"/>
  <c r="X97" i="10"/>
  <c r="X116" i="10"/>
  <c r="AB116" i="10"/>
  <c r="X143" i="10"/>
  <c r="T143" i="10"/>
  <c r="W148" i="10"/>
  <c r="AA148" i="10"/>
  <c r="AE148" i="10"/>
  <c r="T150" i="10"/>
  <c r="AB210" i="10"/>
  <c r="AB150" i="10"/>
  <c r="T151" i="10"/>
  <c r="W152" i="10"/>
  <c r="AA163" i="10"/>
  <c r="AE151" i="10"/>
  <c r="AA151" i="10"/>
  <c r="W151" i="10"/>
  <c r="W156" i="10"/>
  <c r="AA156" i="10"/>
  <c r="W157" i="10"/>
  <c r="T158" i="10"/>
  <c r="AB158" i="10"/>
  <c r="X158" i="10"/>
  <c r="AB160" i="10"/>
  <c r="T160" i="10"/>
  <c r="X160" i="10"/>
  <c r="AB162" i="10"/>
  <c r="X162" i="10"/>
  <c r="AE179" i="10"/>
  <c r="AA181" i="10"/>
  <c r="W181" i="10"/>
  <c r="AE181" i="10"/>
  <c r="X193" i="10"/>
  <c r="T195" i="10"/>
  <c r="X195" i="10"/>
  <c r="T203" i="10"/>
  <c r="T204" i="10"/>
  <c r="X203" i="10"/>
  <c r="AA207" i="10"/>
  <c r="X216" i="10"/>
  <c r="T216" i="10"/>
  <c r="W226" i="10"/>
  <c r="W227" i="10"/>
  <c r="AA226" i="10"/>
  <c r="T233" i="10"/>
  <c r="X233" i="10"/>
  <c r="W238" i="10"/>
  <c r="AA238" i="10"/>
  <c r="AA250" i="10"/>
  <c r="W239" i="10"/>
  <c r="X255" i="10"/>
  <c r="T255" i="10"/>
  <c r="AB315" i="10"/>
  <c r="AD323" i="10"/>
  <c r="Z263" i="10"/>
  <c r="V263" i="10"/>
  <c r="V264" i="10"/>
  <c r="X269" i="10"/>
  <c r="T269" i="10"/>
  <c r="AB269" i="10"/>
  <c r="AD280" i="10"/>
  <c r="Z280" i="10"/>
  <c r="V280" i="10"/>
  <c r="Z285" i="10"/>
  <c r="V285" i="10"/>
  <c r="V294" i="10"/>
  <c r="AD294" i="10"/>
  <c r="AD354" i="10"/>
  <c r="Z294" i="10"/>
  <c r="X296" i="10"/>
  <c r="T296" i="10"/>
  <c r="AB296" i="10"/>
  <c r="AE298" i="10"/>
  <c r="AB300" i="10"/>
  <c r="T300" i="10"/>
  <c r="T323" i="10"/>
  <c r="AB323" i="10"/>
  <c r="X323" i="10"/>
  <c r="T324" i="10"/>
  <c r="AE382" i="10"/>
  <c r="W382" i="10"/>
  <c r="AA394" i="10"/>
  <c r="AA382" i="10"/>
  <c r="Z402" i="10"/>
  <c r="V402" i="10"/>
  <c r="AD462" i="10"/>
  <c r="AD402" i="10"/>
  <c r="AD425" i="10"/>
  <c r="Z425" i="10"/>
  <c r="V425" i="10"/>
  <c r="AD485" i="10"/>
  <c r="T479" i="10"/>
  <c r="X479" i="10"/>
  <c r="AB479" i="10"/>
  <c r="AB485" i="10"/>
  <c r="T485" i="10"/>
  <c r="X485" i="10"/>
  <c r="T486" i="10"/>
  <c r="T503" i="10"/>
  <c r="AB503" i="10"/>
  <c r="T504" i="10"/>
  <c r="X503" i="10"/>
  <c r="AB563" i="10"/>
  <c r="T511" i="10"/>
  <c r="T512" i="10"/>
  <c r="X511" i="10"/>
  <c r="AB523" i="10"/>
  <c r="T523" i="10"/>
  <c r="X523" i="10"/>
  <c r="AB618" i="10"/>
  <c r="T618" i="10"/>
  <c r="X618" i="10"/>
  <c r="AB643" i="10"/>
  <c r="T643" i="10"/>
  <c r="X643" i="10"/>
  <c r="T644" i="10"/>
  <c r="AE257" i="10"/>
  <c r="AA257" i="10"/>
  <c r="W263" i="10"/>
  <c r="AE323" i="10"/>
  <c r="AA263" i="10"/>
  <c r="AA275" i="10"/>
  <c r="T290" i="10"/>
  <c r="AB290" i="10"/>
  <c r="AE294" i="10"/>
  <c r="W294" i="10"/>
  <c r="AE354" i="10"/>
  <c r="AA294" i="10"/>
  <c r="T302" i="10"/>
  <c r="AB302" i="10"/>
  <c r="X302" i="10"/>
  <c r="AA306" i="10"/>
  <c r="AA328" i="10"/>
  <c r="W328" i="10"/>
  <c r="AE388" i="10"/>
  <c r="AE328" i="10"/>
  <c r="AB335" i="10"/>
  <c r="X335" i="10"/>
  <c r="T335" i="10"/>
  <c r="AB350" i="10"/>
  <c r="T362" i="10"/>
  <c r="AB362" i="10"/>
  <c r="T363" i="10"/>
  <c r="X362" i="10"/>
  <c r="AB384" i="10"/>
  <c r="T384" i="10"/>
  <c r="X384" i="10"/>
  <c r="AE402" i="10"/>
  <c r="W402" i="10"/>
  <c r="AE462" i="10"/>
  <c r="AA402" i="10"/>
  <c r="W403" i="10"/>
  <c r="AB418" i="10"/>
  <c r="X418" i="10"/>
  <c r="AB478" i="10"/>
  <c r="T418" i="10"/>
  <c r="X491" i="10"/>
  <c r="V493" i="10"/>
  <c r="Z505" i="10"/>
  <c r="Z493" i="10"/>
  <c r="AD493" i="10"/>
  <c r="V494" i="10"/>
  <c r="AE558" i="10"/>
  <c r="W558" i="10"/>
  <c r="AA558" i="10"/>
  <c r="AE618" i="10"/>
  <c r="AB695" i="10"/>
  <c r="AB635" i="10"/>
  <c r="T635" i="10"/>
  <c r="X635" i="10"/>
  <c r="T636" i="10"/>
  <c r="AE647" i="10"/>
  <c r="W647" i="10"/>
  <c r="AA647" i="10"/>
  <c r="AA24" i="10"/>
  <c r="E28" i="10"/>
  <c r="D29" i="10"/>
  <c r="F29" i="10" s="1"/>
  <c r="E12" i="9" s="1"/>
  <c r="D31" i="10"/>
  <c r="T40" i="10"/>
  <c r="X45" i="10"/>
  <c r="T45" i="10"/>
  <c r="AA46" i="10"/>
  <c r="T47" i="10"/>
  <c r="W60" i="10"/>
  <c r="AE120" i="10"/>
  <c r="AA72" i="10"/>
  <c r="AA60" i="10"/>
  <c r="W63" i="10"/>
  <c r="AA75" i="10"/>
  <c r="AB72" i="10"/>
  <c r="AE78" i="10"/>
  <c r="W79" i="10"/>
  <c r="X89" i="10"/>
  <c r="T97" i="10"/>
  <c r="AE102" i="10"/>
  <c r="AA102" i="10"/>
  <c r="W102" i="10"/>
  <c r="AE106" i="10"/>
  <c r="X111" i="10"/>
  <c r="T111" i="10"/>
  <c r="T116" i="10"/>
  <c r="X135" i="10"/>
  <c r="T135" i="10"/>
  <c r="AB135" i="10"/>
  <c r="X138" i="10"/>
  <c r="T142" i="10"/>
  <c r="X142" i="10"/>
  <c r="X154" i="10"/>
  <c r="AE156" i="10"/>
  <c r="AA160" i="10"/>
  <c r="AA165" i="10"/>
  <c r="AE165" i="10"/>
  <c r="W165" i="10"/>
  <c r="AB199" i="10"/>
  <c r="AE211" i="10"/>
  <c r="V218" i="10"/>
  <c r="AB220" i="10"/>
  <c r="X220" i="10"/>
  <c r="T220" i="10"/>
  <c r="T221" i="10"/>
  <c r="X221" i="10"/>
  <c r="Z225" i="10"/>
  <c r="V225" i="10"/>
  <c r="AE226" i="10"/>
  <c r="W231" i="10"/>
  <c r="W232" i="10"/>
  <c r="AE231" i="10"/>
  <c r="AE291" i="10"/>
  <c r="AA231" i="10"/>
  <c r="X234" i="10"/>
  <c r="AB240" i="10"/>
  <c r="V242" i="10"/>
  <c r="Z242" i="10"/>
  <c r="AE307" i="10"/>
  <c r="W247" i="10"/>
  <c r="W248" i="10"/>
  <c r="AE247" i="10"/>
  <c r="X254" i="10"/>
  <c r="T254" i="10"/>
  <c r="AB314" i="10"/>
  <c r="T256" i="10"/>
  <c r="V268" i="10"/>
  <c r="W279" i="10"/>
  <c r="T292" i="10"/>
  <c r="AB292" i="10"/>
  <c r="AE293" i="10"/>
  <c r="AA293" i="10"/>
  <c r="W293" i="10"/>
  <c r="V296" i="10"/>
  <c r="AD296" i="10"/>
  <c r="V297" i="10"/>
  <c r="Z296" i="10"/>
  <c r="X304" i="10"/>
  <c r="AA305" i="10"/>
  <c r="X312" i="10"/>
  <c r="X317" i="10"/>
  <c r="T317" i="10"/>
  <c r="AB317" i="10"/>
  <c r="T318" i="10"/>
  <c r="AB321" i="10"/>
  <c r="T321" i="10"/>
  <c r="X321" i="10"/>
  <c r="AB381" i="10"/>
  <c r="AB337" i="10"/>
  <c r="T337" i="10"/>
  <c r="X337" i="10"/>
  <c r="AA340" i="10"/>
  <c r="X365" i="10"/>
  <c r="T365" i="10"/>
  <c r="T366" i="10"/>
  <c r="AB377" i="10"/>
  <c r="T377" i="10"/>
  <c r="X377" i="10"/>
  <c r="Z393" i="10"/>
  <c r="AD381" i="10"/>
  <c r="V381" i="10"/>
  <c r="Z381" i="10"/>
  <c r="AB386" i="10"/>
  <c r="X386" i="10"/>
  <c r="AB446" i="10"/>
  <c r="T386" i="10"/>
  <c r="AB397" i="10"/>
  <c r="T397" i="10"/>
  <c r="T398" i="10"/>
  <c r="X397" i="10"/>
  <c r="AE461" i="10"/>
  <c r="AE401" i="10"/>
  <c r="AA401" i="10"/>
  <c r="W401" i="10"/>
  <c r="X408" i="10"/>
  <c r="T408" i="10"/>
  <c r="X420" i="10"/>
  <c r="AB408" i="10"/>
  <c r="AB413" i="10"/>
  <c r="T413" i="10"/>
  <c r="X413" i="10"/>
  <c r="W501" i="10"/>
  <c r="AA500" i="10"/>
  <c r="AE500" i="10"/>
  <c r="W523" i="10"/>
  <c r="W524" i="10"/>
  <c r="AA523" i="10"/>
  <c r="AA535" i="10"/>
  <c r="AE523" i="10"/>
  <c r="AB538" i="10"/>
  <c r="T538" i="10"/>
  <c r="X538" i="10"/>
  <c r="AB553" i="10"/>
  <c r="T553" i="10"/>
  <c r="X553" i="10"/>
  <c r="AB613" i="10"/>
  <c r="T21" i="10"/>
  <c r="T27" i="10"/>
  <c r="X28" i="10"/>
  <c r="T32" i="10"/>
  <c r="T42" i="10"/>
  <c r="X43" i="10"/>
  <c r="X44" i="10"/>
  <c r="T57" i="10"/>
  <c r="T60" i="10"/>
  <c r="X62" i="10"/>
  <c r="T62" i="10"/>
  <c r="AB122" i="10"/>
  <c r="X63" i="10"/>
  <c r="AE74" i="10"/>
  <c r="W84" i="10"/>
  <c r="AA84" i="10"/>
  <c r="AE84" i="10"/>
  <c r="T86" i="10"/>
  <c r="T87" i="10"/>
  <c r="X86" i="10"/>
  <c r="T91" i="10"/>
  <c r="AB151" i="10"/>
  <c r="AB91" i="10"/>
  <c r="X91" i="10"/>
  <c r="AB97" i="10"/>
  <c r="T118" i="10"/>
  <c r="AB178" i="10"/>
  <c r="AE121" i="10"/>
  <c r="AB125" i="10"/>
  <c r="T125" i="10"/>
  <c r="X125" i="10"/>
  <c r="AA130" i="10"/>
  <c r="W131" i="10"/>
  <c r="AE130" i="10"/>
  <c r="W130" i="10"/>
  <c r="X132" i="10"/>
  <c r="AB132" i="10"/>
  <c r="X144" i="10"/>
  <c r="T132" i="10"/>
  <c r="T133" i="10"/>
  <c r="AA147" i="10"/>
  <c r="W136" i="10"/>
  <c r="AA135" i="10"/>
  <c r="W135" i="10"/>
  <c r="X150" i="10"/>
  <c r="AB152" i="10"/>
  <c r="X152" i="10"/>
  <c r="T152" i="10"/>
  <c r="AE155" i="10"/>
  <c r="AB157" i="10"/>
  <c r="T157" i="10"/>
  <c r="X157" i="10"/>
  <c r="T162" i="10"/>
  <c r="T171" i="10"/>
  <c r="T172" i="10"/>
  <c r="X180" i="10"/>
  <c r="AB180" i="10"/>
  <c r="T180" i="10"/>
  <c r="AA186" i="10"/>
  <c r="AE186" i="10"/>
  <c r="W187" i="10"/>
  <c r="W186" i="10"/>
  <c r="X188" i="10"/>
  <c r="T188" i="10"/>
  <c r="AB192" i="10"/>
  <c r="T192" i="10"/>
  <c r="X192" i="10"/>
  <c r="W210" i="10"/>
  <c r="AA210" i="10"/>
  <c r="AE210" i="10"/>
  <c r="W211" i="10"/>
  <c r="AB216" i="10"/>
  <c r="AE225" i="10"/>
  <c r="AA225" i="10"/>
  <c r="X227" i="10"/>
  <c r="T227" i="10"/>
  <c r="AB287" i="10"/>
  <c r="AE237" i="10"/>
  <c r="AA237" i="10"/>
  <c r="W237" i="10"/>
  <c r="AE238" i="10"/>
  <c r="W242" i="10"/>
  <c r="AA242" i="10"/>
  <c r="T245" i="10"/>
  <c r="AB245" i="10"/>
  <c r="AA249" i="10"/>
  <c r="AB252" i="10"/>
  <c r="T252" i="10"/>
  <c r="X252" i="10"/>
  <c r="V254" i="10"/>
  <c r="Z254" i="10"/>
  <c r="AD314" i="10"/>
  <c r="Z266" i="10"/>
  <c r="W257" i="10"/>
  <c r="T261" i="10"/>
  <c r="AB261" i="10"/>
  <c r="X261" i="10"/>
  <c r="W262" i="10"/>
  <c r="AE262" i="10"/>
  <c r="AA262" i="10"/>
  <c r="AE322" i="10"/>
  <c r="AE263" i="10"/>
  <c r="T266" i="10"/>
  <c r="AB266" i="10"/>
  <c r="AA279" i="10"/>
  <c r="AA267" i="10"/>
  <c r="AE267" i="10"/>
  <c r="W268" i="10"/>
  <c r="W267" i="10"/>
  <c r="T270" i="10"/>
  <c r="AB270" i="10"/>
  <c r="X270" i="10"/>
  <c r="AE271" i="10"/>
  <c r="AA271" i="10"/>
  <c r="W271" i="10"/>
  <c r="AA283" i="10"/>
  <c r="AE277" i="10"/>
  <c r="X282" i="10"/>
  <c r="V284" i="10"/>
  <c r="AD284" i="10"/>
  <c r="Z284" i="10"/>
  <c r="AD285" i="10"/>
  <c r="AD292" i="10"/>
  <c r="V292" i="10"/>
  <c r="Z292" i="10"/>
  <c r="T293" i="10"/>
  <c r="AB298" i="10"/>
  <c r="X298" i="10"/>
  <c r="T298" i="10"/>
  <c r="X310" i="10"/>
  <c r="Z301" i="10"/>
  <c r="Z313" i="10"/>
  <c r="AD301" i="10"/>
  <c r="V302" i="10"/>
  <c r="V301" i="10"/>
  <c r="X306" i="10"/>
  <c r="X311" i="10"/>
  <c r="T311" i="10"/>
  <c r="AB311" i="10"/>
  <c r="AA335" i="10"/>
  <c r="AE335" i="10"/>
  <c r="W335" i="10"/>
  <c r="AB351" i="10"/>
  <c r="T351" i="10"/>
  <c r="X351" i="10"/>
  <c r="X374" i="10"/>
  <c r="V384" i="10"/>
  <c r="Z396" i="10"/>
  <c r="AD384" i="10"/>
  <c r="V385" i="10"/>
  <c r="Z384" i="10"/>
  <c r="AE395" i="10"/>
  <c r="W399" i="10"/>
  <c r="AE399" i="10"/>
  <c r="AA399" i="10"/>
  <c r="T403" i="10"/>
  <c r="AB403" i="10"/>
  <c r="AB411" i="10"/>
  <c r="AE418" i="10"/>
  <c r="W418" i="10"/>
  <c r="AE478" i="10"/>
  <c r="AA418" i="10"/>
  <c r="AA432" i="10"/>
  <c r="W432" i="10"/>
  <c r="AE432" i="10"/>
  <c r="AE492" i="10"/>
  <c r="AE459" i="10"/>
  <c r="T467" i="10"/>
  <c r="X467" i="10"/>
  <c r="AB467" i="10"/>
  <c r="AB522" i="10"/>
  <c r="T522" i="10"/>
  <c r="X522" i="10"/>
  <c r="AD535" i="10"/>
  <c r="Z535" i="10"/>
  <c r="V535" i="10"/>
  <c r="Z547" i="10"/>
  <c r="AD553" i="10"/>
  <c r="T17" i="10"/>
  <c r="T22" i="10"/>
  <c r="AA23" i="10"/>
  <c r="W32" i="10"/>
  <c r="AA38" i="10"/>
  <c r="W39" i="10"/>
  <c r="W44" i="10"/>
  <c r="AE104" i="10"/>
  <c r="AA44" i="10"/>
  <c r="W49" i="10"/>
  <c r="AE66" i="10"/>
  <c r="T72" i="10"/>
  <c r="AA78" i="10"/>
  <c r="AB89" i="10"/>
  <c r="T94" i="10"/>
  <c r="AB94" i="10"/>
  <c r="X94" i="10"/>
  <c r="AB96" i="10"/>
  <c r="T96" i="10"/>
  <c r="X96" i="10"/>
  <c r="AB98" i="10"/>
  <c r="X98" i="10"/>
  <c r="T107" i="10"/>
  <c r="AB107" i="10"/>
  <c r="T110" i="10"/>
  <c r="X110" i="10"/>
  <c r="X122" i="10"/>
  <c r="X127" i="10"/>
  <c r="AB127" i="10"/>
  <c r="AB141" i="10"/>
  <c r="X141" i="10"/>
  <c r="T141" i="10"/>
  <c r="AA142" i="10"/>
  <c r="AB143" i="10"/>
  <c r="AE144" i="10"/>
  <c r="AA149" i="10"/>
  <c r="W149" i="10"/>
  <c r="AE209" i="10"/>
  <c r="AE149" i="10"/>
  <c r="X159" i="10"/>
  <c r="AB159" i="10"/>
  <c r="T159" i="10"/>
  <c r="AE162" i="10"/>
  <c r="T182" i="10"/>
  <c r="AB182" i="10"/>
  <c r="X182" i="10"/>
  <c r="AB194" i="10"/>
  <c r="X194" i="10"/>
  <c r="T194" i="10"/>
  <c r="AB195" i="10"/>
  <c r="AB203" i="10"/>
  <c r="T205" i="10"/>
  <c r="X205" i="10"/>
  <c r="V215" i="10"/>
  <c r="AD275" i="10"/>
  <c r="W225" i="10"/>
  <c r="Z227" i="10"/>
  <c r="V227" i="10"/>
  <c r="X236" i="10"/>
  <c r="AE241" i="10"/>
  <c r="AA241" i="10"/>
  <c r="W241" i="10"/>
  <c r="AB244" i="10"/>
  <c r="X244" i="10"/>
  <c r="T244" i="10"/>
  <c r="W246" i="10"/>
  <c r="AE246" i="10"/>
  <c r="AE306" i="10"/>
  <c r="AA246" i="10"/>
  <c r="AA247" i="10"/>
  <c r="T250" i="10"/>
  <c r="V255" i="10"/>
  <c r="X259" i="10"/>
  <c r="T259" i="10"/>
  <c r="V261" i="10"/>
  <c r="AD321" i="10"/>
  <c r="T262" i="10"/>
  <c r="T267" i="10"/>
  <c r="AD278" i="10"/>
  <c r="Z279" i="10"/>
  <c r="W284" i="10"/>
  <c r="AE284" i="10"/>
  <c r="AA284" i="10"/>
  <c r="Z304" i="10"/>
  <c r="AD327" i="10"/>
  <c r="V327" i="10"/>
  <c r="AD387" i="10"/>
  <c r="Z327" i="10"/>
  <c r="AB329" i="10"/>
  <c r="T329" i="10"/>
  <c r="W331" i="10"/>
  <c r="AE391" i="10"/>
  <c r="AE331" i="10"/>
  <c r="W332" i="10"/>
  <c r="V337" i="10"/>
  <c r="AD337" i="10"/>
  <c r="V338" i="10"/>
  <c r="Z337" i="10"/>
  <c r="AE338" i="10"/>
  <c r="Z349" i="10"/>
  <c r="X364" i="10"/>
  <c r="AB364" i="10"/>
  <c r="T364" i="10"/>
  <c r="X372" i="10"/>
  <c r="AB372" i="10"/>
  <c r="T373" i="10"/>
  <c r="T372" i="10"/>
  <c r="AB383" i="10"/>
  <c r="X383" i="10"/>
  <c r="T383" i="10"/>
  <c r="X398" i="10"/>
  <c r="T404" i="10"/>
  <c r="T431" i="10"/>
  <c r="AB431" i="10"/>
  <c r="X431" i="10"/>
  <c r="T432" i="10"/>
  <c r="AA488" i="10"/>
  <c r="W488" i="10"/>
  <c r="AE488" i="10"/>
  <c r="W500" i="10"/>
  <c r="X528" i="10"/>
  <c r="AB528" i="10"/>
  <c r="T528" i="10"/>
  <c r="AE551" i="10"/>
  <c r="W551" i="10"/>
  <c r="AE611" i="10"/>
  <c r="W552" i="10"/>
  <c r="AA551" i="10"/>
  <c r="AD641" i="10"/>
  <c r="Z581" i="10"/>
  <c r="V581" i="10"/>
  <c r="AD581" i="10"/>
  <c r="X586" i="10"/>
  <c r="T586" i="10"/>
  <c r="AB586" i="10"/>
  <c r="AB80" i="10"/>
  <c r="W97" i="10"/>
  <c r="AE97" i="10"/>
  <c r="AA98" i="10"/>
  <c r="W99" i="10"/>
  <c r="AA101" i="10"/>
  <c r="AE101" i="10"/>
  <c r="AB105" i="10"/>
  <c r="AE123" i="10"/>
  <c r="AA127" i="10"/>
  <c r="W127" i="10"/>
  <c r="AA133" i="10"/>
  <c r="AE133" i="10"/>
  <c r="AA154" i="10"/>
  <c r="AE154" i="10"/>
  <c r="W161" i="10"/>
  <c r="AE161" i="10"/>
  <c r="AA162" i="10"/>
  <c r="W163" i="10"/>
  <c r="X167" i="10"/>
  <c r="T167" i="10"/>
  <c r="AB168" i="10"/>
  <c r="AB189" i="10"/>
  <c r="T189" i="10"/>
  <c r="T190" i="10"/>
  <c r="AB190" i="10"/>
  <c r="X191" i="10"/>
  <c r="X206" i="10"/>
  <c r="AB206" i="10"/>
  <c r="AB207" i="10"/>
  <c r="X207" i="10"/>
  <c r="AB209" i="10"/>
  <c r="T215" i="10"/>
  <c r="AB215" i="10"/>
  <c r="X218" i="10"/>
  <c r="AB228" i="10"/>
  <c r="X228" i="10"/>
  <c r="Z237" i="10"/>
  <c r="V238" i="10"/>
  <c r="X239" i="10"/>
  <c r="AB239" i="10"/>
  <c r="T253" i="10"/>
  <c r="AA255" i="10"/>
  <c r="W258" i="10"/>
  <c r="AA258" i="10"/>
  <c r="AA270" i="10"/>
  <c r="Z259" i="10"/>
  <c r="AB260" i="10"/>
  <c r="X260" i="10"/>
  <c r="AD271" i="10"/>
  <c r="V271" i="10"/>
  <c r="AE345" i="10"/>
  <c r="W285" i="10"/>
  <c r="AE285" i="10"/>
  <c r="W296" i="10"/>
  <c r="AB299" i="10"/>
  <c r="X299" i="10"/>
  <c r="AD302" i="10"/>
  <c r="AD317" i="10"/>
  <c r="V317" i="10"/>
  <c r="AB322" i="10"/>
  <c r="X322" i="10"/>
  <c r="V336" i="10"/>
  <c r="Z336" i="10"/>
  <c r="X347" i="10"/>
  <c r="AB347" i="10"/>
  <c r="X350" i="10"/>
  <c r="T350" i="10"/>
  <c r="AB352" i="10"/>
  <c r="T352" i="10"/>
  <c r="Z353" i="10"/>
  <c r="V353" i="10"/>
  <c r="T355" i="10"/>
  <c r="X355" i="10"/>
  <c r="X356" i="10"/>
  <c r="T356" i="10"/>
  <c r="W363" i="10"/>
  <c r="W364" i="10"/>
  <c r="V370" i="10"/>
  <c r="AD369" i="10"/>
  <c r="Z369" i="10"/>
  <c r="V372" i="10"/>
  <c r="Z372" i="10"/>
  <c r="Z373" i="10"/>
  <c r="AB376" i="10"/>
  <c r="T376" i="10"/>
  <c r="AB438" i="10"/>
  <c r="X378" i="10"/>
  <c r="V390" i="10"/>
  <c r="Z390" i="10"/>
  <c r="AA392" i="10"/>
  <c r="AA404" i="10"/>
  <c r="W393" i="10"/>
  <c r="AB398" i="10"/>
  <c r="AB410" i="10"/>
  <c r="AB412" i="10"/>
  <c r="T412" i="10"/>
  <c r="X412" i="10"/>
  <c r="V413" i="10"/>
  <c r="AD473" i="10"/>
  <c r="V414" i="10"/>
  <c r="Z413" i="10"/>
  <c r="V416" i="10"/>
  <c r="Z428" i="10"/>
  <c r="AD416" i="10"/>
  <c r="AD421" i="10"/>
  <c r="W423" i="10"/>
  <c r="AA423" i="10"/>
  <c r="AA435" i="10"/>
  <c r="W424" i="10"/>
  <c r="AE483" i="10"/>
  <c r="T427" i="10"/>
  <c r="AB427" i="10"/>
  <c r="AB487" i="10"/>
  <c r="X427" i="10"/>
  <c r="AB437" i="10"/>
  <c r="T437" i="10"/>
  <c r="X437" i="10"/>
  <c r="T438" i="10"/>
  <c r="Z441" i="10"/>
  <c r="AD441" i="10"/>
  <c r="AA480" i="10"/>
  <c r="W480" i="10"/>
  <c r="AE480" i="10"/>
  <c r="AB501" i="10"/>
  <c r="T501" i="10"/>
  <c r="X501" i="10"/>
  <c r="T502" i="10"/>
  <c r="T510" i="10"/>
  <c r="AB510" i="10"/>
  <c r="X510" i="10"/>
  <c r="X534" i="10"/>
  <c r="AB534" i="10"/>
  <c r="T534" i="10"/>
  <c r="AA549" i="10"/>
  <c r="AE609" i="10"/>
  <c r="AE549" i="10"/>
  <c r="AD577" i="10"/>
  <c r="V578" i="10"/>
  <c r="V577" i="10"/>
  <c r="Z577" i="10"/>
  <c r="Z589" i="10"/>
  <c r="T579" i="10"/>
  <c r="AB579" i="10"/>
  <c r="X591" i="10"/>
  <c r="X579" i="10"/>
  <c r="AB677" i="10"/>
  <c r="T677" i="10"/>
  <c r="X677" i="10"/>
  <c r="T303" i="10"/>
  <c r="AB363" i="10"/>
  <c r="X303" i="10"/>
  <c r="AB304" i="10"/>
  <c r="T304" i="10"/>
  <c r="AE318" i="10"/>
  <c r="W318" i="10"/>
  <c r="AE378" i="10"/>
  <c r="W336" i="10"/>
  <c r="AA336" i="10"/>
  <c r="W337" i="10"/>
  <c r="Z339" i="10"/>
  <c r="X340" i="10"/>
  <c r="T340" i="10"/>
  <c r="AB342" i="10"/>
  <c r="AB402" i="10"/>
  <c r="T342" i="10"/>
  <c r="X343" i="10"/>
  <c r="AB343" i="10"/>
  <c r="Z344" i="10"/>
  <c r="AD404" i="10"/>
  <c r="AD344" i="10"/>
  <c r="V346" i="10"/>
  <c r="AD345" i="10"/>
  <c r="V345" i="10"/>
  <c r="X348" i="10"/>
  <c r="AB348" i="10"/>
  <c r="T348" i="10"/>
  <c r="V352" i="10"/>
  <c r="AD352" i="10"/>
  <c r="V356" i="10"/>
  <c r="Z356" i="10"/>
  <c r="AB358" i="10"/>
  <c r="X358" i="10"/>
  <c r="X359" i="10"/>
  <c r="T359" i="10"/>
  <c r="W372" i="10"/>
  <c r="AA372" i="10"/>
  <c r="X375" i="10"/>
  <c r="T375" i="10"/>
  <c r="Z376" i="10"/>
  <c r="V376" i="10"/>
  <c r="T387" i="10"/>
  <c r="T395" i="10"/>
  <c r="AB395" i="10"/>
  <c r="X395" i="10"/>
  <c r="T396" i="10"/>
  <c r="AB396" i="10"/>
  <c r="X396" i="10"/>
  <c r="V408" i="10"/>
  <c r="AD408" i="10"/>
  <c r="Z408" i="10"/>
  <c r="V412" i="10"/>
  <c r="AD412" i="10"/>
  <c r="Z412" i="10"/>
  <c r="Z424" i="10"/>
  <c r="AD427" i="10"/>
  <c r="V427" i="10"/>
  <c r="AD487" i="10"/>
  <c r="Z427" i="10"/>
  <c r="AB429" i="10"/>
  <c r="T429" i="10"/>
  <c r="X429" i="10"/>
  <c r="T430" i="10"/>
  <c r="Z433" i="10"/>
  <c r="V433" i="10"/>
  <c r="AD433" i="10"/>
  <c r="T475" i="10"/>
  <c r="X475" i="10"/>
  <c r="AB535" i="10"/>
  <c r="AB475" i="10"/>
  <c r="AD476" i="10"/>
  <c r="AD536" i="10"/>
  <c r="V476" i="10"/>
  <c r="AD484" i="10"/>
  <c r="V484" i="10"/>
  <c r="AB492" i="10"/>
  <c r="T492" i="10"/>
  <c r="X492" i="10"/>
  <c r="X496" i="10"/>
  <c r="AB496" i="10"/>
  <c r="AB525" i="10"/>
  <c r="AB585" i="10"/>
  <c r="T525" i="10"/>
  <c r="X527" i="10"/>
  <c r="T527" i="10"/>
  <c r="AB527" i="10"/>
  <c r="AA544" i="10"/>
  <c r="W545" i="10"/>
  <c r="W544" i="10"/>
  <c r="AE544" i="10"/>
  <c r="AB556" i="10"/>
  <c r="T556" i="10"/>
  <c r="X556" i="10"/>
  <c r="W578" i="10"/>
  <c r="AA577" i="10"/>
  <c r="AA589" i="10"/>
  <c r="AE637" i="10"/>
  <c r="W577" i="10"/>
  <c r="T637" i="10"/>
  <c r="AB637" i="10"/>
  <c r="X637" i="10"/>
  <c r="T638" i="10"/>
  <c r="X645" i="10"/>
  <c r="T645" i="10"/>
  <c r="AB645" i="10"/>
  <c r="AB693" i="10"/>
  <c r="T693" i="10"/>
  <c r="X693" i="10"/>
  <c r="T64" i="10"/>
  <c r="X76" i="10"/>
  <c r="T80" i="10"/>
  <c r="T82" i="10"/>
  <c r="W93" i="10"/>
  <c r="W105" i="10"/>
  <c r="AA105" i="10"/>
  <c r="AA106" i="10"/>
  <c r="W106" i="10"/>
  <c r="AA109" i="10"/>
  <c r="AB112" i="10"/>
  <c r="T114" i="10"/>
  <c r="AA121" i="10"/>
  <c r="AA124" i="10"/>
  <c r="W137" i="10"/>
  <c r="AA137" i="10"/>
  <c r="AA138" i="10"/>
  <c r="W138" i="10"/>
  <c r="AA141" i="10"/>
  <c r="AE166" i="10"/>
  <c r="AA166" i="10"/>
  <c r="T168" i="10"/>
  <c r="X172" i="10"/>
  <c r="AB172" i="10"/>
  <c r="AB173" i="10"/>
  <c r="X173" i="10"/>
  <c r="X175" i="10"/>
  <c r="AE187" i="10"/>
  <c r="AE190" i="10"/>
  <c r="AA191" i="10"/>
  <c r="W191" i="10"/>
  <c r="T193" i="10"/>
  <c r="AE195" i="10"/>
  <c r="AA197" i="10"/>
  <c r="AE197" i="10"/>
  <c r="AB201" i="10"/>
  <c r="AB204" i="10"/>
  <c r="AE205" i="10"/>
  <c r="W205" i="10"/>
  <c r="T206" i="10"/>
  <c r="T207" i="10"/>
  <c r="AE216" i="10"/>
  <c r="AA228" i="10"/>
  <c r="AA216" i="10"/>
  <c r="W216" i="10"/>
  <c r="V222" i="10"/>
  <c r="AB230" i="10"/>
  <c r="V234" i="10"/>
  <c r="V237" i="10"/>
  <c r="W243" i="10"/>
  <c r="AE313" i="10"/>
  <c r="AE253" i="10"/>
  <c r="AA253" i="10"/>
  <c r="W254" i="10"/>
  <c r="AE314" i="10"/>
  <c r="V259" i="10"/>
  <c r="AB273" i="10"/>
  <c r="T273" i="10"/>
  <c r="X273" i="10"/>
  <c r="V283" i="10"/>
  <c r="V282" i="10"/>
  <c r="AD282" i="10"/>
  <c r="Z282" i="10"/>
  <c r="Z286" i="10"/>
  <c r="AD346" i="10"/>
  <c r="V286" i="10"/>
  <c r="AB288" i="10"/>
  <c r="T291" i="10"/>
  <c r="AB291" i="10"/>
  <c r="X291" i="10"/>
  <c r="AA296" i="10"/>
  <c r="X308" i="10"/>
  <c r="AB308" i="10"/>
  <c r="T309" i="10"/>
  <c r="AB313" i="10"/>
  <c r="T313" i="10"/>
  <c r="X314" i="10"/>
  <c r="Z317" i="10"/>
  <c r="AD331" i="10"/>
  <c r="AA344" i="10"/>
  <c r="AE404" i="10"/>
  <c r="AE344" i="10"/>
  <c r="W345" i="10"/>
  <c r="W347" i="10"/>
  <c r="AA347" i="10"/>
  <c r="AD350" i="10"/>
  <c r="V350" i="10"/>
  <c r="Z350" i="10"/>
  <c r="W352" i="10"/>
  <c r="AE352" i="10"/>
  <c r="W353" i="10"/>
  <c r="AA352" i="10"/>
  <c r="AD366" i="10"/>
  <c r="V366" i="10"/>
  <c r="Z366" i="10"/>
  <c r="AA367" i="10"/>
  <c r="W367" i="10"/>
  <c r="V373" i="10"/>
  <c r="V377" i="10"/>
  <c r="Z378" i="10"/>
  <c r="X379" i="10"/>
  <c r="T379" i="10"/>
  <c r="AD380" i="10"/>
  <c r="AA384" i="10"/>
  <c r="Z389" i="10"/>
  <c r="V389" i="10"/>
  <c r="V391" i="10"/>
  <c r="T399" i="10"/>
  <c r="T400" i="10"/>
  <c r="X399" i="10"/>
  <c r="AB405" i="10"/>
  <c r="T405" i="10"/>
  <c r="X405" i="10"/>
  <c r="T407" i="10"/>
  <c r="AB407" i="10"/>
  <c r="T411" i="10"/>
  <c r="X411" i="10"/>
  <c r="AD413" i="10"/>
  <c r="Z416" i="10"/>
  <c r="V417" i="10"/>
  <c r="T419" i="10"/>
  <c r="X419" i="10"/>
  <c r="AB419" i="10"/>
  <c r="W421" i="10"/>
  <c r="AE420" i="10"/>
  <c r="AA420" i="10"/>
  <c r="X426" i="10"/>
  <c r="T426" i="10"/>
  <c r="V437" i="10"/>
  <c r="Z437" i="10"/>
  <c r="AD437" i="10"/>
  <c r="V438" i="10"/>
  <c r="V441" i="10"/>
  <c r="AD444" i="10"/>
  <c r="Z444" i="10"/>
  <c r="T455" i="10"/>
  <c r="AB455" i="10"/>
  <c r="AD458" i="10"/>
  <c r="V458" i="10"/>
  <c r="Z458" i="10"/>
  <c r="W485" i="10"/>
  <c r="AA484" i="10"/>
  <c r="W484" i="10"/>
  <c r="T491" i="10"/>
  <c r="AB491" i="10"/>
  <c r="Z496" i="10"/>
  <c r="Z508" i="10"/>
  <c r="AD496" i="10"/>
  <c r="V496" i="10"/>
  <c r="AB567" i="10"/>
  <c r="T507" i="10"/>
  <c r="X507" i="10"/>
  <c r="T526" i="10"/>
  <c r="AB526" i="10"/>
  <c r="Z527" i="10"/>
  <c r="V528" i="10"/>
  <c r="AD527" i="10"/>
  <c r="V527" i="10"/>
  <c r="AD587" i="10"/>
  <c r="AD537" i="10"/>
  <c r="V537" i="10"/>
  <c r="Z537" i="10"/>
  <c r="W541" i="10"/>
  <c r="AA553" i="10"/>
  <c r="AE541" i="10"/>
  <c r="AE601" i="10"/>
  <c r="AA541" i="10"/>
  <c r="AB548" i="10"/>
  <c r="T548" i="10"/>
  <c r="T549" i="10"/>
  <c r="X548" i="10"/>
  <c r="AD561" i="10"/>
  <c r="Z561" i="10"/>
  <c r="V562" i="10"/>
  <c r="V561" i="10"/>
  <c r="Z573" i="10"/>
  <c r="T565" i="10"/>
  <c r="X564" i="10"/>
  <c r="T564" i="10"/>
  <c r="AB564" i="10"/>
  <c r="AE577" i="10"/>
  <c r="AB594" i="10"/>
  <c r="AB597" i="10"/>
  <c r="X597" i="10"/>
  <c r="T597" i="10"/>
  <c r="W20" i="10"/>
  <c r="W45" i="10"/>
  <c r="T66" i="10"/>
  <c r="AE70" i="10"/>
  <c r="AA70" i="10"/>
  <c r="AB77" i="10"/>
  <c r="T83" i="10"/>
  <c r="AB83" i="10"/>
  <c r="AA92" i="10"/>
  <c r="W98" i="10"/>
  <c r="W101" i="10"/>
  <c r="T105" i="10"/>
  <c r="T106" i="10"/>
  <c r="W108" i="10"/>
  <c r="AE168" i="10"/>
  <c r="AE110" i="10"/>
  <c r="W110" i="10"/>
  <c r="T115" i="10"/>
  <c r="AB115" i="10"/>
  <c r="AB117" i="10"/>
  <c r="W133" i="10"/>
  <c r="T137" i="10"/>
  <c r="T138" i="10"/>
  <c r="W140" i="10"/>
  <c r="AE200" i="10"/>
  <c r="AE142" i="10"/>
  <c r="W142" i="10"/>
  <c r="AB144" i="10"/>
  <c r="T146" i="10"/>
  <c r="AA152" i="10"/>
  <c r="AA153" i="10"/>
  <c r="W154" i="10"/>
  <c r="W155" i="10"/>
  <c r="W162" i="10"/>
  <c r="W166" i="10"/>
  <c r="W167" i="10"/>
  <c r="W169" i="10"/>
  <c r="AA169" i="10"/>
  <c r="AA170" i="10"/>
  <c r="W170" i="10"/>
  <c r="AA173" i="10"/>
  <c r="W183" i="10"/>
  <c r="W189" i="10"/>
  <c r="W190" i="10"/>
  <c r="T191" i="10"/>
  <c r="W192" i="10"/>
  <c r="AE198" i="10"/>
  <c r="AA198" i="10"/>
  <c r="X211" i="10"/>
  <c r="T211" i="10"/>
  <c r="W215" i="10"/>
  <c r="AE221" i="10"/>
  <c r="W221" i="10"/>
  <c r="Z223" i="10"/>
  <c r="G15" i="10" s="1"/>
  <c r="AD283" i="10"/>
  <c r="T228" i="10"/>
  <c r="V229" i="10"/>
  <c r="AD289" i="10"/>
  <c r="AE233" i="10"/>
  <c r="W233" i="10"/>
  <c r="Z235" i="10"/>
  <c r="Z238" i="10"/>
  <c r="T239" i="10"/>
  <c r="V250" i="10"/>
  <c r="T260" i="10"/>
  <c r="Z271" i="10"/>
  <c r="AE276" i="10"/>
  <c r="AA285" i="10"/>
  <c r="AE286" i="10"/>
  <c r="W286" i="10"/>
  <c r="AE346" i="10"/>
  <c r="AD287" i="10"/>
  <c r="V287" i="10"/>
  <c r="Z287" i="10"/>
  <c r="W297" i="10"/>
  <c r="T299" i="10"/>
  <c r="AD303" i="10"/>
  <c r="V303" i="10"/>
  <c r="AD363" i="10"/>
  <c r="Z303" i="10"/>
  <c r="T307" i="10"/>
  <c r="AB307" i="10"/>
  <c r="V308" i="10"/>
  <c r="Z308" i="10"/>
  <c r="AB312" i="10"/>
  <c r="T312" i="10"/>
  <c r="W319" i="10"/>
  <c r="Z320" i="10"/>
  <c r="V321" i="10"/>
  <c r="T322" i="10"/>
  <c r="AB326" i="10"/>
  <c r="AB328" i="10"/>
  <c r="T328" i="10"/>
  <c r="X328" i="10"/>
  <c r="AB388" i="10"/>
  <c r="AB330" i="10"/>
  <c r="X331" i="10"/>
  <c r="T331" i="10"/>
  <c r="Z332" i="10"/>
  <c r="AD336" i="10"/>
  <c r="AE341" i="10"/>
  <c r="W341" i="10"/>
  <c r="AA341" i="10"/>
  <c r="W343" i="10"/>
  <c r="AA355" i="10"/>
  <c r="AE343" i="10"/>
  <c r="V344" i="10"/>
  <c r="T347" i="10"/>
  <c r="AE349" i="10"/>
  <c r="W349" i="10"/>
  <c r="AA349" i="10"/>
  <c r="AE350" i="10"/>
  <c r="W350" i="10"/>
  <c r="W351" i="10"/>
  <c r="X352" i="10"/>
  <c r="V354" i="10"/>
  <c r="AA356" i="10"/>
  <c r="T357" i="10"/>
  <c r="AB361" i="10"/>
  <c r="T361" i="10"/>
  <c r="X361" i="10"/>
  <c r="Z364" i="10"/>
  <c r="AE366" i="10"/>
  <c r="W366" i="10"/>
  <c r="AA366" i="10"/>
  <c r="V369" i="10"/>
  <c r="AD375" i="10"/>
  <c r="V375" i="10"/>
  <c r="Z375" i="10"/>
  <c r="X376" i="10"/>
  <c r="Z385" i="10"/>
  <c r="AA389" i="10"/>
  <c r="W390" i="10"/>
  <c r="W389" i="10"/>
  <c r="W392" i="10"/>
  <c r="T394" i="10"/>
  <c r="AD395" i="10"/>
  <c r="V395" i="10"/>
  <c r="AD455" i="10"/>
  <c r="Z395" i="10"/>
  <c r="AE396" i="10"/>
  <c r="AE456" i="10"/>
  <c r="W396" i="10"/>
  <c r="AD405" i="10"/>
  <c r="AD465" i="10"/>
  <c r="Z405" i="10"/>
  <c r="Z407" i="10"/>
  <c r="X410" i="10"/>
  <c r="AB470" i="10"/>
  <c r="T410" i="10"/>
  <c r="AE427" i="10"/>
  <c r="Z429" i="10"/>
  <c r="V429" i="10"/>
  <c r="AD429" i="10"/>
  <c r="V430" i="10"/>
  <c r="X432" i="10"/>
  <c r="AB432" i="10"/>
  <c r="Z440" i="10"/>
  <c r="AD440" i="10"/>
  <c r="V440" i="10"/>
  <c r="T443" i="10"/>
  <c r="AB443" i="10"/>
  <c r="W445" i="10"/>
  <c r="AA444" i="10"/>
  <c r="AE444" i="10"/>
  <c r="AD449" i="10"/>
  <c r="Z484" i="10"/>
  <c r="X489" i="10"/>
  <c r="AB489" i="10"/>
  <c r="T489" i="10"/>
  <c r="T495" i="10"/>
  <c r="AB495" i="10"/>
  <c r="X495" i="10"/>
  <c r="AA508" i="10"/>
  <c r="AA496" i="10"/>
  <c r="W496" i="10"/>
  <c r="AE496" i="10"/>
  <c r="X513" i="10"/>
  <c r="AB513" i="10"/>
  <c r="AB573" i="10"/>
  <c r="T513" i="10"/>
  <c r="AB516" i="10"/>
  <c r="T516" i="10"/>
  <c r="AB576" i="10"/>
  <c r="X516" i="10"/>
  <c r="T517" i="10"/>
  <c r="AD521" i="10"/>
  <c r="V521" i="10"/>
  <c r="Z521" i="10"/>
  <c r="V536" i="10"/>
  <c r="AE537" i="10"/>
  <c r="W537" i="10"/>
  <c r="AA537" i="10"/>
  <c r="AB540" i="10"/>
  <c r="X540" i="10"/>
  <c r="T541" i="10"/>
  <c r="T540" i="10"/>
  <c r="AE603" i="10"/>
  <c r="AE543" i="10"/>
  <c r="W543" i="10"/>
  <c r="AA543" i="10"/>
  <c r="AE621" i="10"/>
  <c r="AE561" i="10"/>
  <c r="W562" i="10"/>
  <c r="AA573" i="10"/>
  <c r="W561" i="10"/>
  <c r="AA561" i="10"/>
  <c r="AE575" i="10"/>
  <c r="W575" i="10"/>
  <c r="AE635" i="10"/>
  <c r="AA587" i="10"/>
  <c r="AA575" i="10"/>
  <c r="X576" i="10"/>
  <c r="T589" i="10"/>
  <c r="AB589" i="10"/>
  <c r="AB649" i="10"/>
  <c r="T608" i="10"/>
  <c r="X608" i="10"/>
  <c r="AB608" i="10"/>
  <c r="AB617" i="10"/>
  <c r="X617" i="10"/>
  <c r="T617" i="10"/>
  <c r="X624" i="10"/>
  <c r="X636" i="10"/>
  <c r="AB684" i="10"/>
  <c r="T624" i="10"/>
  <c r="AB624" i="10"/>
  <c r="W33" i="10"/>
  <c r="AA36" i="10"/>
  <c r="T59" i="10"/>
  <c r="AB119" i="10"/>
  <c r="AA64" i="10"/>
  <c r="W70" i="10"/>
  <c r="AA73" i="10"/>
  <c r="W76" i="10"/>
  <c r="AE136" i="10"/>
  <c r="AA82" i="10"/>
  <c r="AA97" i="10"/>
  <c r="X105" i="10"/>
  <c r="W107" i="10"/>
  <c r="T112" i="10"/>
  <c r="AA117" i="10"/>
  <c r="W117" i="10"/>
  <c r="AA126" i="10"/>
  <c r="X137" i="10"/>
  <c r="W139" i="10"/>
  <c r="T147" i="10"/>
  <c r="AB147" i="10"/>
  <c r="AB149" i="10"/>
  <c r="AE152" i="10"/>
  <c r="AA161" i="10"/>
  <c r="AA167" i="10"/>
  <c r="W168" i="10"/>
  <c r="T173" i="10"/>
  <c r="AE174" i="10"/>
  <c r="W174" i="10"/>
  <c r="T175" i="10"/>
  <c r="AB176" i="10"/>
  <c r="T178" i="10"/>
  <c r="AA183" i="10"/>
  <c r="AA184" i="10"/>
  <c r="AA185" i="10"/>
  <c r="AA188" i="10"/>
  <c r="X189" i="10"/>
  <c r="X190" i="10"/>
  <c r="W198" i="10"/>
  <c r="W201" i="10"/>
  <c r="AA201" i="10"/>
  <c r="AA202" i="10"/>
  <c r="AA214" i="10"/>
  <c r="W202" i="10"/>
  <c r="W206" i="10"/>
  <c r="T209" i="10"/>
  <c r="W213" i="10"/>
  <c r="W214" i="10"/>
  <c r="X215" i="10"/>
  <c r="AA227" i="10"/>
  <c r="Z231" i="10"/>
  <c r="V231" i="10"/>
  <c r="AA235" i="10"/>
  <c r="T241" i="10"/>
  <c r="AB241" i="10"/>
  <c r="AE249" i="10"/>
  <c r="W249" i="10"/>
  <c r="W253" i="10"/>
  <c r="AB262" i="10"/>
  <c r="Z278" i="10"/>
  <c r="V266" i="10"/>
  <c r="Z273" i="10"/>
  <c r="X274" i="10"/>
  <c r="X286" i="10"/>
  <c r="X277" i="10"/>
  <c r="T280" i="10"/>
  <c r="AB280" i="10"/>
  <c r="X280" i="10"/>
  <c r="Z283" i="10"/>
  <c r="AB284" i="10"/>
  <c r="T285" i="10"/>
  <c r="X294" i="10"/>
  <c r="T294" i="10"/>
  <c r="AE303" i="10"/>
  <c r="V306" i="10"/>
  <c r="AD305" i="10"/>
  <c r="Z305" i="10"/>
  <c r="W308" i="10"/>
  <c r="AA308" i="10"/>
  <c r="AE368" i="10"/>
  <c r="Z312" i="10"/>
  <c r="V312" i="10"/>
  <c r="X315" i="10"/>
  <c r="T315" i="10"/>
  <c r="AA320" i="10"/>
  <c r="Z325" i="10"/>
  <c r="V325" i="10"/>
  <c r="AD385" i="10"/>
  <c r="X327" i="10"/>
  <c r="AB327" i="10"/>
  <c r="X333" i="10"/>
  <c r="T333" i="10"/>
  <c r="X334" i="10"/>
  <c r="T334" i="10"/>
  <c r="AE336" i="10"/>
  <c r="T341" i="10"/>
  <c r="T343" i="10"/>
  <c r="W344" i="10"/>
  <c r="Z345" i="10"/>
  <c r="V349" i="10"/>
  <c r="AA350" i="10"/>
  <c r="AD353" i="10"/>
  <c r="AB356" i="10"/>
  <c r="AA363" i="10"/>
  <c r="AA364" i="10"/>
  <c r="Z365" i="10"/>
  <c r="Z368" i="10"/>
  <c r="AB373" i="10"/>
  <c r="AE435" i="10"/>
  <c r="W375" i="10"/>
  <c r="T378" i="10"/>
  <c r="X381" i="10"/>
  <c r="T381" i="10"/>
  <c r="T388" i="10"/>
  <c r="AD390" i="10"/>
  <c r="AD406" i="10"/>
  <c r="V406" i="10"/>
  <c r="V407" i="10"/>
  <c r="X414" i="10"/>
  <c r="T414" i="10"/>
  <c r="AB474" i="10"/>
  <c r="AB416" i="10"/>
  <c r="W420" i="10"/>
  <c r="AE423" i="10"/>
  <c r="AB428" i="10"/>
  <c r="T428" i="10"/>
  <c r="X428" i="10"/>
  <c r="AA429" i="10"/>
  <c r="Z432" i="10"/>
  <c r="AD432" i="10"/>
  <c r="V432" i="10"/>
  <c r="T439" i="10"/>
  <c r="AB439" i="10"/>
  <c r="AA440" i="10"/>
  <c r="AE440" i="10"/>
  <c r="W440" i="10"/>
  <c r="V444" i="10"/>
  <c r="T451" i="10"/>
  <c r="AB451" i="10"/>
  <c r="T456" i="10"/>
  <c r="AB469" i="10"/>
  <c r="T469" i="10"/>
  <c r="X469" i="10"/>
  <c r="AB529" i="10"/>
  <c r="T471" i="10"/>
  <c r="AB471" i="10"/>
  <c r="Z472" i="10"/>
  <c r="V472" i="10"/>
  <c r="AD474" i="10"/>
  <c r="V474" i="10"/>
  <c r="Z474" i="10"/>
  <c r="AD534" i="10"/>
  <c r="Z476" i="10"/>
  <c r="V481" i="10"/>
  <c r="AD482" i="10"/>
  <c r="V482" i="10"/>
  <c r="Z482" i="10"/>
  <c r="AD542" i="10"/>
  <c r="AE484" i="10"/>
  <c r="AB486" i="10"/>
  <c r="T496" i="10"/>
  <c r="AD500" i="10"/>
  <c r="Z500" i="10"/>
  <c r="Z512" i="10"/>
  <c r="AD501" i="10"/>
  <c r="V516" i="10"/>
  <c r="V517" i="10"/>
  <c r="Z516" i="10"/>
  <c r="AD516" i="10"/>
  <c r="Z528" i="10"/>
  <c r="AD518" i="10"/>
  <c r="AE521" i="10"/>
  <c r="W521" i="10"/>
  <c r="AA521" i="10"/>
  <c r="W522" i="10"/>
  <c r="X537" i="10"/>
  <c r="X552" i="10"/>
  <c r="AB554" i="10"/>
  <c r="T554" i="10"/>
  <c r="AB614" i="10"/>
  <c r="X554" i="10"/>
  <c r="AE574" i="10"/>
  <c r="W574" i="10"/>
  <c r="AA574" i="10"/>
  <c r="X293" i="10"/>
  <c r="X295" i="10"/>
  <c r="AB297" i="10"/>
  <c r="T297" i="10"/>
  <c r="V304" i="10"/>
  <c r="AE309" i="10"/>
  <c r="W309" i="10"/>
  <c r="AA309" i="10"/>
  <c r="Z315" i="10"/>
  <c r="AE317" i="10"/>
  <c r="W317" i="10"/>
  <c r="AE377" i="10"/>
  <c r="X318" i="10"/>
  <c r="AB318" i="10"/>
  <c r="W320" i="10"/>
  <c r="Z323" i="10"/>
  <c r="V330" i="10"/>
  <c r="AD329" i="10"/>
  <c r="X332" i="10"/>
  <c r="AB332" i="10"/>
  <c r="AA332" i="10"/>
  <c r="AD334" i="10"/>
  <c r="V334" i="10"/>
  <c r="AD394" i="10"/>
  <c r="AA337" i="10"/>
  <c r="AD340" i="10"/>
  <c r="AD359" i="10"/>
  <c r="V359" i="10"/>
  <c r="AB360" i="10"/>
  <c r="T360" i="10"/>
  <c r="AE373" i="10"/>
  <c r="W373" i="10"/>
  <c r="AA373" i="10"/>
  <c r="AA393" i="10"/>
  <c r="AE381" i="10"/>
  <c r="W381" i="10"/>
  <c r="X382" i="10"/>
  <c r="AB382" i="10"/>
  <c r="W384" i="10"/>
  <c r="AB392" i="10"/>
  <c r="V397" i="10"/>
  <c r="Z397" i="10"/>
  <c r="AE408" i="10"/>
  <c r="W408" i="10"/>
  <c r="AD410" i="10"/>
  <c r="V410" i="10"/>
  <c r="AA413" i="10"/>
  <c r="AB415" i="10"/>
  <c r="X415" i="10"/>
  <c r="AA419" i="10"/>
  <c r="AD426" i="10"/>
  <c r="V426" i="10"/>
  <c r="Z426" i="10"/>
  <c r="AD486" i="10"/>
  <c r="AB436" i="10"/>
  <c r="T436" i="10"/>
  <c r="X436" i="10"/>
  <c r="T447" i="10"/>
  <c r="AB447" i="10"/>
  <c r="AB468" i="10"/>
  <c r="T468" i="10"/>
  <c r="AD470" i="10"/>
  <c r="AB477" i="10"/>
  <c r="T477" i="10"/>
  <c r="X477" i="10"/>
  <c r="AB537" i="10"/>
  <c r="AD492" i="10"/>
  <c r="Z492" i="10"/>
  <c r="Z504" i="10"/>
  <c r="V505" i="10"/>
  <c r="AD504" i="10"/>
  <c r="X514" i="10"/>
  <c r="T514" i="10"/>
  <c r="X519" i="10"/>
  <c r="T519" i="10"/>
  <c r="T520" i="10"/>
  <c r="AB531" i="10"/>
  <c r="T531" i="10"/>
  <c r="X531" i="10"/>
  <c r="X543" i="10"/>
  <c r="X539" i="10"/>
  <c r="T539" i="10"/>
  <c r="AB539" i="10"/>
  <c r="X557" i="10"/>
  <c r="T557" i="10"/>
  <c r="AB557" i="10"/>
  <c r="T563" i="10"/>
  <c r="X575" i="10"/>
  <c r="X563" i="10"/>
  <c r="AB569" i="10"/>
  <c r="T569" i="10"/>
  <c r="X569" i="10"/>
  <c r="AA572" i="10"/>
  <c r="AE572" i="10"/>
  <c r="V583" i="10"/>
  <c r="Z583" i="10"/>
  <c r="V584" i="10"/>
  <c r="AD654" i="10"/>
  <c r="Z594" i="10"/>
  <c r="V594" i="10"/>
  <c r="Z606" i="10"/>
  <c r="AD594" i="10"/>
  <c r="V595" i="10"/>
  <c r="T598" i="10"/>
  <c r="AB598" i="10"/>
  <c r="X598" i="10"/>
  <c r="X610" i="10"/>
  <c r="AE665" i="10"/>
  <c r="AA605" i="10"/>
  <c r="W605" i="10"/>
  <c r="AE605" i="10"/>
  <c r="W606" i="10"/>
  <c r="AA114" i="10"/>
  <c r="AA125" i="10"/>
  <c r="AA146" i="10"/>
  <c r="AA157" i="10"/>
  <c r="AA178" i="10"/>
  <c r="AA189" i="10"/>
  <c r="W203" i="10"/>
  <c r="V212" i="10"/>
  <c r="AE282" i="10"/>
  <c r="W222" i="10"/>
  <c r="AE222" i="10"/>
  <c r="AE227" i="10"/>
  <c r="AE229" i="10"/>
  <c r="W234" i="10"/>
  <c r="AE234" i="10"/>
  <c r="Z239" i="10"/>
  <c r="V240" i="10"/>
  <c r="AE245" i="10"/>
  <c r="W250" i="10"/>
  <c r="AE250" i="10"/>
  <c r="Z255" i="10"/>
  <c r="V256" i="10"/>
  <c r="AE261" i="10"/>
  <c r="W266" i="10"/>
  <c r="AE266" i="10"/>
  <c r="V272" i="10"/>
  <c r="AD272" i="10"/>
  <c r="X276" i="10"/>
  <c r="AB276" i="10"/>
  <c r="V281" i="10"/>
  <c r="AD281" i="10"/>
  <c r="AE283" i="10"/>
  <c r="AB293" i="10"/>
  <c r="AB295" i="10"/>
  <c r="Z297" i="10"/>
  <c r="AD297" i="10"/>
  <c r="V298" i="10"/>
  <c r="W304" i="10"/>
  <c r="AB305" i="10"/>
  <c r="T305" i="10"/>
  <c r="X305" i="10"/>
  <c r="AB310" i="10"/>
  <c r="AE315" i="10"/>
  <c r="Z316" i="10"/>
  <c r="AE321" i="10"/>
  <c r="X324" i="10"/>
  <c r="AD332" i="10"/>
  <c r="AE334" i="10"/>
  <c r="W334" i="10"/>
  <c r="AE340" i="10"/>
  <c r="Z346" i="10"/>
  <c r="X349" i="10"/>
  <c r="T349" i="10"/>
  <c r="AB349" i="10"/>
  <c r="Z357" i="10"/>
  <c r="AD357" i="10"/>
  <c r="Z360" i="10"/>
  <c r="AD420" i="10"/>
  <c r="X363" i="10"/>
  <c r="AD365" i="10"/>
  <c r="AD428" i="10"/>
  <c r="V368" i="10"/>
  <c r="AB369" i="10"/>
  <c r="T369" i="10"/>
  <c r="X369" i="10"/>
  <c r="AB374" i="10"/>
  <c r="AE379" i="10"/>
  <c r="Z380" i="10"/>
  <c r="X388" i="10"/>
  <c r="W398" i="10"/>
  <c r="W397" i="10"/>
  <c r="AE397" i="10"/>
  <c r="W400" i="10"/>
  <c r="AA412" i="10"/>
  <c r="AA400" i="10"/>
  <c r="AE410" i="10"/>
  <c r="W410" i="10"/>
  <c r="AE470" i="10"/>
  <c r="W411" i="10"/>
  <c r="AE426" i="10"/>
  <c r="W426" i="10"/>
  <c r="AE486" i="10"/>
  <c r="AD436" i="10"/>
  <c r="Z436" i="10"/>
  <c r="AB442" i="10"/>
  <c r="Z449" i="10"/>
  <c r="V453" i="10"/>
  <c r="V454" i="10"/>
  <c r="AD453" i="10"/>
  <c r="Z461" i="10"/>
  <c r="AD526" i="10"/>
  <c r="AD466" i="10"/>
  <c r="V466" i="10"/>
  <c r="Z466" i="10"/>
  <c r="X473" i="10"/>
  <c r="AB473" i="10"/>
  <c r="T473" i="10"/>
  <c r="X481" i="10"/>
  <c r="AB481" i="10"/>
  <c r="T481" i="10"/>
  <c r="AB541" i="10"/>
  <c r="V485" i="10"/>
  <c r="AD545" i="10"/>
  <c r="T487" i="10"/>
  <c r="X487" i="10"/>
  <c r="X488" i="10"/>
  <c r="AB488" i="10"/>
  <c r="AE552" i="10"/>
  <c r="W493" i="10"/>
  <c r="AA492" i="10"/>
  <c r="W492" i="10"/>
  <c r="V501" i="10"/>
  <c r="Z513" i="10"/>
  <c r="Z501" i="10"/>
  <c r="AA504" i="10"/>
  <c r="AE504" i="10"/>
  <c r="AA515" i="10"/>
  <c r="W516" i="10"/>
  <c r="W515" i="10"/>
  <c r="AA527" i="10"/>
  <c r="X530" i="10"/>
  <c r="T530" i="10"/>
  <c r="AB533" i="10"/>
  <c r="X533" i="10"/>
  <c r="AA534" i="10"/>
  <c r="AE534" i="10"/>
  <c r="W535" i="10"/>
  <c r="W534" i="10"/>
  <c r="AE594" i="10"/>
  <c r="AA546" i="10"/>
  <c r="AB555" i="10"/>
  <c r="AD617" i="10"/>
  <c r="AD557" i="10"/>
  <c r="Z569" i="10"/>
  <c r="V557" i="10"/>
  <c r="Z557" i="10"/>
  <c r="W573" i="10"/>
  <c r="AB604" i="10"/>
  <c r="X604" i="10"/>
  <c r="T604" i="10"/>
  <c r="AA54" i="10"/>
  <c r="W55" i="10"/>
  <c r="AA58" i="10"/>
  <c r="AE65" i="10"/>
  <c r="AA66" i="10"/>
  <c r="AB69" i="10"/>
  <c r="AE75" i="10"/>
  <c r="AA80" i="10"/>
  <c r="AE86" i="10"/>
  <c r="X87" i="10"/>
  <c r="AB101" i="10"/>
  <c r="AE107" i="10"/>
  <c r="AA112" i="10"/>
  <c r="AE118" i="10"/>
  <c r="X119" i="10"/>
  <c r="AB133" i="10"/>
  <c r="AE139" i="10"/>
  <c r="AA144" i="10"/>
  <c r="AE150" i="10"/>
  <c r="X151" i="10"/>
  <c r="AB165" i="10"/>
  <c r="AE171" i="10"/>
  <c r="AA176" i="10"/>
  <c r="AE182" i="10"/>
  <c r="X183" i="10"/>
  <c r="AB197" i="10"/>
  <c r="W212" i="10"/>
  <c r="AA224" i="10"/>
  <c r="X213" i="10"/>
  <c r="T218" i="10"/>
  <c r="AB218" i="10"/>
  <c r="X223" i="10"/>
  <c r="AB223" i="10"/>
  <c r="V230" i="10"/>
  <c r="X235" i="10"/>
  <c r="AB235" i="10"/>
  <c r="AE239" i="10"/>
  <c r="V246" i="10"/>
  <c r="X251" i="10"/>
  <c r="AB251" i="10"/>
  <c r="AE255" i="10"/>
  <c r="V262" i="10"/>
  <c r="X267" i="10"/>
  <c r="AB267" i="10"/>
  <c r="W272" i="10"/>
  <c r="AE272" i="10"/>
  <c r="AA274" i="10"/>
  <c r="AD274" i="10"/>
  <c r="Z276" i="10"/>
  <c r="Z288" i="10"/>
  <c r="V277" i="10"/>
  <c r="AE281" i="10"/>
  <c r="AE289" i="10"/>
  <c r="V293" i="10"/>
  <c r="AD293" i="10"/>
  <c r="AD295" i="10"/>
  <c r="V295" i="10"/>
  <c r="AD355" i="10"/>
  <c r="AE297" i="10"/>
  <c r="X301" i="10"/>
  <c r="T301" i="10"/>
  <c r="AB301" i="10"/>
  <c r="Z307" i="10"/>
  <c r="W312" i="10"/>
  <c r="V314" i="10"/>
  <c r="AD313" i="10"/>
  <c r="X316" i="10"/>
  <c r="AB316" i="10"/>
  <c r="AA316" i="10"/>
  <c r="AD318" i="10"/>
  <c r="V318" i="10"/>
  <c r="AA321" i="10"/>
  <c r="AD324" i="10"/>
  <c r="V329" i="10"/>
  <c r="AE332" i="10"/>
  <c r="AD343" i="10"/>
  <c r="V343" i="10"/>
  <c r="AB344" i="10"/>
  <c r="T344" i="10"/>
  <c r="AA346" i="10"/>
  <c r="AE357" i="10"/>
  <c r="W357" i="10"/>
  <c r="AA357" i="10"/>
  <c r="AE365" i="10"/>
  <c r="W365" i="10"/>
  <c r="X366" i="10"/>
  <c r="AB366" i="10"/>
  <c r="W368" i="10"/>
  <c r="W376" i="10"/>
  <c r="V378" i="10"/>
  <c r="AD377" i="10"/>
  <c r="X380" i="10"/>
  <c r="AB380" i="10"/>
  <c r="AB440" i="10"/>
  <c r="AA380" i="10"/>
  <c r="AD382" i="10"/>
  <c r="V382" i="10"/>
  <c r="AA385" i="10"/>
  <c r="V388" i="10"/>
  <c r="AD448" i="10"/>
  <c r="AD388" i="10"/>
  <c r="Z401" i="10"/>
  <c r="AD461" i="10"/>
  <c r="AD401" i="10"/>
  <c r="W407" i="10"/>
  <c r="AA408" i="10"/>
  <c r="Z410" i="10"/>
  <c r="X416" i="10"/>
  <c r="T416" i="10"/>
  <c r="AE419" i="10"/>
  <c r="AA426" i="10"/>
  <c r="X433" i="10"/>
  <c r="AB433" i="10"/>
  <c r="T433" i="10"/>
  <c r="T435" i="10"/>
  <c r="AB435" i="10"/>
  <c r="W437" i="10"/>
  <c r="AA436" i="10"/>
  <c r="AE436" i="10"/>
  <c r="X441" i="10"/>
  <c r="AB441" i="10"/>
  <c r="T441" i="10"/>
  <c r="T442" i="10"/>
  <c r="V445" i="10"/>
  <c r="V446" i="10"/>
  <c r="AD445" i="10"/>
  <c r="Z445" i="10"/>
  <c r="AA448" i="10"/>
  <c r="AE508" i="10"/>
  <c r="AE448" i="10"/>
  <c r="AD450" i="10"/>
  <c r="V450" i="10"/>
  <c r="Z450" i="10"/>
  <c r="AD517" i="10"/>
  <c r="AD457" i="10"/>
  <c r="Z470" i="10"/>
  <c r="X472" i="10"/>
  <c r="T472" i="10"/>
  <c r="AB476" i="10"/>
  <c r="T476" i="10"/>
  <c r="AB543" i="10"/>
  <c r="T483" i="10"/>
  <c r="X483" i="10"/>
  <c r="AB484" i="10"/>
  <c r="T484" i="10"/>
  <c r="X484" i="10"/>
  <c r="AD548" i="10"/>
  <c r="Z488" i="10"/>
  <c r="V488" i="10"/>
  <c r="V492" i="10"/>
  <c r="X497" i="10"/>
  <c r="AB497" i="10"/>
  <c r="T497" i="10"/>
  <c r="T499" i="10"/>
  <c r="AB499" i="10"/>
  <c r="AB500" i="10"/>
  <c r="T500" i="10"/>
  <c r="AB560" i="10"/>
  <c r="X500" i="10"/>
  <c r="V502" i="10"/>
  <c r="V510" i="10"/>
  <c r="Z509" i="10"/>
  <c r="V509" i="10"/>
  <c r="X518" i="10"/>
  <c r="T518" i="10"/>
  <c r="AB518" i="10"/>
  <c r="AE520" i="10"/>
  <c r="W520" i="10"/>
  <c r="AA520" i="10"/>
  <c r="V540" i="10"/>
  <c r="V539" i="10"/>
  <c r="AD599" i="10"/>
  <c r="AD539" i="10"/>
  <c r="Z539" i="10"/>
  <c r="AE542" i="10"/>
  <c r="AA542" i="10"/>
  <c r="W542" i="10"/>
  <c r="AD560" i="10"/>
  <c r="V560" i="10"/>
  <c r="Z560" i="10"/>
  <c r="X568" i="10"/>
  <c r="AB568" i="10"/>
  <c r="AE598" i="10"/>
  <c r="AA598" i="10"/>
  <c r="AA610" i="10"/>
  <c r="W598" i="10"/>
  <c r="X606" i="10"/>
  <c r="T606" i="10"/>
  <c r="AB689" i="10"/>
  <c r="T629" i="10"/>
  <c r="AB629" i="10"/>
  <c r="X629" i="10"/>
  <c r="T630" i="10"/>
  <c r="AD411" i="10"/>
  <c r="V411" i="10"/>
  <c r="AD471" i="10"/>
  <c r="Z411" i="10"/>
  <c r="Z414" i="10"/>
  <c r="AE416" i="10"/>
  <c r="AD419" i="10"/>
  <c r="V419" i="10"/>
  <c r="AD479" i="10"/>
  <c r="AB420" i="10"/>
  <c r="T420" i="10"/>
  <c r="AE424" i="10"/>
  <c r="AA428" i="10"/>
  <c r="AA438" i="10"/>
  <c r="AA439" i="10"/>
  <c r="AD442" i="10"/>
  <c r="V442" i="10"/>
  <c r="Z442" i="10"/>
  <c r="AB460" i="10"/>
  <c r="T460" i="10"/>
  <c r="AB461" i="10"/>
  <c r="T461" i="10"/>
  <c r="X461" i="10"/>
  <c r="X465" i="10"/>
  <c r="AB465" i="10"/>
  <c r="T465" i="10"/>
  <c r="AD468" i="10"/>
  <c r="AE532" i="10"/>
  <c r="AA472" i="10"/>
  <c r="W477" i="10"/>
  <c r="AA476" i="10"/>
  <c r="V477" i="10"/>
  <c r="Z494" i="10"/>
  <c r="AE512" i="10"/>
  <c r="AA512" i="10"/>
  <c r="AD529" i="10"/>
  <c r="V529" i="10"/>
  <c r="Z529" i="10"/>
  <c r="Z541" i="10"/>
  <c r="AD530" i="10"/>
  <c r="V530" i="10"/>
  <c r="Z530" i="10"/>
  <c r="V531" i="10"/>
  <c r="T551" i="10"/>
  <c r="AB551" i="10"/>
  <c r="AB562" i="10"/>
  <c r="T562" i="10"/>
  <c r="AB622" i="10"/>
  <c r="X562" i="10"/>
  <c r="AE567" i="10"/>
  <c r="W567" i="10"/>
  <c r="AE627" i="10"/>
  <c r="AA567" i="10"/>
  <c r="W568" i="10"/>
  <c r="AB578" i="10"/>
  <c r="T578" i="10"/>
  <c r="X578" i="10"/>
  <c r="W585" i="10"/>
  <c r="AE585" i="10"/>
  <c r="W586" i="10"/>
  <c r="AA585" i="10"/>
  <c r="V591" i="10"/>
  <c r="AD591" i="10"/>
  <c r="Z591" i="10"/>
  <c r="Z596" i="10"/>
  <c r="V596" i="10"/>
  <c r="W616" i="10"/>
  <c r="AE615" i="10"/>
  <c r="W615" i="10"/>
  <c r="AE675" i="10"/>
  <c r="AA615" i="10"/>
  <c r="AB619" i="10"/>
  <c r="T619" i="10"/>
  <c r="X619" i="10"/>
  <c r="X630" i="10"/>
  <c r="AB630" i="10"/>
  <c r="W643" i="10"/>
  <c r="AA642" i="10"/>
  <c r="W642" i="10"/>
  <c r="V217" i="10"/>
  <c r="AE270" i="10"/>
  <c r="W270" i="10"/>
  <c r="AD279" i="10"/>
  <c r="V279" i="10"/>
  <c r="AA290" i="10"/>
  <c r="AE302" i="10"/>
  <c r="W302" i="10"/>
  <c r="X309" i="10"/>
  <c r="AD310" i="10"/>
  <c r="V310" i="10"/>
  <c r="AA313" i="10"/>
  <c r="X325" i="10"/>
  <c r="AD326" i="10"/>
  <c r="V326" i="10"/>
  <c r="AA329" i="10"/>
  <c r="AE330" i="10"/>
  <c r="X341" i="10"/>
  <c r="AD342" i="10"/>
  <c r="V342" i="10"/>
  <c r="AA345" i="10"/>
  <c r="X357" i="10"/>
  <c r="AD358" i="10"/>
  <c r="V358" i="10"/>
  <c r="AA361" i="10"/>
  <c r="AE362" i="10"/>
  <c r="X373" i="10"/>
  <c r="AD374" i="10"/>
  <c r="V374" i="10"/>
  <c r="AA377" i="10"/>
  <c r="AB389" i="10"/>
  <c r="T389" i="10"/>
  <c r="X389" i="10"/>
  <c r="X391" i="10"/>
  <c r="AB391" i="10"/>
  <c r="X393" i="10"/>
  <c r="AB393" i="10"/>
  <c r="V399" i="10"/>
  <c r="V398" i="10"/>
  <c r="AA403" i="10"/>
  <c r="V409" i="10"/>
  <c r="AA411" i="10"/>
  <c r="AA414" i="10"/>
  <c r="W419" i="10"/>
  <c r="Z422" i="10"/>
  <c r="X425" i="10"/>
  <c r="T425" i="10"/>
  <c r="AA430" i="10"/>
  <c r="AA431" i="10"/>
  <c r="AD434" i="10"/>
  <c r="V434" i="10"/>
  <c r="Z434" i="10"/>
  <c r="AE442" i="10"/>
  <c r="X448" i="10"/>
  <c r="AB452" i="10"/>
  <c r="T452" i="10"/>
  <c r="AB453" i="10"/>
  <c r="T453" i="10"/>
  <c r="X453" i="10"/>
  <c r="Z456" i="10"/>
  <c r="X457" i="10"/>
  <c r="AB457" i="10"/>
  <c r="T457" i="10"/>
  <c r="AD520" i="10"/>
  <c r="AD460" i="10"/>
  <c r="AA464" i="10"/>
  <c r="AE524" i="10"/>
  <c r="W469" i="10"/>
  <c r="AA468" i="10"/>
  <c r="V469" i="10"/>
  <c r="Z486" i="10"/>
  <c r="AD498" i="10"/>
  <c r="V498" i="10"/>
  <c r="Z498" i="10"/>
  <c r="AA507" i="10"/>
  <c r="W507" i="10"/>
  <c r="W512" i="10"/>
  <c r="AB521" i="10"/>
  <c r="AA531" i="10"/>
  <c r="W532" i="10"/>
  <c r="W531" i="10"/>
  <c r="AE531" i="10"/>
  <c r="AB546" i="10"/>
  <c r="T546" i="10"/>
  <c r="X546" i="10"/>
  <c r="AD559" i="10"/>
  <c r="V559" i="10"/>
  <c r="Z559" i="10"/>
  <c r="X571" i="10"/>
  <c r="AB571" i="10"/>
  <c r="AB601" i="10"/>
  <c r="X601" i="10"/>
  <c r="T601" i="10"/>
  <c r="AD663" i="10"/>
  <c r="V604" i="10"/>
  <c r="Z615" i="10"/>
  <c r="V603" i="10"/>
  <c r="AE614" i="10"/>
  <c r="AA614" i="10"/>
  <c r="W614" i="10"/>
  <c r="AA617" i="10"/>
  <c r="AA629" i="10"/>
  <c r="W617" i="10"/>
  <c r="AE617" i="10"/>
  <c r="AB634" i="10"/>
  <c r="T634" i="10"/>
  <c r="X634" i="10"/>
  <c r="Z639" i="10"/>
  <c r="AD639" i="10"/>
  <c r="V639" i="10"/>
  <c r="AD651" i="10"/>
  <c r="V651" i="10"/>
  <c r="V652" i="10"/>
  <c r="Z651" i="10"/>
  <c r="X673" i="10"/>
  <c r="T673" i="10"/>
  <c r="AB673" i="10"/>
  <c r="AE674" i="10"/>
  <c r="W674" i="10"/>
  <c r="W675" i="10"/>
  <c r="AA674" i="10"/>
  <c r="AE208" i="10"/>
  <c r="X219" i="10"/>
  <c r="X285" i="10"/>
  <c r="Z299" i="10"/>
  <c r="Z306" i="10"/>
  <c r="AE310" i="10"/>
  <c r="W310" i="10"/>
  <c r="AD319" i="10"/>
  <c r="V319" i="10"/>
  <c r="Z322" i="10"/>
  <c r="AE326" i="10"/>
  <c r="W326" i="10"/>
  <c r="AD335" i="10"/>
  <c r="V335" i="10"/>
  <c r="Z338" i="10"/>
  <c r="AD339" i="10"/>
  <c r="AE342" i="10"/>
  <c r="W342" i="10"/>
  <c r="AD351" i="10"/>
  <c r="V351" i="10"/>
  <c r="Z354" i="10"/>
  <c r="AE358" i="10"/>
  <c r="W358" i="10"/>
  <c r="AD367" i="10"/>
  <c r="V367" i="10"/>
  <c r="Z370" i="10"/>
  <c r="AE374" i="10"/>
  <c r="W374" i="10"/>
  <c r="AD383" i="10"/>
  <c r="V383" i="10"/>
  <c r="Z386" i="10"/>
  <c r="V396" i="10"/>
  <c r="AD396" i="10"/>
  <c r="AD398" i="10"/>
  <c r="X400" i="10"/>
  <c r="AB400" i="10"/>
  <c r="AE403" i="10"/>
  <c r="W404" i="10"/>
  <c r="W409" i="10"/>
  <c r="AE409" i="10"/>
  <c r="AD409" i="10"/>
  <c r="W416" i="10"/>
  <c r="Z417" i="10"/>
  <c r="AD417" i="10"/>
  <c r="Z420" i="10"/>
  <c r="AA422" i="10"/>
  <c r="AB425" i="10"/>
  <c r="W427" i="10"/>
  <c r="V428" i="10"/>
  <c r="AE434" i="10"/>
  <c r="Z439" i="10"/>
  <c r="X440" i="10"/>
  <c r="AD443" i="10"/>
  <c r="AB444" i="10"/>
  <c r="T444" i="10"/>
  <c r="AB445" i="10"/>
  <c r="T445" i="10"/>
  <c r="X445" i="10"/>
  <c r="AE447" i="10"/>
  <c r="Z448" i="10"/>
  <c r="X449" i="10"/>
  <c r="AB449" i="10"/>
  <c r="T449" i="10"/>
  <c r="AE516" i="10"/>
  <c r="AA456" i="10"/>
  <c r="W461" i="10"/>
  <c r="AA460" i="10"/>
  <c r="V461" i="10"/>
  <c r="V468" i="10"/>
  <c r="W476" i="10"/>
  <c r="Z478" i="10"/>
  <c r="AD550" i="10"/>
  <c r="AD490" i="10"/>
  <c r="V490" i="10"/>
  <c r="Z490" i="10"/>
  <c r="X504" i="10"/>
  <c r="T505" i="10"/>
  <c r="W506" i="10"/>
  <c r="AB508" i="10"/>
  <c r="T508" i="10"/>
  <c r="X508" i="10"/>
  <c r="AA519" i="10"/>
  <c r="AD524" i="10"/>
  <c r="X536" i="10"/>
  <c r="T537" i="10"/>
  <c r="AB536" i="10"/>
  <c r="T536" i="10"/>
  <c r="AB596" i="10"/>
  <c r="X558" i="10"/>
  <c r="T559" i="10"/>
  <c r="T558" i="10"/>
  <c r="AB570" i="10"/>
  <c r="T570" i="10"/>
  <c r="X570" i="10"/>
  <c r="Z586" i="10"/>
  <c r="V574" i="10"/>
  <c r="AB583" i="10"/>
  <c r="T583" i="10"/>
  <c r="X583" i="10"/>
  <c r="T590" i="10"/>
  <c r="AB686" i="10"/>
  <c r="AB626" i="10"/>
  <c r="T626" i="10"/>
  <c r="X626" i="10"/>
  <c r="AE642" i="10"/>
  <c r="X535" i="10"/>
  <c r="T535" i="10"/>
  <c r="AB544" i="10"/>
  <c r="AB545" i="10"/>
  <c r="T545" i="10"/>
  <c r="AE608" i="10"/>
  <c r="AE548" i="10"/>
  <c r="AA548" i="10"/>
  <c r="AA560" i="10"/>
  <c r="AD552" i="10"/>
  <c r="V552" i="10"/>
  <c r="Z552" i="10"/>
  <c r="X584" i="10"/>
  <c r="T584" i="10"/>
  <c r="X587" i="10"/>
  <c r="AB587" i="10"/>
  <c r="AB647" i="10"/>
  <c r="T587" i="10"/>
  <c r="T588" i="10"/>
  <c r="AB591" i="10"/>
  <c r="T591" i="10"/>
  <c r="AB593" i="10"/>
  <c r="AD605" i="10"/>
  <c r="V605" i="10"/>
  <c r="Z605" i="10"/>
  <c r="AB615" i="10"/>
  <c r="T615" i="10"/>
  <c r="X615" i="10"/>
  <c r="AE622" i="10"/>
  <c r="W622" i="10"/>
  <c r="AB625" i="10"/>
  <c r="X625" i="10"/>
  <c r="Z631" i="10"/>
  <c r="AD631" i="10"/>
  <c r="AA650" i="10"/>
  <c r="AE638" i="10"/>
  <c r="W638" i="10"/>
  <c r="X664" i="10"/>
  <c r="AB664" i="10"/>
  <c r="T664" i="10"/>
  <c r="Z362" i="10"/>
  <c r="X401" i="10"/>
  <c r="AE412" i="10"/>
  <c r="X424" i="10"/>
  <c r="AE425" i="10"/>
  <c r="W425" i="10"/>
  <c r="AE428" i="10"/>
  <c r="AE433" i="10"/>
  <c r="W433" i="10"/>
  <c r="AE441" i="10"/>
  <c r="W441" i="10"/>
  <c r="AE449" i="10"/>
  <c r="W449" i="10"/>
  <c r="AE457" i="10"/>
  <c r="W457" i="10"/>
  <c r="AE465" i="10"/>
  <c r="W465" i="10"/>
  <c r="AE473" i="10"/>
  <c r="W473" i="10"/>
  <c r="AE481" i="10"/>
  <c r="W481" i="10"/>
  <c r="AE489" i="10"/>
  <c r="W489" i="10"/>
  <c r="AE497" i="10"/>
  <c r="W497" i="10"/>
  <c r="AD511" i="10"/>
  <c r="Z511" i="10"/>
  <c r="X512" i="10"/>
  <c r="AB512" i="10"/>
  <c r="AD514" i="10"/>
  <c r="V514" i="10"/>
  <c r="AA518" i="10"/>
  <c r="AE578" i="10"/>
  <c r="AE518" i="10"/>
  <c r="AD579" i="10"/>
  <c r="AD519" i="10"/>
  <c r="Z519" i="10"/>
  <c r="X520" i="10"/>
  <c r="T521" i="10"/>
  <c r="AB520" i="10"/>
  <c r="AB524" i="10"/>
  <c r="T524" i="10"/>
  <c r="AE526" i="10"/>
  <c r="AA526" i="10"/>
  <c r="W527" i="10"/>
  <c r="AE536" i="10"/>
  <c r="W536" i="10"/>
  <c r="AD546" i="10"/>
  <c r="Z558" i="10"/>
  <c r="T547" i="10"/>
  <c r="X559" i="10"/>
  <c r="AB547" i="10"/>
  <c r="X560" i="10"/>
  <c r="Z564" i="10"/>
  <c r="AD625" i="10"/>
  <c r="Z565" i="10"/>
  <c r="T567" i="10"/>
  <c r="X567" i="10"/>
  <c r="AB572" i="10"/>
  <c r="W583" i="10"/>
  <c r="AE643" i="10"/>
  <c r="AE583" i="10"/>
  <c r="T585" i="10"/>
  <c r="AE590" i="10"/>
  <c r="AA590" i="10"/>
  <c r="T593" i="10"/>
  <c r="W594" i="10"/>
  <c r="AE654" i="10"/>
  <c r="W595" i="10"/>
  <c r="X611" i="10"/>
  <c r="AB611" i="10"/>
  <c r="T611" i="10"/>
  <c r="AB616" i="10"/>
  <c r="X616" i="10"/>
  <c r="T625" i="10"/>
  <c r="AB632" i="10"/>
  <c r="AD694" i="10"/>
  <c r="V634" i="10"/>
  <c r="AD634" i="10"/>
  <c r="Z646" i="10"/>
  <c r="AA641" i="10"/>
  <c r="W641" i="10"/>
  <c r="AE641" i="10"/>
  <c r="Z347" i="10"/>
  <c r="AA362" i="10"/>
  <c r="AA370" i="10"/>
  <c r="Z371" i="10"/>
  <c r="AA378" i="10"/>
  <c r="Z379" i="10"/>
  <c r="AA386" i="10"/>
  <c r="Z387" i="10"/>
  <c r="AE394" i="10"/>
  <c r="W394" i="10"/>
  <c r="AE454" i="10"/>
  <c r="AD403" i="10"/>
  <c r="V403" i="10"/>
  <c r="AD463" i="10"/>
  <c r="X417" i="10"/>
  <c r="AD418" i="10"/>
  <c r="V418" i="10"/>
  <c r="AA421" i="10"/>
  <c r="AB424" i="10"/>
  <c r="AE479" i="10"/>
  <c r="AE487" i="10"/>
  <c r="AE503" i="10"/>
  <c r="AE505" i="10"/>
  <c r="W505" i="10"/>
  <c r="AD506" i="10"/>
  <c r="V506" i="10"/>
  <c r="Z506" i="10"/>
  <c r="T509" i="10"/>
  <c r="AB509" i="10"/>
  <c r="X509" i="10"/>
  <c r="Z524" i="10"/>
  <c r="V524" i="10"/>
  <c r="AE528" i="10"/>
  <c r="W528" i="10"/>
  <c r="AA528" i="10"/>
  <c r="T529" i="10"/>
  <c r="W540" i="10"/>
  <c r="AE540" i="10"/>
  <c r="X544" i="10"/>
  <c r="X550" i="10"/>
  <c r="AB550" i="10"/>
  <c r="AE564" i="10"/>
  <c r="AA564" i="10"/>
  <c r="AD567" i="10"/>
  <c r="V567" i="10"/>
  <c r="AD569" i="10"/>
  <c r="V570" i="10"/>
  <c r="Z582" i="10"/>
  <c r="V571" i="10"/>
  <c r="AD570" i="10"/>
  <c r="X573" i="10"/>
  <c r="AB633" i="10"/>
  <c r="T573" i="10"/>
  <c r="T576" i="10"/>
  <c r="X588" i="10"/>
  <c r="AA576" i="10"/>
  <c r="AA583" i="10"/>
  <c r="W584" i="10"/>
  <c r="W590" i="10"/>
  <c r="Z607" i="10"/>
  <c r="AD607" i="10"/>
  <c r="V607" i="10"/>
  <c r="AB612" i="10"/>
  <c r="T612" i="10"/>
  <c r="W613" i="10"/>
  <c r="AE613" i="10"/>
  <c r="AA613" i="10"/>
  <c r="X623" i="10"/>
  <c r="AD630" i="10"/>
  <c r="AB636" i="10"/>
  <c r="AB642" i="10"/>
  <c r="T642" i="10"/>
  <c r="X642" i="10"/>
  <c r="X646" i="10"/>
  <c r="T646" i="10"/>
  <c r="AB646" i="10"/>
  <c r="AA434" i="10"/>
  <c r="Z435" i="10"/>
  <c r="AA442" i="10"/>
  <c r="Z443" i="10"/>
  <c r="AA450" i="10"/>
  <c r="Z451" i="10"/>
  <c r="AA458" i="10"/>
  <c r="Z459" i="10"/>
  <c r="AA466" i="10"/>
  <c r="Z467" i="10"/>
  <c r="AA474" i="10"/>
  <c r="Z475" i="10"/>
  <c r="AA482" i="10"/>
  <c r="Z483" i="10"/>
  <c r="AA490" i="10"/>
  <c r="Z491" i="10"/>
  <c r="AE494" i="10"/>
  <c r="AD495" i="10"/>
  <c r="AA498" i="10"/>
  <c r="Z499" i="10"/>
  <c r="AE502" i="10"/>
  <c r="AD503" i="10"/>
  <c r="AA517" i="10"/>
  <c r="AA533" i="10"/>
  <c r="AA539" i="10"/>
  <c r="V542" i="10"/>
  <c r="AD609" i="10"/>
  <c r="Z549" i="10"/>
  <c r="AD549" i="10"/>
  <c r="V550" i="10"/>
  <c r="AD551" i="10"/>
  <c r="V551" i="10"/>
  <c r="AB552" i="10"/>
  <c r="AE554" i="10"/>
  <c r="AE616" i="10"/>
  <c r="AA556" i="10"/>
  <c r="AE556" i="10"/>
  <c r="AE619" i="10"/>
  <c r="AE559" i="10"/>
  <c r="W559" i="10"/>
  <c r="AA559" i="10"/>
  <c r="AA568" i="10"/>
  <c r="AD572" i="10"/>
  <c r="AD575" i="10"/>
  <c r="V575" i="10"/>
  <c r="Z575" i="10"/>
  <c r="AE580" i="10"/>
  <c r="AD580" i="10"/>
  <c r="AD652" i="10"/>
  <c r="V593" i="10"/>
  <c r="V592" i="10"/>
  <c r="Z592" i="10"/>
  <c r="T602" i="10"/>
  <c r="AB662" i="10"/>
  <c r="AB602" i="10"/>
  <c r="AB665" i="10"/>
  <c r="X605" i="10"/>
  <c r="T605" i="10"/>
  <c r="AD608" i="10"/>
  <c r="V608" i="10"/>
  <c r="Z608" i="10"/>
  <c r="AD668" i="10"/>
  <c r="AB610" i="10"/>
  <c r="T610" i="10"/>
  <c r="AD671" i="10"/>
  <c r="Z611" i="10"/>
  <c r="Z623" i="10"/>
  <c r="X613" i="10"/>
  <c r="X620" i="10"/>
  <c r="T621" i="10"/>
  <c r="X621" i="10"/>
  <c r="T641" i="10"/>
  <c r="X653" i="10"/>
  <c r="AB641" i="10"/>
  <c r="X641" i="10"/>
  <c r="X654" i="10"/>
  <c r="X666" i="10"/>
  <c r="AB654" i="10"/>
  <c r="T655" i="10"/>
  <c r="AE657" i="10"/>
  <c r="AA657" i="10"/>
  <c r="W657" i="10"/>
  <c r="AB675" i="10"/>
  <c r="T675" i="10"/>
  <c r="X675" i="10"/>
  <c r="T676" i="10"/>
  <c r="AA654" i="10"/>
  <c r="X663" i="10"/>
  <c r="AB663" i="10"/>
  <c r="AA485" i="10"/>
  <c r="AA509" i="10"/>
  <c r="AD512" i="10"/>
  <c r="AD513" i="10"/>
  <c r="AD522" i="10"/>
  <c r="V522" i="10"/>
  <c r="Z525" i="10"/>
  <c r="AE529" i="10"/>
  <c r="W529" i="10"/>
  <c r="AE589" i="10"/>
  <c r="V538" i="10"/>
  <c r="AD538" i="10"/>
  <c r="V548" i="10"/>
  <c r="AD547" i="10"/>
  <c r="Z553" i="10"/>
  <c r="Z555" i="10"/>
  <c r="AE557" i="10"/>
  <c r="AE560" i="10"/>
  <c r="AB561" i="10"/>
  <c r="T561" i="10"/>
  <c r="X561" i="10"/>
  <c r="Z563" i="10"/>
  <c r="X566" i="10"/>
  <c r="AB566" i="10"/>
  <c r="Z566" i="10"/>
  <c r="AD568" i="10"/>
  <c r="V568" i="10"/>
  <c r="AD628" i="10"/>
  <c r="Z568" i="10"/>
  <c r="AD633" i="10"/>
  <c r="AD573" i="10"/>
  <c r="X574" i="10"/>
  <c r="AB574" i="10"/>
  <c r="AD576" i="10"/>
  <c r="V576" i="10"/>
  <c r="AD636" i="10"/>
  <c r="W580" i="10"/>
  <c r="AE581" i="10"/>
  <c r="X585" i="10"/>
  <c r="Z588" i="10"/>
  <c r="AE596" i="10"/>
  <c r="W596" i="10"/>
  <c r="AB599" i="10"/>
  <c r="T599" i="10"/>
  <c r="X599" i="10"/>
  <c r="AE604" i="10"/>
  <c r="W604" i="10"/>
  <c r="AE607" i="10"/>
  <c r="W607" i="10"/>
  <c r="AE667" i="10"/>
  <c r="W608" i="10"/>
  <c r="V609" i="10"/>
  <c r="V611" i="10"/>
  <c r="T613" i="10"/>
  <c r="AB627" i="10"/>
  <c r="T627" i="10"/>
  <c r="X627" i="10"/>
  <c r="T628" i="10"/>
  <c r="T633" i="10"/>
  <c r="X632" i="10"/>
  <c r="AE639" i="10"/>
  <c r="W639" i="10"/>
  <c r="T652" i="10"/>
  <c r="AB652" i="10"/>
  <c r="T654" i="10"/>
  <c r="W434" i="10"/>
  <c r="V435" i="10"/>
  <c r="W442" i="10"/>
  <c r="V443" i="10"/>
  <c r="W450" i="10"/>
  <c r="V451" i="10"/>
  <c r="W458" i="10"/>
  <c r="V459" i="10"/>
  <c r="W466" i="10"/>
  <c r="V467" i="10"/>
  <c r="W474" i="10"/>
  <c r="V475" i="10"/>
  <c r="W482" i="10"/>
  <c r="V483" i="10"/>
  <c r="W490" i="10"/>
  <c r="V491" i="10"/>
  <c r="Z495" i="10"/>
  <c r="W498" i="10"/>
  <c r="V499" i="10"/>
  <c r="Z503" i="10"/>
  <c r="AA525" i="10"/>
  <c r="W539" i="10"/>
  <c r="W538" i="10"/>
  <c r="AE538" i="10"/>
  <c r="Z540" i="10"/>
  <c r="Z542" i="10"/>
  <c r="AA547" i="10"/>
  <c r="V549" i="10"/>
  <c r="Z551" i="10"/>
  <c r="AA555" i="10"/>
  <c r="W556" i="10"/>
  <c r="V558" i="10"/>
  <c r="AD558" i="10"/>
  <c r="W560" i="10"/>
  <c r="Z571" i="10"/>
  <c r="AE633" i="10"/>
  <c r="AE573" i="10"/>
  <c r="AB577" i="10"/>
  <c r="T577" i="10"/>
  <c r="X577" i="10"/>
  <c r="Z579" i="10"/>
  <c r="X582" i="10"/>
  <c r="AB582" i="10"/>
  <c r="Z585" i="10"/>
  <c r="V590" i="10"/>
  <c r="AD650" i="10"/>
  <c r="AD590" i="10"/>
  <c r="Z590" i="10"/>
  <c r="X594" i="10"/>
  <c r="AA597" i="10"/>
  <c r="AE597" i="10"/>
  <c r="AA609" i="10"/>
  <c r="AD658" i="10"/>
  <c r="Z598" i="10"/>
  <c r="V598" i="10"/>
  <c r="T603" i="10"/>
  <c r="AB605" i="10"/>
  <c r="AE678" i="10"/>
  <c r="W618" i="10"/>
  <c r="W619" i="10"/>
  <c r="AA618" i="10"/>
  <c r="T620" i="10"/>
  <c r="AA639" i="10"/>
  <c r="AB681" i="10"/>
  <c r="AB683" i="10"/>
  <c r="T683" i="10"/>
  <c r="X683" i="10"/>
  <c r="X609" i="10"/>
  <c r="V617" i="10"/>
  <c r="AD676" i="10"/>
  <c r="AD616" i="10"/>
  <c r="V616" i="10"/>
  <c r="Z617" i="10"/>
  <c r="AE683" i="10"/>
  <c r="AE623" i="10"/>
  <c r="W623" i="10"/>
  <c r="AE629" i="10"/>
  <c r="X631" i="10"/>
  <c r="AE694" i="10"/>
  <c r="AA634" i="10"/>
  <c r="W634" i="10"/>
  <c r="AD642" i="10"/>
  <c r="Z642" i="10"/>
  <c r="Z654" i="10"/>
  <c r="V643" i="10"/>
  <c r="AE645" i="10"/>
  <c r="AE658" i="10"/>
  <c r="W658" i="10"/>
  <c r="AA532" i="10"/>
  <c r="Z533" i="10"/>
  <c r="X542" i="10"/>
  <c r="AA545" i="10"/>
  <c r="AA563" i="10"/>
  <c r="AE576" i="10"/>
  <c r="AA579" i="10"/>
  <c r="V585" i="10"/>
  <c r="AD589" i="10"/>
  <c r="V589" i="10"/>
  <c r="W592" i="10"/>
  <c r="W591" i="10"/>
  <c r="AE651" i="10"/>
  <c r="AE591" i="10"/>
  <c r="Z593" i="10"/>
  <c r="AD655" i="10"/>
  <c r="Z595" i="10"/>
  <c r="AE659" i="10"/>
  <c r="AA599" i="10"/>
  <c r="W599" i="10"/>
  <c r="AB600" i="10"/>
  <c r="X600" i="10"/>
  <c r="AD606" i="10"/>
  <c r="AE612" i="10"/>
  <c r="W612" i="10"/>
  <c r="AA612" i="10"/>
  <c r="V619" i="10"/>
  <c r="Z620" i="10"/>
  <c r="V627" i="10"/>
  <c r="AD687" i="10"/>
  <c r="Z643" i="10"/>
  <c r="AD649" i="10"/>
  <c r="V649" i="10"/>
  <c r="Z649" i="10"/>
  <c r="AA653" i="10"/>
  <c r="AA665" i="10"/>
  <c r="AE653" i="10"/>
  <c r="W653" i="10"/>
  <c r="W654" i="10"/>
  <c r="AA658" i="10"/>
  <c r="AB667" i="10"/>
  <c r="T667" i="10"/>
  <c r="X667" i="10"/>
  <c r="T668" i="10"/>
  <c r="X679" i="10"/>
  <c r="T679" i="10"/>
  <c r="AB679" i="10"/>
  <c r="T680" i="10"/>
  <c r="AD686" i="10"/>
  <c r="V687" i="10"/>
  <c r="Z686" i="10"/>
  <c r="V686" i="10"/>
  <c r="Z526" i="10"/>
  <c r="AD544" i="10"/>
  <c r="V544" i="10"/>
  <c r="X549" i="10"/>
  <c r="AE550" i="10"/>
  <c r="W550" i="10"/>
  <c r="AE553" i="10"/>
  <c r="Z556" i="10"/>
  <c r="X565" i="10"/>
  <c r="AE566" i="10"/>
  <c r="W566" i="10"/>
  <c r="AE569" i="10"/>
  <c r="Z572" i="10"/>
  <c r="X581" i="10"/>
  <c r="W582" i="10"/>
  <c r="AA584" i="10"/>
  <c r="AD584" i="10"/>
  <c r="AA586" i="10"/>
  <c r="AB588" i="10"/>
  <c r="W593" i="10"/>
  <c r="AE593" i="10"/>
  <c r="AD595" i="10"/>
  <c r="AD600" i="10"/>
  <c r="V601" i="10"/>
  <c r="AD602" i="10"/>
  <c r="X603" i="10"/>
  <c r="AB607" i="10"/>
  <c r="T607" i="10"/>
  <c r="X607" i="10"/>
  <c r="T609" i="10"/>
  <c r="AD613" i="10"/>
  <c r="V613" i="10"/>
  <c r="AD618" i="10"/>
  <c r="AA623" i="10"/>
  <c r="AE685" i="10"/>
  <c r="AE625" i="10"/>
  <c r="AA625" i="10"/>
  <c r="W626" i="10"/>
  <c r="Z630" i="10"/>
  <c r="AE634" i="10"/>
  <c r="X639" i="10"/>
  <c r="AD656" i="10"/>
  <c r="V656" i="10"/>
  <c r="AB661" i="10"/>
  <c r="T661" i="10"/>
  <c r="X661" i="10"/>
  <c r="AE672" i="10"/>
  <c r="W672" i="10"/>
  <c r="AA672" i="10"/>
  <c r="AE655" i="10"/>
  <c r="W655" i="10"/>
  <c r="AA655" i="10"/>
  <c r="AE656" i="10"/>
  <c r="W656" i="10"/>
  <c r="AA656" i="10"/>
  <c r="AD667" i="10"/>
  <c r="V667" i="10"/>
  <c r="V668" i="10"/>
  <c r="AD674" i="10"/>
  <c r="AA570" i="10"/>
  <c r="AB655" i="10"/>
  <c r="X595" i="10"/>
  <c r="W603" i="10"/>
  <c r="AA608" i="10"/>
  <c r="AD610" i="10"/>
  <c r="AD679" i="10"/>
  <c r="V620" i="10"/>
  <c r="AD619" i="10"/>
  <c r="X622" i="10"/>
  <c r="V625" i="10"/>
  <c r="AD624" i="10"/>
  <c r="V624" i="10"/>
  <c r="AD684" i="10"/>
  <c r="AA627" i="10"/>
  <c r="V633" i="10"/>
  <c r="AD632" i="10"/>
  <c r="V632" i="10"/>
  <c r="AD692" i="10"/>
  <c r="AD695" i="10"/>
  <c r="V635" i="10"/>
  <c r="V636" i="10"/>
  <c r="AD700" i="10"/>
  <c r="V641" i="10"/>
  <c r="AD640" i="10"/>
  <c r="V640" i="10"/>
  <c r="Z640" i="10"/>
  <c r="AB644" i="10"/>
  <c r="X647" i="10"/>
  <c r="T649" i="10"/>
  <c r="AB658" i="10"/>
  <c r="T658" i="10"/>
  <c r="X658" i="10"/>
  <c r="AB659" i="10"/>
  <c r="T659" i="10"/>
  <c r="X660" i="10"/>
  <c r="X672" i="10"/>
  <c r="AB660" i="10"/>
  <c r="AD664" i="10"/>
  <c r="V664" i="10"/>
  <c r="Z664" i="10"/>
  <c r="AE666" i="10"/>
  <c r="W666" i="10"/>
  <c r="W667" i="10"/>
  <c r="AA666" i="10"/>
  <c r="Z667" i="10"/>
  <c r="AB676" i="10"/>
  <c r="AB680" i="10"/>
  <c r="AE690" i="10"/>
  <c r="W690" i="10"/>
  <c r="AA690" i="10"/>
  <c r="W691" i="10"/>
  <c r="AE588" i="10"/>
  <c r="W588" i="10"/>
  <c r="AD597" i="10"/>
  <c r="V597" i="10"/>
  <c r="AE602" i="10"/>
  <c r="Z604" i="10"/>
  <c r="AE606" i="10"/>
  <c r="AE670" i="10"/>
  <c r="W610" i="10"/>
  <c r="AE610" i="10"/>
  <c r="Z614" i="10"/>
  <c r="AD614" i="10"/>
  <c r="V615" i="10"/>
  <c r="AD682" i="10"/>
  <c r="Z622" i="10"/>
  <c r="X628" i="10"/>
  <c r="AB628" i="10"/>
  <c r="AA630" i="10"/>
  <c r="AA635" i="10"/>
  <c r="AE640" i="10"/>
  <c r="Z644" i="10"/>
  <c r="AB651" i="10"/>
  <c r="T651" i="10"/>
  <c r="X657" i="10"/>
  <c r="AB657" i="10"/>
  <c r="X662" i="10"/>
  <c r="T662" i="10"/>
  <c r="AB669" i="10"/>
  <c r="T669" i="10"/>
  <c r="X669" i="10"/>
  <c r="X671" i="10"/>
  <c r="T671" i="10"/>
  <c r="AB671" i="10"/>
  <c r="AD672" i="10"/>
  <c r="V672" i="10"/>
  <c r="Z672" i="10"/>
  <c r="AA681" i="10"/>
  <c r="W681" i="10"/>
  <c r="Z612" i="10"/>
  <c r="X614" i="10"/>
  <c r="AA619" i="10"/>
  <c r="AE631" i="10"/>
  <c r="W631" i="10"/>
  <c r="AE691" i="10"/>
  <c r="X638" i="10"/>
  <c r="AB638" i="10"/>
  <c r="AD646" i="10"/>
  <c r="AA649" i="10"/>
  <c r="V650" i="10"/>
  <c r="AA651" i="10"/>
  <c r="Z652" i="10"/>
  <c r="AB668" i="10"/>
  <c r="X668" i="10"/>
  <c r="AB672" i="10"/>
  <c r="W673" i="10"/>
  <c r="AD681" i="10"/>
  <c r="V681" i="10"/>
  <c r="Z681" i="10"/>
  <c r="T684" i="10"/>
  <c r="AB685" i="10"/>
  <c r="T685" i="10"/>
  <c r="X685" i="10"/>
  <c r="AA686" i="10"/>
  <c r="AA693" i="10"/>
  <c r="AD696" i="10"/>
  <c r="V696" i="10"/>
  <c r="Z696" i="10"/>
  <c r="Z662" i="10"/>
  <c r="V662" i="10"/>
  <c r="Z674" i="10"/>
  <c r="Z666" i="10"/>
  <c r="V666" i="10"/>
  <c r="X680" i="10"/>
  <c r="AD683" i="10"/>
  <c r="V683" i="10"/>
  <c r="V684" i="10"/>
  <c r="Z683" i="10"/>
  <c r="X687" i="10"/>
  <c r="AB687" i="10"/>
  <c r="T687" i="10"/>
  <c r="T688" i="10"/>
  <c r="AE689" i="10"/>
  <c r="W689" i="10"/>
  <c r="AA689" i="10"/>
  <c r="AD675" i="10"/>
  <c r="V675" i="10"/>
  <c r="X684" i="10"/>
  <c r="X695" i="10"/>
  <c r="AA600" i="10"/>
  <c r="Z601" i="10"/>
  <c r="AA616" i="10"/>
  <c r="W620" i="10"/>
  <c r="AE620" i="10"/>
  <c r="V621" i="10"/>
  <c r="AD621" i="10"/>
  <c r="T623" i="10"/>
  <c r="AB623" i="10"/>
  <c r="AA624" i="10"/>
  <c r="Z625" i="10"/>
  <c r="W628" i="10"/>
  <c r="AE628" i="10"/>
  <c r="V629" i="10"/>
  <c r="AD629" i="10"/>
  <c r="T631" i="10"/>
  <c r="AB631" i="10"/>
  <c r="AA632" i="10"/>
  <c r="Z633" i="10"/>
  <c r="W636" i="10"/>
  <c r="AE636" i="10"/>
  <c r="V637" i="10"/>
  <c r="AD637" i="10"/>
  <c r="T639" i="10"/>
  <c r="AB639" i="10"/>
  <c r="AA640" i="10"/>
  <c r="Z641" i="10"/>
  <c r="W644" i="10"/>
  <c r="AE644" i="10"/>
  <c r="V645" i="10"/>
  <c r="AD645" i="10"/>
  <c r="T647" i="10"/>
  <c r="Z648" i="10"/>
  <c r="AB650" i="10"/>
  <c r="T650" i="10"/>
  <c r="AB656" i="10"/>
  <c r="AA660" i="10"/>
  <c r="AE664" i="10"/>
  <c r="W664" i="10"/>
  <c r="X665" i="10"/>
  <c r="AD673" i="10"/>
  <c r="V673" i="10"/>
  <c r="AE673" i="10"/>
  <c r="AA675" i="10"/>
  <c r="X676" i="10"/>
  <c r="AE677" i="10"/>
  <c r="Z678" i="10"/>
  <c r="AE679" i="10"/>
  <c r="W679" i="10"/>
  <c r="AB682" i="10"/>
  <c r="T682" i="10"/>
  <c r="AA682" i="10"/>
  <c r="Z684" i="10"/>
  <c r="Z687" i="10"/>
  <c r="AB688" i="10"/>
  <c r="AE695" i="10"/>
  <c r="W695" i="10"/>
  <c r="AE696" i="10"/>
  <c r="AA699" i="10"/>
  <c r="AE701" i="10"/>
  <c r="AB678" i="10"/>
  <c r="AA684" i="10"/>
  <c r="AA685" i="10"/>
  <c r="AE687" i="10"/>
  <c r="W687" i="10"/>
  <c r="AB691" i="10"/>
  <c r="T691" i="10"/>
  <c r="X691" i="10"/>
  <c r="AD665" i="10"/>
  <c r="V665" i="10"/>
  <c r="AA667" i="10"/>
  <c r="AE671" i="10"/>
  <c r="W671" i="10"/>
  <c r="AB674" i="10"/>
  <c r="T674" i="10"/>
  <c r="AD688" i="10"/>
  <c r="V688" i="10"/>
  <c r="X689" i="10"/>
  <c r="AB692" i="10"/>
  <c r="T692" i="10"/>
  <c r="AB698" i="10"/>
  <c r="T698" i="10"/>
  <c r="X700" i="10"/>
  <c r="AD648" i="10"/>
  <c r="V648" i="10"/>
  <c r="AE650" i="10"/>
  <c r="W650" i="10"/>
  <c r="X655" i="10"/>
  <c r="AD659" i="10"/>
  <c r="V659" i="10"/>
  <c r="Z661" i="10"/>
  <c r="W662" i="10"/>
  <c r="Z663" i="10"/>
  <c r="X670" i="10"/>
  <c r="AB670" i="10"/>
  <c r="Z676" i="10"/>
  <c r="AA678" i="10"/>
  <c r="AD678" i="10"/>
  <c r="AD680" i="10"/>
  <c r="V680" i="10"/>
  <c r="AE682" i="10"/>
  <c r="W682" i="10"/>
  <c r="Z685" i="10"/>
  <c r="AE688" i="10"/>
  <c r="AB690" i="10"/>
  <c r="T690" i="10"/>
  <c r="AD691" i="10"/>
  <c r="V691" i="10"/>
  <c r="AA695" i="10"/>
  <c r="Z698" i="10"/>
  <c r="Z700" i="10"/>
  <c r="W624" i="10"/>
  <c r="AE624" i="10"/>
  <c r="W632" i="10"/>
  <c r="AE632" i="10"/>
  <c r="W640" i="10"/>
  <c r="AE648" i="10"/>
  <c r="W648" i="10"/>
  <c r="X649" i="10"/>
  <c r="AB653" i="10"/>
  <c r="T653" i="10"/>
  <c r="AD657" i="10"/>
  <c r="V657" i="10"/>
  <c r="AA659" i="10"/>
  <c r="AE663" i="10"/>
  <c r="W663" i="10"/>
  <c r="T665" i="10"/>
  <c r="AB666" i="10"/>
  <c r="T666" i="10"/>
  <c r="AA676" i="10"/>
  <c r="T678" i="10"/>
  <c r="AE680" i="10"/>
  <c r="W680" i="10"/>
  <c r="X681" i="10"/>
  <c r="X686" i="10"/>
  <c r="AD689" i="10"/>
  <c r="AD690" i="10"/>
  <c r="V690" i="10"/>
  <c r="AA691" i="10"/>
  <c r="Z692" i="10"/>
  <c r="AB697" i="10"/>
  <c r="T697" i="10"/>
  <c r="X697" i="10"/>
  <c r="W697" i="10"/>
  <c r="AE697" i="10"/>
  <c r="V698" i="10"/>
  <c r="AD698" i="10"/>
  <c r="T700" i="10"/>
  <c r="AB700" i="10"/>
  <c r="AA701" i="10"/>
  <c r="W698" i="10"/>
  <c r="AE698" i="10"/>
  <c r="V699" i="10"/>
  <c r="AD699" i="10"/>
  <c r="AA6" i="14"/>
  <c r="Z6" i="14"/>
  <c r="AC6" i="14"/>
  <c r="W699" i="10"/>
  <c r="AE699" i="10"/>
  <c r="AA22" i="14"/>
  <c r="AC22" i="14"/>
  <c r="AA688" i="10"/>
  <c r="Z689" i="10"/>
  <c r="AA696" i="10"/>
  <c r="Z697" i="10"/>
  <c r="W700" i="10"/>
  <c r="AE700" i="10"/>
  <c r="W701" i="10"/>
  <c r="W688" i="10"/>
  <c r="V689" i="10"/>
  <c r="W696" i="10"/>
  <c r="V697" i="10"/>
  <c r="AA8" i="14"/>
  <c r="Z8" i="14"/>
  <c r="Z24" i="14"/>
  <c r="Z29" i="14"/>
  <c r="AC29" i="14"/>
  <c r="AB29" i="14"/>
  <c r="AA60" i="14"/>
  <c r="AD60" i="14"/>
  <c r="AC60" i="14"/>
  <c r="AD13" i="14"/>
  <c r="AA20" i="14"/>
  <c r="Z20" i="14"/>
  <c r="AC20" i="14"/>
  <c r="Z31" i="14"/>
  <c r="AC31" i="14"/>
  <c r="AB31" i="14"/>
  <c r="U79" i="14"/>
  <c r="AC79" i="14" s="1"/>
  <c r="U80" i="14"/>
  <c r="AA80" i="14" s="1"/>
  <c r="S8" i="14"/>
  <c r="AB8" i="14" s="1"/>
  <c r="AD11" i="14"/>
  <c r="U12" i="14"/>
  <c r="Z18" i="14"/>
  <c r="S24" i="14"/>
  <c r="Z33" i="14"/>
  <c r="AD41" i="14"/>
  <c r="AD9" i="14"/>
  <c r="AA16" i="14"/>
  <c r="Z16" i="14"/>
  <c r="AC16" i="14"/>
  <c r="Z25" i="14"/>
  <c r="AD30" i="14"/>
  <c r="AC30" i="14"/>
  <c r="AA30" i="14"/>
  <c r="U57" i="14"/>
  <c r="J72" i="8" s="1"/>
  <c r="S64" i="14"/>
  <c r="Z64" i="14" s="1"/>
  <c r="S65" i="14"/>
  <c r="AC65" i="14" s="1"/>
  <c r="AA74" i="14"/>
  <c r="AD74" i="14"/>
  <c r="AD7" i="14"/>
  <c r="AC14" i="14"/>
  <c r="AD23" i="14"/>
  <c r="Z27" i="14"/>
  <c r="AC27" i="14"/>
  <c r="AB27" i="14"/>
  <c r="S45" i="14"/>
  <c r="AD45" i="14" s="1"/>
  <c r="S46" i="14"/>
  <c r="AC46" i="14" s="1"/>
  <c r="Z80" i="14"/>
  <c r="AA84" i="14"/>
  <c r="AD84" i="14"/>
  <c r="Z85" i="14"/>
  <c r="S18" i="14"/>
  <c r="AC18" i="14" s="1"/>
  <c r="AD21" i="14"/>
  <c r="U22" i="14"/>
  <c r="AC32" i="14"/>
  <c r="AA48" i="14"/>
  <c r="AB48" i="14"/>
  <c r="Z48" i="14"/>
  <c r="S68" i="14"/>
  <c r="AB68" i="14" s="1"/>
  <c r="S72" i="14"/>
  <c r="AA10" i="14"/>
  <c r="Z10" i="14"/>
  <c r="AC10" i="14"/>
  <c r="AD19" i="14"/>
  <c r="AD26" i="14"/>
  <c r="AB26" i="14"/>
  <c r="S50" i="14"/>
  <c r="U56" i="14"/>
  <c r="J71" i="8" s="1"/>
  <c r="U55" i="14"/>
  <c r="AC55" i="14" s="1"/>
  <c r="U67" i="14"/>
  <c r="AB67" i="14" s="1"/>
  <c r="U68" i="14"/>
  <c r="AA70" i="14"/>
  <c r="S78" i="14"/>
  <c r="AB78" i="14" s="1"/>
  <c r="S14" i="14"/>
  <c r="AD17" i="14"/>
  <c r="U18" i="14"/>
  <c r="U35" i="14"/>
  <c r="AA35" i="14" s="1"/>
  <c r="U39" i="14"/>
  <c r="Z39" i="14" s="1"/>
  <c r="U43" i="14"/>
  <c r="S83" i="14"/>
  <c r="H97" i="8" s="1"/>
  <c r="AD15" i="14"/>
  <c r="AD35" i="14"/>
  <c r="Z43" i="14"/>
  <c r="AD43" i="14"/>
  <c r="AB43" i="14"/>
  <c r="AA46" i="14"/>
  <c r="Z46" i="14"/>
  <c r="AD46" i="14"/>
  <c r="U48" i="14"/>
  <c r="J63" i="8" s="1"/>
  <c r="U47" i="14"/>
  <c r="Z47" i="14" s="1"/>
  <c r="S51" i="14"/>
  <c r="H66" i="8" s="1"/>
  <c r="Z53" i="14"/>
  <c r="AA54" i="14"/>
  <c r="AD54" i="14"/>
  <c r="AB54" i="14"/>
  <c r="U62" i="14"/>
  <c r="U61" i="14"/>
  <c r="AB61" i="14" s="1"/>
  <c r="Z76" i="14"/>
  <c r="U28" i="14"/>
  <c r="AA28" i="14" s="1"/>
  <c r="U30" i="14"/>
  <c r="U32" i="14"/>
  <c r="AA32" i="14" s="1"/>
  <c r="AD34" i="14"/>
  <c r="AC34" i="14"/>
  <c r="Z34" i="14"/>
  <c r="U36" i="14"/>
  <c r="AA36" i="14" s="1"/>
  <c r="AD38" i="14"/>
  <c r="AC38" i="14"/>
  <c r="U40" i="14"/>
  <c r="J55" i="8" s="1"/>
  <c r="AD42" i="14"/>
  <c r="AC42" i="14"/>
  <c r="Z42" i="14"/>
  <c r="U44" i="14"/>
  <c r="J59" i="8" s="1"/>
  <c r="AA52" i="14"/>
  <c r="AD52" i="14"/>
  <c r="AC52" i="14"/>
  <c r="AA58" i="14"/>
  <c r="AD58" i="14"/>
  <c r="U65" i="14"/>
  <c r="U66" i="14"/>
  <c r="AA66" i="14" s="1"/>
  <c r="U26" i="14"/>
  <c r="U45" i="14"/>
  <c r="J60" i="8" s="1"/>
  <c r="S58" i="14"/>
  <c r="Z59" i="14"/>
  <c r="Z61" i="14"/>
  <c r="AB62" i="14"/>
  <c r="Z68" i="14"/>
  <c r="Z72" i="14"/>
  <c r="AA78" i="14"/>
  <c r="AD78" i="14"/>
  <c r="Z79" i="14"/>
  <c r="U83" i="14"/>
  <c r="Z83" i="14" s="1"/>
  <c r="U84" i="14"/>
  <c r="AB84" i="14" s="1"/>
  <c r="U33" i="14"/>
  <c r="AA33" i="14" s="1"/>
  <c r="U37" i="14"/>
  <c r="J52" i="8" s="1"/>
  <c r="U41" i="14"/>
  <c r="AB41" i="14" s="1"/>
  <c r="AA50" i="14"/>
  <c r="AD50" i="14"/>
  <c r="AC50" i="14"/>
  <c r="U64" i="14"/>
  <c r="U63" i="14"/>
  <c r="AB63" i="14" s="1"/>
  <c r="Z69" i="14"/>
  <c r="U73" i="14"/>
  <c r="J88" i="8" s="1"/>
  <c r="U74" i="14"/>
  <c r="AB74" i="14" s="1"/>
  <c r="AA82" i="14"/>
  <c r="AD82" i="14"/>
  <c r="AD47" i="14"/>
  <c r="Z67" i="14"/>
  <c r="U77" i="14"/>
  <c r="J92" i="8" s="1"/>
  <c r="U78" i="14"/>
  <c r="AC78" i="14" s="1"/>
  <c r="U71" i="14"/>
  <c r="U72" i="14"/>
  <c r="S76" i="14"/>
  <c r="AC76" i="14" s="1"/>
  <c r="Z71" i="14"/>
  <c r="U81" i="14"/>
  <c r="J96" i="8" s="1"/>
  <c r="U82" i="14"/>
  <c r="Z82" i="14" s="1"/>
  <c r="S81" i="14"/>
  <c r="AC81" i="14" s="1"/>
  <c r="Z65" i="14"/>
  <c r="U75" i="14"/>
  <c r="U76" i="14"/>
  <c r="Z49" i="14"/>
  <c r="U69" i="14"/>
  <c r="AD69" i="14" s="1"/>
  <c r="U70" i="14"/>
  <c r="AC70" i="14" s="1"/>
  <c r="J10" i="6" l="1"/>
  <c r="F10" i="1" s="1"/>
  <c r="E10" i="1"/>
  <c r="B18" i="9"/>
  <c r="K12" i="5"/>
  <c r="C12" i="5"/>
  <c r="J26" i="8"/>
  <c r="J12" i="5"/>
  <c r="B12" i="5"/>
  <c r="J25" i="8"/>
  <c r="H12" i="5"/>
  <c r="I11" i="5"/>
  <c r="I5" i="5"/>
  <c r="F12" i="5"/>
  <c r="I7" i="5"/>
  <c r="D12" i="5"/>
  <c r="I14" i="5"/>
  <c r="E12" i="5"/>
  <c r="I9" i="5"/>
  <c r="J27" i="8"/>
  <c r="I6" i="5"/>
  <c r="I8" i="5"/>
  <c r="B32" i="4"/>
  <c r="I15" i="5"/>
  <c r="J24" i="8"/>
  <c r="L12" i="5"/>
  <c r="I13" i="5"/>
  <c r="I12" i="5"/>
  <c r="J90" i="8"/>
  <c r="Z66" i="14"/>
  <c r="D63" i="12" s="1"/>
  <c r="J87" i="8"/>
  <c r="AA72" i="14"/>
  <c r="AD32" i="14"/>
  <c r="AA56" i="14"/>
  <c r="H39" i="8"/>
  <c r="H38" i="8"/>
  <c r="H36" i="8"/>
  <c r="H37" i="8"/>
  <c r="AA24" i="14"/>
  <c r="G19" i="10"/>
  <c r="C19" i="10"/>
  <c r="G14" i="10"/>
  <c r="F32" i="10"/>
  <c r="E15" i="9" s="1"/>
  <c r="B28" i="13"/>
  <c r="D28" i="13" s="1"/>
  <c r="D45" i="10"/>
  <c r="AB37" i="14"/>
  <c r="AB18" i="14"/>
  <c r="AB15" i="14"/>
  <c r="AB38" i="14"/>
  <c r="AB47" i="14"/>
  <c r="AB56" i="14"/>
  <c r="AB69" i="14"/>
  <c r="AA51" i="14"/>
  <c r="AA29" i="14"/>
  <c r="AA31" i="14"/>
  <c r="AA42" i="14"/>
  <c r="AA75" i="14"/>
  <c r="AA83" i="14"/>
  <c r="J23" i="5"/>
  <c r="B43" i="10"/>
  <c r="F28" i="5"/>
  <c r="D28" i="5"/>
  <c r="E28" i="5"/>
  <c r="J21" i="5"/>
  <c r="L28" i="5"/>
  <c r="J15" i="6"/>
  <c r="F15" i="1" s="1"/>
  <c r="E15" i="1"/>
  <c r="I67" i="5"/>
  <c r="B32" i="3"/>
  <c r="B31" i="3"/>
  <c r="L71" i="5"/>
  <c r="D68" i="4"/>
  <c r="D70" i="4" s="1"/>
  <c r="B8" i="4" s="1"/>
  <c r="I8" i="4"/>
  <c r="D8" i="4" s="1"/>
  <c r="L67" i="5"/>
  <c r="J20" i="5"/>
  <c r="D72" i="5"/>
  <c r="AD8" i="14"/>
  <c r="AD48" i="14"/>
  <c r="AD65" i="14"/>
  <c r="AD81" i="14"/>
  <c r="H28" i="5"/>
  <c r="AC41" i="14"/>
  <c r="AC82" i="14"/>
  <c r="AC51" i="14"/>
  <c r="Z75" i="14"/>
  <c r="Z63" i="14"/>
  <c r="J86" i="8"/>
  <c r="AD68" i="14"/>
  <c r="H71" i="8"/>
  <c r="H70" i="8"/>
  <c r="H73" i="8"/>
  <c r="H72" i="8"/>
  <c r="Z38" i="14"/>
  <c r="J45" i="8"/>
  <c r="J44" i="8"/>
  <c r="AB46" i="14"/>
  <c r="AB35" i="14"/>
  <c r="Z55" i="14"/>
  <c r="H93" i="8"/>
  <c r="H92" i="8"/>
  <c r="H63" i="8"/>
  <c r="H62" i="8"/>
  <c r="H65" i="8"/>
  <c r="H64" i="8"/>
  <c r="H87" i="8"/>
  <c r="H86" i="8"/>
  <c r="H85" i="8"/>
  <c r="H84" i="8"/>
  <c r="D16" i="9"/>
  <c r="AC40" i="14"/>
  <c r="J34" i="8"/>
  <c r="J35" i="8"/>
  <c r="J37" i="8"/>
  <c r="J36" i="8"/>
  <c r="Z84" i="14"/>
  <c r="Z74" i="14"/>
  <c r="Z51" i="14"/>
  <c r="Z73" i="14"/>
  <c r="AC8" i="14"/>
  <c r="Z22" i="14"/>
  <c r="Z54" i="14"/>
  <c r="D49" i="11" s="1"/>
  <c r="K39" i="1" s="1"/>
  <c r="Z45" i="14"/>
  <c r="Z30" i="14"/>
  <c r="Z28" i="14"/>
  <c r="Z21" i="14"/>
  <c r="Z58" i="14"/>
  <c r="Z23" i="14"/>
  <c r="Z7" i="14"/>
  <c r="Z62" i="14"/>
  <c r="I60" i="12" s="1"/>
  <c r="Z60" i="14"/>
  <c r="Z52" i="14"/>
  <c r="Z26" i="14"/>
  <c r="Z9" i="14"/>
  <c r="Z11" i="14"/>
  <c r="Z44" i="14"/>
  <c r="Z13" i="14"/>
  <c r="Z15" i="14"/>
  <c r="Z17" i="14"/>
  <c r="Z50" i="14"/>
  <c r="Z19" i="14"/>
  <c r="B67" i="5"/>
  <c r="AC83" i="14"/>
  <c r="AC44" i="14"/>
  <c r="AC66" i="14"/>
  <c r="AC68" i="14"/>
  <c r="E31" i="10"/>
  <c r="E30" i="10"/>
  <c r="E43" i="10" s="1"/>
  <c r="O205" i="2" s="1"/>
  <c r="E37" i="10"/>
  <c r="E34" i="10"/>
  <c r="B13" i="13"/>
  <c r="D13" i="13" s="1"/>
  <c r="J14" i="1"/>
  <c r="K14" i="1" s="1"/>
  <c r="E35" i="6"/>
  <c r="C17" i="7"/>
  <c r="AB19" i="14"/>
  <c r="AB57" i="14"/>
  <c r="AB42" i="14"/>
  <c r="AB60" i="14"/>
  <c r="AB32" i="14"/>
  <c r="AB55" i="14"/>
  <c r="AA53" i="14"/>
  <c r="AA45" i="14"/>
  <c r="AA61" i="14"/>
  <c r="AA57" i="14"/>
  <c r="B23" i="5"/>
  <c r="K28" i="7"/>
  <c r="D69" i="5"/>
  <c r="D62" i="4"/>
  <c r="D65" i="4" s="1"/>
  <c r="B7" i="4" s="1"/>
  <c r="I7" i="4"/>
  <c r="D7" i="4" s="1"/>
  <c r="F64" i="10"/>
  <c r="F68" i="5"/>
  <c r="J13" i="6"/>
  <c r="F13" i="1" s="1"/>
  <c r="E13" i="1"/>
  <c r="C70" i="11"/>
  <c r="B8" i="1"/>
  <c r="I8" i="6"/>
  <c r="B30" i="1"/>
  <c r="E30" i="1" s="1"/>
  <c r="C75" i="11"/>
  <c r="B13" i="1"/>
  <c r="O55" i="2" s="1"/>
  <c r="D17" i="1"/>
  <c r="J26" i="5"/>
  <c r="L70" i="5"/>
  <c r="AD24" i="14"/>
  <c r="AD63" i="14"/>
  <c r="AD61" i="14"/>
  <c r="AD67" i="14"/>
  <c r="AD83" i="14"/>
  <c r="AD37" i="14"/>
  <c r="F31" i="10"/>
  <c r="E14" i="9" s="1"/>
  <c r="J79" i="8"/>
  <c r="Z40" i="14"/>
  <c r="D38" i="12" s="1"/>
  <c r="C14" i="10"/>
  <c r="F14" i="10"/>
  <c r="F34" i="10"/>
  <c r="E17" i="9" s="1"/>
  <c r="AB65" i="10"/>
  <c r="B53" i="10" s="1"/>
  <c r="C16" i="10"/>
  <c r="F16" i="10"/>
  <c r="K32" i="1" s="1"/>
  <c r="U8" i="10"/>
  <c r="Q9" i="10"/>
  <c r="B45" i="10"/>
  <c r="B66" i="10"/>
  <c r="B65" i="10"/>
  <c r="AB20" i="14"/>
  <c r="AB51" i="14"/>
  <c r="AB66" i="14"/>
  <c r="AB45" i="14"/>
  <c r="AB77" i="14"/>
  <c r="AB36" i="14"/>
  <c r="AA63" i="14"/>
  <c r="AA23" i="14"/>
  <c r="AA47" i="14"/>
  <c r="AA49" i="14"/>
  <c r="AA77" i="14"/>
  <c r="E22" i="5"/>
  <c r="I9" i="6"/>
  <c r="B14" i="13"/>
  <c r="D14" i="13" s="1"/>
  <c r="E36" i="6"/>
  <c r="J15" i="1"/>
  <c r="K15" i="1" s="1"/>
  <c r="D71" i="5"/>
  <c r="J29" i="5"/>
  <c r="D19" i="1"/>
  <c r="AD44" i="14"/>
  <c r="J51" i="8"/>
  <c r="J54" i="8"/>
  <c r="J53" i="8"/>
  <c r="AC36" i="14"/>
  <c r="AC12" i="14"/>
  <c r="H91" i="8"/>
  <c r="H90" i="8"/>
  <c r="H88" i="8"/>
  <c r="H89" i="8"/>
  <c r="J77" i="8"/>
  <c r="J70" i="8"/>
  <c r="J69" i="8"/>
  <c r="J67" i="8"/>
  <c r="J68" i="8"/>
  <c r="AD56" i="14"/>
  <c r="C47" i="11" s="1"/>
  <c r="J46" i="8"/>
  <c r="J47" i="8"/>
  <c r="M6" i="12"/>
  <c r="B16" i="9"/>
  <c r="H27" i="8"/>
  <c r="H26" i="8"/>
  <c r="H28" i="8"/>
  <c r="H29" i="8"/>
  <c r="J94" i="8"/>
  <c r="X75" i="2"/>
  <c r="X76" i="2" s="1"/>
  <c r="X77" i="2" s="1"/>
  <c r="J85" i="8"/>
  <c r="H95" i="8"/>
  <c r="H94" i="8"/>
  <c r="H96" i="8"/>
  <c r="J42" i="8"/>
  <c r="J43" i="8"/>
  <c r="AD70" i="14"/>
  <c r="H83" i="8"/>
  <c r="H82" i="8"/>
  <c r="H81" i="8"/>
  <c r="D30" i="4"/>
  <c r="G30" i="4" s="1"/>
  <c r="AD40" i="14"/>
  <c r="AB64" i="14"/>
  <c r="F60" i="12" s="1"/>
  <c r="AC28" i="14"/>
  <c r="D18" i="9"/>
  <c r="J84" i="8"/>
  <c r="J97" i="8"/>
  <c r="J93" i="8"/>
  <c r="J89" i="8"/>
  <c r="J56" i="8"/>
  <c r="Z78" i="14"/>
  <c r="AA68" i="14"/>
  <c r="J38" i="8"/>
  <c r="J41" i="8"/>
  <c r="J40" i="8"/>
  <c r="J39" i="8"/>
  <c r="AD76" i="14"/>
  <c r="Z35" i="14"/>
  <c r="J58" i="8"/>
  <c r="J57" i="8"/>
  <c r="Z70" i="14"/>
  <c r="AC26" i="14"/>
  <c r="Z36" i="14"/>
  <c r="I33" i="12" s="1"/>
  <c r="H31" i="8"/>
  <c r="H30" i="8"/>
  <c r="H32" i="8"/>
  <c r="H33" i="8"/>
  <c r="AD80" i="14"/>
  <c r="H80" i="8"/>
  <c r="Z41" i="14"/>
  <c r="AA18" i="14"/>
  <c r="I17" i="12" s="1"/>
  <c r="AD64" i="14"/>
  <c r="AD28" i="14"/>
  <c r="F33" i="10"/>
  <c r="E16" i="9" s="1"/>
  <c r="AC56" i="14"/>
  <c r="AC64" i="14"/>
  <c r="AC35" i="14"/>
  <c r="AC75" i="14"/>
  <c r="AC84" i="14"/>
  <c r="E21" i="5"/>
  <c r="K23" i="7"/>
  <c r="E17" i="7"/>
  <c r="H23" i="7"/>
  <c r="F23" i="7"/>
  <c r="AB6" i="14"/>
  <c r="AB21" i="14"/>
  <c r="AB16" i="14"/>
  <c r="AB71" i="14"/>
  <c r="AB40" i="14"/>
  <c r="AB79" i="14"/>
  <c r="AB83" i="14"/>
  <c r="AA17" i="14"/>
  <c r="E15" i="12" s="1"/>
  <c r="AA40" i="14"/>
  <c r="AA81" i="14"/>
  <c r="AA69" i="14"/>
  <c r="AA85" i="14"/>
  <c r="I69" i="5"/>
  <c r="I71" i="5"/>
  <c r="C43" i="10"/>
  <c r="E66" i="10"/>
  <c r="E65" i="10"/>
  <c r="E67" i="10" s="1"/>
  <c r="AD14" i="14"/>
  <c r="AD55" i="14"/>
  <c r="AD71" i="14"/>
  <c r="J81" i="8"/>
  <c r="D32" i="4"/>
  <c r="G32" i="4" s="1"/>
  <c r="G16" i="10"/>
  <c r="D16" i="10" s="1"/>
  <c r="E16" i="10" s="1"/>
  <c r="C15" i="10"/>
  <c r="AB7" i="14"/>
  <c r="AB28" i="14"/>
  <c r="AB17" i="14"/>
  <c r="AB76" i="14"/>
  <c r="AB82" i="14"/>
  <c r="AB9" i="14"/>
  <c r="F7" i="12" s="1"/>
  <c r="AB59" i="14"/>
  <c r="AA27" i="14"/>
  <c r="AA11" i="14"/>
  <c r="AA37" i="14"/>
  <c r="AA79" i="14"/>
  <c r="D67" i="5"/>
  <c r="H24" i="7"/>
  <c r="C45" i="7"/>
  <c r="K24" i="7"/>
  <c r="F24" i="7"/>
  <c r="F17" i="7"/>
  <c r="F70" i="5"/>
  <c r="F69" i="5"/>
  <c r="F72" i="5"/>
  <c r="L64" i="10"/>
  <c r="L68" i="5"/>
  <c r="C72" i="11"/>
  <c r="B10" i="1"/>
  <c r="O52" i="2" s="1"/>
  <c r="AD22" i="14"/>
  <c r="AD57" i="14"/>
  <c r="AD73" i="14"/>
  <c r="I6" i="4"/>
  <c r="D6" i="4" s="1"/>
  <c r="J11" i="6"/>
  <c r="F11" i="1" s="1"/>
  <c r="E11" i="1"/>
  <c r="Z81" i="14"/>
  <c r="AB72" i="14"/>
  <c r="J80" i="8"/>
  <c r="D33" i="12"/>
  <c r="J62" i="8"/>
  <c r="J61" i="8"/>
  <c r="C32" i="4"/>
  <c r="F32" i="4" s="1"/>
  <c r="J50" i="8"/>
  <c r="J49" i="8"/>
  <c r="J83" i="8"/>
  <c r="AD36" i="14"/>
  <c r="Z12" i="14"/>
  <c r="Z14" i="14"/>
  <c r="B20" i="13"/>
  <c r="D20" i="13" s="1"/>
  <c r="F15" i="10"/>
  <c r="D15" i="10" s="1"/>
  <c r="E15" i="10" s="1"/>
  <c r="R231" i="2" s="1"/>
  <c r="C9" i="1"/>
  <c r="P51" i="2" s="1"/>
  <c r="H9" i="6"/>
  <c r="F37" i="10"/>
  <c r="E20" i="9" s="1"/>
  <c r="B26" i="13"/>
  <c r="D26" i="13" s="1"/>
  <c r="K27" i="7"/>
  <c r="G26" i="7"/>
  <c r="G24" i="7"/>
  <c r="G22" i="7"/>
  <c r="G27" i="7"/>
  <c r="G23" i="7"/>
  <c r="B17" i="7"/>
  <c r="G25" i="7"/>
  <c r="H27" i="7"/>
  <c r="F27" i="7"/>
  <c r="AC63" i="14"/>
  <c r="AC43" i="14"/>
  <c r="AC62" i="14"/>
  <c r="AC69" i="14"/>
  <c r="AC73" i="14"/>
  <c r="B19" i="13"/>
  <c r="D19" i="13" s="1"/>
  <c r="I64" i="10"/>
  <c r="I68" i="5"/>
  <c r="D73" i="4"/>
  <c r="D23" i="5"/>
  <c r="K23" i="5"/>
  <c r="F23" i="5"/>
  <c r="E23" i="5"/>
  <c r="H23" i="5"/>
  <c r="E26" i="5"/>
  <c r="C23" i="5"/>
  <c r="AB22" i="14"/>
  <c r="AB30" i="14"/>
  <c r="AB12" i="14"/>
  <c r="AB10" i="14"/>
  <c r="AB24" i="14"/>
  <c r="AB52" i="14"/>
  <c r="AA41" i="14"/>
  <c r="AA39" i="14"/>
  <c r="I38" i="12" s="1"/>
  <c r="AA73" i="14"/>
  <c r="H26" i="7"/>
  <c r="H17" i="7"/>
  <c r="K26" i="7"/>
  <c r="F26" i="7"/>
  <c r="C8" i="1"/>
  <c r="P50" i="2" s="1"/>
  <c r="H8" i="6"/>
  <c r="E20" i="5"/>
  <c r="C69" i="5"/>
  <c r="C71" i="5"/>
  <c r="C70" i="5"/>
  <c r="AD12" i="14"/>
  <c r="AD75" i="14"/>
  <c r="D59" i="4"/>
  <c r="B6" i="4" s="1"/>
  <c r="H79" i="8"/>
  <c r="H78" i="8"/>
  <c r="H76" i="8"/>
  <c r="H77" i="8"/>
  <c r="C18" i="10"/>
  <c r="H18" i="10" s="1"/>
  <c r="G18" i="10"/>
  <c r="D18" i="10" s="1"/>
  <c r="E18" i="10" s="1"/>
  <c r="F18" i="10"/>
  <c r="AC39" i="14"/>
  <c r="AC80" i="14"/>
  <c r="B52" i="10"/>
  <c r="H66" i="10"/>
  <c r="H65" i="10"/>
  <c r="H67" i="10" s="1"/>
  <c r="J48" i="8"/>
  <c r="AD62" i="14"/>
  <c r="AA76" i="14"/>
  <c r="Z37" i="14"/>
  <c r="AA64" i="14"/>
  <c r="I63" i="12" s="1"/>
  <c r="D28" i="12"/>
  <c r="J91" i="8"/>
  <c r="Z77" i="14"/>
  <c r="D58" i="12" s="1"/>
  <c r="Z57" i="14"/>
  <c r="J78" i="8"/>
  <c r="AD72" i="14"/>
  <c r="AA62" i="14"/>
  <c r="J61" i="12" s="1"/>
  <c r="C18" i="9"/>
  <c r="J74" i="8"/>
  <c r="J73" i="8"/>
  <c r="J76" i="8"/>
  <c r="J75" i="8"/>
  <c r="AB39" i="14"/>
  <c r="AD66" i="14"/>
  <c r="J30" i="8"/>
  <c r="J33" i="8"/>
  <c r="J32" i="8"/>
  <c r="J31" i="8"/>
  <c r="J82" i="8"/>
  <c r="AB44" i="14"/>
  <c r="Z32" i="14"/>
  <c r="AA12" i="14"/>
  <c r="C30" i="4"/>
  <c r="F30" i="4" s="1"/>
  <c r="H61" i="8"/>
  <c r="AA14" i="14"/>
  <c r="Z56" i="14"/>
  <c r="AD33" i="14"/>
  <c r="G15" i="5"/>
  <c r="G13" i="5"/>
  <c r="G11" i="5"/>
  <c r="K10" i="5"/>
  <c r="C10" i="5"/>
  <c r="G9" i="5"/>
  <c r="G7" i="5"/>
  <c r="G5" i="5"/>
  <c r="H23" i="8"/>
  <c r="J10" i="5"/>
  <c r="B10" i="5"/>
  <c r="H22" i="8"/>
  <c r="H10" i="5"/>
  <c r="G12" i="5"/>
  <c r="L10" i="5"/>
  <c r="B30" i="4"/>
  <c r="I10" i="5"/>
  <c r="G10" i="5"/>
  <c r="F10" i="5"/>
  <c r="G14" i="5"/>
  <c r="E10" i="5"/>
  <c r="D10" i="5"/>
  <c r="H21" i="8"/>
  <c r="G8" i="5"/>
  <c r="G6" i="5"/>
  <c r="AC24" i="14"/>
  <c r="T6" i="10"/>
  <c r="F28" i="10"/>
  <c r="L24" i="7" s="1"/>
  <c r="AC33" i="14"/>
  <c r="AC47" i="14"/>
  <c r="B49" i="11" s="1"/>
  <c r="I39" i="1" s="1"/>
  <c r="AC72" i="14"/>
  <c r="AC74" i="14"/>
  <c r="K25" i="7"/>
  <c r="G17" i="7"/>
  <c r="F25" i="7"/>
  <c r="H25" i="7"/>
  <c r="B12" i="13"/>
  <c r="J13" i="1"/>
  <c r="J12" i="1"/>
  <c r="C47" i="10"/>
  <c r="H13" i="6"/>
  <c r="AB23" i="14"/>
  <c r="AB65" i="14"/>
  <c r="AB81" i="14"/>
  <c r="AB13" i="14"/>
  <c r="AB11" i="14"/>
  <c r="AB58" i="14"/>
  <c r="AB75" i="14"/>
  <c r="AA65" i="14"/>
  <c r="I64" i="12" s="1"/>
  <c r="AA71" i="14"/>
  <c r="AA9" i="14"/>
  <c r="E6" i="12" s="1"/>
  <c r="AA34" i="14"/>
  <c r="E32" i="12" s="1"/>
  <c r="AA43" i="14"/>
  <c r="E42" i="12" s="1"/>
  <c r="AA55" i="14"/>
  <c r="E51" i="12" s="1"/>
  <c r="B28" i="5"/>
  <c r="I17" i="7"/>
  <c r="D105" i="4"/>
  <c r="D108" i="4" s="1"/>
  <c r="B15" i="4" s="1"/>
  <c r="I15" i="4"/>
  <c r="D15" i="4" s="1"/>
  <c r="C28" i="5"/>
  <c r="C78" i="11"/>
  <c r="B16" i="1"/>
  <c r="O58" i="2" s="1"/>
  <c r="J28" i="5"/>
  <c r="M41" i="5"/>
  <c r="H6" i="4" s="1"/>
  <c r="F67" i="5"/>
  <c r="J24" i="5"/>
  <c r="AD77" i="14"/>
  <c r="E29" i="5"/>
  <c r="K71" i="5"/>
  <c r="K69" i="5"/>
  <c r="AD39" i="14"/>
  <c r="AA44" i="14"/>
  <c r="H59" i="8"/>
  <c r="H58" i="8"/>
  <c r="H60" i="8"/>
  <c r="H57" i="8"/>
  <c r="D15" i="12"/>
  <c r="J95" i="8"/>
  <c r="D23" i="12"/>
  <c r="C10" i="11"/>
  <c r="M8" i="12"/>
  <c r="D5" i="12"/>
  <c r="W75" i="2"/>
  <c r="W76" i="2" s="1"/>
  <c r="W77" i="2" s="1"/>
  <c r="W78" i="2" s="1"/>
  <c r="W79" i="2" s="1"/>
  <c r="W80" i="2" s="1"/>
  <c r="W81" i="2" s="1"/>
  <c r="W82" i="2" s="1"/>
  <c r="W83" i="2" s="1"/>
  <c r="W84" i="2" s="1"/>
  <c r="W85" i="2" s="1"/>
  <c r="W86" i="2" s="1"/>
  <c r="W87" i="2" s="1"/>
  <c r="W88" i="2" s="1"/>
  <c r="W89" i="2" s="1"/>
  <c r="W90" i="2" s="1"/>
  <c r="W91" i="2" s="1"/>
  <c r="W92" i="2" s="1"/>
  <c r="W93" i="2" s="1"/>
  <c r="W94" i="2" s="1"/>
  <c r="W95" i="2" s="1"/>
  <c r="W96" i="2" s="1"/>
  <c r="W97" i="2" s="1"/>
  <c r="W98" i="2" s="1"/>
  <c r="W99" i="2" s="1"/>
  <c r="W100" i="2" s="1"/>
  <c r="W101" i="2" s="1"/>
  <c r="W102" i="2" s="1"/>
  <c r="W103" i="2" s="1"/>
  <c r="W104" i="2" s="1"/>
  <c r="W105" i="2" s="1"/>
  <c r="W106" i="2" s="1"/>
  <c r="W107" i="2" s="1"/>
  <c r="W108" i="2" s="1"/>
  <c r="W109" i="2" s="1"/>
  <c r="W110" i="2" s="1"/>
  <c r="W111" i="2" s="1"/>
  <c r="W112" i="2" s="1"/>
  <c r="W113" i="2" s="1"/>
  <c r="W114" i="2" s="1"/>
  <c r="W115" i="2" s="1"/>
  <c r="W116" i="2" s="1"/>
  <c r="W117" i="2" s="1"/>
  <c r="W118" i="2" s="1"/>
  <c r="W119" i="2" s="1"/>
  <c r="W120" i="2" s="1"/>
  <c r="W121" i="2" s="1"/>
  <c r="W122" i="2" s="1"/>
  <c r="W123" i="2" s="1"/>
  <c r="W124" i="2" s="1"/>
  <c r="W125" i="2" s="1"/>
  <c r="W126" i="2" s="1"/>
  <c r="W127" i="2" s="1"/>
  <c r="W128" i="2" s="1"/>
  <c r="W129" i="2" s="1"/>
  <c r="W130" i="2" s="1"/>
  <c r="W131" i="2" s="1"/>
  <c r="W132" i="2" s="1"/>
  <c r="W133" i="2" s="1"/>
  <c r="W134" i="2" s="1"/>
  <c r="W135" i="2" s="1"/>
  <c r="W136" i="2" s="1"/>
  <c r="W137" i="2" s="1"/>
  <c r="W138" i="2" s="1"/>
  <c r="W139" i="2" s="1"/>
  <c r="W140" i="2" s="1"/>
  <c r="W141" i="2" s="1"/>
  <c r="W142" i="2" s="1"/>
  <c r="W143" i="2" s="1"/>
  <c r="W144" i="2" s="1"/>
  <c r="W145" i="2" s="1"/>
  <c r="W146" i="2" s="1"/>
  <c r="W147" i="2" s="1"/>
  <c r="W148" i="2" s="1"/>
  <c r="W149" i="2" s="1"/>
  <c r="W150" i="2" s="1"/>
  <c r="W151" i="2" s="1"/>
  <c r="W152" i="2" s="1"/>
  <c r="W153" i="2" s="1"/>
  <c r="W154" i="2" s="1"/>
  <c r="F36" i="10"/>
  <c r="E19" i="9" s="1"/>
  <c r="G64" i="10"/>
  <c r="G68" i="5"/>
  <c r="C74" i="11"/>
  <c r="H74" i="11" s="1"/>
  <c r="I74" i="11" s="1"/>
  <c r="B12" i="1"/>
  <c r="O54" i="2" s="1"/>
  <c r="I12" i="6"/>
  <c r="AC37" i="14"/>
  <c r="AC48" i="14"/>
  <c r="AC67" i="14"/>
  <c r="AC77" i="14"/>
  <c r="AC61" i="14"/>
  <c r="AC45" i="14"/>
  <c r="D64" i="10"/>
  <c r="D68" i="5"/>
  <c r="F30" i="10"/>
  <c r="E13" i="9" s="1"/>
  <c r="J6" i="6"/>
  <c r="E6" i="1"/>
  <c r="L23" i="5"/>
  <c r="D45" i="7"/>
  <c r="E45" i="7" s="1"/>
  <c r="D33" i="7" s="1"/>
  <c r="E44" i="10"/>
  <c r="P205" i="2" s="1"/>
  <c r="C44" i="10"/>
  <c r="C46" i="10" s="1"/>
  <c r="B44" i="10"/>
  <c r="D44" i="10"/>
  <c r="P204" i="2" s="1"/>
  <c r="D27" i="9"/>
  <c r="D17" i="6"/>
  <c r="C6" i="1"/>
  <c r="H6" i="6"/>
  <c r="C30" i="1"/>
  <c r="C71" i="11"/>
  <c r="B9" i="1"/>
  <c r="O51" i="2" s="1"/>
  <c r="F71" i="5"/>
  <c r="AB33" i="14"/>
  <c r="AB70" i="14"/>
  <c r="AB14" i="14"/>
  <c r="AB34" i="14"/>
  <c r="AB25" i="14"/>
  <c r="AB50" i="14"/>
  <c r="F48" i="12" s="1"/>
  <c r="AB80" i="14"/>
  <c r="AB73" i="14"/>
  <c r="AA19" i="14"/>
  <c r="E18" i="12" s="1"/>
  <c r="AA13" i="14"/>
  <c r="E12" i="12" s="1"/>
  <c r="AA26" i="14"/>
  <c r="I24" i="12" s="1"/>
  <c r="AA38" i="14"/>
  <c r="AA59" i="14"/>
  <c r="AA67" i="14"/>
  <c r="E65" i="12" s="1"/>
  <c r="I72" i="5"/>
  <c r="E30" i="5"/>
  <c r="B79" i="4"/>
  <c r="H29" i="4"/>
  <c r="J30" i="5"/>
  <c r="J14" i="6"/>
  <c r="F14" i="1" s="1"/>
  <c r="E14" i="1"/>
  <c r="F20" i="5"/>
  <c r="L20" i="5"/>
  <c r="D20" i="5"/>
  <c r="B21" i="5"/>
  <c r="I16" i="6"/>
  <c r="D18" i="1" s="1"/>
  <c r="AD18" i="14"/>
  <c r="AD51" i="14"/>
  <c r="C49" i="11" s="1"/>
  <c r="J39" i="1" s="1"/>
  <c r="AD79" i="14"/>
  <c r="G58" i="12" l="1"/>
  <c r="AC309" i="2"/>
  <c r="H48" i="12"/>
  <c r="AD299" i="2"/>
  <c r="G38" i="12"/>
  <c r="AC289" i="2"/>
  <c r="G63" i="12"/>
  <c r="AC314" i="2"/>
  <c r="C48" i="11"/>
  <c r="C50" i="11"/>
  <c r="J40" i="1" s="1"/>
  <c r="J38" i="1"/>
  <c r="H60" i="12"/>
  <c r="AD311" i="2"/>
  <c r="H7" i="12"/>
  <c r="AD258" i="2"/>
  <c r="I10" i="4"/>
  <c r="D10" i="4" s="1"/>
  <c r="D79" i="4"/>
  <c r="D81" i="4" s="1"/>
  <c r="B10" i="4" s="1"/>
  <c r="J32" i="12"/>
  <c r="F32" i="12"/>
  <c r="I5" i="12"/>
  <c r="J12" i="12"/>
  <c r="F12" i="12"/>
  <c r="E58" i="12"/>
  <c r="F22" i="12"/>
  <c r="J22" i="12"/>
  <c r="F30" i="12"/>
  <c r="M10" i="5"/>
  <c r="J25" i="5" s="1"/>
  <c r="G46" i="5"/>
  <c r="G28" i="5"/>
  <c r="D31" i="12"/>
  <c r="I31" i="12"/>
  <c r="F38" i="12"/>
  <c r="J38" i="12"/>
  <c r="I36" i="12"/>
  <c r="D36" i="12"/>
  <c r="E40" i="12"/>
  <c r="J29" i="12"/>
  <c r="F29" i="12"/>
  <c r="D24" i="12"/>
  <c r="E36" i="12"/>
  <c r="F27" i="12"/>
  <c r="J27" i="12"/>
  <c r="L23" i="7"/>
  <c r="E7" i="12"/>
  <c r="I52" i="12"/>
  <c r="I7" i="12"/>
  <c r="D26" i="12"/>
  <c r="J25" i="12"/>
  <c r="E53" i="12"/>
  <c r="D30" i="12"/>
  <c r="E48" i="12"/>
  <c r="F50" i="12"/>
  <c r="J50" i="12"/>
  <c r="E44" i="12"/>
  <c r="D18" i="12"/>
  <c r="I18" i="12"/>
  <c r="D25" i="12"/>
  <c r="I25" i="12"/>
  <c r="M7" i="12"/>
  <c r="C8" i="11"/>
  <c r="D27" i="12"/>
  <c r="I27" i="12"/>
  <c r="F55" i="12"/>
  <c r="J55" i="12"/>
  <c r="E23" i="12"/>
  <c r="F53" i="12"/>
  <c r="F52" i="12"/>
  <c r="J7" i="12"/>
  <c r="C25" i="5"/>
  <c r="J24" i="12"/>
  <c r="F24" i="12"/>
  <c r="E37" i="12"/>
  <c r="J33" i="12"/>
  <c r="F33" i="12"/>
  <c r="H17" i="6"/>
  <c r="C9" i="11"/>
  <c r="D32" i="12"/>
  <c r="E43" i="12"/>
  <c r="E64" i="12"/>
  <c r="G21" i="5"/>
  <c r="G30" i="5"/>
  <c r="F43" i="12"/>
  <c r="J43" i="12"/>
  <c r="E24" i="12"/>
  <c r="J21" i="12"/>
  <c r="F21" i="12"/>
  <c r="E10" i="12"/>
  <c r="F6" i="12"/>
  <c r="J6" i="12"/>
  <c r="F15" i="12"/>
  <c r="J15" i="12"/>
  <c r="F28" i="12"/>
  <c r="E59" i="12"/>
  <c r="O7" i="12"/>
  <c r="K22" i="7"/>
  <c r="B26" i="9"/>
  <c r="B27" i="9"/>
  <c r="B28" i="9"/>
  <c r="E46" i="12"/>
  <c r="F19" i="12"/>
  <c r="J19" i="12"/>
  <c r="H16" i="10"/>
  <c r="I32" i="1"/>
  <c r="P232" i="2"/>
  <c r="D60" i="12"/>
  <c r="J8" i="6"/>
  <c r="F8" i="1" s="1"/>
  <c r="E8" i="1"/>
  <c r="B74" i="4"/>
  <c r="B95" i="4"/>
  <c r="B90" i="4"/>
  <c r="E52" i="12"/>
  <c r="D49" i="12"/>
  <c r="I49" i="12"/>
  <c r="D51" i="12"/>
  <c r="I51" i="12"/>
  <c r="D29" i="12"/>
  <c r="I29" i="12"/>
  <c r="F46" i="12"/>
  <c r="J46" i="12"/>
  <c r="J53" i="12"/>
  <c r="B47" i="11"/>
  <c r="J52" i="12"/>
  <c r="E25" i="12"/>
  <c r="D8" i="11"/>
  <c r="N7" i="12"/>
  <c r="P102" i="2" s="1"/>
  <c r="F13" i="12"/>
  <c r="J13" i="12"/>
  <c r="C17" i="1"/>
  <c r="P48" i="2"/>
  <c r="B36" i="7"/>
  <c r="F33" i="7"/>
  <c r="B37" i="7"/>
  <c r="K52" i="1"/>
  <c r="J12" i="6"/>
  <c r="F12" i="1" s="1"/>
  <c r="E12" i="1"/>
  <c r="G5" i="12"/>
  <c r="AC256" i="2"/>
  <c r="I32" i="12"/>
  <c r="G23" i="5"/>
  <c r="B86" i="4"/>
  <c r="D86" i="4" s="1"/>
  <c r="E30" i="4"/>
  <c r="H30" i="4" s="1"/>
  <c r="P313" i="2"/>
  <c r="G20" i="5"/>
  <c r="I56" i="12"/>
  <c r="D56" i="12"/>
  <c r="E47" i="12"/>
  <c r="E14" i="12"/>
  <c r="I13" i="12"/>
  <c r="D13" i="12"/>
  <c r="E26" i="12"/>
  <c r="H15" i="10"/>
  <c r="P231" i="2"/>
  <c r="J20" i="12"/>
  <c r="F20" i="12"/>
  <c r="J28" i="12"/>
  <c r="X78" i="2"/>
  <c r="X79" i="2" s="1"/>
  <c r="X80" i="2" s="1"/>
  <c r="X81" i="2" s="1"/>
  <c r="X82" i="2" s="1"/>
  <c r="X83" i="2" s="1"/>
  <c r="X84" i="2" s="1"/>
  <c r="X85" i="2" s="1"/>
  <c r="X86" i="2" s="1"/>
  <c r="X87" i="2" s="1"/>
  <c r="X88" i="2" s="1"/>
  <c r="X89" i="2" s="1"/>
  <c r="X90" i="2" s="1"/>
  <c r="X91" i="2" s="1"/>
  <c r="X92" i="2" s="1"/>
  <c r="X93" i="2" s="1"/>
  <c r="X94" i="2" s="1"/>
  <c r="X95" i="2" s="1"/>
  <c r="X96" i="2" s="1"/>
  <c r="X97" i="2" s="1"/>
  <c r="X98" i="2" s="1"/>
  <c r="X99" i="2" s="1"/>
  <c r="X100" i="2" s="1"/>
  <c r="X101" i="2" s="1"/>
  <c r="X102" i="2" s="1"/>
  <c r="X103" i="2" s="1"/>
  <c r="X104" i="2" s="1"/>
  <c r="X105" i="2" s="1"/>
  <c r="X106" i="2" s="1"/>
  <c r="X107" i="2" s="1"/>
  <c r="X108" i="2" s="1"/>
  <c r="X109" i="2" s="1"/>
  <c r="X110" i="2" s="1"/>
  <c r="X111" i="2" s="1"/>
  <c r="X112" i="2" s="1"/>
  <c r="X113" i="2" s="1"/>
  <c r="X114" i="2" s="1"/>
  <c r="X115" i="2" s="1"/>
  <c r="X116" i="2" s="1"/>
  <c r="X117" i="2" s="1"/>
  <c r="X118" i="2" s="1"/>
  <c r="X119" i="2" s="1"/>
  <c r="X120" i="2" s="1"/>
  <c r="X121" i="2" s="1"/>
  <c r="X122" i="2" s="1"/>
  <c r="X123" i="2" s="1"/>
  <c r="X124" i="2" s="1"/>
  <c r="X125" i="2" s="1"/>
  <c r="X126" i="2" s="1"/>
  <c r="X127" i="2" s="1"/>
  <c r="X128" i="2" s="1"/>
  <c r="X129" i="2" s="1"/>
  <c r="X130" i="2" s="1"/>
  <c r="X131" i="2" s="1"/>
  <c r="X132" i="2" s="1"/>
  <c r="X133" i="2" s="1"/>
  <c r="X134" i="2" s="1"/>
  <c r="X135" i="2" s="1"/>
  <c r="X136" i="2" s="1"/>
  <c r="X137" i="2" s="1"/>
  <c r="X138" i="2" s="1"/>
  <c r="X139" i="2" s="1"/>
  <c r="X140" i="2" s="1"/>
  <c r="X141" i="2" s="1"/>
  <c r="X142" i="2" s="1"/>
  <c r="X143" i="2" s="1"/>
  <c r="X144" i="2" s="1"/>
  <c r="X145" i="2" s="1"/>
  <c r="X146" i="2" s="1"/>
  <c r="X147" i="2" s="1"/>
  <c r="X148" i="2" s="1"/>
  <c r="X149" i="2" s="1"/>
  <c r="X150" i="2" s="1"/>
  <c r="X151" i="2" s="1"/>
  <c r="X152" i="2" s="1"/>
  <c r="X153" i="2" s="1"/>
  <c r="X154" i="2" s="1"/>
  <c r="E22" i="12"/>
  <c r="B67" i="10"/>
  <c r="O50" i="2"/>
  <c r="B17" i="1"/>
  <c r="F54" i="12"/>
  <c r="J54" i="12"/>
  <c r="D16" i="12"/>
  <c r="I16" i="12"/>
  <c r="D59" i="12"/>
  <c r="I59" i="12"/>
  <c r="I44" i="12"/>
  <c r="D44" i="12"/>
  <c r="I54" i="12"/>
  <c r="D54" i="12"/>
  <c r="J37" i="12"/>
  <c r="F37" i="12"/>
  <c r="D66" i="10"/>
  <c r="D65" i="10"/>
  <c r="D67" i="10" s="1"/>
  <c r="Q8" i="12"/>
  <c r="O103" i="2"/>
  <c r="G15" i="12"/>
  <c r="AC266" i="2"/>
  <c r="J57" i="12"/>
  <c r="F57" i="12"/>
  <c r="F44" i="10"/>
  <c r="P206" i="2" s="1"/>
  <c r="F45" i="10"/>
  <c r="F43" i="10"/>
  <c r="O206" i="2" s="1"/>
  <c r="E11" i="9"/>
  <c r="L22" i="7"/>
  <c r="L25" i="5"/>
  <c r="G22" i="5"/>
  <c r="D55" i="12"/>
  <c r="I55" i="12"/>
  <c r="D42" i="12"/>
  <c r="L26" i="7"/>
  <c r="E20" i="12"/>
  <c r="I11" i="12"/>
  <c r="D11" i="12"/>
  <c r="L65" i="10"/>
  <c r="L67" i="10" s="1"/>
  <c r="L66" i="10"/>
  <c r="F58" i="12"/>
  <c r="J58" i="12"/>
  <c r="R232" i="2"/>
  <c r="J32" i="1"/>
  <c r="E39" i="12"/>
  <c r="F5" i="12"/>
  <c r="O8" i="12"/>
  <c r="E10" i="11"/>
  <c r="J5" i="12"/>
  <c r="E9" i="11"/>
  <c r="Y75" i="2"/>
  <c r="Y76" i="2" s="1"/>
  <c r="Y77" i="2" s="1"/>
  <c r="Y78" i="2" s="1"/>
  <c r="Y79" i="2" s="1"/>
  <c r="Y80" i="2" s="1"/>
  <c r="Y81" i="2" s="1"/>
  <c r="Y82" i="2" s="1"/>
  <c r="Y83" i="2" s="1"/>
  <c r="Y84" i="2" s="1"/>
  <c r="Y85" i="2" s="1"/>
  <c r="Y86" i="2" s="1"/>
  <c r="Y87" i="2" s="1"/>
  <c r="Y88" i="2" s="1"/>
  <c r="Y89" i="2" s="1"/>
  <c r="Y90" i="2" s="1"/>
  <c r="Y91" i="2" s="1"/>
  <c r="Y92" i="2" s="1"/>
  <c r="Y93" i="2" s="1"/>
  <c r="Y94" i="2" s="1"/>
  <c r="Y95" i="2" s="1"/>
  <c r="Y96" i="2" s="1"/>
  <c r="Y97" i="2" s="1"/>
  <c r="Y98" i="2" s="1"/>
  <c r="Y99" i="2" s="1"/>
  <c r="Y100" i="2" s="1"/>
  <c r="Y101" i="2" s="1"/>
  <c r="Y102" i="2" s="1"/>
  <c r="Y103" i="2" s="1"/>
  <c r="Y104" i="2" s="1"/>
  <c r="Y105" i="2" s="1"/>
  <c r="Y106" i="2" s="1"/>
  <c r="Y107" i="2" s="1"/>
  <c r="Y108" i="2" s="1"/>
  <c r="Y109" i="2" s="1"/>
  <c r="Y110" i="2" s="1"/>
  <c r="Y111" i="2" s="1"/>
  <c r="Y112" i="2" s="1"/>
  <c r="Y113" i="2" s="1"/>
  <c r="Y114" i="2" s="1"/>
  <c r="Y115" i="2" s="1"/>
  <c r="Y116" i="2" s="1"/>
  <c r="Y117" i="2" s="1"/>
  <c r="Y118" i="2" s="1"/>
  <c r="Y119" i="2" s="1"/>
  <c r="Y120" i="2" s="1"/>
  <c r="Y121" i="2" s="1"/>
  <c r="Y122" i="2" s="1"/>
  <c r="Y123" i="2" s="1"/>
  <c r="Y124" i="2" s="1"/>
  <c r="Y125" i="2" s="1"/>
  <c r="Y126" i="2" s="1"/>
  <c r="Y127" i="2" s="1"/>
  <c r="Y128" i="2" s="1"/>
  <c r="Y129" i="2" s="1"/>
  <c r="Y130" i="2" s="1"/>
  <c r="Y131" i="2" s="1"/>
  <c r="Y132" i="2" s="1"/>
  <c r="Y133" i="2" s="1"/>
  <c r="Y134" i="2" s="1"/>
  <c r="Y135" i="2" s="1"/>
  <c r="Y136" i="2" s="1"/>
  <c r="Y137" i="2" s="1"/>
  <c r="Y138" i="2" s="1"/>
  <c r="Y139" i="2" s="1"/>
  <c r="Y140" i="2" s="1"/>
  <c r="Y141" i="2" s="1"/>
  <c r="Y142" i="2" s="1"/>
  <c r="Y143" i="2" s="1"/>
  <c r="Y144" i="2" s="1"/>
  <c r="Y145" i="2" s="1"/>
  <c r="Y146" i="2" s="1"/>
  <c r="Y147" i="2" s="1"/>
  <c r="Y148" i="2" s="1"/>
  <c r="Y149" i="2" s="1"/>
  <c r="Y150" i="2" s="1"/>
  <c r="Y151" i="2" s="1"/>
  <c r="Y152" i="2" s="1"/>
  <c r="Y153" i="2" s="1"/>
  <c r="Y154" i="2" s="1"/>
  <c r="F63" i="12"/>
  <c r="J63" i="12"/>
  <c r="E49" i="11"/>
  <c r="D9" i="11"/>
  <c r="J26" i="12"/>
  <c r="I45" i="12"/>
  <c r="F61" i="12"/>
  <c r="E62" i="12"/>
  <c r="D59" i="10"/>
  <c r="F31" i="12"/>
  <c r="J31" i="12"/>
  <c r="I14" i="12"/>
  <c r="D14" i="12"/>
  <c r="I61" i="12"/>
  <c r="D61" i="12"/>
  <c r="I53" i="12"/>
  <c r="D53" i="12"/>
  <c r="F34" i="12"/>
  <c r="J34" i="12"/>
  <c r="E41" i="12"/>
  <c r="J14" i="12"/>
  <c r="F14" i="12"/>
  <c r="P315" i="2"/>
  <c r="B96" i="4"/>
  <c r="D96" i="4" s="1"/>
  <c r="E32" i="4"/>
  <c r="H32" i="4" s="1"/>
  <c r="D6" i="11"/>
  <c r="J60" i="12"/>
  <c r="I15" i="12"/>
  <c r="E54" i="12"/>
  <c r="J10" i="12"/>
  <c r="F10" i="12"/>
  <c r="F17" i="10"/>
  <c r="D17" i="10" s="1"/>
  <c r="E17" i="10" s="1"/>
  <c r="C17" i="10"/>
  <c r="H17" i="10" s="1"/>
  <c r="D25" i="5"/>
  <c r="G24" i="5"/>
  <c r="E13" i="12"/>
  <c r="I42" i="12"/>
  <c r="F51" i="12"/>
  <c r="J51" i="12"/>
  <c r="I66" i="10"/>
  <c r="I65" i="10"/>
  <c r="I67" i="10" s="1"/>
  <c r="F8" i="12"/>
  <c r="J8" i="12"/>
  <c r="E16" i="12"/>
  <c r="I34" i="12"/>
  <c r="D34" i="12"/>
  <c r="E47" i="11"/>
  <c r="E50" i="11" s="1"/>
  <c r="N8" i="12"/>
  <c r="P103" i="2" s="1"/>
  <c r="F26" i="12"/>
  <c r="D47" i="11"/>
  <c r="I58" i="12"/>
  <c r="F35" i="12"/>
  <c r="J35" i="12"/>
  <c r="F59" i="12"/>
  <c r="J59" i="12"/>
  <c r="D12" i="12"/>
  <c r="I12" i="12"/>
  <c r="I6" i="12"/>
  <c r="D6" i="12"/>
  <c r="M14" i="12" s="1"/>
  <c r="I46" i="1" s="1"/>
  <c r="D21" i="12"/>
  <c r="I21" i="12"/>
  <c r="J45" i="12"/>
  <c r="O6" i="12"/>
  <c r="F45" i="12"/>
  <c r="E7" i="11"/>
  <c r="E30" i="12"/>
  <c r="J17" i="12"/>
  <c r="F17" i="12"/>
  <c r="D14" i="10"/>
  <c r="E14" i="10" s="1"/>
  <c r="R230" i="2" s="1"/>
  <c r="I65" i="12"/>
  <c r="D65" i="12"/>
  <c r="M5" i="12"/>
  <c r="C6" i="11"/>
  <c r="L28" i="7"/>
  <c r="N5" i="12"/>
  <c r="P100" i="2" s="1"/>
  <c r="J48" i="12"/>
  <c r="E35" i="12"/>
  <c r="J62" i="12"/>
  <c r="J26" i="1"/>
  <c r="P128" i="2"/>
  <c r="E25" i="5"/>
  <c r="G33" i="12"/>
  <c r="AC284" i="2"/>
  <c r="D35" i="12"/>
  <c r="I35" i="12"/>
  <c r="J42" i="12"/>
  <c r="D17" i="12"/>
  <c r="E49" i="12"/>
  <c r="Q6" i="12"/>
  <c r="O101" i="2"/>
  <c r="E9" i="1"/>
  <c r="E17" i="1" s="1"/>
  <c r="J9" i="6"/>
  <c r="F9" i="1" s="1"/>
  <c r="B47" i="10"/>
  <c r="B46" i="10"/>
  <c r="H14" i="10"/>
  <c r="P230" i="2"/>
  <c r="J41" i="12"/>
  <c r="F41" i="12"/>
  <c r="D43" i="12"/>
  <c r="I43" i="12"/>
  <c r="D22" i="12"/>
  <c r="I22" i="12"/>
  <c r="C34" i="6"/>
  <c r="E34" i="6" s="1"/>
  <c r="I12" i="1"/>
  <c r="E28" i="12"/>
  <c r="J36" i="12"/>
  <c r="F36" i="12"/>
  <c r="H19" i="10"/>
  <c r="I33" i="1"/>
  <c r="E55" i="12"/>
  <c r="K27" i="5"/>
  <c r="E45" i="10"/>
  <c r="F62" i="12"/>
  <c r="F23" i="12"/>
  <c r="J23" i="12"/>
  <c r="E17" i="12"/>
  <c r="N6" i="12"/>
  <c r="P101" i="2" s="1"/>
  <c r="D10" i="11"/>
  <c r="I17" i="6"/>
  <c r="G65" i="10"/>
  <c r="G67" i="10" s="1"/>
  <c r="G66" i="10"/>
  <c r="I23" i="12"/>
  <c r="E33" i="12"/>
  <c r="K12" i="1"/>
  <c r="L25" i="7"/>
  <c r="E19" i="12"/>
  <c r="G29" i="5"/>
  <c r="K25" i="5"/>
  <c r="C27" i="9"/>
  <c r="C28" i="9"/>
  <c r="C26" i="9"/>
  <c r="I28" i="12"/>
  <c r="I41" i="12"/>
  <c r="F9" i="12"/>
  <c r="J9" i="12"/>
  <c r="I19" i="12"/>
  <c r="I40" i="12"/>
  <c r="D40" i="12"/>
  <c r="I47" i="12"/>
  <c r="F42" i="12"/>
  <c r="E21" i="12"/>
  <c r="E29" i="12"/>
  <c r="E8" i="11"/>
  <c r="D7" i="11"/>
  <c r="E5" i="12"/>
  <c r="C7" i="11"/>
  <c r="D9" i="12"/>
  <c r="J47" i="12"/>
  <c r="J44" i="12"/>
  <c r="F44" i="12"/>
  <c r="Q10" i="10"/>
  <c r="U9" i="10"/>
  <c r="D39" i="12"/>
  <c r="I39" i="12"/>
  <c r="E56" i="12"/>
  <c r="J56" i="12"/>
  <c r="F56" i="12"/>
  <c r="D10" i="12"/>
  <c r="I10" i="12"/>
  <c r="D57" i="12"/>
  <c r="I57" i="12"/>
  <c r="D62" i="12"/>
  <c r="I62" i="12"/>
  <c r="D48" i="12"/>
  <c r="C12" i="13"/>
  <c r="D12" i="13" s="1"/>
  <c r="D34" i="6"/>
  <c r="I13" i="1"/>
  <c r="K13" i="1" s="1"/>
  <c r="E50" i="12"/>
  <c r="D47" i="10"/>
  <c r="D46" i="10"/>
  <c r="Q204" i="2"/>
  <c r="I48" i="5"/>
  <c r="M48" i="5" s="1"/>
  <c r="H13" i="4" s="1"/>
  <c r="M12" i="5"/>
  <c r="B27" i="5" s="1"/>
  <c r="I27" i="5"/>
  <c r="I26" i="5"/>
  <c r="E34" i="12"/>
  <c r="F40" i="12"/>
  <c r="D46" i="12"/>
  <c r="J16" i="6"/>
  <c r="F16" i="1" s="1"/>
  <c r="E16" i="1"/>
  <c r="H25" i="5"/>
  <c r="G28" i="12"/>
  <c r="AC279" i="2"/>
  <c r="J49" i="12"/>
  <c r="F49" i="12"/>
  <c r="J17" i="6"/>
  <c r="F6" i="1"/>
  <c r="F17" i="1" s="1"/>
  <c r="G23" i="12"/>
  <c r="AC274" i="2"/>
  <c r="E8" i="12"/>
  <c r="J64" i="12"/>
  <c r="F64" i="12"/>
  <c r="J30" i="12"/>
  <c r="F25" i="5"/>
  <c r="B25" i="5"/>
  <c r="G26" i="5"/>
  <c r="E11" i="12"/>
  <c r="E61" i="12"/>
  <c r="E63" i="12"/>
  <c r="D41" i="12"/>
  <c r="E38" i="12"/>
  <c r="J11" i="12"/>
  <c r="F11" i="12"/>
  <c r="L27" i="7"/>
  <c r="D19" i="12"/>
  <c r="F16" i="12"/>
  <c r="J16" i="12"/>
  <c r="F39" i="12"/>
  <c r="J39" i="12"/>
  <c r="D47" i="12"/>
  <c r="D52" i="12"/>
  <c r="D7" i="12"/>
  <c r="I26" i="12"/>
  <c r="F25" i="12"/>
  <c r="E45" i="12"/>
  <c r="I30" i="12"/>
  <c r="D45" i="12"/>
  <c r="I9" i="12"/>
  <c r="E57" i="12"/>
  <c r="F47" i="12"/>
  <c r="J65" i="12"/>
  <c r="F65" i="12"/>
  <c r="O5" i="12"/>
  <c r="E6" i="11"/>
  <c r="D64" i="12"/>
  <c r="F65" i="10"/>
  <c r="F67" i="10" s="1"/>
  <c r="F66" i="10"/>
  <c r="E60" i="12"/>
  <c r="F18" i="12"/>
  <c r="J18" i="12"/>
  <c r="I8" i="12"/>
  <c r="D8" i="12"/>
  <c r="I20" i="12"/>
  <c r="D20" i="12"/>
  <c r="I50" i="12"/>
  <c r="D50" i="12"/>
  <c r="D28" i="9"/>
  <c r="D26" i="9"/>
  <c r="D37" i="12"/>
  <c r="I37" i="12"/>
  <c r="I48" i="12"/>
  <c r="F19" i="10"/>
  <c r="K33" i="1" s="1"/>
  <c r="E9" i="12"/>
  <c r="I28" i="5"/>
  <c r="I24" i="5"/>
  <c r="H27" i="5"/>
  <c r="E31" i="12"/>
  <c r="J40" i="12"/>
  <c r="E27" i="12"/>
  <c r="I46" i="12"/>
  <c r="H56" i="12" l="1"/>
  <c r="AD307" i="2"/>
  <c r="E47" i="10"/>
  <c r="E46" i="10"/>
  <c r="Q205" i="2"/>
  <c r="H41" i="12"/>
  <c r="AD292" i="2"/>
  <c r="G35" i="12"/>
  <c r="AC286" i="2"/>
  <c r="G65" i="12"/>
  <c r="AC316" i="2"/>
  <c r="H45" i="12"/>
  <c r="AD296" i="2"/>
  <c r="G34" i="12"/>
  <c r="AC285" i="2"/>
  <c r="H14" i="12"/>
  <c r="AD265" i="2"/>
  <c r="G53" i="12"/>
  <c r="AC304" i="2"/>
  <c r="G42" i="12"/>
  <c r="AC293" i="2"/>
  <c r="G56" i="12"/>
  <c r="AC307" i="2"/>
  <c r="G49" i="12"/>
  <c r="AC300" i="2"/>
  <c r="I25" i="5"/>
  <c r="E27" i="5"/>
  <c r="G25" i="12"/>
  <c r="AC276" i="2"/>
  <c r="G26" i="12"/>
  <c r="AC277" i="2"/>
  <c r="H38" i="12"/>
  <c r="AD289" i="2"/>
  <c r="H47" i="12"/>
  <c r="AD298" i="2"/>
  <c r="H25" i="12"/>
  <c r="AD276" i="2"/>
  <c r="G41" i="12"/>
  <c r="AC292" i="2"/>
  <c r="C29" i="9"/>
  <c r="C30" i="9"/>
  <c r="Q127" i="2"/>
  <c r="K25" i="1"/>
  <c r="G20" i="12"/>
  <c r="AC271" i="2"/>
  <c r="H16" i="12"/>
  <c r="AD267" i="2"/>
  <c r="G62" i="12"/>
  <c r="AC313" i="2"/>
  <c r="G8" i="11"/>
  <c r="F8" i="11"/>
  <c r="P127" i="2"/>
  <c r="J25" i="1"/>
  <c r="C27" i="5"/>
  <c r="R6" i="12"/>
  <c r="Q101" i="2"/>
  <c r="D50" i="11"/>
  <c r="K40" i="1" s="1"/>
  <c r="K38" i="1"/>
  <c r="H51" i="12"/>
  <c r="AD302" i="2"/>
  <c r="I22" i="5"/>
  <c r="D27" i="5"/>
  <c r="G59" i="12"/>
  <c r="AC310" i="2"/>
  <c r="D60" i="10"/>
  <c r="H13" i="12"/>
  <c r="AD264" i="2"/>
  <c r="R7" i="12"/>
  <c r="Q102" i="2"/>
  <c r="H6" i="12"/>
  <c r="AD257" i="2"/>
  <c r="H24" i="12"/>
  <c r="AD275" i="2"/>
  <c r="G24" i="12"/>
  <c r="AC275" i="2"/>
  <c r="G25" i="5"/>
  <c r="H12" i="12"/>
  <c r="AD263" i="2"/>
  <c r="G12" i="12"/>
  <c r="AC263" i="2"/>
  <c r="H26" i="12"/>
  <c r="AD277" i="2"/>
  <c r="H10" i="12"/>
  <c r="AD261" i="2"/>
  <c r="G61" i="12"/>
  <c r="AC312" i="2"/>
  <c r="G11" i="12"/>
  <c r="AC262" i="2"/>
  <c r="G54" i="12"/>
  <c r="AC305" i="2"/>
  <c r="I29" i="5"/>
  <c r="I12" i="4"/>
  <c r="D12" i="4" s="1"/>
  <c r="D90" i="4"/>
  <c r="D92" i="4" s="1"/>
  <c r="B12" i="4" s="1"/>
  <c r="B29" i="9"/>
  <c r="B30" i="9"/>
  <c r="Q126" i="2"/>
  <c r="K24" i="1"/>
  <c r="G32" i="12"/>
  <c r="AC283" i="2"/>
  <c r="L27" i="5"/>
  <c r="G18" i="12"/>
  <c r="AC269" i="2"/>
  <c r="H29" i="12"/>
  <c r="AD280" i="2"/>
  <c r="G31" i="12"/>
  <c r="AC282" i="2"/>
  <c r="H30" i="12"/>
  <c r="AD281" i="2"/>
  <c r="G37" i="12"/>
  <c r="AC288" i="2"/>
  <c r="G8" i="12"/>
  <c r="AC259" i="2"/>
  <c r="G64" i="12"/>
  <c r="AC315" i="2"/>
  <c r="G45" i="12"/>
  <c r="AC296" i="2"/>
  <c r="G52" i="12"/>
  <c r="AC303" i="2"/>
  <c r="G19" i="12"/>
  <c r="AC270" i="2"/>
  <c r="H49" i="12"/>
  <c r="AD300" i="2"/>
  <c r="G9" i="12"/>
  <c r="AC260" i="2"/>
  <c r="I20" i="5"/>
  <c r="H36" i="12"/>
  <c r="AD287" i="2"/>
  <c r="F27" i="5"/>
  <c r="G27" i="5"/>
  <c r="G9" i="11"/>
  <c r="F9" i="11"/>
  <c r="E28" i="9"/>
  <c r="E26" i="9"/>
  <c r="E27" i="9"/>
  <c r="I30" i="5"/>
  <c r="B32" i="5" s="1"/>
  <c r="G16" i="12"/>
  <c r="AC267" i="2"/>
  <c r="G13" i="12"/>
  <c r="AC264" i="2"/>
  <c r="I13" i="4"/>
  <c r="D13" i="4" s="1"/>
  <c r="D95" i="4"/>
  <c r="D97" i="4" s="1"/>
  <c r="B13" i="4" s="1"/>
  <c r="P126" i="2"/>
  <c r="J24" i="1"/>
  <c r="H43" i="12"/>
  <c r="AD294" i="2"/>
  <c r="H42" i="12"/>
  <c r="AD293" i="2"/>
  <c r="H9" i="12"/>
  <c r="AD260" i="2"/>
  <c r="H17" i="12"/>
  <c r="AD268" i="2"/>
  <c r="H59" i="12"/>
  <c r="AD310" i="2"/>
  <c r="G14" i="12"/>
  <c r="AC265" i="2"/>
  <c r="H61" i="12"/>
  <c r="AD312" i="2"/>
  <c r="O16" i="12"/>
  <c r="K47" i="1" s="1"/>
  <c r="O15" i="12"/>
  <c r="H58" i="12"/>
  <c r="AD309" i="2"/>
  <c r="G55" i="12"/>
  <c r="AC306" i="2"/>
  <c r="G29" i="12"/>
  <c r="AC280" i="2"/>
  <c r="D74" i="4"/>
  <c r="D76" i="4" s="1"/>
  <c r="B9" i="4" s="1"/>
  <c r="I9" i="4"/>
  <c r="D9" i="4" s="1"/>
  <c r="H19" i="12"/>
  <c r="AD270" i="2"/>
  <c r="O126" i="2"/>
  <c r="I24" i="1"/>
  <c r="H21" i="12"/>
  <c r="AD272" i="2"/>
  <c r="H53" i="12"/>
  <c r="AD304" i="2"/>
  <c r="G27" i="12"/>
  <c r="AC278" i="2"/>
  <c r="G30" i="12"/>
  <c r="AC281" i="2"/>
  <c r="H22" i="12"/>
  <c r="AD273" i="2"/>
  <c r="M16" i="12"/>
  <c r="I47" i="1" s="1"/>
  <c r="M15" i="12"/>
  <c r="G50" i="12"/>
  <c r="AC301" i="2"/>
  <c r="H18" i="12"/>
  <c r="AD269" i="2"/>
  <c r="G6" i="11"/>
  <c r="F6" i="11"/>
  <c r="G47" i="12"/>
  <c r="AC298" i="2"/>
  <c r="H64" i="12"/>
  <c r="AD315" i="2"/>
  <c r="G39" i="12"/>
  <c r="AC290" i="2"/>
  <c r="I26" i="1"/>
  <c r="O128" i="2"/>
  <c r="R5" i="12"/>
  <c r="Q100" i="2"/>
  <c r="H11" i="12"/>
  <c r="AD262" i="2"/>
  <c r="G57" i="12"/>
  <c r="AC308" i="2"/>
  <c r="G22" i="12"/>
  <c r="AC273" i="2"/>
  <c r="G17" i="12"/>
  <c r="AC268" i="2"/>
  <c r="I23" i="5"/>
  <c r="H8" i="12"/>
  <c r="AD259" i="2"/>
  <c r="H34" i="12"/>
  <c r="AD285" i="2"/>
  <c r="H63" i="12"/>
  <c r="AD314" i="2"/>
  <c r="F46" i="10"/>
  <c r="F47" i="10"/>
  <c r="Q206" i="2"/>
  <c r="H54" i="12"/>
  <c r="AD305" i="2"/>
  <c r="H20" i="12"/>
  <c r="AD271" i="2"/>
  <c r="H28" i="12"/>
  <c r="AD279" i="2"/>
  <c r="H33" i="12"/>
  <c r="AD284" i="2"/>
  <c r="H50" i="12"/>
  <c r="AD301" i="2"/>
  <c r="G36" i="12"/>
  <c r="AC287" i="2"/>
  <c r="H32" i="12"/>
  <c r="AD283" i="2"/>
  <c r="G7" i="12"/>
  <c r="M13" i="12" s="1"/>
  <c r="I45" i="1" s="1"/>
  <c r="AC258" i="2"/>
  <c r="D29" i="9"/>
  <c r="Q128" i="2"/>
  <c r="D30" i="9"/>
  <c r="K26" i="1"/>
  <c r="H65" i="12"/>
  <c r="AD316" i="2"/>
  <c r="G46" i="12"/>
  <c r="AC297" i="2"/>
  <c r="Q11" i="10"/>
  <c r="U10" i="10"/>
  <c r="N14" i="12"/>
  <c r="J46" i="1" s="1"/>
  <c r="N13" i="12"/>
  <c r="J45" i="1" s="1"/>
  <c r="G40" i="12"/>
  <c r="AC291" i="2"/>
  <c r="H23" i="12"/>
  <c r="AD274" i="2"/>
  <c r="I21" i="5"/>
  <c r="G21" i="12"/>
  <c r="AC272" i="2"/>
  <c r="R8" i="12"/>
  <c r="Q103" i="2"/>
  <c r="H37" i="12"/>
  <c r="AD288" i="2"/>
  <c r="G44" i="12"/>
  <c r="AC295" i="2"/>
  <c r="B50" i="11"/>
  <c r="I40" i="1" s="1"/>
  <c r="B48" i="11"/>
  <c r="I38" i="1"/>
  <c r="G51" i="12"/>
  <c r="AC302" i="2"/>
  <c r="H52" i="12"/>
  <c r="AD303" i="2"/>
  <c r="Q7" i="12"/>
  <c r="O102" i="2"/>
  <c r="H39" i="12"/>
  <c r="AD290" i="2"/>
  <c r="H40" i="12"/>
  <c r="AD291" i="2"/>
  <c r="D19" i="10"/>
  <c r="E19" i="10" s="1"/>
  <c r="J33" i="1" s="1"/>
  <c r="G48" i="12"/>
  <c r="AC299" i="2"/>
  <c r="G10" i="12"/>
  <c r="AC261" i="2"/>
  <c r="H44" i="12"/>
  <c r="AD295" i="2"/>
  <c r="I25" i="1"/>
  <c r="O127" i="2"/>
  <c r="H62" i="12"/>
  <c r="AD313" i="2"/>
  <c r="G43" i="12"/>
  <c r="AC294" i="2"/>
  <c r="Q5" i="12"/>
  <c r="O100" i="2"/>
  <c r="F7" i="11"/>
  <c r="G7" i="11"/>
  <c r="G6" i="12"/>
  <c r="AC257" i="2"/>
  <c r="H35" i="12"/>
  <c r="AD286" i="2"/>
  <c r="H31" i="12"/>
  <c r="AD282" i="2"/>
  <c r="O14" i="12"/>
  <c r="K46" i="1" s="1"/>
  <c r="H5" i="12"/>
  <c r="AD256" i="2"/>
  <c r="H57" i="12"/>
  <c r="AD308" i="2"/>
  <c r="J27" i="5"/>
  <c r="B29" i="13"/>
  <c r="D29" i="13" s="1"/>
  <c r="H46" i="12"/>
  <c r="AD297" i="2"/>
  <c r="G60" i="12"/>
  <c r="AC311" i="2"/>
  <c r="H15" i="12"/>
  <c r="AD266" i="2"/>
  <c r="H55" i="12"/>
  <c r="AD306" i="2"/>
  <c r="H27" i="12"/>
  <c r="AD278" i="2"/>
  <c r="M46" i="5"/>
  <c r="H11" i="4" s="1"/>
  <c r="B22" i="13"/>
  <c r="D22" i="13" s="1"/>
  <c r="D47" i="5" l="1"/>
  <c r="L41" i="5"/>
  <c r="K49" i="5"/>
  <c r="E43" i="5"/>
  <c r="D41" i="5"/>
  <c r="D49" i="5"/>
  <c r="L43" i="5"/>
  <c r="K42" i="5"/>
  <c r="L47" i="5"/>
  <c r="K45" i="5"/>
  <c r="J43" i="5"/>
  <c r="H42" i="5"/>
  <c r="L49" i="5"/>
  <c r="J45" i="5"/>
  <c r="E41" i="5"/>
  <c r="D51" i="5"/>
  <c r="C50" i="5"/>
  <c r="L45" i="5"/>
  <c r="K44" i="5"/>
  <c r="H44" i="5"/>
  <c r="D45" i="5"/>
  <c r="F44" i="5"/>
  <c r="K51" i="5"/>
  <c r="C44" i="5"/>
  <c r="J51" i="5"/>
  <c r="E47" i="5"/>
  <c r="H50" i="5"/>
  <c r="E45" i="5"/>
  <c r="C41" i="5"/>
  <c r="E50" i="5"/>
  <c r="J41" i="5"/>
  <c r="C45" i="5"/>
  <c r="F43" i="5"/>
  <c r="D42" i="5"/>
  <c r="F42" i="5"/>
  <c r="B45" i="5"/>
  <c r="L42" i="5"/>
  <c r="E42" i="5"/>
  <c r="C51" i="5"/>
  <c r="L50" i="5"/>
  <c r="K47" i="5"/>
  <c r="F41" i="5"/>
  <c r="C49" i="5"/>
  <c r="B51" i="5"/>
  <c r="H45" i="5"/>
  <c r="E51" i="5"/>
  <c r="F50" i="5"/>
  <c r="K43" i="5"/>
  <c r="H43" i="5"/>
  <c r="B43" i="5"/>
  <c r="E49" i="5"/>
  <c r="D44" i="5"/>
  <c r="C47" i="5"/>
  <c r="J47" i="5"/>
  <c r="K41" i="5"/>
  <c r="B47" i="5"/>
  <c r="L44" i="5"/>
  <c r="B50" i="5"/>
  <c r="B44" i="5"/>
  <c r="H49" i="5"/>
  <c r="C43" i="5"/>
  <c r="B42" i="5"/>
  <c r="F47" i="5"/>
  <c r="H41" i="5"/>
  <c r="J50" i="5"/>
  <c r="F49" i="5"/>
  <c r="J44" i="5"/>
  <c r="H51" i="5"/>
  <c r="D50" i="5"/>
  <c r="J42" i="5"/>
  <c r="B49" i="5"/>
  <c r="F51" i="5"/>
  <c r="I46" i="5"/>
  <c r="L46" i="5"/>
  <c r="E46" i="5"/>
  <c r="B46" i="5"/>
  <c r="C11" i="4" s="1"/>
  <c r="J46" i="5"/>
  <c r="G43" i="5"/>
  <c r="G50" i="5"/>
  <c r="I49" i="5"/>
  <c r="G51" i="5"/>
  <c r="G41" i="5"/>
  <c r="I42" i="5"/>
  <c r="I44" i="5"/>
  <c r="G47" i="5"/>
  <c r="I45" i="5"/>
  <c r="H48" i="5"/>
  <c r="I51" i="5"/>
  <c r="D46" i="5"/>
  <c r="I41" i="5"/>
  <c r="G49" i="5"/>
  <c r="L48" i="5"/>
  <c r="C46" i="5"/>
  <c r="K46" i="5"/>
  <c r="H46" i="5"/>
  <c r="I47" i="5"/>
  <c r="D48" i="5"/>
  <c r="I43" i="5"/>
  <c r="G48" i="5"/>
  <c r="F48" i="5"/>
  <c r="E48" i="5"/>
  <c r="G42" i="5"/>
  <c r="I50" i="5"/>
  <c r="G44" i="5"/>
  <c r="K48" i="5"/>
  <c r="F46" i="5"/>
  <c r="B48" i="5"/>
  <c r="J48" i="5"/>
  <c r="G45" i="5"/>
  <c r="C48" i="5"/>
  <c r="D61" i="10"/>
  <c r="Q207" i="2"/>
  <c r="B85" i="4"/>
  <c r="D85" i="4" s="1"/>
  <c r="B84" i="4"/>
  <c r="J27" i="1"/>
  <c r="P129" i="2"/>
  <c r="I27" i="1"/>
  <c r="O129" i="2"/>
  <c r="O13" i="12"/>
  <c r="K45" i="1" s="1"/>
  <c r="E30" i="9"/>
  <c r="E29" i="9"/>
  <c r="K27" i="1"/>
  <c r="Q129" i="2"/>
  <c r="Q12" i="10"/>
  <c r="U11" i="10"/>
  <c r="C12" i="4" l="1"/>
  <c r="E12" i="4" s="1"/>
  <c r="G12" i="4" s="1"/>
  <c r="C14" i="4"/>
  <c r="E14" i="4" s="1"/>
  <c r="G14" i="4" s="1"/>
  <c r="O58" i="5"/>
  <c r="O62" i="5"/>
  <c r="D60" i="11" s="1"/>
  <c r="C7" i="4"/>
  <c r="C16" i="4"/>
  <c r="E16" i="4" s="1"/>
  <c r="G16" i="4" s="1"/>
  <c r="C10" i="4"/>
  <c r="E10" i="4" s="1"/>
  <c r="G10" i="4" s="1"/>
  <c r="C13" i="4"/>
  <c r="E13" i="4" s="1"/>
  <c r="G13" i="4" s="1"/>
  <c r="C9" i="4"/>
  <c r="E9" i="4" s="1"/>
  <c r="G9" i="4" s="1"/>
  <c r="C15" i="4"/>
  <c r="E15" i="4" s="1"/>
  <c r="G15" i="4" s="1"/>
  <c r="C8" i="4"/>
  <c r="E8" i="4" s="1"/>
  <c r="G8" i="4" s="1"/>
  <c r="E28" i="7"/>
  <c r="D144" i="11"/>
  <c r="K126" i="11"/>
  <c r="D126" i="11"/>
  <c r="J126" i="11"/>
  <c r="G57" i="6"/>
  <c r="M63" i="5"/>
  <c r="B126" i="11"/>
  <c r="E144" i="11"/>
  <c r="M60" i="5"/>
  <c r="C58" i="11" s="1"/>
  <c r="K144" i="11"/>
  <c r="I126" i="11"/>
  <c r="E26" i="7"/>
  <c r="M62" i="5"/>
  <c r="C60" i="11" s="1"/>
  <c r="I144" i="11"/>
  <c r="C126" i="11"/>
  <c r="C144" i="11"/>
  <c r="E24" i="7"/>
  <c r="G126" i="11"/>
  <c r="J144" i="11"/>
  <c r="H126" i="11"/>
  <c r="E22" i="7"/>
  <c r="H144" i="11"/>
  <c r="G144" i="11"/>
  <c r="B144" i="11"/>
  <c r="E57" i="6"/>
  <c r="F126" i="11"/>
  <c r="F144" i="11"/>
  <c r="E126" i="11"/>
  <c r="B56" i="6"/>
  <c r="M56" i="5"/>
  <c r="B143" i="11"/>
  <c r="Q22" i="2" s="1"/>
  <c r="E143" i="11"/>
  <c r="Q25" i="2" s="1"/>
  <c r="C125" i="11"/>
  <c r="O23" i="2" s="1"/>
  <c r="C57" i="6"/>
  <c r="C24" i="7"/>
  <c r="C27" i="7"/>
  <c r="M61" i="5"/>
  <c r="C59" i="11" s="1"/>
  <c r="F56" i="6"/>
  <c r="F143" i="11"/>
  <c r="Q26" i="2" s="1"/>
  <c r="D143" i="11"/>
  <c r="Q24" i="2" s="1"/>
  <c r="C25" i="7"/>
  <c r="G56" i="6"/>
  <c r="C28" i="7"/>
  <c r="D125" i="11"/>
  <c r="O24" i="2" s="1"/>
  <c r="H125" i="11"/>
  <c r="O28" i="2" s="1"/>
  <c r="C23" i="7"/>
  <c r="C6" i="4"/>
  <c r="E27" i="7"/>
  <c r="M57" i="5"/>
  <c r="K143" i="11"/>
  <c r="Q31" i="2" s="1"/>
  <c r="H143" i="11"/>
  <c r="Q28" i="2" s="1"/>
  <c r="G125" i="11"/>
  <c r="O27" i="2" s="1"/>
  <c r="E56" i="6"/>
  <c r="C22" i="7"/>
  <c r="C26" i="7"/>
  <c r="C143" i="11"/>
  <c r="Q23" i="2" s="1"/>
  <c r="B125" i="11"/>
  <c r="O22" i="2" s="1"/>
  <c r="F125" i="11"/>
  <c r="O26" i="2" s="1"/>
  <c r="C56" i="6"/>
  <c r="D56" i="6"/>
  <c r="M58" i="5"/>
  <c r="E23" i="7"/>
  <c r="J143" i="11"/>
  <c r="Q30" i="2" s="1"/>
  <c r="I143" i="11"/>
  <c r="Q29" i="2" s="1"/>
  <c r="D57" i="6"/>
  <c r="M59" i="5"/>
  <c r="C57" i="11" s="1"/>
  <c r="B57" i="6"/>
  <c r="I125" i="11"/>
  <c r="O29" i="2" s="1"/>
  <c r="G143" i="11"/>
  <c r="Q27" i="2" s="1"/>
  <c r="E125" i="11"/>
  <c r="O25" i="2" s="1"/>
  <c r="M64" i="5"/>
  <c r="K125" i="11"/>
  <c r="O31" i="2" s="1"/>
  <c r="E25" i="7"/>
  <c r="J125" i="11"/>
  <c r="O30" i="2" s="1"/>
  <c r="F57" i="6"/>
  <c r="O60" i="5"/>
  <c r="D58" i="11" s="1"/>
  <c r="O61" i="5"/>
  <c r="D59" i="11" s="1"/>
  <c r="O56" i="5"/>
  <c r="O59" i="5"/>
  <c r="D57" i="11" s="1"/>
  <c r="C60" i="10"/>
  <c r="C61" i="10" s="1"/>
  <c r="C59" i="10"/>
  <c r="D84" i="4"/>
  <c r="D87" i="4" s="1"/>
  <c r="B11" i="4" s="1"/>
  <c r="I11" i="4"/>
  <c r="D11" i="4" s="1"/>
  <c r="U12" i="10"/>
  <c r="Q13" i="10"/>
  <c r="M27" i="7" l="1"/>
  <c r="Q287" i="2"/>
  <c r="Q283" i="2"/>
  <c r="M23" i="7"/>
  <c r="C61" i="11"/>
  <c r="O33" i="2"/>
  <c r="B25" i="1"/>
  <c r="I7" i="1"/>
  <c r="E11" i="4"/>
  <c r="G11" i="4" s="1"/>
  <c r="I28" i="7"/>
  <c r="P288" i="2"/>
  <c r="C35" i="7"/>
  <c r="O37" i="2"/>
  <c r="P284" i="2"/>
  <c r="I24" i="7"/>
  <c r="S83" i="8"/>
  <c r="S63" i="8"/>
  <c r="S71" i="8"/>
  <c r="O312" i="2"/>
  <c r="S80" i="8"/>
  <c r="S91" i="8"/>
  <c r="S24" i="8"/>
  <c r="S96" i="8"/>
  <c r="S72" i="8"/>
  <c r="S67" i="8"/>
  <c r="S32" i="8"/>
  <c r="S28" i="8"/>
  <c r="F54" i="5"/>
  <c r="S95" i="8"/>
  <c r="S87" i="8"/>
  <c r="K10" i="6"/>
  <c r="L10" i="6" s="1"/>
  <c r="S64" i="8"/>
  <c r="S75" i="8"/>
  <c r="S31" i="8"/>
  <c r="S23" i="8"/>
  <c r="S79" i="8"/>
  <c r="S59" i="8"/>
  <c r="S52" i="8"/>
  <c r="S47" i="8"/>
  <c r="S44" i="8"/>
  <c r="S39" i="8"/>
  <c r="S81" i="8"/>
  <c r="S22" i="8"/>
  <c r="S66" i="8"/>
  <c r="S97" i="8"/>
  <c r="S27" i="8"/>
  <c r="S21" i="8"/>
  <c r="S42" i="8"/>
  <c r="S41" i="8"/>
  <c r="S73" i="8"/>
  <c r="S68" i="8"/>
  <c r="S26" i="8"/>
  <c r="S76" i="8"/>
  <c r="S50" i="8"/>
  <c r="S45" i="8"/>
  <c r="S90" i="8"/>
  <c r="S89" i="8"/>
  <c r="S54" i="8"/>
  <c r="S46" i="8"/>
  <c r="S92" i="8"/>
  <c r="S58" i="8"/>
  <c r="S53" i="8"/>
  <c r="S33" i="8"/>
  <c r="S93" i="8"/>
  <c r="S57" i="8"/>
  <c r="S88" i="8"/>
  <c r="S78" i="8"/>
  <c r="S60" i="8"/>
  <c r="S37" i="8"/>
  <c r="S29" i="8"/>
  <c r="S40" i="8"/>
  <c r="S56" i="8"/>
  <c r="S49" i="8"/>
  <c r="S61" i="8"/>
  <c r="S62" i="8"/>
  <c r="S43" i="8"/>
  <c r="S77" i="8"/>
  <c r="S69" i="8"/>
  <c r="S30" i="8"/>
  <c r="S65" i="8"/>
  <c r="S55" i="8"/>
  <c r="S82" i="8"/>
  <c r="S84" i="8"/>
  <c r="S94" i="8"/>
  <c r="S36" i="8"/>
  <c r="S34" i="8"/>
  <c r="S85" i="8"/>
  <c r="S74" i="8"/>
  <c r="S70" i="8"/>
  <c r="S35" i="8"/>
  <c r="S51" i="8"/>
  <c r="S48" i="8"/>
  <c r="S25" i="8"/>
  <c r="S38" i="8"/>
  <c r="S86" i="8"/>
  <c r="Y88" i="8"/>
  <c r="Y96" i="8"/>
  <c r="Y69" i="8"/>
  <c r="L54" i="5"/>
  <c r="Y84" i="8"/>
  <c r="Y77" i="8"/>
  <c r="K16" i="6"/>
  <c r="L16" i="6" s="1"/>
  <c r="O318" i="2"/>
  <c r="Y76" i="8"/>
  <c r="Y72" i="8"/>
  <c r="Y29" i="8"/>
  <c r="Y25" i="8"/>
  <c r="Y21" i="8"/>
  <c r="Y60" i="8"/>
  <c r="Y37" i="8"/>
  <c r="Y33" i="8"/>
  <c r="Y68" i="8"/>
  <c r="Y53" i="8"/>
  <c r="Y50" i="8"/>
  <c r="Y42" i="8"/>
  <c r="Y56" i="8"/>
  <c r="Y48" i="8"/>
  <c r="Y45" i="8"/>
  <c r="Y40" i="8"/>
  <c r="Y92" i="8"/>
  <c r="Y64" i="8"/>
  <c r="Y34" i="8"/>
  <c r="Y97" i="8"/>
  <c r="Y85" i="8"/>
  <c r="Y32" i="8"/>
  <c r="Y38" i="8"/>
  <c r="Y80" i="8"/>
  <c r="Y36" i="8"/>
  <c r="Y28" i="8"/>
  <c r="Y49" i="8"/>
  <c r="Y46" i="8"/>
  <c r="Y41" i="8"/>
  <c r="Y52" i="8"/>
  <c r="Y44" i="8"/>
  <c r="Y24" i="8"/>
  <c r="Y35" i="8"/>
  <c r="Y66" i="8"/>
  <c r="Y43" i="8"/>
  <c r="Y82" i="8"/>
  <c r="Y23" i="8"/>
  <c r="Y70" i="8"/>
  <c r="Y93" i="8"/>
  <c r="Y87" i="8"/>
  <c r="Y59" i="8"/>
  <c r="Y75" i="8"/>
  <c r="Y58" i="8"/>
  <c r="Y89" i="8"/>
  <c r="Y26" i="8"/>
  <c r="Y27" i="8"/>
  <c r="Y74" i="8"/>
  <c r="Y47" i="8"/>
  <c r="Y90" i="8"/>
  <c r="Y57" i="8"/>
  <c r="Y30" i="8"/>
  <c r="Y71" i="8"/>
  <c r="Y91" i="8"/>
  <c r="Y31" i="8"/>
  <c r="Y61" i="8"/>
  <c r="Y95" i="8"/>
  <c r="Y51" i="8"/>
  <c r="Y67" i="8"/>
  <c r="Y55" i="8"/>
  <c r="Y22" i="8"/>
  <c r="Y94" i="8"/>
  <c r="Y62" i="8"/>
  <c r="Y78" i="8"/>
  <c r="Y63" i="8"/>
  <c r="Y83" i="8"/>
  <c r="Y39" i="8"/>
  <c r="Y86" i="8"/>
  <c r="Y54" i="8"/>
  <c r="Y73" i="8"/>
  <c r="Y79" i="8"/>
  <c r="Y65" i="8"/>
  <c r="Y81" i="8"/>
  <c r="M25" i="7"/>
  <c r="Q285" i="2"/>
  <c r="O34" i="2"/>
  <c r="C25" i="1"/>
  <c r="P285" i="2"/>
  <c r="O38" i="2"/>
  <c r="I25" i="7"/>
  <c r="M24" i="7"/>
  <c r="Q284" i="2"/>
  <c r="M28" i="7"/>
  <c r="Q288" i="2"/>
  <c r="I26" i="7"/>
  <c r="P286" i="2"/>
  <c r="O39" i="2"/>
  <c r="Q96" i="8"/>
  <c r="Q92" i="8"/>
  <c r="Q72" i="8"/>
  <c r="Q64" i="8"/>
  <c r="Q80" i="8"/>
  <c r="Q58" i="8"/>
  <c r="D54" i="5"/>
  <c r="Q85" i="8"/>
  <c r="Q68" i="8"/>
  <c r="Q65" i="8"/>
  <c r="Q76" i="8"/>
  <c r="Q60" i="8"/>
  <c r="K8" i="6"/>
  <c r="L8" i="6" s="1"/>
  <c r="Q77" i="8"/>
  <c r="Q61" i="8"/>
  <c r="Q52" i="8"/>
  <c r="Q49" i="8"/>
  <c r="Q44" i="8"/>
  <c r="Q41" i="8"/>
  <c r="Q57" i="8"/>
  <c r="O310" i="2"/>
  <c r="Q88" i="8"/>
  <c r="Q56" i="8"/>
  <c r="Q54" i="8"/>
  <c r="Q53" i="8"/>
  <c r="Q48" i="8"/>
  <c r="Q45" i="8"/>
  <c r="Q40" i="8"/>
  <c r="Q37" i="8"/>
  <c r="Q29" i="8"/>
  <c r="Q25" i="8"/>
  <c r="Q21" i="8"/>
  <c r="Q84" i="8"/>
  <c r="Q33" i="8"/>
  <c r="Q50" i="8"/>
  <c r="Q42" i="8"/>
  <c r="Q59" i="8"/>
  <c r="Q70" i="8"/>
  <c r="Q55" i="8"/>
  <c r="Q38" i="8"/>
  <c r="Q73" i="8"/>
  <c r="Q39" i="8"/>
  <c r="Q87" i="8"/>
  <c r="Q95" i="8"/>
  <c r="Q75" i="8"/>
  <c r="Q46" i="8"/>
  <c r="Q97" i="8"/>
  <c r="Q26" i="8"/>
  <c r="Q47" i="8"/>
  <c r="Q51" i="8"/>
  <c r="Q74" i="8"/>
  <c r="Q67" i="8"/>
  <c r="Q69" i="8"/>
  <c r="Q90" i="8"/>
  <c r="Q30" i="8"/>
  <c r="Q32" i="8"/>
  <c r="Q81" i="8"/>
  <c r="Q62" i="8"/>
  <c r="Q27" i="8"/>
  <c r="Q82" i="8"/>
  <c r="Q79" i="8"/>
  <c r="Q63" i="8"/>
  <c r="Q23" i="8"/>
  <c r="Q93" i="8"/>
  <c r="Q78" i="8"/>
  <c r="Q91" i="8"/>
  <c r="Q28" i="8"/>
  <c r="Q24" i="8"/>
  <c r="Q31" i="8"/>
  <c r="Q66" i="8"/>
  <c r="Q34" i="8"/>
  <c r="Q36" i="8"/>
  <c r="Q89" i="8"/>
  <c r="Q22" i="8"/>
  <c r="Q35" i="8"/>
  <c r="Q83" i="8"/>
  <c r="Q86" i="8"/>
  <c r="Q43" i="8"/>
  <c r="Q94" i="8"/>
  <c r="Q71" i="8"/>
  <c r="D56" i="11"/>
  <c r="D26" i="1"/>
  <c r="E26" i="1" s="1"/>
  <c r="B33" i="6"/>
  <c r="J10" i="1"/>
  <c r="K10" i="1" s="1"/>
  <c r="D13" i="8"/>
  <c r="P283" i="2"/>
  <c r="O36" i="2"/>
  <c r="I23" i="7"/>
  <c r="X84" i="8"/>
  <c r="X77" i="8"/>
  <c r="X69" i="8"/>
  <c r="X64" i="8"/>
  <c r="X97" i="8"/>
  <c r="X92" i="8"/>
  <c r="X88" i="8"/>
  <c r="X81" i="8"/>
  <c r="X76" i="8"/>
  <c r="X60" i="8"/>
  <c r="X53" i="8"/>
  <c r="X78" i="8"/>
  <c r="X62" i="8"/>
  <c r="X96" i="8"/>
  <c r="X61" i="8"/>
  <c r="X57" i="8"/>
  <c r="X54" i="8"/>
  <c r="X94" i="8"/>
  <c r="X46" i="8"/>
  <c r="X72" i="8"/>
  <c r="X51" i="8"/>
  <c r="X43" i="8"/>
  <c r="X29" i="8"/>
  <c r="X25" i="8"/>
  <c r="X21" i="8"/>
  <c r="K15" i="6"/>
  <c r="L15" i="6" s="1"/>
  <c r="X45" i="8"/>
  <c r="X68" i="8"/>
  <c r="X58" i="8"/>
  <c r="X50" i="8"/>
  <c r="X37" i="8"/>
  <c r="X35" i="8"/>
  <c r="X33" i="8"/>
  <c r="X23" i="8"/>
  <c r="X73" i="8"/>
  <c r="X27" i="8"/>
  <c r="X89" i="8"/>
  <c r="X31" i="8"/>
  <c r="O317" i="2"/>
  <c r="X74" i="8"/>
  <c r="X42" i="8"/>
  <c r="X47" i="8"/>
  <c r="X39" i="8"/>
  <c r="X93" i="8"/>
  <c r="X85" i="8"/>
  <c r="X80" i="8"/>
  <c r="X66" i="8"/>
  <c r="X38" i="8"/>
  <c r="X36" i="8"/>
  <c r="X65" i="8"/>
  <c r="X49" i="8"/>
  <c r="X41" i="8"/>
  <c r="X34" i="8"/>
  <c r="K54" i="5"/>
  <c r="X86" i="8"/>
  <c r="X22" i="8"/>
  <c r="X63" i="8"/>
  <c r="X28" i="8"/>
  <c r="X71" i="8"/>
  <c r="X70" i="8"/>
  <c r="X87" i="8"/>
  <c r="X59" i="8"/>
  <c r="X90" i="8"/>
  <c r="X40" i="8"/>
  <c r="X56" i="8"/>
  <c r="X79" i="8"/>
  <c r="X26" i="8"/>
  <c r="X30" i="8"/>
  <c r="X91" i="8"/>
  <c r="X55" i="8"/>
  <c r="X75" i="8"/>
  <c r="X32" i="8"/>
  <c r="X44" i="8"/>
  <c r="X67" i="8"/>
  <c r="X24" i="8"/>
  <c r="X48" i="8"/>
  <c r="X83" i="8"/>
  <c r="X82" i="8"/>
  <c r="X52" i="8"/>
  <c r="X95" i="8"/>
  <c r="W97" i="8"/>
  <c r="W73" i="8"/>
  <c r="W81" i="8"/>
  <c r="W70" i="8"/>
  <c r="W78" i="8"/>
  <c r="W69" i="8"/>
  <c r="W62" i="8"/>
  <c r="W77" i="8"/>
  <c r="W61" i="8"/>
  <c r="W57" i="8"/>
  <c r="J54" i="5"/>
  <c r="O316" i="2"/>
  <c r="W85" i="8"/>
  <c r="W65" i="8"/>
  <c r="W38" i="8"/>
  <c r="K14" i="6"/>
  <c r="L14" i="6" s="1"/>
  <c r="W55" i="8"/>
  <c r="W37" i="8"/>
  <c r="W35" i="8"/>
  <c r="W89" i="8"/>
  <c r="W74" i="8"/>
  <c r="W22" i="8"/>
  <c r="W93" i="8"/>
  <c r="W26" i="8"/>
  <c r="W34" i="8"/>
  <c r="W30" i="8"/>
  <c r="W49" i="8"/>
  <c r="W39" i="8"/>
  <c r="W90" i="8"/>
  <c r="W23" i="8"/>
  <c r="W51" i="8"/>
  <c r="W92" i="8"/>
  <c r="W87" i="8"/>
  <c r="W44" i="8"/>
  <c r="W67" i="8"/>
  <c r="W46" i="8"/>
  <c r="W29" i="8"/>
  <c r="W24" i="8"/>
  <c r="W82" i="8"/>
  <c r="W50" i="8"/>
  <c r="W45" i="8"/>
  <c r="W54" i="8"/>
  <c r="W36" i="8"/>
  <c r="W79" i="8"/>
  <c r="W27" i="8"/>
  <c r="W48" i="8"/>
  <c r="W88" i="8"/>
  <c r="W64" i="8"/>
  <c r="W31" i="8"/>
  <c r="W72" i="8"/>
  <c r="W94" i="8"/>
  <c r="W53" i="8"/>
  <c r="W83" i="8"/>
  <c r="W52" i="8"/>
  <c r="W75" i="8"/>
  <c r="W91" i="8"/>
  <c r="W33" i="8"/>
  <c r="W28" i="8"/>
  <c r="W41" i="8"/>
  <c r="W60" i="8"/>
  <c r="W76" i="8"/>
  <c r="W43" i="8"/>
  <c r="W68" i="8"/>
  <c r="W66" i="8"/>
  <c r="W86" i="8"/>
  <c r="W63" i="8"/>
  <c r="W47" i="8"/>
  <c r="W80" i="8"/>
  <c r="W40" i="8"/>
  <c r="W96" i="8"/>
  <c r="W84" i="8"/>
  <c r="W95" i="8"/>
  <c r="W25" i="8"/>
  <c r="W21" i="8"/>
  <c r="W32" i="8"/>
  <c r="W71" i="8"/>
  <c r="W42" i="8"/>
  <c r="W58" i="8"/>
  <c r="W59" i="8"/>
  <c r="W56" i="8"/>
  <c r="E6" i="4"/>
  <c r="G6" i="4" s="1"/>
  <c r="E7" i="4"/>
  <c r="G7" i="4" s="1"/>
  <c r="B35" i="7"/>
  <c r="D35" i="7" s="1"/>
  <c r="F35" i="7" s="1"/>
  <c r="P282" i="2"/>
  <c r="I22" i="7"/>
  <c r="Q14" i="10"/>
  <c r="U13" i="10"/>
  <c r="C56" i="11"/>
  <c r="D25" i="1"/>
  <c r="J7" i="1"/>
  <c r="O35" i="2"/>
  <c r="M22" i="7"/>
  <c r="Q282" i="2"/>
  <c r="R79" i="8"/>
  <c r="R71" i="8"/>
  <c r="R95" i="8"/>
  <c r="R87" i="8"/>
  <c r="R80" i="8"/>
  <c r="E54" i="5"/>
  <c r="R97" i="8"/>
  <c r="R68" i="8"/>
  <c r="R55" i="8"/>
  <c r="K9" i="6"/>
  <c r="L9" i="6" s="1"/>
  <c r="O311" i="2"/>
  <c r="R83" i="8"/>
  <c r="R76" i="8"/>
  <c r="R60" i="8"/>
  <c r="R92" i="8"/>
  <c r="R88" i="8"/>
  <c r="R56" i="8"/>
  <c r="R64" i="8"/>
  <c r="R52" i="8"/>
  <c r="R44" i="8"/>
  <c r="R36" i="8"/>
  <c r="R96" i="8"/>
  <c r="R72" i="8"/>
  <c r="R32" i="8"/>
  <c r="R40" i="8"/>
  <c r="R91" i="8"/>
  <c r="R24" i="8"/>
  <c r="R67" i="8"/>
  <c r="R28" i="8"/>
  <c r="R48" i="8"/>
  <c r="R84" i="8"/>
  <c r="R89" i="8"/>
  <c r="R63" i="8"/>
  <c r="R77" i="8"/>
  <c r="R75" i="8"/>
  <c r="R47" i="8"/>
  <c r="R42" i="8"/>
  <c r="R37" i="8"/>
  <c r="R41" i="8"/>
  <c r="R25" i="8"/>
  <c r="R90" i="8"/>
  <c r="R69" i="8"/>
  <c r="R23" i="8"/>
  <c r="R51" i="8"/>
  <c r="R57" i="8"/>
  <c r="R43" i="8"/>
  <c r="R53" i="8"/>
  <c r="R94" i="8"/>
  <c r="R50" i="8"/>
  <c r="R29" i="8"/>
  <c r="R49" i="8"/>
  <c r="R46" i="8"/>
  <c r="R26" i="8"/>
  <c r="R78" i="8"/>
  <c r="R74" i="8"/>
  <c r="R66" i="8"/>
  <c r="R35" i="8"/>
  <c r="R27" i="8"/>
  <c r="R59" i="8"/>
  <c r="R31" i="8"/>
  <c r="R81" i="8"/>
  <c r="R39" i="8"/>
  <c r="R61" i="8"/>
  <c r="R21" i="8"/>
  <c r="R85" i="8"/>
  <c r="R34" i="8"/>
  <c r="R62" i="8"/>
  <c r="R54" i="8"/>
  <c r="R30" i="8"/>
  <c r="R22" i="8"/>
  <c r="R33" i="8"/>
  <c r="R45" i="8"/>
  <c r="R73" i="8"/>
  <c r="R58" i="8"/>
  <c r="R82" i="8"/>
  <c r="R93" i="8"/>
  <c r="R70" i="8"/>
  <c r="R38" i="8"/>
  <c r="R65" i="8"/>
  <c r="R86" i="8"/>
  <c r="U78" i="8"/>
  <c r="U74" i="8"/>
  <c r="U70" i="8"/>
  <c r="U66" i="8"/>
  <c r="U82" i="8"/>
  <c r="U71" i="8"/>
  <c r="U56" i="8"/>
  <c r="U36" i="8"/>
  <c r="U35" i="8"/>
  <c r="U79" i="8"/>
  <c r="U63" i="8"/>
  <c r="U50" i="8"/>
  <c r="U46" i="8"/>
  <c r="U42" i="8"/>
  <c r="U62" i="8"/>
  <c r="K12" i="6"/>
  <c r="L12" i="6" s="1"/>
  <c r="H54" i="5"/>
  <c r="O314" i="2"/>
  <c r="U95" i="8"/>
  <c r="U94" i="8"/>
  <c r="U54" i="8"/>
  <c r="U87" i="8"/>
  <c r="U86" i="8"/>
  <c r="U75" i="8"/>
  <c r="U23" i="8"/>
  <c r="U90" i="8"/>
  <c r="U59" i="8"/>
  <c r="U55" i="8"/>
  <c r="U31" i="8"/>
  <c r="U27" i="8"/>
  <c r="U58" i="8"/>
  <c r="U39" i="8"/>
  <c r="U77" i="8"/>
  <c r="U40" i="8"/>
  <c r="U53" i="8"/>
  <c r="U85" i="8"/>
  <c r="U38" i="8"/>
  <c r="U73" i="8"/>
  <c r="U28" i="8"/>
  <c r="U37" i="8"/>
  <c r="U91" i="8"/>
  <c r="U44" i="8"/>
  <c r="U84" i="8"/>
  <c r="U43" i="8"/>
  <c r="U24" i="8"/>
  <c r="U96" i="8"/>
  <c r="U88" i="8"/>
  <c r="U60" i="8"/>
  <c r="U76" i="8"/>
  <c r="U61" i="8"/>
  <c r="U52" i="8"/>
  <c r="U67" i="8"/>
  <c r="U47" i="8"/>
  <c r="U29" i="8"/>
  <c r="U48" i="8"/>
  <c r="U21" i="8"/>
  <c r="U41" i="8"/>
  <c r="U72" i="8"/>
  <c r="U93" i="8"/>
  <c r="U33" i="8"/>
  <c r="U30" i="8"/>
  <c r="U25" i="8"/>
  <c r="U32" i="8"/>
  <c r="U51" i="8"/>
  <c r="U81" i="8"/>
  <c r="U65" i="8"/>
  <c r="U92" i="8"/>
  <c r="U68" i="8"/>
  <c r="U22" i="8"/>
  <c r="U49" i="8"/>
  <c r="U57" i="8"/>
  <c r="U69" i="8"/>
  <c r="U34" i="8"/>
  <c r="U26" i="8"/>
  <c r="U64" i="8"/>
  <c r="U80" i="8"/>
  <c r="U45" i="8"/>
  <c r="U83" i="8"/>
  <c r="U89" i="8"/>
  <c r="U97" i="8"/>
  <c r="D61" i="11"/>
  <c r="B13" i="8"/>
  <c r="B26" i="1"/>
  <c r="P287" i="2"/>
  <c r="I27" i="7"/>
  <c r="M26" i="7"/>
  <c r="Q286" i="2"/>
  <c r="V65" i="8"/>
  <c r="K13" i="6"/>
  <c r="L13" i="6" s="1"/>
  <c r="O315" i="2"/>
  <c r="V66" i="8"/>
  <c r="I54" i="5"/>
  <c r="V22" i="8"/>
  <c r="V28" i="8"/>
  <c r="V21" i="8"/>
  <c r="V64" i="8"/>
  <c r="V29" i="8"/>
  <c r="V23" i="8"/>
  <c r="V92" i="8"/>
  <c r="V88" i="8"/>
  <c r="V96" i="8"/>
  <c r="V59" i="8"/>
  <c r="V60" i="8"/>
  <c r="V71" i="8"/>
  <c r="V55" i="8"/>
  <c r="V72" i="8"/>
  <c r="V63" i="8"/>
  <c r="V52" i="8"/>
  <c r="V53" i="8"/>
  <c r="V25" i="8"/>
  <c r="V85" i="8"/>
  <c r="V42" i="8"/>
  <c r="V40" i="8"/>
  <c r="V37" i="8"/>
  <c r="V41" i="8"/>
  <c r="V90" i="8"/>
  <c r="V74" i="8"/>
  <c r="V94" i="8"/>
  <c r="V54" i="8"/>
  <c r="V97" i="8"/>
  <c r="V70" i="8"/>
  <c r="V87" i="8"/>
  <c r="V32" i="8"/>
  <c r="V84" i="8"/>
  <c r="V35" i="8"/>
  <c r="V50" i="8"/>
  <c r="V69" i="8"/>
  <c r="V36" i="8"/>
  <c r="V73" i="8"/>
  <c r="V83" i="8"/>
  <c r="V91" i="8"/>
  <c r="V89" i="8"/>
  <c r="V24" i="8"/>
  <c r="V82" i="8"/>
  <c r="V51" i="8"/>
  <c r="V34" i="8"/>
  <c r="V38" i="8"/>
  <c r="V27" i="8"/>
  <c r="V77" i="8"/>
  <c r="V56" i="8"/>
  <c r="V47" i="8"/>
  <c r="V75" i="8"/>
  <c r="V61" i="8"/>
  <c r="V57" i="8"/>
  <c r="V31" i="8"/>
  <c r="V30" i="8"/>
  <c r="V45" i="8"/>
  <c r="V68" i="8"/>
  <c r="V78" i="8"/>
  <c r="V46" i="8"/>
  <c r="V39" i="8"/>
  <c r="V76" i="8"/>
  <c r="V62" i="8"/>
  <c r="V79" i="8"/>
  <c r="V81" i="8"/>
  <c r="V44" i="8"/>
  <c r="V49" i="8"/>
  <c r="V80" i="8"/>
  <c r="V33" i="8"/>
  <c r="V95" i="8"/>
  <c r="V48" i="8"/>
  <c r="V43" i="8"/>
  <c r="V67" i="8"/>
  <c r="V93" i="8"/>
  <c r="V58" i="8"/>
  <c r="V26" i="8"/>
  <c r="V86" i="8"/>
  <c r="B15" i="13" l="1"/>
  <c r="D15" i="13" s="1"/>
  <c r="E33" i="6"/>
  <c r="E25" i="1"/>
  <c r="P92" i="8"/>
  <c r="P89" i="8"/>
  <c r="P94" i="8"/>
  <c r="P93" i="8"/>
  <c r="P74" i="8"/>
  <c r="P72" i="8"/>
  <c r="P64" i="8"/>
  <c r="P80" i="8"/>
  <c r="P97" i="8"/>
  <c r="P85" i="8"/>
  <c r="P68" i="8"/>
  <c r="P65" i="8"/>
  <c r="P47" i="8"/>
  <c r="O309" i="2"/>
  <c r="P81" i="8"/>
  <c r="P77" i="8"/>
  <c r="P76" i="8"/>
  <c r="P39" i="8"/>
  <c r="P46" i="8"/>
  <c r="P36" i="8"/>
  <c r="C54" i="5"/>
  <c r="P51" i="8"/>
  <c r="P61" i="8"/>
  <c r="P60" i="8"/>
  <c r="P52" i="8"/>
  <c r="P49" i="8"/>
  <c r="P44" i="8"/>
  <c r="P41" i="8"/>
  <c r="P73" i="8"/>
  <c r="P69" i="8"/>
  <c r="P43" i="8"/>
  <c r="K7" i="6"/>
  <c r="L7" i="6" s="1"/>
  <c r="P96" i="8"/>
  <c r="P57" i="8"/>
  <c r="P88" i="8"/>
  <c r="P90" i="8"/>
  <c r="P84" i="8"/>
  <c r="P53" i="8"/>
  <c r="P50" i="8"/>
  <c r="P45" i="8"/>
  <c r="P42" i="8"/>
  <c r="P35" i="8"/>
  <c r="P21" i="8"/>
  <c r="P48" i="8"/>
  <c r="P40" i="8"/>
  <c r="P25" i="8"/>
  <c r="P33" i="8"/>
  <c r="P29" i="8"/>
  <c r="P23" i="8"/>
  <c r="P37" i="8"/>
  <c r="P70" i="8"/>
  <c r="P38" i="8"/>
  <c r="P27" i="8"/>
  <c r="P82" i="8"/>
  <c r="P91" i="8"/>
  <c r="P86" i="8"/>
  <c r="P87" i="8"/>
  <c r="P59" i="8"/>
  <c r="P30" i="8"/>
  <c r="P75" i="8"/>
  <c r="P95" i="8"/>
  <c r="P79" i="8"/>
  <c r="P26" i="8"/>
  <c r="P58" i="8"/>
  <c r="P32" i="8"/>
  <c r="P63" i="8"/>
  <c r="P71" i="8"/>
  <c r="P28" i="8"/>
  <c r="P62" i="8"/>
  <c r="P55" i="8"/>
  <c r="P66" i="8"/>
  <c r="P67" i="8"/>
  <c r="P22" i="8"/>
  <c r="P24" i="8"/>
  <c r="P83" i="8"/>
  <c r="P34" i="8"/>
  <c r="P78" i="8"/>
  <c r="P54" i="8"/>
  <c r="P31" i="8"/>
  <c r="P56" i="8"/>
  <c r="E142" i="11"/>
  <c r="R25" i="2" s="1"/>
  <c r="D142" i="11"/>
  <c r="R24" i="2" s="1"/>
  <c r="H142" i="11"/>
  <c r="R28" i="2" s="1"/>
  <c r="F124" i="11"/>
  <c r="P26" i="2" s="1"/>
  <c r="F142" i="11"/>
  <c r="R26" i="2" s="1"/>
  <c r="C124" i="11"/>
  <c r="P23" i="2" s="1"/>
  <c r="C142" i="11"/>
  <c r="R23" i="2" s="1"/>
  <c r="K124" i="11"/>
  <c r="P31" i="2" s="1"/>
  <c r="B124" i="11"/>
  <c r="P22" i="2" s="1"/>
  <c r="B142" i="11"/>
  <c r="R22" i="2" s="1"/>
  <c r="J124" i="11"/>
  <c r="P30" i="2" s="1"/>
  <c r="I124" i="11"/>
  <c r="P29" i="2" s="1"/>
  <c r="K142" i="11"/>
  <c r="R31" i="2" s="1"/>
  <c r="H124" i="11"/>
  <c r="P28" i="2" s="1"/>
  <c r="J142" i="11"/>
  <c r="R30" i="2" s="1"/>
  <c r="G124" i="11"/>
  <c r="P27" i="2" s="1"/>
  <c r="I142" i="11"/>
  <c r="R29" i="2" s="1"/>
  <c r="E124" i="11"/>
  <c r="P25" i="2" s="1"/>
  <c r="G142" i="11"/>
  <c r="R27" i="2" s="1"/>
  <c r="D124" i="11"/>
  <c r="P24" i="2" s="1"/>
  <c r="O85" i="8"/>
  <c r="O77" i="8"/>
  <c r="O61" i="8"/>
  <c r="O57" i="8"/>
  <c r="D55" i="6"/>
  <c r="O89" i="8"/>
  <c r="O66" i="8"/>
  <c r="O54" i="8"/>
  <c r="C55" i="6"/>
  <c r="O93" i="8"/>
  <c r="O86" i="8"/>
  <c r="O58" i="8"/>
  <c r="B54" i="5"/>
  <c r="G18" i="4"/>
  <c r="G20" i="4" s="1"/>
  <c r="O308" i="2"/>
  <c r="O90" i="8"/>
  <c r="O59" i="8"/>
  <c r="O50" i="8"/>
  <c r="O42" i="8"/>
  <c r="E55" i="6"/>
  <c r="O65" i="8"/>
  <c r="O47" i="8"/>
  <c r="O49" i="8"/>
  <c r="O81" i="8"/>
  <c r="O39" i="8"/>
  <c r="O22" i="8"/>
  <c r="O41" i="8"/>
  <c r="O30" i="8"/>
  <c r="O34" i="8"/>
  <c r="O26" i="8"/>
  <c r="O46" i="8"/>
  <c r="O38" i="8"/>
  <c r="K6" i="6"/>
  <c r="O73" i="8"/>
  <c r="O69" i="8"/>
  <c r="O51" i="8"/>
  <c r="O43" i="8"/>
  <c r="B23" i="7"/>
  <c r="B22" i="7"/>
  <c r="O97" i="8"/>
  <c r="O37" i="8"/>
  <c r="O25" i="8"/>
  <c r="O53" i="8"/>
  <c r="O45" i="8"/>
  <c r="O35" i="8"/>
  <c r="O21" i="8"/>
  <c r="B24" i="7"/>
  <c r="G55" i="6"/>
  <c r="F55" i="6"/>
  <c r="O70" i="8"/>
  <c r="B27" i="7"/>
  <c r="O29" i="8"/>
  <c r="B26" i="7"/>
  <c r="B25" i="7"/>
  <c r="O28" i="8"/>
  <c r="O24" i="8"/>
  <c r="O60" i="8"/>
  <c r="O72" i="8"/>
  <c r="O87" i="8"/>
  <c r="O36" i="8"/>
  <c r="O91" i="8"/>
  <c r="O23" i="8"/>
  <c r="O48" i="8"/>
  <c r="O88" i="8"/>
  <c r="O64" i="8"/>
  <c r="O52" i="8"/>
  <c r="O75" i="8"/>
  <c r="O32" i="8"/>
  <c r="O27" i="8"/>
  <c r="O40" i="8"/>
  <c r="O55" i="8"/>
  <c r="O74" i="8"/>
  <c r="O33" i="8"/>
  <c r="O92" i="8"/>
  <c r="O31" i="8"/>
  <c r="O76" i="8"/>
  <c r="O94" i="8"/>
  <c r="O82" i="8"/>
  <c r="O62" i="8"/>
  <c r="O78" i="8"/>
  <c r="O71" i="8"/>
  <c r="O63" i="8"/>
  <c r="O83" i="8"/>
  <c r="O96" i="8"/>
  <c r="O84" i="8"/>
  <c r="O79" i="8"/>
  <c r="O80" i="8"/>
  <c r="O95" i="8"/>
  <c r="O56" i="8"/>
  <c r="O68" i="8"/>
  <c r="B28" i="7"/>
  <c r="O44" i="8"/>
  <c r="O67" i="8"/>
  <c r="B55" i="6"/>
  <c r="Q15" i="10"/>
  <c r="U14" i="10"/>
  <c r="K7" i="1"/>
  <c r="K51" i="1"/>
  <c r="T74" i="8"/>
  <c r="T55" i="8"/>
  <c r="T56" i="8"/>
  <c r="T51" i="8"/>
  <c r="T47" i="8"/>
  <c r="T43" i="8"/>
  <c r="T34" i="8"/>
  <c r="T67" i="8"/>
  <c r="G54" i="5"/>
  <c r="T54" i="8"/>
  <c r="T35" i="8"/>
  <c r="O313" i="2"/>
  <c r="T75" i="8"/>
  <c r="K11" i="6"/>
  <c r="L11" i="6" s="1"/>
  <c r="T48" i="8"/>
  <c r="T68" i="8"/>
  <c r="T44" i="8"/>
  <c r="T42" i="8"/>
  <c r="T69" i="8"/>
  <c r="T46" i="8"/>
  <c r="T25" i="8"/>
  <c r="T52" i="8"/>
  <c r="T50" i="8"/>
  <c r="T45" i="8"/>
  <c r="T41" i="8"/>
  <c r="T53" i="8"/>
  <c r="T24" i="8"/>
  <c r="T40" i="8"/>
  <c r="T49" i="8"/>
  <c r="T66" i="8"/>
  <c r="T97" i="8"/>
  <c r="T88" i="8"/>
  <c r="T76" i="8"/>
  <c r="T38" i="8"/>
  <c r="T96" i="8"/>
  <c r="T59" i="8"/>
  <c r="T23" i="8"/>
  <c r="T77" i="8"/>
  <c r="T87" i="8"/>
  <c r="T94" i="8"/>
  <c r="T63" i="8"/>
  <c r="T95" i="8"/>
  <c r="T37" i="8"/>
  <c r="T36" i="8"/>
  <c r="T91" i="8"/>
  <c r="T82" i="8"/>
  <c r="T79" i="8"/>
  <c r="T22" i="8"/>
  <c r="T28" i="8"/>
  <c r="T80" i="8"/>
  <c r="T60" i="8"/>
  <c r="T26" i="8"/>
  <c r="T33" i="8"/>
  <c r="T90" i="8"/>
  <c r="T86" i="8"/>
  <c r="T83" i="8"/>
  <c r="T57" i="8"/>
  <c r="T27" i="8"/>
  <c r="T32" i="8"/>
  <c r="T81" i="8"/>
  <c r="T71" i="8"/>
  <c r="T64" i="8"/>
  <c r="T62" i="8"/>
  <c r="T84" i="8"/>
  <c r="T85" i="8"/>
  <c r="T78" i="8"/>
  <c r="T31" i="8"/>
  <c r="T39" i="8"/>
  <c r="T29" i="8"/>
  <c r="T65" i="8"/>
  <c r="T92" i="8"/>
  <c r="T93" i="8"/>
  <c r="T70" i="8"/>
  <c r="T21" i="8"/>
  <c r="T30" i="8"/>
  <c r="T61" i="8"/>
  <c r="T58" i="8"/>
  <c r="T89" i="8"/>
  <c r="T72" i="8"/>
  <c r="T73" i="8"/>
  <c r="AA34" i="8" l="1"/>
  <c r="AB34" i="8"/>
  <c r="Z34" i="8"/>
  <c r="B60" i="10"/>
  <c r="B59" i="10"/>
  <c r="N58" i="5"/>
  <c r="N59" i="5"/>
  <c r="B57" i="11" s="1"/>
  <c r="N57" i="5"/>
  <c r="N56" i="5"/>
  <c r="N61" i="5"/>
  <c r="B59" i="11" s="1"/>
  <c r="N60" i="5"/>
  <c r="B58" i="11" s="1"/>
  <c r="N64" i="5"/>
  <c r="N62" i="5"/>
  <c r="B60" i="11" s="1"/>
  <c r="N63" i="5"/>
  <c r="AB76" i="8"/>
  <c r="Z76" i="8"/>
  <c r="AA76" i="8"/>
  <c r="AA29" i="8"/>
  <c r="AB29" i="8"/>
  <c r="Z29" i="8"/>
  <c r="AB30" i="8"/>
  <c r="AA30" i="8"/>
  <c r="Z30" i="8"/>
  <c r="L6" i="6"/>
  <c r="L17" i="6" s="1"/>
  <c r="B32" i="6"/>
  <c r="B30" i="13" s="1"/>
  <c r="D30" i="13" s="1"/>
  <c r="Z39" i="8"/>
  <c r="AB39" i="8"/>
  <c r="AA39" i="8"/>
  <c r="AB59" i="8"/>
  <c r="AA59" i="8"/>
  <c r="Z59" i="8"/>
  <c r="C59" i="6"/>
  <c r="O179" i="2"/>
  <c r="C58" i="6"/>
  <c r="AB85" i="8"/>
  <c r="AA85" i="8"/>
  <c r="Z85" i="8"/>
  <c r="Z79" i="8"/>
  <c r="AB79" i="8"/>
  <c r="AA79" i="8"/>
  <c r="AA40" i="8"/>
  <c r="Z40" i="8"/>
  <c r="AB40" i="8"/>
  <c r="AA21" i="8"/>
  <c r="AB21" i="8"/>
  <c r="Z21" i="8"/>
  <c r="AB89" i="8"/>
  <c r="AA89" i="8"/>
  <c r="Z89" i="8"/>
  <c r="AB56" i="8"/>
  <c r="Z56" i="8"/>
  <c r="AA56" i="8"/>
  <c r="AB64" i="8"/>
  <c r="AA64" i="8"/>
  <c r="Z64" i="8"/>
  <c r="F59" i="6"/>
  <c r="F58" i="6"/>
  <c r="O182" i="2"/>
  <c r="Z95" i="8"/>
  <c r="AB95" i="8"/>
  <c r="AA95" i="8"/>
  <c r="AA94" i="8"/>
  <c r="Z94" i="8"/>
  <c r="AB94" i="8"/>
  <c r="J26" i="7"/>
  <c r="O286" i="2"/>
  <c r="D26" i="7"/>
  <c r="P39" i="2"/>
  <c r="AB35" i="8"/>
  <c r="AA35" i="8"/>
  <c r="Z35" i="8"/>
  <c r="Z43" i="8"/>
  <c r="AB43" i="8"/>
  <c r="AA43" i="8"/>
  <c r="D59" i="6"/>
  <c r="O180" i="2"/>
  <c r="D58" i="6"/>
  <c r="K53" i="1" s="1"/>
  <c r="AB44" i="8"/>
  <c r="AA44" i="8"/>
  <c r="Z44" i="8"/>
  <c r="AB32" i="8"/>
  <c r="AA32" i="8"/>
  <c r="Z32" i="8"/>
  <c r="Z51" i="8"/>
  <c r="AB51" i="8"/>
  <c r="AA51" i="8"/>
  <c r="AA71" i="8"/>
  <c r="Z71" i="8"/>
  <c r="AB71" i="8"/>
  <c r="AA33" i="8"/>
  <c r="Z33" i="8"/>
  <c r="AB33" i="8"/>
  <c r="Z60" i="8"/>
  <c r="AB60" i="8"/>
  <c r="AA60" i="8"/>
  <c r="AA37" i="8"/>
  <c r="Z37" i="8"/>
  <c r="AB37" i="8"/>
  <c r="AA78" i="8"/>
  <c r="Z78" i="8"/>
  <c r="AB78" i="8"/>
  <c r="AA74" i="8"/>
  <c r="Z74" i="8"/>
  <c r="AB74" i="8"/>
  <c r="AA88" i="8"/>
  <c r="AB88" i="8"/>
  <c r="Z88" i="8"/>
  <c r="AB24" i="8"/>
  <c r="AA24" i="8"/>
  <c r="Z24" i="8"/>
  <c r="G58" i="6"/>
  <c r="O183" i="2"/>
  <c r="G59" i="6"/>
  <c r="AB97" i="8"/>
  <c r="AA97" i="8"/>
  <c r="Z97" i="8"/>
  <c r="AA38" i="8"/>
  <c r="AB38" i="8"/>
  <c r="Z38" i="8"/>
  <c r="AB81" i="8"/>
  <c r="AA81" i="8"/>
  <c r="Z81" i="8"/>
  <c r="AA90" i="8"/>
  <c r="Z90" i="8"/>
  <c r="AB90" i="8"/>
  <c r="AA54" i="8"/>
  <c r="AB54" i="8"/>
  <c r="Z54" i="8"/>
  <c r="Q16" i="10"/>
  <c r="U15" i="10"/>
  <c r="AB80" i="8"/>
  <c r="AA80" i="8"/>
  <c r="Z80" i="8"/>
  <c r="AA62" i="8"/>
  <c r="Z62" i="8"/>
  <c r="AB62" i="8"/>
  <c r="AB55" i="8"/>
  <c r="AA55" i="8"/>
  <c r="Z55" i="8"/>
  <c r="AA48" i="8"/>
  <c r="Z48" i="8"/>
  <c r="AB48" i="8"/>
  <c r="AB28" i="8"/>
  <c r="AA28" i="8"/>
  <c r="Z28" i="8"/>
  <c r="O284" i="2"/>
  <c r="J24" i="7"/>
  <c r="P37" i="2"/>
  <c r="D24" i="7"/>
  <c r="C34" i="7"/>
  <c r="B34" i="7"/>
  <c r="D34" i="7" s="1"/>
  <c r="F34" i="7" s="1"/>
  <c r="J22" i="7"/>
  <c r="D22" i="7"/>
  <c r="O282" i="2"/>
  <c r="AA46" i="8"/>
  <c r="AB46" i="8"/>
  <c r="Z46" i="8"/>
  <c r="AB49" i="8"/>
  <c r="AA49" i="8"/>
  <c r="Z49" i="8"/>
  <c r="AA66" i="8"/>
  <c r="Z66" i="8"/>
  <c r="AB66" i="8"/>
  <c r="AB47" i="8"/>
  <c r="AA47" i="8"/>
  <c r="Z47" i="8"/>
  <c r="AB26" i="8"/>
  <c r="AA26" i="8"/>
  <c r="Z26" i="8"/>
  <c r="AA82" i="8"/>
  <c r="Z82" i="8"/>
  <c r="AB82" i="8"/>
  <c r="D25" i="7"/>
  <c r="P38" i="2"/>
  <c r="J25" i="7"/>
  <c r="O285" i="2"/>
  <c r="D23" i="7"/>
  <c r="J23" i="7"/>
  <c r="P36" i="2"/>
  <c r="O283" i="2"/>
  <c r="AA84" i="8"/>
  <c r="Z84" i="8"/>
  <c r="AB84" i="8"/>
  <c r="AB91" i="8"/>
  <c r="AA91" i="8"/>
  <c r="Z91" i="8"/>
  <c r="AB65" i="8"/>
  <c r="AA65" i="8"/>
  <c r="Z65" i="8"/>
  <c r="AB96" i="8"/>
  <c r="AA96" i="8"/>
  <c r="Z96" i="8"/>
  <c r="AB36" i="8"/>
  <c r="AA36" i="8"/>
  <c r="Z36" i="8"/>
  <c r="AB45" i="8"/>
  <c r="AA45" i="8"/>
  <c r="Z45" i="8"/>
  <c r="E59" i="6"/>
  <c r="E58" i="6"/>
  <c r="O181" i="2"/>
  <c r="AA58" i="8"/>
  <c r="Z58" i="8"/>
  <c r="AB58" i="8"/>
  <c r="AB57" i="8"/>
  <c r="Z57" i="8"/>
  <c r="AA57" i="8"/>
  <c r="J28" i="7"/>
  <c r="O288" i="2"/>
  <c r="D28" i="7"/>
  <c r="AB83" i="8"/>
  <c r="AA83" i="8"/>
  <c r="Z83" i="8"/>
  <c r="Z31" i="8"/>
  <c r="AB31" i="8"/>
  <c r="AA31" i="8"/>
  <c r="AB87" i="8"/>
  <c r="AA87" i="8"/>
  <c r="Z87" i="8"/>
  <c r="B58" i="6"/>
  <c r="B59" i="6"/>
  <c r="O178" i="2"/>
  <c r="Z23" i="8"/>
  <c r="AB23" i="8"/>
  <c r="AA23" i="8"/>
  <c r="AB67" i="8"/>
  <c r="AA67" i="8"/>
  <c r="Z67" i="8"/>
  <c r="Z27" i="8"/>
  <c r="AB27" i="8"/>
  <c r="AA27" i="8"/>
  <c r="AB75" i="8"/>
  <c r="AA75" i="8"/>
  <c r="Z75" i="8"/>
  <c r="D27" i="7"/>
  <c r="J27" i="7"/>
  <c r="O287" i="2"/>
  <c r="AA53" i="8"/>
  <c r="AB53" i="8"/>
  <c r="Z53" i="8"/>
  <c r="AB69" i="8"/>
  <c r="AA69" i="8"/>
  <c r="Z69" i="8"/>
  <c r="AB41" i="8"/>
  <c r="AA41" i="8"/>
  <c r="Z41" i="8"/>
  <c r="AA42" i="8"/>
  <c r="AB42" i="8"/>
  <c r="Z42" i="8"/>
  <c r="AA86" i="8"/>
  <c r="Z86" i="8"/>
  <c r="AB86" i="8"/>
  <c r="AB61" i="8"/>
  <c r="AA61" i="8"/>
  <c r="Z61" i="8"/>
  <c r="AB68" i="8"/>
  <c r="AA68" i="8"/>
  <c r="Z68" i="8"/>
  <c r="Z63" i="8"/>
  <c r="AB63" i="8"/>
  <c r="AA63" i="8"/>
  <c r="AA92" i="8"/>
  <c r="AB92" i="8"/>
  <c r="Z92" i="8"/>
  <c r="AA52" i="8"/>
  <c r="AB52" i="8"/>
  <c r="Z52" i="8"/>
  <c r="AB72" i="8"/>
  <c r="AA72" i="8"/>
  <c r="Z72" i="8"/>
  <c r="AA70" i="8"/>
  <c r="Z70" i="8"/>
  <c r="AB70" i="8"/>
  <c r="AA25" i="8"/>
  <c r="Z25" i="8"/>
  <c r="AB25" i="8"/>
  <c r="AB73" i="8"/>
  <c r="AA73" i="8"/>
  <c r="Z73" i="8"/>
  <c r="AB22" i="8"/>
  <c r="AA22" i="8"/>
  <c r="Z22" i="8"/>
  <c r="AA50" i="8"/>
  <c r="AB50" i="8"/>
  <c r="Z50" i="8"/>
  <c r="AB93" i="8"/>
  <c r="AA93" i="8"/>
  <c r="Z93" i="8"/>
  <c r="AB77" i="8"/>
  <c r="AA77" i="8"/>
  <c r="Z77" i="8"/>
  <c r="G707" i="8" l="1"/>
  <c r="G785" i="8"/>
  <c r="G1030" i="8"/>
  <c r="G566" i="8"/>
  <c r="G134" i="8"/>
  <c r="G185" i="8"/>
  <c r="G734" i="8"/>
  <c r="J734" i="8" s="1"/>
  <c r="G673" i="8"/>
  <c r="G589" i="8"/>
  <c r="G525" i="8"/>
  <c r="G520" i="8"/>
  <c r="G456" i="8"/>
  <c r="G745" i="8"/>
  <c r="G786" i="8"/>
  <c r="G408" i="8"/>
  <c r="G160" i="8"/>
  <c r="I855" i="8"/>
  <c r="I268" i="8"/>
  <c r="I543" i="8"/>
  <c r="I626" i="8"/>
  <c r="I546" i="8"/>
  <c r="I1013" i="8"/>
  <c r="I772" i="8"/>
  <c r="I984" i="8"/>
  <c r="I909" i="8"/>
  <c r="H661" i="8"/>
  <c r="H584" i="8"/>
  <c r="H382" i="8"/>
  <c r="H254" i="8"/>
  <c r="H384" i="8"/>
  <c r="H821" i="8"/>
  <c r="H118" i="8"/>
  <c r="H552" i="8"/>
  <c r="H541" i="8"/>
  <c r="H954" i="8"/>
  <c r="H422" i="8"/>
  <c r="G763" i="8"/>
  <c r="G1065" i="8"/>
  <c r="G318" i="8"/>
  <c r="J318" i="8" s="1"/>
  <c r="G225" i="8"/>
  <c r="G852" i="8"/>
  <c r="G717" i="8"/>
  <c r="G328" i="8"/>
  <c r="J328" i="8" s="1"/>
  <c r="G790" i="8"/>
  <c r="J790" i="8" s="1"/>
  <c r="G375" i="8"/>
  <c r="G327" i="8"/>
  <c r="G359" i="8"/>
  <c r="J359" i="8" s="1"/>
  <c r="G646" i="8"/>
  <c r="J646" i="8" s="1"/>
  <c r="G418" i="8"/>
  <c r="G157" i="8"/>
  <c r="H678" i="8"/>
  <c r="H201" i="8"/>
  <c r="H428" i="8"/>
  <c r="H944" i="8"/>
  <c r="H708" i="8"/>
  <c r="H136" i="8"/>
  <c r="H1011" i="8"/>
  <c r="H206" i="8"/>
  <c r="H242" i="8"/>
  <c r="H475" i="8"/>
  <c r="H352" i="8"/>
  <c r="H442" i="8"/>
  <c r="H198" i="8"/>
  <c r="H173" i="8"/>
  <c r="I801" i="8"/>
  <c r="I987" i="8"/>
  <c r="I835" i="8"/>
  <c r="I394" i="8"/>
  <c r="I542" i="8"/>
  <c r="I245" i="8"/>
  <c r="G806" i="8"/>
  <c r="G190" i="8"/>
  <c r="G808" i="8"/>
  <c r="G409" i="8"/>
  <c r="G709" i="8"/>
  <c r="G728" i="8"/>
  <c r="G1050" i="8"/>
  <c r="G750" i="8"/>
  <c r="G378" i="8"/>
  <c r="J378" i="8" s="1"/>
  <c r="G1086" i="8"/>
  <c r="G266" i="8"/>
  <c r="G376" i="8"/>
  <c r="G495" i="8"/>
  <c r="I1081" i="8"/>
  <c r="I1017" i="8"/>
  <c r="I841" i="8"/>
  <c r="I876" i="8"/>
  <c r="I773" i="8"/>
  <c r="I687" i="8"/>
  <c r="I878" i="8"/>
  <c r="I784" i="8"/>
  <c r="I828" i="8"/>
  <c r="I440" i="8"/>
  <c r="I695" i="8"/>
  <c r="I934" i="8"/>
  <c r="I176" i="8"/>
  <c r="I986" i="8"/>
  <c r="I169" i="8"/>
  <c r="I577" i="8"/>
  <c r="I945" i="8"/>
  <c r="I972" i="8"/>
  <c r="I620" i="8"/>
  <c r="I596" i="8"/>
  <c r="I580" i="8"/>
  <c r="I188" i="8"/>
  <c r="I912" i="8"/>
  <c r="I910" i="8"/>
  <c r="I654" i="8"/>
  <c r="I407" i="8"/>
  <c r="I586" i="8"/>
  <c r="I194" i="8"/>
  <c r="I246" i="8"/>
  <c r="I1026" i="8"/>
  <c r="I400" i="8"/>
  <c r="I342" i="8"/>
  <c r="I868" i="8"/>
  <c r="I748" i="8"/>
  <c r="I528" i="8"/>
  <c r="H942" i="8"/>
  <c r="H321" i="8"/>
  <c r="H121" i="8"/>
  <c r="H740" i="8"/>
  <c r="H292" i="8"/>
  <c r="H244" i="8"/>
  <c r="H771" i="8"/>
  <c r="H760" i="8"/>
  <c r="H962" i="8"/>
  <c r="H443" i="8"/>
  <c r="H320" i="8"/>
  <c r="H1007" i="8"/>
  <c r="H969" i="8"/>
  <c r="H977" i="8"/>
  <c r="H911" i="8"/>
  <c r="G747" i="8"/>
  <c r="G789" i="8"/>
  <c r="G671" i="8"/>
  <c r="G598" i="8"/>
  <c r="G810" i="8"/>
  <c r="G1054" i="8"/>
  <c r="J1054" i="8" s="1"/>
  <c r="G920" i="8"/>
  <c r="J920" i="8" s="1"/>
  <c r="G741" i="8"/>
  <c r="J741" i="8" s="1"/>
  <c r="G575" i="8"/>
  <c r="G664" i="8"/>
  <c r="G854" i="8"/>
  <c r="J854" i="8" s="1"/>
  <c r="G896" i="8"/>
  <c r="G639" i="8"/>
  <c r="G322" i="8"/>
  <c r="J322" i="8" s="1"/>
  <c r="G643" i="8"/>
  <c r="G1001" i="8"/>
  <c r="G953" i="8"/>
  <c r="G951" i="8"/>
  <c r="G908" i="8"/>
  <c r="G521" i="8"/>
  <c r="G257" i="8"/>
  <c r="G1058" i="8"/>
  <c r="G830" i="8"/>
  <c r="G202" i="8"/>
  <c r="G767" i="8"/>
  <c r="G686" i="8"/>
  <c r="G706" i="8"/>
  <c r="G231" i="8"/>
  <c r="I797" i="8"/>
  <c r="I604" i="8"/>
  <c r="I340" i="8"/>
  <c r="K340" i="8" s="1"/>
  <c r="I284" i="8"/>
  <c r="I119" i="8"/>
  <c r="I916" i="8"/>
  <c r="K916" i="8" s="1"/>
  <c r="I683" i="8"/>
  <c r="I122" i="8"/>
  <c r="I629" i="8"/>
  <c r="I1028" i="8"/>
  <c r="I291" i="8"/>
  <c r="K291" i="8" s="1"/>
  <c r="I232" i="8"/>
  <c r="I640" i="8"/>
  <c r="H1038" i="8"/>
  <c r="H798" i="8"/>
  <c r="H766" i="8"/>
  <c r="H924" i="8"/>
  <c r="H892" i="8"/>
  <c r="H775" i="8"/>
  <c r="H762" i="8"/>
  <c r="H260" i="8"/>
  <c r="H1057" i="8"/>
  <c r="H978" i="8"/>
  <c r="H816" i="8"/>
  <c r="H699" i="8"/>
  <c r="H779" i="8"/>
  <c r="H608" i="8"/>
  <c r="H138" i="8"/>
  <c r="H357" i="8"/>
  <c r="H1073" i="8"/>
  <c r="H346" i="8"/>
  <c r="H561" i="8"/>
  <c r="H1085" i="8"/>
  <c r="H929" i="8"/>
  <c r="H239" i="8"/>
  <c r="H890" i="8"/>
  <c r="H960" i="8"/>
  <c r="H1029" i="8"/>
  <c r="H496" i="8"/>
  <c r="H208" i="8"/>
  <c r="G915" i="8"/>
  <c r="G590" i="8"/>
  <c r="G358" i="8"/>
  <c r="G102" i="8"/>
  <c r="G829" i="8"/>
  <c r="G316" i="8"/>
  <c r="G387" i="8"/>
  <c r="G780" i="8"/>
  <c r="G355" i="8"/>
  <c r="G765" i="8"/>
  <c r="G362" i="8"/>
  <c r="G482" i="8"/>
  <c r="G235" i="8"/>
  <c r="P34" i="2"/>
  <c r="C24" i="1"/>
  <c r="C7" i="8"/>
  <c r="H1096" i="8"/>
  <c r="H936" i="8"/>
  <c r="H129" i="8"/>
  <c r="H511" i="8"/>
  <c r="H323" i="8"/>
  <c r="H1039" i="8"/>
  <c r="H875" i="8"/>
  <c r="H677" i="8"/>
  <c r="H405" i="8"/>
  <c r="H301" i="8"/>
  <c r="U16" i="10"/>
  <c r="Q17" i="10"/>
  <c r="I661" i="8"/>
  <c r="K661" i="8" s="1"/>
  <c r="I384" i="8"/>
  <c r="K384" i="8" s="1"/>
  <c r="I118" i="8"/>
  <c r="K118" i="8" s="1"/>
  <c r="I954" i="8"/>
  <c r="I821" i="8"/>
  <c r="I552" i="8"/>
  <c r="K552" i="8" s="1"/>
  <c r="I382" i="8"/>
  <c r="K382" i="8" s="1"/>
  <c r="I254" i="8"/>
  <c r="K254" i="8" s="1"/>
  <c r="I584" i="8"/>
  <c r="I422" i="8"/>
  <c r="K422" i="8" s="1"/>
  <c r="I541" i="8"/>
  <c r="K541" i="8" s="1"/>
  <c r="H790" i="8"/>
  <c r="H646" i="8"/>
  <c r="H852" i="8"/>
  <c r="H225" i="8"/>
  <c r="H375" i="8"/>
  <c r="H359" i="8"/>
  <c r="H327" i="8"/>
  <c r="H717" i="8"/>
  <c r="H328" i="8"/>
  <c r="H318" i="8"/>
  <c r="H157" i="8"/>
  <c r="H1065" i="8"/>
  <c r="H763" i="8"/>
  <c r="H418" i="8"/>
  <c r="I678" i="8"/>
  <c r="K678" i="8" s="1"/>
  <c r="I428" i="8"/>
  <c r="K428" i="8" s="1"/>
  <c r="I944" i="8"/>
  <c r="K944" i="8" s="1"/>
  <c r="I442" i="8"/>
  <c r="K442" i="8" s="1"/>
  <c r="I242" i="8"/>
  <c r="K242" i="8" s="1"/>
  <c r="I708" i="8"/>
  <c r="K708" i="8" s="1"/>
  <c r="I475" i="8"/>
  <c r="K475" i="8" s="1"/>
  <c r="I352" i="8"/>
  <c r="I201" i="8"/>
  <c r="K201" i="8" s="1"/>
  <c r="I198" i="8"/>
  <c r="K198" i="8" s="1"/>
  <c r="I173" i="8"/>
  <c r="I136" i="8"/>
  <c r="I206" i="8"/>
  <c r="K206" i="8" s="1"/>
  <c r="I1011" i="8"/>
  <c r="K1011" i="8" s="1"/>
  <c r="G987" i="8"/>
  <c r="J987" i="8" s="1"/>
  <c r="G835" i="8"/>
  <c r="G801" i="8"/>
  <c r="G542" i="8"/>
  <c r="G245" i="8"/>
  <c r="G394" i="8"/>
  <c r="I709" i="8"/>
  <c r="K709" i="8" s="1"/>
  <c r="I495" i="8"/>
  <c r="K495" i="8" s="1"/>
  <c r="I378" i="8"/>
  <c r="K378" i="8" s="1"/>
  <c r="I266" i="8"/>
  <c r="I1050" i="8"/>
  <c r="I808" i="8"/>
  <c r="I728" i="8"/>
  <c r="I376" i="8"/>
  <c r="I750" i="8"/>
  <c r="K750" i="8" s="1"/>
  <c r="I409" i="8"/>
  <c r="K409" i="8" s="1"/>
  <c r="I806" i="8"/>
  <c r="I190" i="8"/>
  <c r="I1086" i="8"/>
  <c r="G222" i="8"/>
  <c r="J222" i="8" s="1"/>
  <c r="G625" i="8"/>
  <c r="G241" i="8"/>
  <c r="G452" i="8"/>
  <c r="G992" i="8"/>
  <c r="J992" i="8" s="1"/>
  <c r="G200" i="8"/>
  <c r="G227" i="8"/>
  <c r="G635" i="8"/>
  <c r="G347" i="8"/>
  <c r="G315" i="8"/>
  <c r="G648" i="8"/>
  <c r="G240" i="8"/>
  <c r="G945" i="8"/>
  <c r="G342" i="8"/>
  <c r="J342" i="8" s="1"/>
  <c r="G246" i="8"/>
  <c r="G972" i="8"/>
  <c r="G910" i="8"/>
  <c r="J910" i="8" s="1"/>
  <c r="G654" i="8"/>
  <c r="G620" i="8"/>
  <c r="G596" i="8"/>
  <c r="G580" i="8"/>
  <c r="J580" i="8" s="1"/>
  <c r="G188" i="8"/>
  <c r="J188" i="8" s="1"/>
  <c r="G528" i="8"/>
  <c r="G400" i="8"/>
  <c r="G407" i="8"/>
  <c r="G1026" i="8"/>
  <c r="G912" i="8"/>
  <c r="G194" i="8"/>
  <c r="G748" i="8"/>
  <c r="J748" i="8" s="1"/>
  <c r="G586" i="8"/>
  <c r="G868" i="8"/>
  <c r="H764" i="8"/>
  <c r="H209" i="8"/>
  <c r="H559" i="8"/>
  <c r="H135" i="8"/>
  <c r="H965" i="8"/>
  <c r="H274" i="8"/>
  <c r="H210" i="8"/>
  <c r="H688" i="8"/>
  <c r="H296" i="8"/>
  <c r="H531" i="8"/>
  <c r="H1054" i="8"/>
  <c r="H810" i="8"/>
  <c r="H575" i="8"/>
  <c r="H664" i="8"/>
  <c r="H789" i="8"/>
  <c r="H741" i="8"/>
  <c r="H671" i="8"/>
  <c r="H598" i="8"/>
  <c r="H747" i="8"/>
  <c r="H920" i="8"/>
  <c r="H854" i="8"/>
  <c r="H896" i="8"/>
  <c r="H639" i="8"/>
  <c r="H322" i="8"/>
  <c r="G366" i="8"/>
  <c r="G848" i="8"/>
  <c r="J848" i="8" s="1"/>
  <c r="G1088" i="8"/>
  <c r="G850" i="8"/>
  <c r="G683" i="8"/>
  <c r="G640" i="8"/>
  <c r="G797" i="8"/>
  <c r="J797" i="8" s="1"/>
  <c r="G604" i="8"/>
  <c r="G340" i="8"/>
  <c r="J340" i="8" s="1"/>
  <c r="G284" i="8"/>
  <c r="J284" i="8" s="1"/>
  <c r="G916" i="8"/>
  <c r="G122" i="8"/>
  <c r="G119" i="8"/>
  <c r="G629" i="8"/>
  <c r="G291" i="8"/>
  <c r="J291" i="8" s="1"/>
  <c r="G1028" i="8"/>
  <c r="G232" i="8"/>
  <c r="J232" i="8" s="1"/>
  <c r="G622" i="8"/>
  <c r="G142" i="8"/>
  <c r="G1034" i="8"/>
  <c r="G513" i="8"/>
  <c r="G113" i="8"/>
  <c r="G444" i="8"/>
  <c r="J444" i="8" s="1"/>
  <c r="G570" i="8"/>
  <c r="G229" i="8"/>
  <c r="G1052" i="8"/>
  <c r="J1052" i="8" s="1"/>
  <c r="G155" i="8"/>
  <c r="I1073" i="8"/>
  <c r="I1057" i="8"/>
  <c r="I762" i="8"/>
  <c r="K762" i="8" s="1"/>
  <c r="I260" i="8"/>
  <c r="K260" i="8" s="1"/>
  <c r="I1038" i="8"/>
  <c r="I978" i="8"/>
  <c r="K978" i="8" s="1"/>
  <c r="I816" i="8"/>
  <c r="K816" i="8" s="1"/>
  <c r="I346" i="8"/>
  <c r="I138" i="8"/>
  <c r="I924" i="8"/>
  <c r="K924" i="8" s="1"/>
  <c r="I798" i="8"/>
  <c r="K798" i="8" s="1"/>
  <c r="I699" i="8"/>
  <c r="K699" i="8" s="1"/>
  <c r="I775" i="8"/>
  <c r="I892" i="8"/>
  <c r="K892" i="8" s="1"/>
  <c r="I608" i="8"/>
  <c r="K608" i="8" s="1"/>
  <c r="I779" i="8"/>
  <c r="I357" i="8"/>
  <c r="K357" i="8" s="1"/>
  <c r="I766" i="8"/>
  <c r="K766" i="8" s="1"/>
  <c r="I929" i="8"/>
  <c r="K929" i="8" s="1"/>
  <c r="I1085" i="8"/>
  <c r="K1085" i="8" s="1"/>
  <c r="I239" i="8"/>
  <c r="I1029" i="8"/>
  <c r="K1029" i="8" s="1"/>
  <c r="I561" i="8"/>
  <c r="K561" i="8" s="1"/>
  <c r="I890" i="8"/>
  <c r="I960" i="8"/>
  <c r="K960" i="8" s="1"/>
  <c r="I496" i="8"/>
  <c r="K496" i="8" s="1"/>
  <c r="I208" i="8"/>
  <c r="K208" i="8" s="1"/>
  <c r="G939" i="8"/>
  <c r="J939" i="8" s="1"/>
  <c r="G897" i="8"/>
  <c r="G502" i="8"/>
  <c r="J502" i="8" s="1"/>
  <c r="G753" i="8"/>
  <c r="J753" i="8" s="1"/>
  <c r="G441" i="8"/>
  <c r="G145" i="8"/>
  <c r="G421" i="8"/>
  <c r="J421" i="8" s="1"/>
  <c r="G1005" i="8"/>
  <c r="J1005" i="8" s="1"/>
  <c r="G621" i="8"/>
  <c r="J621" i="8" s="1"/>
  <c r="G813" i="8"/>
  <c r="G557" i="8"/>
  <c r="G616" i="8"/>
  <c r="G1059" i="8"/>
  <c r="G859" i="8"/>
  <c r="G582" i="8"/>
  <c r="G1032" i="8"/>
  <c r="J1032" i="8" s="1"/>
  <c r="G609" i="8"/>
  <c r="J609" i="8" s="1"/>
  <c r="G137" i="8"/>
  <c r="G1087" i="8"/>
  <c r="J1087" i="8" s="1"/>
  <c r="G831" i="8"/>
  <c r="G172" i="8"/>
  <c r="G1071" i="8"/>
  <c r="G599" i="8"/>
  <c r="J599" i="8" s="1"/>
  <c r="G632" i="8"/>
  <c r="G125" i="8"/>
  <c r="J125" i="8" s="1"/>
  <c r="G832" i="8"/>
  <c r="G641" i="8"/>
  <c r="G1093" i="8"/>
  <c r="J1093" i="8" s="1"/>
  <c r="G234" i="8"/>
  <c r="G967" i="8"/>
  <c r="I829" i="8"/>
  <c r="I316" i="8"/>
  <c r="I780" i="8"/>
  <c r="I482" i="8"/>
  <c r="I362" i="8"/>
  <c r="I765" i="8"/>
  <c r="I590" i="8"/>
  <c r="I355" i="8"/>
  <c r="I915" i="8"/>
  <c r="I235" i="8"/>
  <c r="K235" i="8" s="1"/>
  <c r="I102" i="8"/>
  <c r="I387" i="8"/>
  <c r="I358" i="8"/>
  <c r="H857" i="8"/>
  <c r="H711" i="8"/>
  <c r="H220" i="8"/>
  <c r="H882" i="8"/>
  <c r="H510" i="8"/>
  <c r="H426" i="8"/>
  <c r="H104" i="8"/>
  <c r="G1009" i="8"/>
  <c r="J1009" i="8" s="1"/>
  <c r="G281" i="8"/>
  <c r="J281" i="8" s="1"/>
  <c r="G548" i="8"/>
  <c r="G460" i="8"/>
  <c r="G330" i="8"/>
  <c r="J330" i="8" s="1"/>
  <c r="G737" i="8"/>
  <c r="J737" i="8" s="1"/>
  <c r="H902" i="8"/>
  <c r="H670" i="8"/>
  <c r="H353" i="8"/>
  <c r="H273" i="8"/>
  <c r="H676" i="8"/>
  <c r="H380" i="8"/>
  <c r="H447" i="8"/>
  <c r="H303" i="8"/>
  <c r="H472" i="8"/>
  <c r="H474" i="8"/>
  <c r="H219" i="8"/>
  <c r="H168" i="8"/>
  <c r="H253" i="8"/>
  <c r="H514" i="8"/>
  <c r="H445" i="8"/>
  <c r="H413" i="8"/>
  <c r="I1095" i="8"/>
  <c r="K1095" i="8" s="1"/>
  <c r="I1063" i="8"/>
  <c r="I1055" i="8"/>
  <c r="I959" i="8"/>
  <c r="I479" i="8"/>
  <c r="I869" i="8"/>
  <c r="I778" i="8"/>
  <c r="K778" i="8" s="1"/>
  <c r="I578" i="8"/>
  <c r="K578" i="8" s="1"/>
  <c r="I338" i="8"/>
  <c r="K338" i="8" s="1"/>
  <c r="I299" i="8"/>
  <c r="I293" i="8"/>
  <c r="I483" i="8"/>
  <c r="K483" i="8" s="1"/>
  <c r="I451" i="8"/>
  <c r="I949" i="8"/>
  <c r="I285" i="8"/>
  <c r="K285" i="8" s="1"/>
  <c r="I894" i="8"/>
  <c r="K894" i="8" s="1"/>
  <c r="G891" i="8"/>
  <c r="J891" i="8" s="1"/>
  <c r="G827" i="8"/>
  <c r="G1062" i="8"/>
  <c r="J1062" i="8" s="1"/>
  <c r="G1015" i="8"/>
  <c r="G870" i="8"/>
  <c r="G489" i="8"/>
  <c r="G532" i="8"/>
  <c r="G705" i="8"/>
  <c r="J705" i="8" s="1"/>
  <c r="G464" i="8"/>
  <c r="J464" i="8" s="1"/>
  <c r="G804" i="8"/>
  <c r="G800" i="8"/>
  <c r="J800" i="8" s="1"/>
  <c r="G536" i="8"/>
  <c r="G618" i="8"/>
  <c r="G370" i="8"/>
  <c r="G1044" i="8"/>
  <c r="H889" i="8"/>
  <c r="H669" i="8"/>
  <c r="H553" i="8"/>
  <c r="H473" i="8"/>
  <c r="H991" i="8"/>
  <c r="H252" i="8"/>
  <c r="H615" i="8"/>
  <c r="H853" i="8"/>
  <c r="H325" i="8"/>
  <c r="H414" i="8"/>
  <c r="H721" i="8"/>
  <c r="H879" i="8"/>
  <c r="H807" i="8"/>
  <c r="H317" i="8"/>
  <c r="I1041" i="8"/>
  <c r="I236" i="8"/>
  <c r="I674" i="8"/>
  <c r="I591" i="8"/>
  <c r="K591" i="8" s="1"/>
  <c r="I758" i="8"/>
  <c r="I571" i="8"/>
  <c r="I251" i="8"/>
  <c r="I842" i="8"/>
  <c r="I680" i="8"/>
  <c r="I968" i="8"/>
  <c r="K968" i="8" s="1"/>
  <c r="I1043" i="8"/>
  <c r="K1043" i="8" s="1"/>
  <c r="I267" i="8"/>
  <c r="K267" i="8" s="1"/>
  <c r="I283" i="8"/>
  <c r="I885" i="8"/>
  <c r="K885" i="8" s="1"/>
  <c r="H822" i="8"/>
  <c r="H940" i="8"/>
  <c r="H377" i="8"/>
  <c r="H161" i="8"/>
  <c r="H311" i="8"/>
  <c r="H167" i="8"/>
  <c r="H1033" i="8"/>
  <c r="H438" i="8"/>
  <c r="H1027" i="8"/>
  <c r="H406" i="8"/>
  <c r="H152" i="8"/>
  <c r="H256" i="8"/>
  <c r="G971" i="8"/>
  <c r="J971" i="8" s="1"/>
  <c r="G998" i="8"/>
  <c r="J998" i="8" s="1"/>
  <c r="G1004" i="8"/>
  <c r="G465" i="8"/>
  <c r="G974" i="8"/>
  <c r="G861" i="8"/>
  <c r="G372" i="8"/>
  <c r="G880" i="8"/>
  <c r="G836" i="8"/>
  <c r="J836" i="8" s="1"/>
  <c r="G395" i="8"/>
  <c r="J395" i="8" s="1"/>
  <c r="G946" i="8"/>
  <c r="G1016" i="8"/>
  <c r="J1016" i="8" s="1"/>
  <c r="G563" i="8"/>
  <c r="G712" i="8"/>
  <c r="G184" i="8"/>
  <c r="G975" i="8"/>
  <c r="J975" i="8" s="1"/>
  <c r="G605" i="8"/>
  <c r="G309" i="8"/>
  <c r="G567" i="8"/>
  <c r="G360" i="8"/>
  <c r="I823" i="8"/>
  <c r="K823" i="8" s="1"/>
  <c r="I656" i="8"/>
  <c r="I132" i="8"/>
  <c r="I1070" i="8"/>
  <c r="I218" i="8"/>
  <c r="I941" i="8"/>
  <c r="K941" i="8" s="1"/>
  <c r="I755" i="8"/>
  <c r="I192" i="8"/>
  <c r="I504" i="8"/>
  <c r="I523" i="8"/>
  <c r="I1048" i="8"/>
  <c r="I701" i="8"/>
  <c r="I238" i="8"/>
  <c r="I1075" i="8"/>
  <c r="K1075" i="8" s="1"/>
  <c r="I214" i="8"/>
  <c r="I851" i="8"/>
  <c r="H782" i="8"/>
  <c r="H1000" i="8"/>
  <c r="H904" i="8"/>
  <c r="H431" i="8"/>
  <c r="H247" i="8"/>
  <c r="H453" i="8"/>
  <c r="H117" i="8"/>
  <c r="H672" i="8"/>
  <c r="H1030" i="8"/>
  <c r="H734" i="8"/>
  <c r="H185" i="8"/>
  <c r="H786" i="8"/>
  <c r="H707" i="8"/>
  <c r="H673" i="8"/>
  <c r="H589" i="8"/>
  <c r="H525" i="8"/>
  <c r="H520" i="8"/>
  <c r="H456" i="8"/>
  <c r="H566" i="8"/>
  <c r="H745" i="8"/>
  <c r="H160" i="8"/>
  <c r="H134" i="8"/>
  <c r="H785" i="8"/>
  <c r="H408" i="8"/>
  <c r="I463" i="8"/>
  <c r="K463" i="8" s="1"/>
  <c r="I694" i="8"/>
  <c r="I1094" i="8"/>
  <c r="I874" i="8"/>
  <c r="I269" i="8"/>
  <c r="I1037" i="8"/>
  <c r="K1037" i="8" s="1"/>
  <c r="I446" i="8"/>
  <c r="I857" i="8"/>
  <c r="K857" i="8" s="1"/>
  <c r="I220" i="8"/>
  <c r="K220" i="8" s="1"/>
  <c r="I882" i="8"/>
  <c r="I426" i="8"/>
  <c r="I711" i="8"/>
  <c r="K711" i="8" s="1"/>
  <c r="I510" i="8"/>
  <c r="K510" i="8" s="1"/>
  <c r="I104" i="8"/>
  <c r="K104" i="8" s="1"/>
  <c r="H281" i="8"/>
  <c r="H548" i="8"/>
  <c r="H460" i="8"/>
  <c r="H737" i="8"/>
  <c r="H330" i="8"/>
  <c r="H1009" i="8"/>
  <c r="G819" i="8"/>
  <c r="G1089" i="8"/>
  <c r="J1089" i="8" s="1"/>
  <c r="G158" i="8"/>
  <c r="G505" i="8"/>
  <c r="J505" i="8" s="1"/>
  <c r="G497" i="8"/>
  <c r="G313" i="8"/>
  <c r="G276" i="8"/>
  <c r="G839" i="8"/>
  <c r="J839" i="8" s="1"/>
  <c r="G805" i="8"/>
  <c r="J805" i="8" s="1"/>
  <c r="G928" i="8"/>
  <c r="J928" i="8" s="1"/>
  <c r="G1046" i="8"/>
  <c r="G862" i="8"/>
  <c r="J862" i="8" s="1"/>
  <c r="G736" i="8"/>
  <c r="J736" i="8" s="1"/>
  <c r="G434" i="8"/>
  <c r="G432" i="8"/>
  <c r="G386" i="8"/>
  <c r="G205" i="8"/>
  <c r="J205" i="8" s="1"/>
  <c r="G298" i="8"/>
  <c r="J298" i="8" s="1"/>
  <c r="H894" i="8"/>
  <c r="H1055" i="8"/>
  <c r="H959" i="8"/>
  <c r="H479" i="8"/>
  <c r="H778" i="8"/>
  <c r="H451" i="8"/>
  <c r="H338" i="8"/>
  <c r="H869" i="8"/>
  <c r="H285" i="8"/>
  <c r="H1063" i="8"/>
  <c r="H578" i="8"/>
  <c r="H483" i="8"/>
  <c r="H299" i="8"/>
  <c r="H949" i="8"/>
  <c r="H1095" i="8"/>
  <c r="H293" i="8"/>
  <c r="H1062" i="8"/>
  <c r="H870" i="8"/>
  <c r="H1044" i="8"/>
  <c r="H804" i="8"/>
  <c r="H489" i="8"/>
  <c r="H891" i="8"/>
  <c r="H827" i="8"/>
  <c r="H532" i="8"/>
  <c r="H705" i="8"/>
  <c r="H618" i="8"/>
  <c r="H464" i="8"/>
  <c r="H370" i="8"/>
  <c r="H800" i="8"/>
  <c r="H1015" i="8"/>
  <c r="H536" i="8"/>
  <c r="G809" i="8"/>
  <c r="J809" i="8" s="1"/>
  <c r="G925" i="8"/>
  <c r="G665" i="8"/>
  <c r="G572" i="8"/>
  <c r="G108" i="8"/>
  <c r="G592" i="8"/>
  <c r="G973" i="8"/>
  <c r="G171" i="8"/>
  <c r="J171" i="8" s="1"/>
  <c r="G690" i="8"/>
  <c r="J690" i="8" s="1"/>
  <c r="G379" i="8"/>
  <c r="G738" i="8"/>
  <c r="H758" i="8"/>
  <c r="H968" i="8"/>
  <c r="H842" i="8"/>
  <c r="H680" i="8"/>
  <c r="H236" i="8"/>
  <c r="H674" i="8"/>
  <c r="H591" i="8"/>
  <c r="H571" i="8"/>
  <c r="H1043" i="8"/>
  <c r="H283" i="8"/>
  <c r="H885" i="8"/>
  <c r="H1041" i="8"/>
  <c r="H267" i="8"/>
  <c r="H251" i="8"/>
  <c r="I1033" i="8"/>
  <c r="K1033" i="8" s="1"/>
  <c r="I940" i="8"/>
  <c r="K940" i="8" s="1"/>
  <c r="I311" i="8"/>
  <c r="I167" i="8"/>
  <c r="I1027" i="8"/>
  <c r="I438" i="8"/>
  <c r="I256" i="8"/>
  <c r="K256" i="8" s="1"/>
  <c r="I152" i="8"/>
  <c r="K152" i="8" s="1"/>
  <c r="I822" i="8"/>
  <c r="I406" i="8"/>
  <c r="K406" i="8" s="1"/>
  <c r="I377" i="8"/>
  <c r="K377" i="8" s="1"/>
  <c r="I161" i="8"/>
  <c r="G1075" i="8"/>
  <c r="G851" i="8"/>
  <c r="G755" i="8"/>
  <c r="J755" i="8" s="1"/>
  <c r="G823" i="8"/>
  <c r="J823" i="8" s="1"/>
  <c r="G238" i="8"/>
  <c r="G214" i="8"/>
  <c r="J214" i="8" s="1"/>
  <c r="G1070" i="8"/>
  <c r="G656" i="8"/>
  <c r="G132" i="8"/>
  <c r="G523" i="8"/>
  <c r="J523" i="8" s="1"/>
  <c r="G218" i="8"/>
  <c r="G941" i="8"/>
  <c r="J941" i="8" s="1"/>
  <c r="G1048" i="8"/>
  <c r="G701" i="8"/>
  <c r="G192" i="8"/>
  <c r="G504" i="8"/>
  <c r="G1000" i="8"/>
  <c r="J1000" i="8" s="1"/>
  <c r="G904" i="8"/>
  <c r="J904" i="8" s="1"/>
  <c r="G782" i="8"/>
  <c r="J782" i="8" s="1"/>
  <c r="G672" i="8"/>
  <c r="J672" i="8" s="1"/>
  <c r="G431" i="8"/>
  <c r="G117" i="8"/>
  <c r="J117" i="8" s="1"/>
  <c r="G247" i="8"/>
  <c r="G453" i="8"/>
  <c r="G1003" i="8"/>
  <c r="G326" i="8"/>
  <c r="J326" i="8" s="1"/>
  <c r="G233" i="8"/>
  <c r="J233" i="8" s="1"/>
  <c r="G564" i="8"/>
  <c r="J564" i="8" s="1"/>
  <c r="G770" i="8"/>
  <c r="G607" i="8"/>
  <c r="G587" i="8"/>
  <c r="G1012" i="8"/>
  <c r="G886" i="8"/>
  <c r="G756" i="8"/>
  <c r="G547" i="8"/>
  <c r="J547" i="8" s="1"/>
  <c r="G990" i="8"/>
  <c r="J990" i="8" s="1"/>
  <c r="G576" i="8"/>
  <c r="G1069" i="8"/>
  <c r="I785" i="8"/>
  <c r="K785" i="8" s="1"/>
  <c r="I745" i="8"/>
  <c r="I673" i="8"/>
  <c r="I786" i="8"/>
  <c r="K786" i="8" s="1"/>
  <c r="I707" i="8"/>
  <c r="K707" i="8" s="1"/>
  <c r="I734" i="8"/>
  <c r="K734" i="8" s="1"/>
  <c r="I566" i="8"/>
  <c r="K566" i="8" s="1"/>
  <c r="I1030" i="8"/>
  <c r="K1030" i="8" s="1"/>
  <c r="I525" i="8"/>
  <c r="K525" i="8" s="1"/>
  <c r="I589" i="8"/>
  <c r="K589" i="8" s="1"/>
  <c r="I160" i="8"/>
  <c r="I520" i="8"/>
  <c r="K520" i="8" s="1"/>
  <c r="I456" i="8"/>
  <c r="K456" i="8" s="1"/>
  <c r="I185" i="8"/>
  <c r="K185" i="8" s="1"/>
  <c r="I134" i="8"/>
  <c r="I408" i="8"/>
  <c r="K408" i="8" s="1"/>
  <c r="G1094" i="8"/>
  <c r="J1094" i="8" s="1"/>
  <c r="G446" i="8"/>
  <c r="G874" i="8"/>
  <c r="G1037" i="8"/>
  <c r="J1037" i="8" s="1"/>
  <c r="G694" i="8"/>
  <c r="J694" i="8" s="1"/>
  <c r="G269" i="8"/>
  <c r="J269" i="8" s="1"/>
  <c r="G463" i="8"/>
  <c r="G735" i="8"/>
  <c r="G470" i="8"/>
  <c r="G1068" i="8"/>
  <c r="G658" i="8"/>
  <c r="G249" i="8"/>
  <c r="G1053" i="8"/>
  <c r="J1053" i="8" s="1"/>
  <c r="G308" i="8"/>
  <c r="J308" i="8" s="1"/>
  <c r="G1092" i="8"/>
  <c r="G282" i="8"/>
  <c r="G272" i="8"/>
  <c r="J272" i="8" s="1"/>
  <c r="G216" i="8"/>
  <c r="G127" i="8"/>
  <c r="I1065" i="8"/>
  <c r="I375" i="8"/>
  <c r="I359" i="8"/>
  <c r="K359" i="8" s="1"/>
  <c r="I327" i="8"/>
  <c r="I852" i="8"/>
  <c r="K852" i="8" s="1"/>
  <c r="I418" i="8"/>
  <c r="K418" i="8" s="1"/>
  <c r="I763" i="8"/>
  <c r="I646" i="8"/>
  <c r="K646" i="8" s="1"/>
  <c r="I717" i="8"/>
  <c r="K717" i="8" s="1"/>
  <c r="I328" i="8"/>
  <c r="K328" i="8" s="1"/>
  <c r="I225" i="8"/>
  <c r="K225" i="8" s="1"/>
  <c r="I790" i="8"/>
  <c r="K790" i="8" s="1"/>
  <c r="I318" i="8"/>
  <c r="K318" i="8" s="1"/>
  <c r="I157" i="8"/>
  <c r="K157" i="8" s="1"/>
  <c r="I985" i="8"/>
  <c r="I364" i="8"/>
  <c r="I846" i="8"/>
  <c r="K846" i="8" s="1"/>
  <c r="I159" i="8"/>
  <c r="I151" i="8"/>
  <c r="K151" i="8" s="1"/>
  <c r="I123" i="8"/>
  <c r="I754" i="8"/>
  <c r="I494" i="8"/>
  <c r="I1078" i="8"/>
  <c r="I759" i="8"/>
  <c r="I565" i="8"/>
  <c r="K565" i="8" s="1"/>
  <c r="I337" i="8"/>
  <c r="I368" i="8"/>
  <c r="K368" i="8" s="1"/>
  <c r="H987" i="8"/>
  <c r="H801" i="8"/>
  <c r="H835" i="8"/>
  <c r="H394" i="8"/>
  <c r="H245" i="8"/>
  <c r="H542" i="8"/>
  <c r="H1086" i="8"/>
  <c r="H806" i="8"/>
  <c r="H750" i="8"/>
  <c r="H808" i="8"/>
  <c r="H409" i="8"/>
  <c r="H709" i="8"/>
  <c r="H495" i="8"/>
  <c r="H190" i="8"/>
  <c r="H1050" i="8"/>
  <c r="H376" i="8"/>
  <c r="H378" i="8"/>
  <c r="H728" i="8"/>
  <c r="H266" i="8"/>
  <c r="I452" i="8"/>
  <c r="I635" i="8"/>
  <c r="I625" i="8"/>
  <c r="K625" i="8" s="1"/>
  <c r="I315" i="8"/>
  <c r="K315" i="8" s="1"/>
  <c r="I241" i="8"/>
  <c r="K241" i="8" s="1"/>
  <c r="I992" i="8"/>
  <c r="I648" i="8"/>
  <c r="I227" i="8"/>
  <c r="I347" i="8"/>
  <c r="I222" i="8"/>
  <c r="I240" i="8"/>
  <c r="I200" i="8"/>
  <c r="G702" i="8"/>
  <c r="J702" i="8" s="1"/>
  <c r="G1002" i="8"/>
  <c r="G844" i="8"/>
  <c r="G744" i="8"/>
  <c r="J744" i="8" s="1"/>
  <c r="G265" i="8"/>
  <c r="G476" i="8"/>
  <c r="G1024" i="8"/>
  <c r="G644" i="8"/>
  <c r="G341" i="8"/>
  <c r="J341" i="8" s="1"/>
  <c r="G999" i="8"/>
  <c r="G554" i="8"/>
  <c r="J554" i="8" s="1"/>
  <c r="G544" i="8"/>
  <c r="G1072" i="8"/>
  <c r="G1082" i="8"/>
  <c r="G365" i="8"/>
  <c r="J365" i="8" s="1"/>
  <c r="G162" i="8"/>
  <c r="J162" i="8" s="1"/>
  <c r="G900" i="8"/>
  <c r="J900" i="8" s="1"/>
  <c r="G106" i="8"/>
  <c r="G427" i="8"/>
  <c r="G367" i="8"/>
  <c r="J367" i="8" s="1"/>
  <c r="G221" i="8"/>
  <c r="H910" i="8"/>
  <c r="H654" i="8"/>
  <c r="H972" i="8"/>
  <c r="H868" i="8"/>
  <c r="H620" i="8"/>
  <c r="H596" i="8"/>
  <c r="H580" i="8"/>
  <c r="H188" i="8"/>
  <c r="H912" i="8"/>
  <c r="H407" i="8"/>
  <c r="H945" i="8"/>
  <c r="H586" i="8"/>
  <c r="H748" i="8"/>
  <c r="H246" i="8"/>
  <c r="H194" i="8"/>
  <c r="H342" i="8"/>
  <c r="H1026" i="8"/>
  <c r="H400" i="8"/>
  <c r="H528" i="8"/>
  <c r="I559" i="8"/>
  <c r="K559" i="8" s="1"/>
  <c r="I135" i="8"/>
  <c r="K135" i="8" s="1"/>
  <c r="I965" i="8"/>
  <c r="K965" i="8" s="1"/>
  <c r="I274" i="8"/>
  <c r="I210" i="8"/>
  <c r="I764" i="8"/>
  <c r="I296" i="8"/>
  <c r="K296" i="8" s="1"/>
  <c r="I688" i="8"/>
  <c r="K688" i="8" s="1"/>
  <c r="I531" i="8"/>
  <c r="K531" i="8" s="1"/>
  <c r="I209" i="8"/>
  <c r="H691" i="8"/>
  <c r="H631" i="8"/>
  <c r="H351" i="8"/>
  <c r="H195" i="8"/>
  <c r="H507" i="8"/>
  <c r="H458" i="8"/>
  <c r="H115" i="8"/>
  <c r="H109" i="8"/>
  <c r="H334" i="8"/>
  <c r="H538" i="8"/>
  <c r="H181" i="8"/>
  <c r="H627" i="8"/>
  <c r="H486" i="8"/>
  <c r="H730" i="8"/>
  <c r="I639" i="8"/>
  <c r="K639" i="8" s="1"/>
  <c r="I322" i="8"/>
  <c r="K322" i="8" s="1"/>
  <c r="I854" i="8"/>
  <c r="K854" i="8" s="1"/>
  <c r="I896" i="8"/>
  <c r="H850" i="8"/>
  <c r="H848" i="8"/>
  <c r="H1088" i="8"/>
  <c r="H366" i="8"/>
  <c r="H1028" i="8"/>
  <c r="H916" i="8"/>
  <c r="H797" i="8"/>
  <c r="H604" i="8"/>
  <c r="H340" i="8"/>
  <c r="H284" i="8"/>
  <c r="H119" i="8"/>
  <c r="H640" i="8"/>
  <c r="H629" i="8"/>
  <c r="H232" i="8"/>
  <c r="H683" i="8"/>
  <c r="H122" i="8"/>
  <c r="H291" i="8"/>
  <c r="H1052" i="8"/>
  <c r="H1034" i="8"/>
  <c r="H513" i="8"/>
  <c r="H113" i="8"/>
  <c r="H444" i="8"/>
  <c r="H622" i="8"/>
  <c r="H229" i="8"/>
  <c r="H570" i="8"/>
  <c r="H155" i="8"/>
  <c r="H142" i="8"/>
  <c r="C11" i="11"/>
  <c r="G907" i="8"/>
  <c r="J907" i="8" s="1"/>
  <c r="G983" i="8"/>
  <c r="G204" i="8"/>
  <c r="G1061" i="8"/>
  <c r="G469" i="8"/>
  <c r="G860" i="8"/>
  <c r="G898" i="8"/>
  <c r="G956" i="8"/>
  <c r="J956" i="8" s="1"/>
  <c r="G199" i="8"/>
  <c r="G304" i="8"/>
  <c r="G255" i="8"/>
  <c r="G668" i="8"/>
  <c r="G929" i="8"/>
  <c r="G561" i="8"/>
  <c r="J561" i="8" s="1"/>
  <c r="G1085" i="8"/>
  <c r="J1085" i="8" s="1"/>
  <c r="G208" i="8"/>
  <c r="J208" i="8" s="1"/>
  <c r="G890" i="8"/>
  <c r="J890" i="8" s="1"/>
  <c r="G1029" i="8"/>
  <c r="G496" i="8"/>
  <c r="J496" i="8" s="1"/>
  <c r="G239" i="8"/>
  <c r="J239" i="8" s="1"/>
  <c r="G960" i="8"/>
  <c r="J960" i="8" s="1"/>
  <c r="H753" i="8"/>
  <c r="H441" i="8"/>
  <c r="H145" i="8"/>
  <c r="H897" i="8"/>
  <c r="H502" i="8"/>
  <c r="H1005" i="8"/>
  <c r="H557" i="8"/>
  <c r="H813" i="8"/>
  <c r="H421" i="8"/>
  <c r="H939" i="8"/>
  <c r="H621" i="8"/>
  <c r="H616" i="8"/>
  <c r="H1032" i="8"/>
  <c r="H609" i="8"/>
  <c r="H137" i="8"/>
  <c r="H1087" i="8"/>
  <c r="H859" i="8"/>
  <c r="H831" i="8"/>
  <c r="H172" i="8"/>
  <c r="H641" i="8"/>
  <c r="H599" i="8"/>
  <c r="H1071" i="8"/>
  <c r="H832" i="8"/>
  <c r="H967" i="8"/>
  <c r="H1093" i="8"/>
  <c r="H1059" i="8"/>
  <c r="H632" i="8"/>
  <c r="H234" i="8"/>
  <c r="H125" i="8"/>
  <c r="H582" i="8"/>
  <c r="E75" i="11"/>
  <c r="D74" i="11"/>
  <c r="E76" i="11"/>
  <c r="D75" i="11"/>
  <c r="E68" i="11"/>
  <c r="B56" i="11"/>
  <c r="B82" i="11"/>
  <c r="E77" i="11"/>
  <c r="D76" i="11"/>
  <c r="E69" i="11"/>
  <c r="D68" i="11"/>
  <c r="E78" i="11"/>
  <c r="D77" i="11"/>
  <c r="E70" i="11"/>
  <c r="D69" i="11"/>
  <c r="D78" i="11"/>
  <c r="E71" i="11"/>
  <c r="D70" i="11"/>
  <c r="B83" i="11"/>
  <c r="E72" i="11"/>
  <c r="D71" i="11"/>
  <c r="B66" i="11"/>
  <c r="B81" i="11"/>
  <c r="E73" i="11"/>
  <c r="D72" i="11"/>
  <c r="E74" i="11"/>
  <c r="D73" i="11"/>
  <c r="D7" i="8"/>
  <c r="D24" i="1"/>
  <c r="E24" i="1" s="1"/>
  <c r="J6" i="1"/>
  <c r="K6" i="1" s="1"/>
  <c r="P35" i="2"/>
  <c r="G867" i="8"/>
  <c r="G693" i="8"/>
  <c r="J693" i="8" s="1"/>
  <c r="G230" i="8"/>
  <c r="G126" i="8"/>
  <c r="G1098" i="8"/>
  <c r="J1098" i="8" s="1"/>
  <c r="G733" i="8"/>
  <c r="G545" i="8"/>
  <c r="J545" i="8" s="1"/>
  <c r="G1021" i="8"/>
  <c r="G533" i="8"/>
  <c r="G1099" i="8"/>
  <c r="G872" i="8"/>
  <c r="G212" i="8"/>
  <c r="G597" i="8"/>
  <c r="J597" i="8" s="1"/>
  <c r="G213" i="8"/>
  <c r="G743" i="8"/>
  <c r="J743" i="8" s="1"/>
  <c r="G506" i="8"/>
  <c r="G411" i="8"/>
  <c r="G820" i="8"/>
  <c r="G423" i="8"/>
  <c r="G485" i="8"/>
  <c r="G555" i="8"/>
  <c r="H710" i="8"/>
  <c r="H996" i="8"/>
  <c r="H601" i="8"/>
  <c r="H751" i="8"/>
  <c r="H500" i="8"/>
  <c r="H727" i="8"/>
  <c r="H259" i="8"/>
  <c r="H630" i="8"/>
  <c r="H930" i="8"/>
  <c r="H277" i="8"/>
  <c r="H697" i="8"/>
  <c r="H258" i="8"/>
  <c r="H606" i="8"/>
  <c r="H560" i="8"/>
  <c r="H178" i="8"/>
  <c r="G913" i="8"/>
  <c r="G518" i="8"/>
  <c r="G393" i="8"/>
  <c r="G369" i="8"/>
  <c r="G814" i="8"/>
  <c r="G388" i="8"/>
  <c r="G356" i="8"/>
  <c r="G324" i="8"/>
  <c r="G331" i="8"/>
  <c r="G1074" i="8"/>
  <c r="J1074" i="8" s="1"/>
  <c r="G539" i="8"/>
  <c r="J539" i="8" s="1"/>
  <c r="G932" i="8"/>
  <c r="G490" i="8"/>
  <c r="G170" i="8"/>
  <c r="J170" i="8" s="1"/>
  <c r="I1039" i="8"/>
  <c r="I511" i="8"/>
  <c r="K511" i="8" s="1"/>
  <c r="I875" i="8"/>
  <c r="K875" i="8" s="1"/>
  <c r="I936" i="8"/>
  <c r="K936" i="8" s="1"/>
  <c r="I129" i="8"/>
  <c r="K129" i="8" s="1"/>
  <c r="I405" i="8"/>
  <c r="K405" i="8" s="1"/>
  <c r="I677" i="8"/>
  <c r="K677" i="8" s="1"/>
  <c r="I323" i="8"/>
  <c r="K323" i="8" s="1"/>
  <c r="I301" i="8"/>
  <c r="I1096" i="8"/>
  <c r="K1096" i="8" s="1"/>
  <c r="H700" i="8"/>
  <c r="H345" i="8"/>
  <c r="H297" i="8"/>
  <c r="H574" i="8"/>
  <c r="H866" i="8"/>
  <c r="H919" i="8"/>
  <c r="H1031" i="8"/>
  <c r="H107" i="8"/>
  <c r="I676" i="8"/>
  <c r="K676" i="8" s="1"/>
  <c r="I380" i="8"/>
  <c r="K380" i="8" s="1"/>
  <c r="I447" i="8"/>
  <c r="K447" i="8" s="1"/>
  <c r="I303" i="8"/>
  <c r="I514" i="8"/>
  <c r="K514" i="8" s="1"/>
  <c r="I474" i="8"/>
  <c r="K474" i="8" s="1"/>
  <c r="I445" i="8"/>
  <c r="I253" i="8"/>
  <c r="K253" i="8" s="1"/>
  <c r="I670" i="8"/>
  <c r="K670" i="8" s="1"/>
  <c r="I273" i="8"/>
  <c r="K273" i="8" s="1"/>
  <c r="I413" i="8"/>
  <c r="K413" i="8" s="1"/>
  <c r="I353" i="8"/>
  <c r="I902" i="8"/>
  <c r="I472" i="8"/>
  <c r="I219" i="8"/>
  <c r="I168" i="8"/>
  <c r="H1006" i="8"/>
  <c r="H749" i="8"/>
  <c r="H415" i="8"/>
  <c r="H343" i="8"/>
  <c r="H335" i="8"/>
  <c r="H581" i="8"/>
  <c r="H634" i="8"/>
  <c r="H1067" i="8"/>
  <c r="H154" i="8"/>
  <c r="H430" i="8"/>
  <c r="H958" i="8"/>
  <c r="H926" i="8"/>
  <c r="H1084" i="8"/>
  <c r="H988" i="8"/>
  <c r="H796" i="8"/>
  <c r="H722" i="8"/>
  <c r="H401" i="8"/>
  <c r="H217" i="8"/>
  <c r="H588" i="8"/>
  <c r="H551" i="8"/>
  <c r="H295" i="8"/>
  <c r="H466" i="8"/>
  <c r="H397" i="8"/>
  <c r="H746" i="8"/>
  <c r="H110" i="8"/>
  <c r="H776" i="8"/>
  <c r="H922" i="8"/>
  <c r="H714" i="8"/>
  <c r="H197" i="8"/>
  <c r="G889" i="8"/>
  <c r="G853" i="8"/>
  <c r="G414" i="8"/>
  <c r="G669" i="8"/>
  <c r="G553" i="8"/>
  <c r="J553" i="8" s="1"/>
  <c r="G473" i="8"/>
  <c r="J473" i="8" s="1"/>
  <c r="G991" i="8"/>
  <c r="G252" i="8"/>
  <c r="J252" i="8" s="1"/>
  <c r="G879" i="8"/>
  <c r="J879" i="8" s="1"/>
  <c r="G807" i="8"/>
  <c r="G325" i="8"/>
  <c r="G615" i="8"/>
  <c r="J615" i="8" s="1"/>
  <c r="G317" i="8"/>
  <c r="J317" i="8" s="1"/>
  <c r="G721" i="8"/>
  <c r="J721" i="8" s="1"/>
  <c r="I817" i="8"/>
  <c r="I895" i="8"/>
  <c r="K895" i="8" s="1"/>
  <c r="I863" i="8"/>
  <c r="K863" i="8" s="1"/>
  <c r="I524" i="8"/>
  <c r="I140" i="8"/>
  <c r="I652" i="8"/>
  <c r="I527" i="8"/>
  <c r="K527" i="8" s="1"/>
  <c r="I103" i="8"/>
  <c r="K103" i="8" s="1"/>
  <c r="I997" i="8"/>
  <c r="I144" i="8"/>
  <c r="K144" i="8" s="1"/>
  <c r="I1014" i="8"/>
  <c r="I787" i="8"/>
  <c r="I237" i="8"/>
  <c r="I724" i="8"/>
  <c r="I163" i="8"/>
  <c r="K163" i="8" s="1"/>
  <c r="I139" i="8"/>
  <c r="K139" i="8" s="1"/>
  <c r="I454" i="8"/>
  <c r="I549" i="8"/>
  <c r="I595" i="8"/>
  <c r="K595" i="8" s="1"/>
  <c r="H638" i="8"/>
  <c r="H1064" i="8"/>
  <c r="H569" i="8"/>
  <c r="H645" i="8"/>
  <c r="H492" i="8"/>
  <c r="H865" i="8"/>
  <c r="H856" i="8"/>
  <c r="H424" i="8"/>
  <c r="H349" i="8"/>
  <c r="H739" i="8"/>
  <c r="H614" i="8"/>
  <c r="H943" i="8"/>
  <c r="H550" i="8"/>
  <c r="H354" i="8"/>
  <c r="H998" i="8"/>
  <c r="H974" i="8"/>
  <c r="H1004" i="8"/>
  <c r="H836" i="8"/>
  <c r="H465" i="8"/>
  <c r="H861" i="8"/>
  <c r="H372" i="8"/>
  <c r="H946" i="8"/>
  <c r="H880" i="8"/>
  <c r="H567" i="8"/>
  <c r="H1016" i="8"/>
  <c r="H975" i="8"/>
  <c r="H971" i="8"/>
  <c r="H605" i="8"/>
  <c r="H309" i="8"/>
  <c r="H712" i="8"/>
  <c r="H360" i="8"/>
  <c r="H563" i="8"/>
  <c r="H184" i="8"/>
  <c r="H395" i="8"/>
  <c r="I412" i="8"/>
  <c r="I391" i="8"/>
  <c r="I948" i="8"/>
  <c r="K948" i="8" s="1"/>
  <c r="I562" i="8"/>
  <c r="I433" i="8"/>
  <c r="I371" i="8"/>
  <c r="K371" i="8" s="1"/>
  <c r="I858" i="8"/>
  <c r="I593" i="8"/>
  <c r="I165" i="8"/>
  <c r="K165" i="8" s="1"/>
  <c r="I715" i="8"/>
  <c r="I481" i="8"/>
  <c r="K481" i="8" s="1"/>
  <c r="I649" i="8"/>
  <c r="I1023" i="8"/>
  <c r="K1023" i="8" s="1"/>
  <c r="I348" i="8"/>
  <c r="I1008" i="8"/>
  <c r="I803" i="8"/>
  <c r="I1101" i="8"/>
  <c r="I568" i="8"/>
  <c r="K568" i="8" s="1"/>
  <c r="I435" i="8"/>
  <c r="K435" i="8" s="1"/>
  <c r="I679" i="8"/>
  <c r="I153" i="8"/>
  <c r="K153" i="8" s="1"/>
  <c r="I120" i="8"/>
  <c r="H268" i="8"/>
  <c r="H543" i="8"/>
  <c r="H1013" i="8"/>
  <c r="H772" i="8"/>
  <c r="H855" i="8"/>
  <c r="H984" i="8"/>
  <c r="H909" i="8"/>
  <c r="H626" i="8"/>
  <c r="H546" i="8"/>
  <c r="G821" i="8"/>
  <c r="J821" i="8" s="1"/>
  <c r="G422" i="8"/>
  <c r="J422" i="8" s="1"/>
  <c r="G382" i="8"/>
  <c r="J382" i="8" s="1"/>
  <c r="G254" i="8"/>
  <c r="J254" i="8" s="1"/>
  <c r="G118" i="8"/>
  <c r="J118" i="8" s="1"/>
  <c r="G661" i="8"/>
  <c r="J661" i="8" s="1"/>
  <c r="G584" i="8"/>
  <c r="J584" i="8" s="1"/>
  <c r="G954" i="8"/>
  <c r="J954" i="8" s="1"/>
  <c r="G384" i="8"/>
  <c r="J384" i="8" s="1"/>
  <c r="G552" i="8"/>
  <c r="J552" i="8" s="1"/>
  <c r="G541" i="8"/>
  <c r="J541" i="8" s="1"/>
  <c r="G1011" i="8"/>
  <c r="J1011" i="8" s="1"/>
  <c r="G206" i="8"/>
  <c r="J206" i="8" s="1"/>
  <c r="G198" i="8"/>
  <c r="J198" i="8" s="1"/>
  <c r="G678" i="8"/>
  <c r="J678" i="8" s="1"/>
  <c r="G201" i="8"/>
  <c r="J201" i="8" s="1"/>
  <c r="G428" i="8"/>
  <c r="J428" i="8" s="1"/>
  <c r="G708" i="8"/>
  <c r="J708" i="8" s="1"/>
  <c r="G242" i="8"/>
  <c r="J242" i="8" s="1"/>
  <c r="G944" i="8"/>
  <c r="J944" i="8" s="1"/>
  <c r="G475" i="8"/>
  <c r="J475" i="8" s="1"/>
  <c r="G352" i="8"/>
  <c r="J352" i="8" s="1"/>
  <c r="G136" i="8"/>
  <c r="J136" i="8" s="1"/>
  <c r="G442" i="8"/>
  <c r="J442" i="8" s="1"/>
  <c r="G173" i="8"/>
  <c r="J173" i="8" s="1"/>
  <c r="I420" i="8"/>
  <c r="I976" i="8"/>
  <c r="K976" i="8" s="1"/>
  <c r="I530" i="8"/>
  <c r="K530" i="8" s="1"/>
  <c r="I305" i="8"/>
  <c r="I133" i="8"/>
  <c r="K133" i="8" s="1"/>
  <c r="I558" i="8"/>
  <c r="I1056" i="8"/>
  <c r="I193" i="8"/>
  <c r="I189" i="8"/>
  <c r="K189" i="8" s="1"/>
  <c r="H934" i="8"/>
  <c r="H878" i="8"/>
  <c r="H876" i="8"/>
  <c r="H828" i="8"/>
  <c r="H1081" i="8"/>
  <c r="H1017" i="8"/>
  <c r="H577" i="8"/>
  <c r="H169" i="8"/>
  <c r="H773" i="8"/>
  <c r="H687" i="8"/>
  <c r="H784" i="8"/>
  <c r="H841" i="8"/>
  <c r="H695" i="8"/>
  <c r="H986" i="8"/>
  <c r="H440" i="8"/>
  <c r="H176" i="8"/>
  <c r="H1020" i="8"/>
  <c r="H289" i="8"/>
  <c r="H1083" i="8"/>
  <c r="H731" i="8"/>
  <c r="H468" i="8"/>
  <c r="H1042" i="8"/>
  <c r="H716" i="8"/>
  <c r="H402" i="8"/>
  <c r="H517" i="8"/>
  <c r="H947" i="8"/>
  <c r="H637" i="8"/>
  <c r="H187" i="8"/>
  <c r="H437" i="8"/>
  <c r="H373" i="8"/>
  <c r="G771" i="8"/>
  <c r="J771" i="8" s="1"/>
  <c r="G977" i="8"/>
  <c r="J977" i="8" s="1"/>
  <c r="G969" i="8"/>
  <c r="J969" i="8" s="1"/>
  <c r="G321" i="8"/>
  <c r="J321" i="8" s="1"/>
  <c r="G121" i="8"/>
  <c r="J121" i="8" s="1"/>
  <c r="G942" i="8"/>
  <c r="J942" i="8" s="1"/>
  <c r="G740" i="8"/>
  <c r="J740" i="8" s="1"/>
  <c r="G292" i="8"/>
  <c r="J292" i="8" s="1"/>
  <c r="G244" i="8"/>
  <c r="J244" i="8" s="1"/>
  <c r="G911" i="8"/>
  <c r="J911" i="8" s="1"/>
  <c r="G962" i="8"/>
  <c r="J962" i="8" s="1"/>
  <c r="G1007" i="8"/>
  <c r="J1007" i="8" s="1"/>
  <c r="G443" i="8"/>
  <c r="J443" i="8" s="1"/>
  <c r="G320" i="8"/>
  <c r="J320" i="8" s="1"/>
  <c r="G760" i="8"/>
  <c r="J760" i="8" s="1"/>
  <c r="I575" i="8"/>
  <c r="I747" i="8"/>
  <c r="K747" i="8" s="1"/>
  <c r="I1054" i="8"/>
  <c r="K1054" i="8" s="1"/>
  <c r="I664" i="8"/>
  <c r="K664" i="8" s="1"/>
  <c r="I920" i="8"/>
  <c r="K920" i="8" s="1"/>
  <c r="I810" i="8"/>
  <c r="K810" i="8" s="1"/>
  <c r="I598" i="8"/>
  <c r="K598" i="8" s="1"/>
  <c r="I741" i="8"/>
  <c r="K741" i="8" s="1"/>
  <c r="I789" i="8"/>
  <c r="I671" i="8"/>
  <c r="I923" i="8"/>
  <c r="I175" i="8"/>
  <c r="I899" i="8"/>
  <c r="K899" i="8" s="1"/>
  <c r="I522" i="8"/>
  <c r="I410" i="8"/>
  <c r="I381" i="8"/>
  <c r="I1045" i="8"/>
  <c r="I534" i="8"/>
  <c r="I461" i="8"/>
  <c r="I802" i="8"/>
  <c r="I757" i="8"/>
  <c r="K757" i="8" s="1"/>
  <c r="I1060" i="8"/>
  <c r="I1001" i="8"/>
  <c r="K1001" i="8" s="1"/>
  <c r="I953" i="8"/>
  <c r="K953" i="8" s="1"/>
  <c r="I951" i="8"/>
  <c r="I908" i="8"/>
  <c r="I643" i="8"/>
  <c r="I231" i="8"/>
  <c r="I767" i="8"/>
  <c r="K767" i="8" s="1"/>
  <c r="I202" i="8"/>
  <c r="I830" i="8"/>
  <c r="K830" i="8" s="1"/>
  <c r="I706" i="8"/>
  <c r="I1058" i="8"/>
  <c r="I521" i="8"/>
  <c r="I257" i="8"/>
  <c r="I686" i="8"/>
  <c r="G857" i="8"/>
  <c r="J857" i="8" s="1"/>
  <c r="G510" i="8"/>
  <c r="G711" i="8"/>
  <c r="J711" i="8" s="1"/>
  <c r="G220" i="8"/>
  <c r="J220" i="8" s="1"/>
  <c r="G882" i="8"/>
  <c r="G104" i="8"/>
  <c r="J104" i="8" s="1"/>
  <c r="G426" i="8"/>
  <c r="I1031" i="8"/>
  <c r="K1031" i="8" s="1"/>
  <c r="I919" i="8"/>
  <c r="K919" i="8" s="1"/>
  <c r="I866" i="8"/>
  <c r="I107" i="8"/>
  <c r="K107" i="8" s="1"/>
  <c r="I574" i="8"/>
  <c r="K574" i="8" s="1"/>
  <c r="I700" i="8"/>
  <c r="I345" i="8"/>
  <c r="I297" i="8"/>
  <c r="G902" i="8"/>
  <c r="G353" i="8"/>
  <c r="J353" i="8" s="1"/>
  <c r="G273" i="8"/>
  <c r="G676" i="8"/>
  <c r="J676" i="8" s="1"/>
  <c r="G380" i="8"/>
  <c r="J380" i="8" s="1"/>
  <c r="G670" i="8"/>
  <c r="J670" i="8" s="1"/>
  <c r="G474" i="8"/>
  <c r="J474" i="8" s="1"/>
  <c r="G219" i="8"/>
  <c r="J219" i="8" s="1"/>
  <c r="G413" i="8"/>
  <c r="J413" i="8" s="1"/>
  <c r="G168" i="8"/>
  <c r="J168" i="8" s="1"/>
  <c r="G447" i="8"/>
  <c r="G253" i="8"/>
  <c r="J253" i="8" s="1"/>
  <c r="G303" i="8"/>
  <c r="J303" i="8" s="1"/>
  <c r="G514" i="8"/>
  <c r="J514" i="8" s="1"/>
  <c r="G472" i="8"/>
  <c r="G445" i="8"/>
  <c r="J445" i="8" s="1"/>
  <c r="G949" i="8"/>
  <c r="J949" i="8" s="1"/>
  <c r="G1055" i="8"/>
  <c r="J1055" i="8" s="1"/>
  <c r="G959" i="8"/>
  <c r="G1095" i="8"/>
  <c r="G894" i="8"/>
  <c r="J894" i="8" s="1"/>
  <c r="G479" i="8"/>
  <c r="J479" i="8" s="1"/>
  <c r="G778" i="8"/>
  <c r="J778" i="8" s="1"/>
  <c r="G451" i="8"/>
  <c r="J451" i="8" s="1"/>
  <c r="G338" i="8"/>
  <c r="J338" i="8" s="1"/>
  <c r="G1063" i="8"/>
  <c r="J1063" i="8" s="1"/>
  <c r="G285" i="8"/>
  <c r="J285" i="8" s="1"/>
  <c r="G293" i="8"/>
  <c r="G869" i="8"/>
  <c r="G299" i="8"/>
  <c r="J299" i="8" s="1"/>
  <c r="G483" i="8"/>
  <c r="J483" i="8" s="1"/>
  <c r="G578" i="8"/>
  <c r="J578" i="8" s="1"/>
  <c r="I588" i="8"/>
  <c r="I551" i="8"/>
  <c r="K551" i="8" s="1"/>
  <c r="I295" i="8"/>
  <c r="I714" i="8"/>
  <c r="K714" i="8" s="1"/>
  <c r="I466" i="8"/>
  <c r="K466" i="8" s="1"/>
  <c r="I746" i="8"/>
  <c r="K746" i="8" s="1"/>
  <c r="I197" i="8"/>
  <c r="I1084" i="8"/>
  <c r="K1084" i="8" s="1"/>
  <c r="I958" i="8"/>
  <c r="I722" i="8"/>
  <c r="K722" i="8" s="1"/>
  <c r="I988" i="8"/>
  <c r="I922" i="8"/>
  <c r="I776" i="8"/>
  <c r="I926" i="8"/>
  <c r="K926" i="8" s="1"/>
  <c r="I110" i="8"/>
  <c r="I397" i="8"/>
  <c r="K397" i="8" s="1"/>
  <c r="I401" i="8"/>
  <c r="K401" i="8" s="1"/>
  <c r="I217" i="8"/>
  <c r="K217" i="8" s="1"/>
  <c r="I796" i="8"/>
  <c r="K796" i="8" s="1"/>
  <c r="I889" i="8"/>
  <c r="I721" i="8"/>
  <c r="K721" i="8" s="1"/>
  <c r="I991" i="8"/>
  <c r="I879" i="8"/>
  <c r="I807" i="8"/>
  <c r="K807" i="8" s="1"/>
  <c r="I252" i="8"/>
  <c r="K252" i="8" s="1"/>
  <c r="I615" i="8"/>
  <c r="K615" i="8" s="1"/>
  <c r="I325" i="8"/>
  <c r="I553" i="8"/>
  <c r="K553" i="8" s="1"/>
  <c r="I317" i="8"/>
  <c r="K317" i="8" s="1"/>
  <c r="I669" i="8"/>
  <c r="I853" i="8"/>
  <c r="I473" i="8"/>
  <c r="K473" i="8" s="1"/>
  <c r="I414" i="8"/>
  <c r="G1043" i="8"/>
  <c r="J1043" i="8" s="1"/>
  <c r="G1041" i="8"/>
  <c r="G885" i="8"/>
  <c r="J885" i="8" s="1"/>
  <c r="G968" i="8"/>
  <c r="J968" i="8" s="1"/>
  <c r="G842" i="8"/>
  <c r="J842" i="8" s="1"/>
  <c r="G680" i="8"/>
  <c r="G236" i="8"/>
  <c r="G267" i="8"/>
  <c r="J267" i="8" s="1"/>
  <c r="G591" i="8"/>
  <c r="J591" i="8" s="1"/>
  <c r="G571" i="8"/>
  <c r="G251" i="8"/>
  <c r="G758" i="8"/>
  <c r="J758" i="8" s="1"/>
  <c r="G674" i="8"/>
  <c r="G283" i="8"/>
  <c r="J283" i="8" s="1"/>
  <c r="I865" i="8"/>
  <c r="K865" i="8" s="1"/>
  <c r="I943" i="8"/>
  <c r="K943" i="8" s="1"/>
  <c r="I645" i="8"/>
  <c r="K645" i="8" s="1"/>
  <c r="I492" i="8"/>
  <c r="I354" i="8"/>
  <c r="K354" i="8" s="1"/>
  <c r="I638" i="8"/>
  <c r="K638" i="8" s="1"/>
  <c r="I1064" i="8"/>
  <c r="K1064" i="8" s="1"/>
  <c r="I739" i="8"/>
  <c r="K739" i="8" s="1"/>
  <c r="I550" i="8"/>
  <c r="I856" i="8"/>
  <c r="K856" i="8" s="1"/>
  <c r="I424" i="8"/>
  <c r="K424" i="8" s="1"/>
  <c r="I569" i="8"/>
  <c r="I349" i="8"/>
  <c r="K349" i="8" s="1"/>
  <c r="I614" i="8"/>
  <c r="K614" i="8" s="1"/>
  <c r="I975" i="8"/>
  <c r="K975" i="8" s="1"/>
  <c r="I1004" i="8"/>
  <c r="K1004" i="8" s="1"/>
  <c r="I861" i="8"/>
  <c r="I372" i="8"/>
  <c r="I974" i="8"/>
  <c r="K974" i="8" s="1"/>
  <c r="I946" i="8"/>
  <c r="K946" i="8" s="1"/>
  <c r="I880" i="8"/>
  <c r="K880" i="8" s="1"/>
  <c r="I567" i="8"/>
  <c r="K567" i="8" s="1"/>
  <c r="I1016" i="8"/>
  <c r="K1016" i="8" s="1"/>
  <c r="I563" i="8"/>
  <c r="I712" i="8"/>
  <c r="K712" i="8" s="1"/>
  <c r="I465" i="8"/>
  <c r="K465" i="8" s="1"/>
  <c r="I836" i="8"/>
  <c r="K836" i="8" s="1"/>
  <c r="I360" i="8"/>
  <c r="I395" i="8"/>
  <c r="K395" i="8" s="1"/>
  <c r="I309" i="8"/>
  <c r="I184" i="8"/>
  <c r="K184" i="8" s="1"/>
  <c r="I971" i="8"/>
  <c r="I605" i="8"/>
  <c r="I998" i="8"/>
  <c r="K998" i="8" s="1"/>
  <c r="H1070" i="8"/>
  <c r="H755" i="8"/>
  <c r="H656" i="8"/>
  <c r="H132" i="8"/>
  <c r="H1075" i="8"/>
  <c r="H941" i="8"/>
  <c r="H701" i="8"/>
  <c r="H192" i="8"/>
  <c r="H238" i="8"/>
  <c r="H823" i="8"/>
  <c r="H1048" i="8"/>
  <c r="H218" i="8"/>
  <c r="H214" i="8"/>
  <c r="H523" i="8"/>
  <c r="H504" i="8"/>
  <c r="H851" i="8"/>
  <c r="G1091" i="8"/>
  <c r="J1091" i="8" s="1"/>
  <c r="G881" i="8"/>
  <c r="G768" i="8"/>
  <c r="G294" i="8"/>
  <c r="J294" i="8" s="1"/>
  <c r="G180" i="8"/>
  <c r="G602" i="8"/>
  <c r="G696" i="8"/>
  <c r="G845" i="8"/>
  <c r="J845" i="8" s="1"/>
  <c r="G131" i="8"/>
  <c r="J131" i="8" s="1"/>
  <c r="G980" i="8"/>
  <c r="G512" i="8"/>
  <c r="G994" i="8"/>
  <c r="G1076" i="8"/>
  <c r="I1009" i="8"/>
  <c r="I737" i="8"/>
  <c r="K737" i="8" s="1"/>
  <c r="I548" i="8"/>
  <c r="K548" i="8" s="1"/>
  <c r="I460" i="8"/>
  <c r="K460" i="8" s="1"/>
  <c r="I330" i="8"/>
  <c r="K330" i="8" s="1"/>
  <c r="I281" i="8"/>
  <c r="K281" i="8" s="1"/>
  <c r="H1046" i="8"/>
  <c r="H862" i="8"/>
  <c r="H505" i="8"/>
  <c r="H497" i="8"/>
  <c r="H313" i="8"/>
  <c r="H276" i="8"/>
  <c r="H1089" i="8"/>
  <c r="H928" i="8"/>
  <c r="H819" i="8"/>
  <c r="H205" i="8"/>
  <c r="H736" i="8"/>
  <c r="H805" i="8"/>
  <c r="H434" i="8"/>
  <c r="H386" i="8"/>
  <c r="H839" i="8"/>
  <c r="H298" i="8"/>
  <c r="H158" i="8"/>
  <c r="H432" i="8"/>
  <c r="H788" i="8"/>
  <c r="H793" i="8"/>
  <c r="H105" i="8"/>
  <c r="H196" i="8"/>
  <c r="H685" i="8"/>
  <c r="H583" i="8"/>
  <c r="H471" i="8"/>
  <c r="H873" i="8"/>
  <c r="H791" i="8"/>
  <c r="H1077" i="8"/>
  <c r="H166" i="8"/>
  <c r="H501" i="8"/>
  <c r="H112" i="8"/>
  <c r="H653" i="8"/>
  <c r="H182" i="8"/>
  <c r="H610" i="8"/>
  <c r="H314" i="8"/>
  <c r="H336" i="8"/>
  <c r="I705" i="8"/>
  <c r="K705" i="8" s="1"/>
  <c r="I1015" i="8"/>
  <c r="K1015" i="8" s="1"/>
  <c r="I891" i="8"/>
  <c r="I827" i="8"/>
  <c r="I532" i="8"/>
  <c r="I1044" i="8"/>
  <c r="I618" i="8"/>
  <c r="I370" i="8"/>
  <c r="K370" i="8" s="1"/>
  <c r="I870" i="8"/>
  <c r="K870" i="8" s="1"/>
  <c r="I489" i="8"/>
  <c r="K489" i="8" s="1"/>
  <c r="I800" i="8"/>
  <c r="K800" i="8" s="1"/>
  <c r="I1062" i="8"/>
  <c r="K1062" i="8" s="1"/>
  <c r="I804" i="8"/>
  <c r="K804" i="8" s="1"/>
  <c r="I536" i="8"/>
  <c r="I464" i="8"/>
  <c r="H925" i="8"/>
  <c r="H665" i="8"/>
  <c r="H572" i="8"/>
  <c r="H108" i="8"/>
  <c r="H738" i="8"/>
  <c r="H690" i="8"/>
  <c r="H379" i="8"/>
  <c r="H171" i="8"/>
  <c r="H809" i="8"/>
  <c r="H973" i="8"/>
  <c r="H592" i="8"/>
  <c r="G1027" i="8"/>
  <c r="G1033" i="8"/>
  <c r="J1033" i="8" s="1"/>
  <c r="G438" i="8"/>
  <c r="J438" i="8" s="1"/>
  <c r="G406" i="8"/>
  <c r="J406" i="8" s="1"/>
  <c r="G940" i="8"/>
  <c r="J940" i="8" s="1"/>
  <c r="G377" i="8"/>
  <c r="J377" i="8" s="1"/>
  <c r="G161" i="8"/>
  <c r="J161" i="8" s="1"/>
  <c r="G822" i="8"/>
  <c r="J822" i="8" s="1"/>
  <c r="G311" i="8"/>
  <c r="G167" i="8"/>
  <c r="G152" i="8"/>
  <c r="J152" i="8" s="1"/>
  <c r="G256" i="8"/>
  <c r="G659" i="8"/>
  <c r="G682" i="8"/>
  <c r="J682" i="8" s="1"/>
  <c r="G526" i="8"/>
  <c r="J526" i="8" s="1"/>
  <c r="G390" i="8"/>
  <c r="G350" i="8"/>
  <c r="G508" i="8"/>
  <c r="J508" i="8" s="1"/>
  <c r="G436" i="8"/>
  <c r="J436" i="8" s="1"/>
  <c r="G663" i="8"/>
  <c r="G933" i="8"/>
  <c r="G179" i="8"/>
  <c r="G657" i="8"/>
  <c r="G111" i="8"/>
  <c r="I782" i="8"/>
  <c r="I431" i="8"/>
  <c r="K431" i="8" s="1"/>
  <c r="I247" i="8"/>
  <c r="K247" i="8" s="1"/>
  <c r="I672" i="8"/>
  <c r="I904" i="8"/>
  <c r="K904" i="8" s="1"/>
  <c r="I453" i="8"/>
  <c r="I1000" i="8"/>
  <c r="K1000" i="8" s="1"/>
  <c r="I117" i="8"/>
  <c r="K117" i="8" s="1"/>
  <c r="H990" i="8"/>
  <c r="H886" i="8"/>
  <c r="H1012" i="8"/>
  <c r="H233" i="8"/>
  <c r="H564" i="8"/>
  <c r="H607" i="8"/>
  <c r="H1003" i="8"/>
  <c r="H576" i="8"/>
  <c r="H547" i="8"/>
  <c r="H587" i="8"/>
  <c r="H756" i="8"/>
  <c r="H326" i="8"/>
  <c r="H770" i="8"/>
  <c r="H1069" i="8"/>
  <c r="G811" i="8"/>
  <c r="G704" i="8"/>
  <c r="J704" i="8" s="1"/>
  <c r="G150" i="8"/>
  <c r="G457" i="8"/>
  <c r="G594" i="8"/>
  <c r="G450" i="8"/>
  <c r="G403" i="8"/>
  <c r="G344" i="8"/>
  <c r="J344" i="8" s="1"/>
  <c r="G1022" i="8"/>
  <c r="J1022" i="8" s="1"/>
  <c r="G480" i="8"/>
  <c r="H1094" i="8"/>
  <c r="H694" i="8"/>
  <c r="H874" i="8"/>
  <c r="H463" i="8"/>
  <c r="H1037" i="8"/>
  <c r="H446" i="8"/>
  <c r="H269" i="8"/>
  <c r="H1092" i="8"/>
  <c r="H1068" i="8"/>
  <c r="H658" i="8"/>
  <c r="H249" i="8"/>
  <c r="H1053" i="8"/>
  <c r="H308" i="8"/>
  <c r="H127" i="8"/>
  <c r="H735" i="8"/>
  <c r="H470" i="8"/>
  <c r="H272" i="8"/>
  <c r="H216" i="8"/>
  <c r="H282" i="8"/>
  <c r="G1019" i="8"/>
  <c r="G937" i="8"/>
  <c r="G887" i="8"/>
  <c r="J887" i="8" s="1"/>
  <c r="G478" i="8"/>
  <c r="J478" i="8" s="1"/>
  <c r="G398" i="8"/>
  <c r="J398" i="8" s="1"/>
  <c r="G647" i="8"/>
  <c r="G537" i="8"/>
  <c r="J537" i="8" s="1"/>
  <c r="G449" i="8"/>
  <c r="J449" i="8" s="1"/>
  <c r="G799" i="8"/>
  <c r="G540" i="8"/>
  <c r="G287" i="8"/>
  <c r="G815" i="8"/>
  <c r="J815" i="8" s="1"/>
  <c r="G1018" i="8"/>
  <c r="J1018" i="8" s="1"/>
  <c r="G271" i="8"/>
  <c r="G498" i="8"/>
  <c r="G488" i="8"/>
  <c r="G603" i="8"/>
  <c r="G519" i="8"/>
  <c r="G774" i="8"/>
  <c r="G781" i="8"/>
  <c r="J781" i="8" s="1"/>
  <c r="G985" i="8"/>
  <c r="J985" i="8" s="1"/>
  <c r="G494" i="8"/>
  <c r="G337" i="8"/>
  <c r="G846" i="8"/>
  <c r="J846" i="8" s="1"/>
  <c r="G364" i="8"/>
  <c r="G1078" i="8"/>
  <c r="G159" i="8"/>
  <c r="G754" i="8"/>
  <c r="G151" i="8"/>
  <c r="J151" i="8" s="1"/>
  <c r="G565" i="8"/>
  <c r="G368" i="8"/>
  <c r="J368" i="8" s="1"/>
  <c r="G123" i="8"/>
  <c r="J123" i="8" s="1"/>
  <c r="G759" i="8"/>
  <c r="G462" i="8"/>
  <c r="G361" i="8"/>
  <c r="J361" i="8" s="1"/>
  <c r="G177" i="8"/>
  <c r="J177" i="8" s="1"/>
  <c r="G989" i="8"/>
  <c r="J989" i="8" s="1"/>
  <c r="G893" i="8"/>
  <c r="G718" i="8"/>
  <c r="G636" i="8"/>
  <c r="J636" i="8" s="1"/>
  <c r="G556" i="8"/>
  <c r="G404" i="8"/>
  <c r="G535" i="8"/>
  <c r="G903" i="8"/>
  <c r="J903" i="8" s="1"/>
  <c r="G248" i="8"/>
  <c r="J248" i="8" s="1"/>
  <c r="G128" i="8"/>
  <c r="G439" i="8"/>
  <c r="J439" i="8" s="1"/>
  <c r="G186" i="8"/>
  <c r="G215" i="8"/>
  <c r="G275" i="8"/>
  <c r="G141" i="8"/>
  <c r="J141" i="8" s="1"/>
  <c r="G399" i="8"/>
  <c r="J399" i="8" s="1"/>
  <c r="G130" i="8"/>
  <c r="J130" i="8" s="1"/>
  <c r="G419" i="8"/>
  <c r="G279" i="8"/>
  <c r="I1049" i="8"/>
  <c r="I1025" i="8"/>
  <c r="I761" i="8"/>
  <c r="I689" i="8"/>
  <c r="K689" i="8" s="1"/>
  <c r="I1100" i="8"/>
  <c r="K1100" i="8" s="1"/>
  <c r="I957" i="8"/>
  <c r="K957" i="8" s="1"/>
  <c r="I995" i="8"/>
  <c r="I725" i="8"/>
  <c r="I794" i="8"/>
  <c r="I883" i="8"/>
  <c r="I509" i="8"/>
  <c r="I1090" i="8"/>
  <c r="I964" i="8"/>
  <c r="K964" i="8" s="1"/>
  <c r="I651" i="8"/>
  <c r="K651" i="8" s="1"/>
  <c r="I611" i="8"/>
  <c r="I288" i="8"/>
  <c r="K288" i="8" s="1"/>
  <c r="I363" i="8"/>
  <c r="I877" i="8"/>
  <c r="H625" i="8"/>
  <c r="H241" i="8"/>
  <c r="H452" i="8"/>
  <c r="H200" i="8"/>
  <c r="H635" i="8"/>
  <c r="H315" i="8"/>
  <c r="H347" i="8"/>
  <c r="H222" i="8"/>
  <c r="H992" i="8"/>
  <c r="H227" i="8"/>
  <c r="H240" i="8"/>
  <c r="H648" i="8"/>
  <c r="H702" i="8"/>
  <c r="H900" i="8"/>
  <c r="H844" i="8"/>
  <c r="H1002" i="8"/>
  <c r="H744" i="8"/>
  <c r="H265" i="8"/>
  <c r="H476" i="8"/>
  <c r="H1072" i="8"/>
  <c r="H367" i="8"/>
  <c r="H999" i="8"/>
  <c r="H1024" i="8"/>
  <c r="H341" i="8"/>
  <c r="H106" i="8"/>
  <c r="H544" i="8"/>
  <c r="H644" i="8"/>
  <c r="H1082" i="8"/>
  <c r="H365" i="8"/>
  <c r="H221" i="8"/>
  <c r="H427" i="8"/>
  <c r="H162" i="8"/>
  <c r="H554" i="8"/>
  <c r="I713" i="8"/>
  <c r="I955" i="8"/>
  <c r="K955" i="8" s="1"/>
  <c r="I1010" i="8"/>
  <c r="K1010" i="8" s="1"/>
  <c r="I487" i="8"/>
  <c r="I455" i="8"/>
  <c r="K455" i="8" s="1"/>
  <c r="I692" i="8"/>
  <c r="I374" i="8"/>
  <c r="I660" i="8"/>
  <c r="I675" i="8"/>
  <c r="K675" i="8" s="1"/>
  <c r="I529" i="8"/>
  <c r="K529" i="8" s="1"/>
  <c r="I278" i="8"/>
  <c r="K278" i="8" s="1"/>
  <c r="I262" i="8"/>
  <c r="G764" i="8"/>
  <c r="J764" i="8" s="1"/>
  <c r="G209" i="8"/>
  <c r="J209" i="8" s="1"/>
  <c r="G688" i="8"/>
  <c r="J688" i="8" s="1"/>
  <c r="G965" i="8"/>
  <c r="J965" i="8" s="1"/>
  <c r="G274" i="8"/>
  <c r="J274" i="8" s="1"/>
  <c r="G531" i="8"/>
  <c r="J531" i="8" s="1"/>
  <c r="G296" i="8"/>
  <c r="J296" i="8" s="1"/>
  <c r="G210" i="8"/>
  <c r="G135" i="8"/>
  <c r="J135" i="8" s="1"/>
  <c r="G559" i="8"/>
  <c r="J559" i="8" s="1"/>
  <c r="I631" i="8"/>
  <c r="I351" i="8"/>
  <c r="K351" i="8" s="1"/>
  <c r="I538" i="8"/>
  <c r="K538" i="8" s="1"/>
  <c r="I458" i="8"/>
  <c r="K458" i="8" s="1"/>
  <c r="I507" i="8"/>
  <c r="K507" i="8" s="1"/>
  <c r="I627" i="8"/>
  <c r="K627" i="8" s="1"/>
  <c r="I730" i="8"/>
  <c r="I195" i="8"/>
  <c r="K195" i="8" s="1"/>
  <c r="I334" i="8"/>
  <c r="I109" i="8"/>
  <c r="K109" i="8" s="1"/>
  <c r="I486" i="8"/>
  <c r="K486" i="8" s="1"/>
  <c r="I181" i="8"/>
  <c r="K181" i="8" s="1"/>
  <c r="I115" i="8"/>
  <c r="K115" i="8" s="1"/>
  <c r="I691" i="8"/>
  <c r="I850" i="8"/>
  <c r="K850" i="8" s="1"/>
  <c r="I848" i="8"/>
  <c r="K848" i="8" s="1"/>
  <c r="I1088" i="8"/>
  <c r="I366" i="8"/>
  <c r="H884" i="8"/>
  <c r="H840" i="8"/>
  <c r="H927" i="8"/>
  <c r="H396" i="8"/>
  <c r="H116" i="8"/>
  <c r="H223" i="8"/>
  <c r="H931" i="8"/>
  <c r="H1097" i="8"/>
  <c r="H1080" i="8"/>
  <c r="H499" i="8"/>
  <c r="H952" i="8"/>
  <c r="H719" i="8"/>
  <c r="H613" i="8"/>
  <c r="H723" i="8"/>
  <c r="H149" i="8"/>
  <c r="I444" i="8"/>
  <c r="K444" i="8" s="1"/>
  <c r="I570" i="8"/>
  <c r="K570" i="8" s="1"/>
  <c r="I113" i="8"/>
  <c r="I622" i="8"/>
  <c r="K622" i="8" s="1"/>
  <c r="I513" i="8"/>
  <c r="I1034" i="8"/>
  <c r="K1034" i="8" s="1"/>
  <c r="I229" i="8"/>
  <c r="K229" i="8" s="1"/>
  <c r="I155" i="8"/>
  <c r="K155" i="8" s="1"/>
  <c r="I1052" i="8"/>
  <c r="K1052" i="8" s="1"/>
  <c r="I142" i="8"/>
  <c r="K142" i="8" s="1"/>
  <c r="E11" i="11"/>
  <c r="I983" i="8"/>
  <c r="K983" i="8" s="1"/>
  <c r="I204" i="8"/>
  <c r="I255" i="8"/>
  <c r="I199" i="8"/>
  <c r="I1061" i="8"/>
  <c r="I907" i="8"/>
  <c r="I668" i="8"/>
  <c r="I304" i="8"/>
  <c r="K304" i="8" s="1"/>
  <c r="I898" i="8"/>
  <c r="K898" i="8" s="1"/>
  <c r="I469" i="8"/>
  <c r="I956" i="8"/>
  <c r="K956" i="8" s="1"/>
  <c r="I860" i="8"/>
  <c r="K860" i="8" s="1"/>
  <c r="G795" i="8"/>
  <c r="G905" i="8"/>
  <c r="G938" i="8"/>
  <c r="G617" i="8"/>
  <c r="J617" i="8" s="1"/>
  <c r="G300" i="8"/>
  <c r="J300" i="8" s="1"/>
  <c r="G228" i="8"/>
  <c r="G124" i="8"/>
  <c r="J124" i="8" s="1"/>
  <c r="G818" i="8"/>
  <c r="J818" i="8" s="1"/>
  <c r="G579" i="8"/>
  <c r="G333" i="8"/>
  <c r="G871" i="8"/>
  <c r="J871" i="8" s="1"/>
  <c r="I897" i="8"/>
  <c r="I753" i="8"/>
  <c r="K753" i="8" s="1"/>
  <c r="I502" i="8"/>
  <c r="K502" i="8" s="1"/>
  <c r="I621" i="8"/>
  <c r="I939" i="8"/>
  <c r="K939" i="8" s="1"/>
  <c r="I813" i="8"/>
  <c r="K813" i="8" s="1"/>
  <c r="I1005" i="8"/>
  <c r="I557" i="8"/>
  <c r="K557" i="8" s="1"/>
  <c r="I616" i="8"/>
  <c r="I441" i="8"/>
  <c r="K441" i="8" s="1"/>
  <c r="I421" i="8"/>
  <c r="K421" i="8" s="1"/>
  <c r="I145" i="8"/>
  <c r="I641" i="8"/>
  <c r="I1087" i="8"/>
  <c r="K1087" i="8" s="1"/>
  <c r="I1071" i="8"/>
  <c r="I967" i="8"/>
  <c r="K967" i="8" s="1"/>
  <c r="I831" i="8"/>
  <c r="K831" i="8" s="1"/>
  <c r="I859" i="8"/>
  <c r="K859" i="8" s="1"/>
  <c r="I172" i="8"/>
  <c r="I599" i="8"/>
  <c r="K599" i="8" s="1"/>
  <c r="I1093" i="8"/>
  <c r="K1093" i="8" s="1"/>
  <c r="I1059" i="8"/>
  <c r="I234" i="8"/>
  <c r="I832" i="8"/>
  <c r="K832" i="8" s="1"/>
  <c r="I632" i="8"/>
  <c r="K632" i="8" s="1"/>
  <c r="I1032" i="8"/>
  <c r="K1032" i="8" s="1"/>
  <c r="I137" i="8"/>
  <c r="I582" i="8"/>
  <c r="K582" i="8" s="1"/>
  <c r="I609" i="8"/>
  <c r="K609" i="8" s="1"/>
  <c r="I125" i="8"/>
  <c r="K125" i="8" s="1"/>
  <c r="G981" i="8"/>
  <c r="G310" i="8"/>
  <c r="G633" i="8"/>
  <c r="J633" i="8" s="1"/>
  <c r="G698" i="8"/>
  <c r="J698" i="8" s="1"/>
  <c r="G459" i="8"/>
  <c r="G752" i="8"/>
  <c r="G847" i="8"/>
  <c r="J847" i="8" s="1"/>
  <c r="G339" i="8"/>
  <c r="G312" i="8"/>
  <c r="G264" i="8"/>
  <c r="J264" i="8" s="1"/>
  <c r="G147" i="8"/>
  <c r="J147" i="8" s="1"/>
  <c r="G1067" i="8"/>
  <c r="J1067" i="8" s="1"/>
  <c r="G430" i="8"/>
  <c r="G1006" i="8"/>
  <c r="G749" i="8"/>
  <c r="J749" i="8" s="1"/>
  <c r="G415" i="8"/>
  <c r="G154" i="8"/>
  <c r="G343" i="8"/>
  <c r="J343" i="8" s="1"/>
  <c r="G581" i="8"/>
  <c r="J581" i="8" s="1"/>
  <c r="G335" i="8"/>
  <c r="J335" i="8" s="1"/>
  <c r="G634" i="8"/>
  <c r="J634" i="8" s="1"/>
  <c r="G787" i="8"/>
  <c r="G817" i="8"/>
  <c r="J817" i="8" s="1"/>
  <c r="G724" i="8"/>
  <c r="G454" i="8"/>
  <c r="G895" i="8"/>
  <c r="J895" i="8" s="1"/>
  <c r="G863" i="8"/>
  <c r="J863" i="8" s="1"/>
  <c r="G524" i="8"/>
  <c r="J524" i="8" s="1"/>
  <c r="G140" i="8"/>
  <c r="G144" i="8"/>
  <c r="J144" i="8" s="1"/>
  <c r="G139" i="8"/>
  <c r="J139" i="8" s="1"/>
  <c r="G652" i="8"/>
  <c r="G1014" i="8"/>
  <c r="G997" i="8"/>
  <c r="G103" i="8"/>
  <c r="J103" i="8" s="1"/>
  <c r="G237" i="8"/>
  <c r="J237" i="8" s="1"/>
  <c r="G163" i="8"/>
  <c r="G527" i="8"/>
  <c r="J527" i="8" s="1"/>
  <c r="G549" i="8"/>
  <c r="J549" i="8" s="1"/>
  <c r="G595" i="8"/>
  <c r="G715" i="8"/>
  <c r="G593" i="8"/>
  <c r="J593" i="8" s="1"/>
  <c r="G481" i="8"/>
  <c r="J481" i="8" s="1"/>
  <c r="G433" i="8"/>
  <c r="J433" i="8" s="1"/>
  <c r="G412" i="8"/>
  <c r="G948" i="8"/>
  <c r="G165" i="8"/>
  <c r="J165" i="8" s="1"/>
  <c r="G562" i="8"/>
  <c r="G371" i="8"/>
  <c r="G391" i="8"/>
  <c r="G858" i="8"/>
  <c r="J858" i="8" s="1"/>
  <c r="I594" i="8"/>
  <c r="K594" i="8" s="1"/>
  <c r="I450" i="8"/>
  <c r="I811" i="8"/>
  <c r="I1022" i="8"/>
  <c r="K1022" i="8" s="1"/>
  <c r="I704" i="8"/>
  <c r="I457" i="8"/>
  <c r="I344" i="8"/>
  <c r="K344" i="8" s="1"/>
  <c r="I150" i="8"/>
  <c r="K150" i="8" s="1"/>
  <c r="I403" i="8"/>
  <c r="K403" i="8" s="1"/>
  <c r="I480" i="8"/>
  <c r="I847" i="8"/>
  <c r="K847" i="8" s="1"/>
  <c r="I698" i="8"/>
  <c r="I310" i="8"/>
  <c r="I981" i="8"/>
  <c r="I264" i="8"/>
  <c r="K264" i="8" s="1"/>
  <c r="I147" i="8"/>
  <c r="K147" i="8" s="1"/>
  <c r="I339" i="8"/>
  <c r="K339" i="8" s="1"/>
  <c r="I312" i="8"/>
  <c r="I752" i="8"/>
  <c r="I633" i="8"/>
  <c r="K633" i="8" s="1"/>
  <c r="I459" i="8"/>
  <c r="I881" i="8"/>
  <c r="I180" i="8"/>
  <c r="I696" i="8"/>
  <c r="I1091" i="8"/>
  <c r="K1091" i="8" s="1"/>
  <c r="I1076" i="8"/>
  <c r="I980" i="8"/>
  <c r="K980" i="8" s="1"/>
  <c r="I602" i="8"/>
  <c r="K602" i="8" s="1"/>
  <c r="I512" i="8"/>
  <c r="I845" i="8"/>
  <c r="I768" i="8"/>
  <c r="I994" i="8"/>
  <c r="I294" i="8"/>
  <c r="K294" i="8" s="1"/>
  <c r="I131" i="8"/>
  <c r="I1021" i="8"/>
  <c r="K1021" i="8" s="1"/>
  <c r="I867" i="8"/>
  <c r="I1098" i="8"/>
  <c r="I693" i="8"/>
  <c r="I533" i="8"/>
  <c r="I230" i="8"/>
  <c r="K230" i="8" s="1"/>
  <c r="I733" i="8"/>
  <c r="K733" i="8" s="1"/>
  <c r="I545" i="8"/>
  <c r="I126" i="8"/>
  <c r="K126" i="8" s="1"/>
  <c r="I1089" i="8"/>
  <c r="K1089" i="8" s="1"/>
  <c r="I839" i="8"/>
  <c r="K839" i="8" s="1"/>
  <c r="I276" i="8"/>
  <c r="I805" i="8"/>
  <c r="K805" i="8" s="1"/>
  <c r="I736" i="8"/>
  <c r="K736" i="8" s="1"/>
  <c r="I434" i="8"/>
  <c r="K434" i="8" s="1"/>
  <c r="I386" i="8"/>
  <c r="I298" i="8"/>
  <c r="K298" i="8" s="1"/>
  <c r="I497" i="8"/>
  <c r="K497" i="8" s="1"/>
  <c r="I505" i="8"/>
  <c r="K505" i="8" s="1"/>
  <c r="I1046" i="8"/>
  <c r="I862" i="8"/>
  <c r="K862" i="8" s="1"/>
  <c r="I819" i="8"/>
  <c r="K819" i="8" s="1"/>
  <c r="I432" i="8"/>
  <c r="K432" i="8" s="1"/>
  <c r="I205" i="8"/>
  <c r="K205" i="8" s="1"/>
  <c r="I928" i="8"/>
  <c r="K928" i="8" s="1"/>
  <c r="I313" i="8"/>
  <c r="K313" i="8" s="1"/>
  <c r="I158" i="8"/>
  <c r="I873" i="8"/>
  <c r="K873" i="8" s="1"/>
  <c r="I793" i="8"/>
  <c r="K793" i="8" s="1"/>
  <c r="I791" i="8"/>
  <c r="K791" i="8" s="1"/>
  <c r="I196" i="8"/>
  <c r="K196" i="8" s="1"/>
  <c r="I685" i="8"/>
  <c r="K685" i="8" s="1"/>
  <c r="I583" i="8"/>
  <c r="K583" i="8" s="1"/>
  <c r="I471" i="8"/>
  <c r="K471" i="8" s="1"/>
  <c r="I788" i="8"/>
  <c r="K788" i="8" s="1"/>
  <c r="I610" i="8"/>
  <c r="K610" i="8" s="1"/>
  <c r="I314" i="8"/>
  <c r="K314" i="8" s="1"/>
  <c r="I182" i="8"/>
  <c r="K182" i="8" s="1"/>
  <c r="I1077" i="8"/>
  <c r="K1077" i="8" s="1"/>
  <c r="I501" i="8"/>
  <c r="I336" i="8"/>
  <c r="K336" i="8" s="1"/>
  <c r="I105" i="8"/>
  <c r="K105" i="8" s="1"/>
  <c r="I653" i="8"/>
  <c r="I166" i="8"/>
  <c r="I112" i="8"/>
  <c r="K112" i="8" s="1"/>
  <c r="I212" i="8"/>
  <c r="K212" i="8" s="1"/>
  <c r="I423" i="8"/>
  <c r="K423" i="8" s="1"/>
  <c r="I820" i="8"/>
  <c r="I506" i="8"/>
  <c r="K506" i="8" s="1"/>
  <c r="I872" i="8"/>
  <c r="I485" i="8"/>
  <c r="I1099" i="8"/>
  <c r="I411" i="8"/>
  <c r="I597" i="8"/>
  <c r="K597" i="8" s="1"/>
  <c r="I555" i="8"/>
  <c r="K555" i="8" s="1"/>
  <c r="I213" i="8"/>
  <c r="I743" i="8"/>
  <c r="I809" i="8"/>
  <c r="K809" i="8" s="1"/>
  <c r="I665" i="8"/>
  <c r="I925" i="8"/>
  <c r="I572" i="8"/>
  <c r="I108" i="8"/>
  <c r="K108" i="8" s="1"/>
  <c r="I738" i="8"/>
  <c r="K738" i="8" s="1"/>
  <c r="I690" i="8"/>
  <c r="I379" i="8"/>
  <c r="K379" i="8" s="1"/>
  <c r="I973" i="8"/>
  <c r="K973" i="8" s="1"/>
  <c r="I171" i="8"/>
  <c r="K171" i="8" s="1"/>
  <c r="I592" i="8"/>
  <c r="G630" i="8"/>
  <c r="J630" i="8" s="1"/>
  <c r="G606" i="8"/>
  <c r="J606" i="8" s="1"/>
  <c r="G601" i="8"/>
  <c r="J601" i="8" s="1"/>
  <c r="G751" i="8"/>
  <c r="G500" i="8"/>
  <c r="J500" i="8" s="1"/>
  <c r="G277" i="8"/>
  <c r="G996" i="8"/>
  <c r="G710" i="8"/>
  <c r="G930" i="8"/>
  <c r="G727" i="8"/>
  <c r="J727" i="8" s="1"/>
  <c r="G697" i="8"/>
  <c r="J697" i="8" s="1"/>
  <c r="G258" i="8"/>
  <c r="G560" i="8"/>
  <c r="J560" i="8" s="1"/>
  <c r="G178" i="8"/>
  <c r="J178" i="8" s="1"/>
  <c r="G259" i="8"/>
  <c r="J259" i="8" s="1"/>
  <c r="H508" i="8"/>
  <c r="H436" i="8"/>
  <c r="H663" i="8"/>
  <c r="H111" i="8"/>
  <c r="H682" i="8"/>
  <c r="H933" i="8"/>
  <c r="H657" i="8"/>
  <c r="H659" i="8"/>
  <c r="H526" i="8"/>
  <c r="H179" i="8"/>
  <c r="H350" i="8"/>
  <c r="H390" i="8"/>
  <c r="I913" i="8"/>
  <c r="I388" i="8"/>
  <c r="I356" i="8"/>
  <c r="I324" i="8"/>
  <c r="I1074" i="8"/>
  <c r="I814" i="8"/>
  <c r="I490" i="8"/>
  <c r="K490" i="8" s="1"/>
  <c r="I170" i="8"/>
  <c r="K170" i="8" s="1"/>
  <c r="I369" i="8"/>
  <c r="I539" i="8"/>
  <c r="I393" i="8"/>
  <c r="I932" i="8"/>
  <c r="I518" i="8"/>
  <c r="I331" i="8"/>
  <c r="I564" i="8"/>
  <c r="K564" i="8" s="1"/>
  <c r="I607" i="8"/>
  <c r="K607" i="8" s="1"/>
  <c r="I1012" i="8"/>
  <c r="I756" i="8"/>
  <c r="I576" i="8"/>
  <c r="I886" i="8"/>
  <c r="I233" i="8"/>
  <c r="K233" i="8" s="1"/>
  <c r="I990" i="8"/>
  <c r="K990" i="8" s="1"/>
  <c r="I770" i="8"/>
  <c r="K770" i="8" s="1"/>
  <c r="I547" i="8"/>
  <c r="K547" i="8" s="1"/>
  <c r="I1003" i="8"/>
  <c r="I1069" i="8"/>
  <c r="K1069" i="8" s="1"/>
  <c r="I587" i="8"/>
  <c r="K587" i="8" s="1"/>
  <c r="I326" i="8"/>
  <c r="K326" i="8" s="1"/>
  <c r="H1022" i="8"/>
  <c r="H457" i="8"/>
  <c r="H594" i="8"/>
  <c r="H480" i="8"/>
  <c r="H403" i="8"/>
  <c r="H704" i="8"/>
  <c r="H811" i="8"/>
  <c r="H150" i="8"/>
  <c r="H344" i="8"/>
  <c r="H450" i="8"/>
  <c r="I1047" i="8"/>
  <c r="I667" i="8"/>
  <c r="K667" i="8" s="1"/>
  <c r="I148" i="8"/>
  <c r="I207" i="8"/>
  <c r="K207" i="8" s="1"/>
  <c r="I901" i="8"/>
  <c r="K901" i="8" s="1"/>
  <c r="I837" i="8"/>
  <c r="I146" i="8"/>
  <c r="I979" i="8"/>
  <c r="I261" i="8"/>
  <c r="K261" i="8" s="1"/>
  <c r="I684" i="8"/>
  <c r="K684" i="8" s="1"/>
  <c r="I573" i="8"/>
  <c r="I950" i="8"/>
  <c r="I826" i="8"/>
  <c r="K826" i="8" s="1"/>
  <c r="I417" i="8"/>
  <c r="I477" i="8"/>
  <c r="I467" i="8"/>
  <c r="K467" i="8" s="1"/>
  <c r="I270" i="8"/>
  <c r="I726" i="8"/>
  <c r="K726" i="8" s="1"/>
  <c r="I888" i="8"/>
  <c r="I211" i="8"/>
  <c r="I1068" i="8"/>
  <c r="K1068" i="8" s="1"/>
  <c r="I1053" i="8"/>
  <c r="K1053" i="8" s="1"/>
  <c r="I308" i="8"/>
  <c r="K308" i="8" s="1"/>
  <c r="I127" i="8"/>
  <c r="K127" i="8" s="1"/>
  <c r="I282" i="8"/>
  <c r="K282" i="8" s="1"/>
  <c r="I658" i="8"/>
  <c r="K658" i="8" s="1"/>
  <c r="I1092" i="8"/>
  <c r="I470" i="8"/>
  <c r="I272" i="8"/>
  <c r="K272" i="8" s="1"/>
  <c r="I249" i="8"/>
  <c r="I216" i="8"/>
  <c r="I735" i="8"/>
  <c r="I937" i="8"/>
  <c r="K937" i="8" s="1"/>
  <c r="I887" i="8"/>
  <c r="K887" i="8" s="1"/>
  <c r="I815" i="8"/>
  <c r="I799" i="8"/>
  <c r="I1019" i="8"/>
  <c r="K1019" i="8" s="1"/>
  <c r="I540" i="8"/>
  <c r="I519" i="8"/>
  <c r="I287" i="8"/>
  <c r="I271" i="8"/>
  <c r="I498" i="8"/>
  <c r="I781" i="8"/>
  <c r="I1018" i="8"/>
  <c r="I774" i="8"/>
  <c r="K774" i="8" s="1"/>
  <c r="I647" i="8"/>
  <c r="I398" i="8"/>
  <c r="I488" i="8"/>
  <c r="I478" i="8"/>
  <c r="K478" i="8" s="1"/>
  <c r="I537" i="8"/>
  <c r="K537" i="8" s="1"/>
  <c r="I449" i="8"/>
  <c r="I603" i="8"/>
  <c r="H1078" i="8"/>
  <c r="H846" i="8"/>
  <c r="H985" i="8"/>
  <c r="H337" i="8"/>
  <c r="H364" i="8"/>
  <c r="H159" i="8"/>
  <c r="H151" i="8"/>
  <c r="H759" i="8"/>
  <c r="H754" i="8"/>
  <c r="H368" i="8"/>
  <c r="H565" i="8"/>
  <c r="H123" i="8"/>
  <c r="H494" i="8"/>
  <c r="H718" i="8"/>
  <c r="H361" i="8"/>
  <c r="H177" i="8"/>
  <c r="H989" i="8"/>
  <c r="H893" i="8"/>
  <c r="H636" i="8"/>
  <c r="H556" i="8"/>
  <c r="H404" i="8"/>
  <c r="H535" i="8"/>
  <c r="H439" i="8"/>
  <c r="H399" i="8"/>
  <c r="H279" i="8"/>
  <c r="H215" i="8"/>
  <c r="H141" i="8"/>
  <c r="H903" i="8"/>
  <c r="H462" i="8"/>
  <c r="H186" i="8"/>
  <c r="H128" i="8"/>
  <c r="H419" i="8"/>
  <c r="H275" i="8"/>
  <c r="H130" i="8"/>
  <c r="H248" i="8"/>
  <c r="G995" i="8"/>
  <c r="G883" i="8"/>
  <c r="G651" i="8"/>
  <c r="J651" i="8" s="1"/>
  <c r="G1049" i="8"/>
  <c r="G1025" i="8"/>
  <c r="G1100" i="8"/>
  <c r="J1100" i="8" s="1"/>
  <c r="G689" i="8"/>
  <c r="G957" i="8"/>
  <c r="G877" i="8"/>
  <c r="J877" i="8" s="1"/>
  <c r="G761" i="8"/>
  <c r="G794" i="8"/>
  <c r="J794" i="8" s="1"/>
  <c r="G363" i="8"/>
  <c r="G725" i="8"/>
  <c r="G611" i="8"/>
  <c r="G288" i="8"/>
  <c r="G1090" i="8"/>
  <c r="G509" i="8"/>
  <c r="J509" i="8" s="1"/>
  <c r="G964" i="8"/>
  <c r="J964" i="8" s="1"/>
  <c r="G1035" i="8"/>
  <c r="J1035" i="8" s="1"/>
  <c r="G843" i="8"/>
  <c r="G966" i="8"/>
  <c r="G838" i="8"/>
  <c r="J838" i="8" s="1"/>
  <c r="G286" i="8"/>
  <c r="G970" i="8"/>
  <c r="G742" i="8"/>
  <c r="J742" i="8" s="1"/>
  <c r="G332" i="8"/>
  <c r="G914" i="8"/>
  <c r="G203" i="8"/>
  <c r="G703" i="8"/>
  <c r="G655" i="8"/>
  <c r="J655" i="8" s="1"/>
  <c r="G114" i="8"/>
  <c r="G319" i="8"/>
  <c r="G600" i="8"/>
  <c r="G834" i="8"/>
  <c r="I999" i="8"/>
  <c r="K999" i="8" s="1"/>
  <c r="I844" i="8"/>
  <c r="I476" i="8"/>
  <c r="I1072" i="8"/>
  <c r="I367" i="8"/>
  <c r="K367" i="8" s="1"/>
  <c r="I554" i="8"/>
  <c r="K554" i="8" s="1"/>
  <c r="I162" i="8"/>
  <c r="K162" i="8" s="1"/>
  <c r="I106" i="8"/>
  <c r="K106" i="8" s="1"/>
  <c r="I900" i="8"/>
  <c r="K900" i="8" s="1"/>
  <c r="I702" i="8"/>
  <c r="K702" i="8" s="1"/>
  <c r="I427" i="8"/>
  <c r="I221" i="8"/>
  <c r="K221" i="8" s="1"/>
  <c r="I1082" i="8"/>
  <c r="I744" i="8"/>
  <c r="K744" i="8" s="1"/>
  <c r="I1024" i="8"/>
  <c r="I644" i="8"/>
  <c r="K644" i="8" s="1"/>
  <c r="I365" i="8"/>
  <c r="K365" i="8" s="1"/>
  <c r="I265" i="8"/>
  <c r="I1002" i="8"/>
  <c r="K1002" i="8" s="1"/>
  <c r="I341" i="8"/>
  <c r="K341" i="8" s="1"/>
  <c r="I544" i="8"/>
  <c r="G955" i="8"/>
  <c r="G675" i="8"/>
  <c r="J675" i="8" s="1"/>
  <c r="G713" i="8"/>
  <c r="G660" i="8"/>
  <c r="J660" i="8" s="1"/>
  <c r="G374" i="8"/>
  <c r="G278" i="8"/>
  <c r="G262" i="8"/>
  <c r="J262" i="8" s="1"/>
  <c r="G529" i="8"/>
  <c r="G692" i="8"/>
  <c r="G1010" i="8"/>
  <c r="G487" i="8"/>
  <c r="J487" i="8" s="1"/>
  <c r="G455" i="8"/>
  <c r="J455" i="8" s="1"/>
  <c r="I143" i="8"/>
  <c r="I306" i="8"/>
  <c r="I302" i="8"/>
  <c r="K302" i="8" s="1"/>
  <c r="I918" i="8"/>
  <c r="I585" i="8"/>
  <c r="I493" i="8"/>
  <c r="I329" i="8"/>
  <c r="K329" i="8" s="1"/>
  <c r="I624" i="8"/>
  <c r="K624" i="8" s="1"/>
  <c r="I619" i="8"/>
  <c r="G691" i="8"/>
  <c r="J691" i="8" s="1"/>
  <c r="G486" i="8"/>
  <c r="J486" i="8" s="1"/>
  <c r="G334" i="8"/>
  <c r="G538" i="8"/>
  <c r="G351" i="8"/>
  <c r="J351" i="8" s="1"/>
  <c r="G627" i="8"/>
  <c r="J627" i="8" s="1"/>
  <c r="G458" i="8"/>
  <c r="J458" i="8" s="1"/>
  <c r="G730" i="8"/>
  <c r="G507" i="8"/>
  <c r="J507" i="8" s="1"/>
  <c r="G195" i="8"/>
  <c r="J195" i="8" s="1"/>
  <c r="G181" i="8"/>
  <c r="J181" i="8" s="1"/>
  <c r="G109" i="8"/>
  <c r="J109" i="8" s="1"/>
  <c r="G115" i="8"/>
  <c r="G631" i="8"/>
  <c r="J631" i="8" s="1"/>
  <c r="I1097" i="8"/>
  <c r="K1097" i="8" s="1"/>
  <c r="I927" i="8"/>
  <c r="I396" i="8"/>
  <c r="K396" i="8" s="1"/>
  <c r="I116" i="8"/>
  <c r="K116" i="8" s="1"/>
  <c r="I223" i="8"/>
  <c r="I931" i="8"/>
  <c r="K931" i="8" s="1"/>
  <c r="I884" i="8"/>
  <c r="K884" i="8" s="1"/>
  <c r="I719" i="8"/>
  <c r="K719" i="8" s="1"/>
  <c r="I499" i="8"/>
  <c r="K499" i="8" s="1"/>
  <c r="I952" i="8"/>
  <c r="I840" i="8"/>
  <c r="I1080" i="8"/>
  <c r="K1080" i="8" s="1"/>
  <c r="I613" i="8"/>
  <c r="I723" i="8"/>
  <c r="I149" i="8"/>
  <c r="K149" i="8" s="1"/>
  <c r="H662" i="8"/>
  <c r="H720" i="8"/>
  <c r="H612" i="8"/>
  <c r="H156" i="8"/>
  <c r="H263" i="8"/>
  <c r="H392" i="8"/>
  <c r="H389" i="8"/>
  <c r="H824" i="8"/>
  <c r="H666" i="8"/>
  <c r="H491" i="8"/>
  <c r="H429" i="8"/>
  <c r="H1079" i="8"/>
  <c r="D11" i="11"/>
  <c r="H956" i="8"/>
  <c r="H860" i="8"/>
  <c r="H204" i="8"/>
  <c r="H255" i="8"/>
  <c r="H199" i="8"/>
  <c r="H907" i="8"/>
  <c r="H898" i="8"/>
  <c r="H1061" i="8"/>
  <c r="H304" i="8"/>
  <c r="H983" i="8"/>
  <c r="H469" i="8"/>
  <c r="H668" i="8"/>
  <c r="H938" i="8"/>
  <c r="H617" i="8"/>
  <c r="H795" i="8"/>
  <c r="H300" i="8"/>
  <c r="H228" i="8"/>
  <c r="H124" i="8"/>
  <c r="H818" i="8"/>
  <c r="H579" i="8"/>
  <c r="H333" i="8"/>
  <c r="H871" i="8"/>
  <c r="H905" i="8"/>
  <c r="H982" i="8"/>
  <c r="H1066" i="8"/>
  <c r="H425" i="8"/>
  <c r="H1051" i="8"/>
  <c r="H1040" i="8"/>
  <c r="H993" i="8"/>
  <c r="H833" i="8"/>
  <c r="H503" i="8"/>
  <c r="H515" i="8"/>
  <c r="H783" i="8"/>
  <c r="H935" i="8"/>
  <c r="H416" i="8"/>
  <c r="H917" i="8"/>
  <c r="H864" i="8"/>
  <c r="H732" i="8"/>
  <c r="H290" i="8"/>
  <c r="H243" i="8"/>
  <c r="G921" i="8"/>
  <c r="G777" i="8"/>
  <c r="G1036" i="8"/>
  <c r="J1036" i="8" s="1"/>
  <c r="G906" i="8"/>
  <c r="G812" i="8"/>
  <c r="J812" i="8" s="1"/>
  <c r="G729" i="8"/>
  <c r="G448" i="8"/>
  <c r="J448" i="8" s="1"/>
  <c r="G191" i="8"/>
  <c r="G250" i="8"/>
  <c r="G681" i="8"/>
  <c r="G623" i="8"/>
  <c r="G792" i="8"/>
  <c r="J792" i="8" s="1"/>
  <c r="G224" i="8"/>
  <c r="B61" i="10"/>
  <c r="G558" i="8"/>
  <c r="G305" i="8"/>
  <c r="J305" i="8" s="1"/>
  <c r="G193" i="8"/>
  <c r="G420" i="8"/>
  <c r="G530" i="8"/>
  <c r="G1056" i="8"/>
  <c r="G133" i="8"/>
  <c r="J133" i="8" s="1"/>
  <c r="G976" i="8"/>
  <c r="G189" i="8"/>
  <c r="J189" i="8" s="1"/>
  <c r="I903" i="8"/>
  <c r="K903" i="8" s="1"/>
  <c r="I989" i="8"/>
  <c r="I893" i="8"/>
  <c r="K893" i="8" s="1"/>
  <c r="I636" i="8"/>
  <c r="K636" i="8" s="1"/>
  <c r="I556" i="8"/>
  <c r="K556" i="8" s="1"/>
  <c r="I404" i="8"/>
  <c r="K404" i="8" s="1"/>
  <c r="I718" i="8"/>
  <c r="I535" i="8"/>
  <c r="I439" i="8"/>
  <c r="K439" i="8" s="1"/>
  <c r="I399" i="8"/>
  <c r="I279" i="8"/>
  <c r="I215" i="8"/>
  <c r="K215" i="8" s="1"/>
  <c r="I186" i="8"/>
  <c r="I130" i="8"/>
  <c r="K130" i="8" s="1"/>
  <c r="I177" i="8"/>
  <c r="I128" i="8"/>
  <c r="K128" i="8" s="1"/>
  <c r="I361" i="8"/>
  <c r="K361" i="8" s="1"/>
  <c r="I419" i="8"/>
  <c r="I141" i="8"/>
  <c r="K141" i="8" s="1"/>
  <c r="I462" i="8"/>
  <c r="I248" i="8"/>
  <c r="K248" i="8" s="1"/>
  <c r="I275" i="8"/>
  <c r="K275" i="8" s="1"/>
  <c r="H1100" i="8"/>
  <c r="H964" i="8"/>
  <c r="H1049" i="8"/>
  <c r="H689" i="8"/>
  <c r="H957" i="8"/>
  <c r="H1025" i="8"/>
  <c r="H794" i="8"/>
  <c r="H725" i="8"/>
  <c r="H509" i="8"/>
  <c r="H995" i="8"/>
  <c r="H883" i="8"/>
  <c r="H651" i="8"/>
  <c r="H288" i="8"/>
  <c r="H1090" i="8"/>
  <c r="H611" i="8"/>
  <c r="H761" i="8"/>
  <c r="H877" i="8"/>
  <c r="H363" i="8"/>
  <c r="H966" i="8"/>
  <c r="H838" i="8"/>
  <c r="H742" i="8"/>
  <c r="H970" i="8"/>
  <c r="H332" i="8"/>
  <c r="H914" i="8"/>
  <c r="H319" i="8"/>
  <c r="H655" i="8"/>
  <c r="H703" i="8"/>
  <c r="H286" i="8"/>
  <c r="H843" i="8"/>
  <c r="H203" i="8"/>
  <c r="H834" i="8"/>
  <c r="H600" i="8"/>
  <c r="H1035" i="8"/>
  <c r="H114" i="8"/>
  <c r="G1083" i="8"/>
  <c r="J1083" i="8" s="1"/>
  <c r="G947" i="8"/>
  <c r="G731" i="8"/>
  <c r="G289" i="8"/>
  <c r="G468" i="8"/>
  <c r="J468" i="8" s="1"/>
  <c r="G1020" i="8"/>
  <c r="J1020" i="8" s="1"/>
  <c r="G402" i="8"/>
  <c r="G637" i="8"/>
  <c r="J637" i="8" s="1"/>
  <c r="G373" i="8"/>
  <c r="J373" i="8" s="1"/>
  <c r="G187" i="8"/>
  <c r="G716" i="8"/>
  <c r="J716" i="8" s="1"/>
  <c r="G437" i="8"/>
  <c r="J437" i="8" s="1"/>
  <c r="G1042" i="8"/>
  <c r="J1042" i="8" s="1"/>
  <c r="G517" i="8"/>
  <c r="J517" i="8" s="1"/>
  <c r="H529" i="8"/>
  <c r="H955" i="8"/>
  <c r="H1010" i="8"/>
  <c r="H487" i="8"/>
  <c r="H455" i="8"/>
  <c r="H374" i="8"/>
  <c r="H713" i="8"/>
  <c r="H692" i="8"/>
  <c r="H675" i="8"/>
  <c r="H262" i="8"/>
  <c r="H278" i="8"/>
  <c r="H660" i="8"/>
  <c r="G302" i="8"/>
  <c r="G585" i="8"/>
  <c r="J585" i="8" s="1"/>
  <c r="G329" i="8"/>
  <c r="J329" i="8" s="1"/>
  <c r="G619" i="8"/>
  <c r="J619" i="8" s="1"/>
  <c r="G918" i="8"/>
  <c r="G624" i="8"/>
  <c r="J624" i="8" s="1"/>
  <c r="G493" i="8"/>
  <c r="G143" i="8"/>
  <c r="G306" i="8"/>
  <c r="G923" i="8"/>
  <c r="G899" i="8"/>
  <c r="J899" i="8" s="1"/>
  <c r="G1045" i="8"/>
  <c r="J1045" i="8" s="1"/>
  <c r="G757" i="8"/>
  <c r="G534" i="8"/>
  <c r="J534" i="8" s="1"/>
  <c r="G802" i="8"/>
  <c r="J802" i="8" s="1"/>
  <c r="G410" i="8"/>
  <c r="G461" i="8"/>
  <c r="G1060" i="8"/>
  <c r="J1060" i="8" s="1"/>
  <c r="G175" i="8"/>
  <c r="G381" i="8"/>
  <c r="G522" i="8"/>
  <c r="G931" i="8"/>
  <c r="J931" i="8" s="1"/>
  <c r="G723" i="8"/>
  <c r="J723" i="8" s="1"/>
  <c r="G1097" i="8"/>
  <c r="J1097" i="8" s="1"/>
  <c r="G840" i="8"/>
  <c r="G927" i="8"/>
  <c r="G396" i="8"/>
  <c r="J396" i="8" s="1"/>
  <c r="G116" i="8"/>
  <c r="J116" i="8" s="1"/>
  <c r="G952" i="8"/>
  <c r="G223" i="8"/>
  <c r="G149" i="8"/>
  <c r="J149" i="8" s="1"/>
  <c r="G719" i="8"/>
  <c r="J719" i="8" s="1"/>
  <c r="G613" i="8"/>
  <c r="G1080" i="8"/>
  <c r="J1080" i="8" s="1"/>
  <c r="G884" i="8"/>
  <c r="J884" i="8" s="1"/>
  <c r="G499" i="8"/>
  <c r="J499" i="8" s="1"/>
  <c r="G1079" i="8"/>
  <c r="G720" i="8"/>
  <c r="G612" i="8"/>
  <c r="J612" i="8" s="1"/>
  <c r="G156" i="8"/>
  <c r="G392" i="8"/>
  <c r="J392" i="8" s="1"/>
  <c r="G666" i="8"/>
  <c r="G662" i="8"/>
  <c r="J662" i="8" s="1"/>
  <c r="G389" i="8"/>
  <c r="J389" i="8" s="1"/>
  <c r="G429" i="8"/>
  <c r="J429" i="8" s="1"/>
  <c r="G491" i="8"/>
  <c r="G263" i="8"/>
  <c r="J263" i="8" s="1"/>
  <c r="G824" i="8"/>
  <c r="I961" i="8"/>
  <c r="I164" i="8"/>
  <c r="I963" i="8"/>
  <c r="I650" i="8"/>
  <c r="K650" i="8" s="1"/>
  <c r="I226" i="8"/>
  <c r="I642" i="8"/>
  <c r="I307" i="8"/>
  <c r="K307" i="8" s="1"/>
  <c r="I280" i="8"/>
  <c r="I385" i="8"/>
  <c r="I905" i="8"/>
  <c r="K905" i="8" s="1"/>
  <c r="I871" i="8"/>
  <c r="K871" i="8" s="1"/>
  <c r="I795" i="8"/>
  <c r="K795" i="8" s="1"/>
  <c r="I300" i="8"/>
  <c r="I228" i="8"/>
  <c r="K228" i="8" s="1"/>
  <c r="I124" i="8"/>
  <c r="K124" i="8" s="1"/>
  <c r="I818" i="8"/>
  <c r="I938" i="8"/>
  <c r="I617" i="8"/>
  <c r="K617" i="8" s="1"/>
  <c r="I579" i="8"/>
  <c r="K579" i="8" s="1"/>
  <c r="I333" i="8"/>
  <c r="K333" i="8" s="1"/>
  <c r="I993" i="8"/>
  <c r="I833" i="8"/>
  <c r="K833" i="8" s="1"/>
  <c r="I935" i="8"/>
  <c r="K935" i="8" s="1"/>
  <c r="I783" i="8"/>
  <c r="K783" i="8" s="1"/>
  <c r="I1051" i="8"/>
  <c r="I1040" i="8"/>
  <c r="I503" i="8"/>
  <c r="K503" i="8" s="1"/>
  <c r="I290" i="8"/>
  <c r="K290" i="8" s="1"/>
  <c r="I982" i="8"/>
  <c r="I917" i="8"/>
  <c r="I425" i="8"/>
  <c r="K425" i="8" s="1"/>
  <c r="I1066" i="8"/>
  <c r="K1066" i="8" s="1"/>
  <c r="I864" i="8"/>
  <c r="I515" i="8"/>
  <c r="I416" i="8"/>
  <c r="K416" i="8" s="1"/>
  <c r="I732" i="8"/>
  <c r="K732" i="8" s="1"/>
  <c r="I243" i="8"/>
  <c r="I921" i="8"/>
  <c r="I777" i="8"/>
  <c r="I729" i="8"/>
  <c r="I681" i="8"/>
  <c r="I1036" i="8"/>
  <c r="K1036" i="8" s="1"/>
  <c r="I812" i="8"/>
  <c r="K812" i="8" s="1"/>
  <c r="I623" i="8"/>
  <c r="K623" i="8" s="1"/>
  <c r="I191" i="8"/>
  <c r="I250" i="8"/>
  <c r="K250" i="8" s="1"/>
  <c r="I448" i="8"/>
  <c r="K448" i="8" s="1"/>
  <c r="I906" i="8"/>
  <c r="I224" i="8"/>
  <c r="I792" i="8"/>
  <c r="G849" i="8"/>
  <c r="J849" i="8" s="1"/>
  <c r="G825" i="8"/>
  <c r="J825" i="8" s="1"/>
  <c r="G174" i="8"/>
  <c r="G628" i="8"/>
  <c r="G516" i="8"/>
  <c r="J516" i="8" s="1"/>
  <c r="G484" i="8"/>
  <c r="G769" i="8"/>
  <c r="G383" i="8"/>
  <c r="G183" i="8"/>
  <c r="H1076" i="8"/>
  <c r="H980" i="8"/>
  <c r="H180" i="8"/>
  <c r="H696" i="8"/>
  <c r="H131" i="8"/>
  <c r="H1091" i="8"/>
  <c r="H512" i="8"/>
  <c r="H881" i="8"/>
  <c r="H994" i="8"/>
  <c r="H602" i="8"/>
  <c r="H845" i="8"/>
  <c r="H768" i="8"/>
  <c r="H294" i="8"/>
  <c r="G873" i="8"/>
  <c r="J873" i="8" s="1"/>
  <c r="G793" i="8"/>
  <c r="J793" i="8" s="1"/>
  <c r="G1077" i="8"/>
  <c r="J1077" i="8" s="1"/>
  <c r="G791" i="8"/>
  <c r="J791" i="8" s="1"/>
  <c r="G182" i="8"/>
  <c r="G166" i="8"/>
  <c r="G105" i="8"/>
  <c r="J105" i="8" s="1"/>
  <c r="G196" i="8"/>
  <c r="G653" i="8"/>
  <c r="G336" i="8"/>
  <c r="J336" i="8" s="1"/>
  <c r="G471" i="8"/>
  <c r="J471" i="8" s="1"/>
  <c r="G685" i="8"/>
  <c r="J685" i="8" s="1"/>
  <c r="G788" i="8"/>
  <c r="J788" i="8" s="1"/>
  <c r="G583" i="8"/>
  <c r="J583" i="8" s="1"/>
  <c r="G314" i="8"/>
  <c r="J314" i="8" s="1"/>
  <c r="G501" i="8"/>
  <c r="G610" i="8"/>
  <c r="J610" i="8" s="1"/>
  <c r="G112" i="8"/>
  <c r="J112" i="8" s="1"/>
  <c r="I657" i="8"/>
  <c r="K657" i="8" s="1"/>
  <c r="I508" i="8"/>
  <c r="K508" i="8" s="1"/>
  <c r="I436" i="8"/>
  <c r="I663" i="8"/>
  <c r="I111" i="8"/>
  <c r="I933" i="8"/>
  <c r="I390" i="8"/>
  <c r="I659" i="8"/>
  <c r="K659" i="8" s="1"/>
  <c r="I179" i="8"/>
  <c r="K179" i="8" s="1"/>
  <c r="I682" i="8"/>
  <c r="K682" i="8" s="1"/>
  <c r="I526" i="8"/>
  <c r="K526" i="8" s="1"/>
  <c r="I350" i="8"/>
  <c r="G803" i="8"/>
  <c r="J803" i="8" s="1"/>
  <c r="G649" i="8"/>
  <c r="G153" i="8"/>
  <c r="J153" i="8" s="1"/>
  <c r="G1023" i="8"/>
  <c r="J1023" i="8" s="1"/>
  <c r="G348" i="8"/>
  <c r="J348" i="8" s="1"/>
  <c r="G679" i="8"/>
  <c r="J679" i="8" s="1"/>
  <c r="G1101" i="8"/>
  <c r="G435" i="8"/>
  <c r="G120" i="8"/>
  <c r="J120" i="8" s="1"/>
  <c r="G1008" i="8"/>
  <c r="G568" i="8"/>
  <c r="G979" i="8"/>
  <c r="G667" i="8"/>
  <c r="G1047" i="8"/>
  <c r="J1047" i="8" s="1"/>
  <c r="G270" i="8"/>
  <c r="G417" i="8"/>
  <c r="G148" i="8"/>
  <c r="J148" i="8" s="1"/>
  <c r="G726" i="8"/>
  <c r="G684" i="8"/>
  <c r="G837" i="8"/>
  <c r="J837" i="8" s="1"/>
  <c r="G950" i="8"/>
  <c r="G573" i="8"/>
  <c r="J573" i="8" s="1"/>
  <c r="G901" i="8"/>
  <c r="G467" i="8"/>
  <c r="J467" i="8" s="1"/>
  <c r="G207" i="8"/>
  <c r="J207" i="8" s="1"/>
  <c r="G261" i="8"/>
  <c r="G211" i="8"/>
  <c r="G888" i="8"/>
  <c r="G826" i="8"/>
  <c r="J826" i="8" s="1"/>
  <c r="G477" i="8"/>
  <c r="G146" i="8"/>
  <c r="H774" i="8"/>
  <c r="H647" i="8"/>
  <c r="H537" i="8"/>
  <c r="H449" i="8"/>
  <c r="H1019" i="8"/>
  <c r="H799" i="8"/>
  <c r="H540" i="8"/>
  <c r="H519" i="8"/>
  <c r="H287" i="8"/>
  <c r="H271" i="8"/>
  <c r="H887" i="8"/>
  <c r="H815" i="8"/>
  <c r="H781" i="8"/>
  <c r="H603" i="8"/>
  <c r="H498" i="8"/>
  <c r="H398" i="8"/>
  <c r="H488" i="8"/>
  <c r="H1018" i="8"/>
  <c r="H478" i="8"/>
  <c r="H937" i="8"/>
  <c r="H633" i="8"/>
  <c r="H698" i="8"/>
  <c r="H752" i="8"/>
  <c r="H264" i="8"/>
  <c r="H339" i="8"/>
  <c r="H312" i="8"/>
  <c r="H847" i="8"/>
  <c r="H147" i="8"/>
  <c r="H310" i="8"/>
  <c r="H981" i="8"/>
  <c r="H459" i="8"/>
  <c r="G919" i="8"/>
  <c r="G574" i="8"/>
  <c r="J574" i="8" s="1"/>
  <c r="G700" i="8"/>
  <c r="J700" i="8" s="1"/>
  <c r="G345" i="8"/>
  <c r="G297" i="8"/>
  <c r="G1031" i="8"/>
  <c r="J1031" i="8" s="1"/>
  <c r="G866" i="8"/>
  <c r="J866" i="8" s="1"/>
  <c r="G107" i="8"/>
  <c r="J107" i="8" s="1"/>
  <c r="H1098" i="8"/>
  <c r="H733" i="8"/>
  <c r="H545" i="8"/>
  <c r="H1021" i="8"/>
  <c r="H126" i="8"/>
  <c r="H230" i="8"/>
  <c r="H533" i="8"/>
  <c r="H867" i="8"/>
  <c r="H693" i="8"/>
  <c r="I1006" i="8"/>
  <c r="I749" i="8"/>
  <c r="K749" i="8" s="1"/>
  <c r="I415" i="8"/>
  <c r="I343" i="8"/>
  <c r="K343" i="8" s="1"/>
  <c r="I335" i="8"/>
  <c r="K335" i="8" s="1"/>
  <c r="I634" i="8"/>
  <c r="K634" i="8" s="1"/>
  <c r="I154" i="8"/>
  <c r="K154" i="8" s="1"/>
  <c r="I581" i="8"/>
  <c r="I1067" i="8"/>
  <c r="K1067" i="8" s="1"/>
  <c r="I430" i="8"/>
  <c r="K430" i="8" s="1"/>
  <c r="G746" i="8"/>
  <c r="J746" i="8" s="1"/>
  <c r="G110" i="8"/>
  <c r="G722" i="8"/>
  <c r="J722" i="8" s="1"/>
  <c r="G401" i="8"/>
  <c r="J401" i="8" s="1"/>
  <c r="G217" i="8"/>
  <c r="J217" i="8" s="1"/>
  <c r="G588" i="8"/>
  <c r="G714" i="8"/>
  <c r="J714" i="8" s="1"/>
  <c r="G466" i="8"/>
  <c r="J466" i="8" s="1"/>
  <c r="G397" i="8"/>
  <c r="J397" i="8" s="1"/>
  <c r="G988" i="8"/>
  <c r="G958" i="8"/>
  <c r="G197" i="8"/>
  <c r="J197" i="8" s="1"/>
  <c r="G796" i="8"/>
  <c r="J796" i="8" s="1"/>
  <c r="G1084" i="8"/>
  <c r="G926" i="8"/>
  <c r="J926" i="8" s="1"/>
  <c r="G776" i="8"/>
  <c r="J776" i="8" s="1"/>
  <c r="G922" i="8"/>
  <c r="G551" i="8"/>
  <c r="J551" i="8" s="1"/>
  <c r="G295" i="8"/>
  <c r="J295" i="8" s="1"/>
  <c r="H820" i="8"/>
  <c r="H872" i="8"/>
  <c r="H212" i="8"/>
  <c r="H423" i="8"/>
  <c r="H743" i="8"/>
  <c r="H597" i="8"/>
  <c r="H506" i="8"/>
  <c r="H411" i="8"/>
  <c r="H1099" i="8"/>
  <c r="H213" i="8"/>
  <c r="H485" i="8"/>
  <c r="H555" i="8"/>
  <c r="H1014" i="8"/>
  <c r="H895" i="8"/>
  <c r="H863" i="8"/>
  <c r="H524" i="8"/>
  <c r="H140" i="8"/>
  <c r="H652" i="8"/>
  <c r="H527" i="8"/>
  <c r="H103" i="8"/>
  <c r="H787" i="8"/>
  <c r="H595" i="8"/>
  <c r="H163" i="8"/>
  <c r="H549" i="8"/>
  <c r="H454" i="8"/>
  <c r="H997" i="8"/>
  <c r="H144" i="8"/>
  <c r="H237" i="8"/>
  <c r="H724" i="8"/>
  <c r="H817" i="8"/>
  <c r="H139" i="8"/>
  <c r="G739" i="8"/>
  <c r="J739" i="8" s="1"/>
  <c r="G865" i="8"/>
  <c r="J865" i="8" s="1"/>
  <c r="G638" i="8"/>
  <c r="J638" i="8" s="1"/>
  <c r="G614" i="8"/>
  <c r="G550" i="8"/>
  <c r="G1064" i="8"/>
  <c r="J1064" i="8" s="1"/>
  <c r="G569" i="8"/>
  <c r="G645" i="8"/>
  <c r="G492" i="8"/>
  <c r="G856" i="8"/>
  <c r="J856" i="8" s="1"/>
  <c r="G943" i="8"/>
  <c r="J943" i="8" s="1"/>
  <c r="G424" i="8"/>
  <c r="G354" i="8"/>
  <c r="J354" i="8" s="1"/>
  <c r="G349" i="8"/>
  <c r="J349" i="8" s="1"/>
  <c r="I697" i="8"/>
  <c r="K697" i="8" s="1"/>
  <c r="I751" i="8"/>
  <c r="I500" i="8"/>
  <c r="K500" i="8" s="1"/>
  <c r="I727" i="8"/>
  <c r="K727" i="8" s="1"/>
  <c r="I258" i="8"/>
  <c r="K258" i="8" s="1"/>
  <c r="I178" i="8"/>
  <c r="K178" i="8" s="1"/>
  <c r="I996" i="8"/>
  <c r="I630" i="8"/>
  <c r="K630" i="8" s="1"/>
  <c r="I930" i="8"/>
  <c r="I560" i="8"/>
  <c r="K560" i="8" s="1"/>
  <c r="I277" i="8"/>
  <c r="I710" i="8"/>
  <c r="K710" i="8" s="1"/>
  <c r="I606" i="8"/>
  <c r="K606" i="8" s="1"/>
  <c r="I601" i="8"/>
  <c r="K601" i="8" s="1"/>
  <c r="I259" i="8"/>
  <c r="K259" i="8" s="1"/>
  <c r="H948" i="8"/>
  <c r="H593" i="8"/>
  <c r="H481" i="8"/>
  <c r="H433" i="8"/>
  <c r="H412" i="8"/>
  <c r="H391" i="8"/>
  <c r="H858" i="8"/>
  <c r="H715" i="8"/>
  <c r="H562" i="8"/>
  <c r="H165" i="8"/>
  <c r="H371" i="8"/>
  <c r="H814" i="8"/>
  <c r="H932" i="8"/>
  <c r="H393" i="8"/>
  <c r="H369" i="8"/>
  <c r="H388" i="8"/>
  <c r="H356" i="8"/>
  <c r="H324" i="8"/>
  <c r="H1074" i="8"/>
  <c r="H913" i="8"/>
  <c r="H539" i="8"/>
  <c r="H331" i="8"/>
  <c r="H170" i="8"/>
  <c r="H490" i="8"/>
  <c r="H518" i="8"/>
  <c r="H153" i="8"/>
  <c r="H1023" i="8"/>
  <c r="H348" i="8"/>
  <c r="H1008" i="8"/>
  <c r="H1101" i="8"/>
  <c r="H803" i="8"/>
  <c r="H120" i="8"/>
  <c r="H679" i="8"/>
  <c r="H649" i="8"/>
  <c r="H568" i="8"/>
  <c r="H435" i="8"/>
  <c r="G1013" i="8"/>
  <c r="J1013" i="8" s="1"/>
  <c r="G855" i="8"/>
  <c r="J855" i="8" s="1"/>
  <c r="G268" i="8"/>
  <c r="J268" i="8" s="1"/>
  <c r="G543" i="8"/>
  <c r="J543" i="8" s="1"/>
  <c r="G909" i="8"/>
  <c r="J909" i="8" s="1"/>
  <c r="G772" i="8"/>
  <c r="G546" i="8"/>
  <c r="J546" i="8" s="1"/>
  <c r="G984" i="8"/>
  <c r="J984" i="8" s="1"/>
  <c r="G626" i="8"/>
  <c r="J626" i="8" s="1"/>
  <c r="H950" i="8"/>
  <c r="H726" i="8"/>
  <c r="H417" i="8"/>
  <c r="H667" i="8"/>
  <c r="H148" i="8"/>
  <c r="H207" i="8"/>
  <c r="H146" i="8"/>
  <c r="H1047" i="8"/>
  <c r="H979" i="8"/>
  <c r="H837" i="8"/>
  <c r="H826" i="8"/>
  <c r="H684" i="8"/>
  <c r="H901" i="8"/>
  <c r="H261" i="8"/>
  <c r="H211" i="8"/>
  <c r="H888" i="8"/>
  <c r="H477" i="8"/>
  <c r="H467" i="8"/>
  <c r="H573" i="8"/>
  <c r="H270" i="8"/>
  <c r="G875" i="8"/>
  <c r="J875" i="8" s="1"/>
  <c r="G1096" i="8"/>
  <c r="J1096" i="8" s="1"/>
  <c r="G936" i="8"/>
  <c r="J936" i="8" s="1"/>
  <c r="G129" i="8"/>
  <c r="J129" i="8" s="1"/>
  <c r="G405" i="8"/>
  <c r="J405" i="8" s="1"/>
  <c r="G323" i="8"/>
  <c r="J323" i="8" s="1"/>
  <c r="G1039" i="8"/>
  <c r="J1039" i="8" s="1"/>
  <c r="G301" i="8"/>
  <c r="J301" i="8" s="1"/>
  <c r="G511" i="8"/>
  <c r="J511" i="8" s="1"/>
  <c r="G677" i="8"/>
  <c r="J677" i="8" s="1"/>
  <c r="H305" i="8"/>
  <c r="H193" i="8"/>
  <c r="H420" i="8"/>
  <c r="H976" i="8"/>
  <c r="H530" i="8"/>
  <c r="H1056" i="8"/>
  <c r="H189" i="8"/>
  <c r="H133" i="8"/>
  <c r="H558" i="8"/>
  <c r="G1081" i="8"/>
  <c r="J1081" i="8" s="1"/>
  <c r="G1017" i="8"/>
  <c r="J1017" i="8" s="1"/>
  <c r="G841" i="8"/>
  <c r="G934" i="8"/>
  <c r="J934" i="8" s="1"/>
  <c r="G876" i="8"/>
  <c r="J876" i="8" s="1"/>
  <c r="G577" i="8"/>
  <c r="J577" i="8" s="1"/>
  <c r="G169" i="8"/>
  <c r="G878" i="8"/>
  <c r="G773" i="8"/>
  <c r="J773" i="8" s="1"/>
  <c r="G687" i="8"/>
  <c r="J687" i="8" s="1"/>
  <c r="G986" i="8"/>
  <c r="J986" i="8" s="1"/>
  <c r="G784" i="8"/>
  <c r="J784" i="8" s="1"/>
  <c r="G440" i="8"/>
  <c r="J440" i="8" s="1"/>
  <c r="G176" i="8"/>
  <c r="G828" i="8"/>
  <c r="G695" i="8"/>
  <c r="J695" i="8" s="1"/>
  <c r="I742" i="8"/>
  <c r="K742" i="8" s="1"/>
  <c r="I332" i="8"/>
  <c r="K332" i="8" s="1"/>
  <c r="I914" i="8"/>
  <c r="I319" i="8"/>
  <c r="K319" i="8" s="1"/>
  <c r="I703" i="8"/>
  <c r="K703" i="8" s="1"/>
  <c r="I114" i="8"/>
  <c r="I655" i="8"/>
  <c r="I838" i="8"/>
  <c r="K838" i="8" s="1"/>
  <c r="I834" i="8"/>
  <c r="K834" i="8" s="1"/>
  <c r="I843" i="8"/>
  <c r="K843" i="8" s="1"/>
  <c r="I600" i="8"/>
  <c r="I203" i="8"/>
  <c r="K203" i="8" s="1"/>
  <c r="I970" i="8"/>
  <c r="K970" i="8" s="1"/>
  <c r="I1035" i="8"/>
  <c r="K1035" i="8" s="1"/>
  <c r="I966" i="8"/>
  <c r="I286" i="8"/>
  <c r="K286" i="8" s="1"/>
  <c r="I1083" i="8"/>
  <c r="K1083" i="8" s="1"/>
  <c r="I731" i="8"/>
  <c r="K731" i="8" s="1"/>
  <c r="I468" i="8"/>
  <c r="I1042" i="8"/>
  <c r="K1042" i="8" s="1"/>
  <c r="I716" i="8"/>
  <c r="K716" i="8" s="1"/>
  <c r="I402" i="8"/>
  <c r="I517" i="8"/>
  <c r="I187" i="8"/>
  <c r="K187" i="8" s="1"/>
  <c r="I637" i="8"/>
  <c r="K637" i="8" s="1"/>
  <c r="I947" i="8"/>
  <c r="K947" i="8" s="1"/>
  <c r="I437" i="8"/>
  <c r="I289" i="8"/>
  <c r="I1020" i="8"/>
  <c r="K1020" i="8" s="1"/>
  <c r="I373" i="8"/>
  <c r="K373" i="8" s="1"/>
  <c r="I977" i="8"/>
  <c r="K977" i="8" s="1"/>
  <c r="I969" i="8"/>
  <c r="K969" i="8" s="1"/>
  <c r="I1007" i="8"/>
  <c r="K1007" i="8" s="1"/>
  <c r="I911" i="8"/>
  <c r="K911" i="8" s="1"/>
  <c r="I740" i="8"/>
  <c r="K740" i="8" s="1"/>
  <c r="I292" i="8"/>
  <c r="K292" i="8" s="1"/>
  <c r="I244" i="8"/>
  <c r="K244" i="8" s="1"/>
  <c r="I942" i="8"/>
  <c r="K942" i="8" s="1"/>
  <c r="I771" i="8"/>
  <c r="K771" i="8" s="1"/>
  <c r="I760" i="8"/>
  <c r="K760" i="8" s="1"/>
  <c r="I443" i="8"/>
  <c r="K443" i="8" s="1"/>
  <c r="I320" i="8"/>
  <c r="K320" i="8" s="1"/>
  <c r="I121" i="8"/>
  <c r="K121" i="8" s="1"/>
  <c r="I962" i="8"/>
  <c r="K962" i="8" s="1"/>
  <c r="I321" i="8"/>
  <c r="K321" i="8" s="1"/>
  <c r="H918" i="8"/>
  <c r="H585" i="8"/>
  <c r="H329" i="8"/>
  <c r="H143" i="8"/>
  <c r="H306" i="8"/>
  <c r="H624" i="8"/>
  <c r="H619" i="8"/>
  <c r="H493" i="8"/>
  <c r="H302" i="8"/>
  <c r="H1060" i="8"/>
  <c r="H923" i="8"/>
  <c r="H175" i="8"/>
  <c r="H461" i="8"/>
  <c r="H522" i="8"/>
  <c r="H899" i="8"/>
  <c r="H757" i="8"/>
  <c r="H1045" i="8"/>
  <c r="H534" i="8"/>
  <c r="H802" i="8"/>
  <c r="H410" i="8"/>
  <c r="H381" i="8"/>
  <c r="H830" i="8"/>
  <c r="H686" i="8"/>
  <c r="H908" i="8"/>
  <c r="H953" i="8"/>
  <c r="H521" i="8"/>
  <c r="H257" i="8"/>
  <c r="H643" i="8"/>
  <c r="H231" i="8"/>
  <c r="H1001" i="8"/>
  <c r="H767" i="8"/>
  <c r="H1058" i="8"/>
  <c r="H202" i="8"/>
  <c r="H951" i="8"/>
  <c r="H706" i="8"/>
  <c r="I1079" i="8"/>
  <c r="K1079" i="8" s="1"/>
  <c r="I720" i="8"/>
  <c r="K720" i="8" s="1"/>
  <c r="I612" i="8"/>
  <c r="K612" i="8" s="1"/>
  <c r="I156" i="8"/>
  <c r="K156" i="8" s="1"/>
  <c r="I263" i="8"/>
  <c r="K263" i="8" s="1"/>
  <c r="I389" i="8"/>
  <c r="K389" i="8" s="1"/>
  <c r="I824" i="8"/>
  <c r="I429" i="8"/>
  <c r="K429" i="8" s="1"/>
  <c r="I392" i="8"/>
  <c r="K392" i="8" s="1"/>
  <c r="I666" i="8"/>
  <c r="K666" i="8" s="1"/>
  <c r="I662" i="8"/>
  <c r="I491" i="8"/>
  <c r="G963" i="8"/>
  <c r="G961" i="8"/>
  <c r="G385" i="8"/>
  <c r="G164" i="8"/>
  <c r="G226" i="8"/>
  <c r="J226" i="8" s="1"/>
  <c r="G650" i="8"/>
  <c r="J650" i="8" s="1"/>
  <c r="G642" i="8"/>
  <c r="G280" i="8"/>
  <c r="J280" i="8" s="1"/>
  <c r="G307" i="8"/>
  <c r="J307" i="8" s="1"/>
  <c r="G1051" i="8"/>
  <c r="G993" i="8"/>
  <c r="G833" i="8"/>
  <c r="J833" i="8" s="1"/>
  <c r="G917" i="8"/>
  <c r="J917" i="8" s="1"/>
  <c r="G1066" i="8"/>
  <c r="J1066" i="8" s="1"/>
  <c r="G425" i="8"/>
  <c r="J425" i="8" s="1"/>
  <c r="G1040" i="8"/>
  <c r="G982" i="8"/>
  <c r="J982" i="8" s="1"/>
  <c r="G515" i="8"/>
  <c r="G783" i="8"/>
  <c r="J783" i="8" s="1"/>
  <c r="G732" i="8"/>
  <c r="J732" i="8" s="1"/>
  <c r="G864" i="8"/>
  <c r="G503" i="8"/>
  <c r="J503" i="8" s="1"/>
  <c r="G935" i="8"/>
  <c r="J935" i="8" s="1"/>
  <c r="G416" i="8"/>
  <c r="J416" i="8" s="1"/>
  <c r="G243" i="8"/>
  <c r="J243" i="8" s="1"/>
  <c r="G290" i="8"/>
  <c r="H1036" i="8"/>
  <c r="H812" i="8"/>
  <c r="H921" i="8"/>
  <c r="H906" i="8"/>
  <c r="H729" i="8"/>
  <c r="H623" i="8"/>
  <c r="H191" i="8"/>
  <c r="H681" i="8"/>
  <c r="H448" i="8"/>
  <c r="H792" i="8"/>
  <c r="H777" i="8"/>
  <c r="H224" i="8"/>
  <c r="H250" i="8"/>
  <c r="I849" i="8"/>
  <c r="K849" i="8" s="1"/>
  <c r="I825" i="8"/>
  <c r="K825" i="8" s="1"/>
  <c r="I769" i="8"/>
  <c r="I628" i="8"/>
  <c r="I516" i="8"/>
  <c r="K516" i="8" s="1"/>
  <c r="I484" i="8"/>
  <c r="K484" i="8" s="1"/>
  <c r="I383" i="8"/>
  <c r="K383" i="8" s="1"/>
  <c r="I183" i="8"/>
  <c r="I174" i="8"/>
  <c r="G779" i="8"/>
  <c r="J779" i="8" s="1"/>
  <c r="G699" i="8"/>
  <c r="J699" i="8" s="1"/>
  <c r="G1073" i="8"/>
  <c r="J1073" i="8" s="1"/>
  <c r="G1057" i="8"/>
  <c r="J1057" i="8" s="1"/>
  <c r="G766" i="8"/>
  <c r="J766" i="8" s="1"/>
  <c r="G775" i="8"/>
  <c r="J775" i="8" s="1"/>
  <c r="G1038" i="8"/>
  <c r="J1038" i="8" s="1"/>
  <c r="G762" i="8"/>
  <c r="J762" i="8" s="1"/>
  <c r="G260" i="8"/>
  <c r="J260" i="8" s="1"/>
  <c r="G346" i="8"/>
  <c r="J346" i="8" s="1"/>
  <c r="G924" i="8"/>
  <c r="J924" i="8" s="1"/>
  <c r="G798" i="8"/>
  <c r="J798" i="8" s="1"/>
  <c r="G892" i="8"/>
  <c r="J892" i="8" s="1"/>
  <c r="G816" i="8"/>
  <c r="J816" i="8" s="1"/>
  <c r="G608" i="8"/>
  <c r="J608" i="8" s="1"/>
  <c r="G978" i="8"/>
  <c r="J978" i="8" s="1"/>
  <c r="G357" i="8"/>
  <c r="J357" i="8" s="1"/>
  <c r="G138" i="8"/>
  <c r="J138" i="8" s="1"/>
  <c r="H385" i="8"/>
  <c r="H164" i="8"/>
  <c r="H961" i="8"/>
  <c r="H963" i="8"/>
  <c r="H280" i="8"/>
  <c r="H642" i="8"/>
  <c r="H650" i="8"/>
  <c r="H226" i="8"/>
  <c r="H307" i="8"/>
  <c r="H829" i="8"/>
  <c r="H316" i="8"/>
  <c r="H780" i="8"/>
  <c r="H387" i="8"/>
  <c r="H915" i="8"/>
  <c r="H482" i="8"/>
  <c r="H358" i="8"/>
  <c r="H235" i="8"/>
  <c r="H355" i="8"/>
  <c r="H765" i="8"/>
  <c r="H102" i="8"/>
  <c r="H362" i="8"/>
  <c r="H590" i="8"/>
  <c r="C83" i="11"/>
  <c r="F83" i="11" s="1"/>
  <c r="B61" i="11"/>
  <c r="C82" i="11"/>
  <c r="F82" i="11" s="1"/>
  <c r="C81" i="11"/>
  <c r="F81" i="11" s="1"/>
  <c r="B7" i="8"/>
  <c r="P33" i="2"/>
  <c r="B24" i="1"/>
  <c r="H825" i="8"/>
  <c r="H628" i="8"/>
  <c r="H516" i="8"/>
  <c r="H484" i="8"/>
  <c r="H769" i="8"/>
  <c r="H383" i="8"/>
  <c r="H183" i="8"/>
  <c r="H849" i="8"/>
  <c r="H174" i="8"/>
  <c r="C10" i="8" l="1"/>
  <c r="C9" i="8"/>
  <c r="C8" i="8"/>
  <c r="C6" i="8"/>
  <c r="C28" i="1" s="1"/>
  <c r="J111" i="8"/>
  <c r="K111" i="8"/>
  <c r="K777" i="8"/>
  <c r="J191" i="8"/>
  <c r="K1072" i="8"/>
  <c r="K576" i="8"/>
  <c r="K872" i="8"/>
  <c r="K867" i="8"/>
  <c r="K698" i="8"/>
  <c r="K641" i="8"/>
  <c r="K199" i="8"/>
  <c r="K692" i="8"/>
  <c r="K363" i="8"/>
  <c r="K794" i="8"/>
  <c r="K1049" i="8"/>
  <c r="J186" i="8"/>
  <c r="J488" i="8"/>
  <c r="J594" i="8"/>
  <c r="K532" i="8"/>
  <c r="J994" i="8"/>
  <c r="K309" i="8"/>
  <c r="K776" i="8"/>
  <c r="J869" i="8"/>
  <c r="K706" i="8"/>
  <c r="K381" i="8"/>
  <c r="K558" i="8"/>
  <c r="K120" i="8"/>
  <c r="K348" i="8"/>
  <c r="K1014" i="8"/>
  <c r="J889" i="8"/>
  <c r="K472" i="8"/>
  <c r="J388" i="8"/>
  <c r="J820" i="8"/>
  <c r="J1099" i="8"/>
  <c r="J668" i="8"/>
  <c r="J1061" i="8"/>
  <c r="K896" i="8"/>
  <c r="K274" i="8"/>
  <c r="J544" i="8"/>
  <c r="K227" i="8"/>
  <c r="K494" i="8"/>
  <c r="J470" i="8"/>
  <c r="J587" i="8"/>
  <c r="J247" i="8"/>
  <c r="J192" i="8"/>
  <c r="J1070" i="8"/>
  <c r="K311" i="8"/>
  <c r="J572" i="8"/>
  <c r="J497" i="8"/>
  <c r="K504" i="8"/>
  <c r="J563" i="8"/>
  <c r="J974" i="8"/>
  <c r="K251" i="8"/>
  <c r="J536" i="8"/>
  <c r="J1015" i="8"/>
  <c r="K959" i="8"/>
  <c r="K765" i="8"/>
  <c r="J831" i="8"/>
  <c r="J616" i="8"/>
  <c r="J622" i="8"/>
  <c r="J407" i="8"/>
  <c r="J347" i="8"/>
  <c r="K808" i="8"/>
  <c r="J542" i="8"/>
  <c r="J387" i="8"/>
  <c r="K683" i="8"/>
  <c r="J706" i="8"/>
  <c r="J908" i="8"/>
  <c r="J671" i="8"/>
  <c r="K246" i="8"/>
  <c r="K580" i="8"/>
  <c r="K176" i="8"/>
  <c r="K773" i="8"/>
  <c r="J1086" i="8"/>
  <c r="J190" i="8"/>
  <c r="J225" i="8"/>
  <c r="K984" i="8"/>
  <c r="J160" i="8"/>
  <c r="J673" i="8"/>
  <c r="J477" i="8"/>
  <c r="J963" i="8"/>
  <c r="J493" i="8"/>
  <c r="J611" i="8"/>
  <c r="J550" i="8"/>
  <c r="K350" i="8"/>
  <c r="J720" i="8"/>
  <c r="J278" i="8"/>
  <c r="K476" i="8"/>
  <c r="J1025" i="8"/>
  <c r="K1018" i="8"/>
  <c r="K211" i="8"/>
  <c r="K388" i="8"/>
  <c r="K811" i="8"/>
  <c r="J752" i="8"/>
  <c r="K621" i="8"/>
  <c r="K255" i="8"/>
  <c r="K725" i="8"/>
  <c r="J718" i="8"/>
  <c r="J498" i="8"/>
  <c r="J167" i="8"/>
  <c r="J512" i="8"/>
  <c r="K902" i="8"/>
  <c r="J490" i="8"/>
  <c r="J867" i="8"/>
  <c r="J255" i="8"/>
  <c r="J204" i="8"/>
  <c r="J427" i="8"/>
  <c r="J844" i="8"/>
  <c r="K648" i="8"/>
  <c r="K754" i="8"/>
  <c r="J282" i="8"/>
  <c r="J735" i="8"/>
  <c r="J1069" i="8"/>
  <c r="J607" i="8"/>
  <c r="J701" i="8"/>
  <c r="J738" i="8"/>
  <c r="J665" i="8"/>
  <c r="K851" i="8"/>
  <c r="K192" i="8"/>
  <c r="J360" i="8"/>
  <c r="J465" i="8"/>
  <c r="K571" i="8"/>
  <c r="K293" i="8"/>
  <c r="K1055" i="8"/>
  <c r="K358" i="8"/>
  <c r="K362" i="8"/>
  <c r="J641" i="8"/>
  <c r="J557" i="8"/>
  <c r="J229" i="8"/>
  <c r="J366" i="8"/>
  <c r="J400" i="8"/>
  <c r="J972" i="8"/>
  <c r="J635" i="8"/>
  <c r="K1086" i="8"/>
  <c r="K1050" i="8"/>
  <c r="J801" i="8"/>
  <c r="J316" i="8"/>
  <c r="J686" i="8"/>
  <c r="J951" i="8"/>
  <c r="J664" i="8"/>
  <c r="J789" i="8"/>
  <c r="K194" i="8"/>
  <c r="K596" i="8"/>
  <c r="K934" i="8"/>
  <c r="K876" i="8"/>
  <c r="J806" i="8"/>
  <c r="K772" i="8"/>
  <c r="J408" i="8"/>
  <c r="J480" i="8"/>
  <c r="F78" i="11"/>
  <c r="P344" i="2" s="1"/>
  <c r="F77" i="11"/>
  <c r="P343" i="2" s="1"/>
  <c r="F76" i="11"/>
  <c r="P342" i="2" s="1"/>
  <c r="F75" i="11"/>
  <c r="P341" i="2" s="1"/>
  <c r="F74" i="11"/>
  <c r="P340" i="2" s="1"/>
  <c r="F73" i="11"/>
  <c r="P339" i="2" s="1"/>
  <c r="F72" i="11"/>
  <c r="P338" i="2" s="1"/>
  <c r="F71" i="11"/>
  <c r="P337" i="2" s="1"/>
  <c r="F70" i="11"/>
  <c r="P336" i="2" s="1"/>
  <c r="F69" i="11"/>
  <c r="P335" i="2" s="1"/>
  <c r="F68" i="11"/>
  <c r="P334" i="2" s="1"/>
  <c r="G76" i="11"/>
  <c r="O342" i="2" s="1"/>
  <c r="G68" i="11"/>
  <c r="O334" i="2" s="1"/>
  <c r="G77" i="11"/>
  <c r="O343" i="2" s="1"/>
  <c r="G69" i="11"/>
  <c r="O335" i="2" s="1"/>
  <c r="G78" i="11"/>
  <c r="O344" i="2" s="1"/>
  <c r="G70" i="11"/>
  <c r="O336" i="2" s="1"/>
  <c r="G71" i="11"/>
  <c r="O337" i="2" s="1"/>
  <c r="G72" i="11"/>
  <c r="O338" i="2" s="1"/>
  <c r="G73" i="11"/>
  <c r="O339" i="2" s="1"/>
  <c r="G74" i="11"/>
  <c r="O340" i="2" s="1"/>
  <c r="G75" i="11"/>
  <c r="O341" i="2" s="1"/>
  <c r="H73" i="11"/>
  <c r="I73" i="11" s="1"/>
  <c r="H69" i="11"/>
  <c r="I69" i="11" s="1"/>
  <c r="H68" i="11"/>
  <c r="I68" i="11" s="1"/>
  <c r="H75" i="11"/>
  <c r="I75" i="11" s="1"/>
  <c r="H76" i="11"/>
  <c r="I76" i="11" s="1"/>
  <c r="H77" i="11"/>
  <c r="I77" i="11" s="1"/>
  <c r="H78" i="11"/>
  <c r="I78" i="11" s="1"/>
  <c r="H71" i="11"/>
  <c r="I71" i="11" s="1"/>
  <c r="H72" i="11"/>
  <c r="I72" i="11" s="1"/>
  <c r="H70" i="11"/>
  <c r="I70" i="11" s="1"/>
  <c r="J199" i="8"/>
  <c r="J309" i="8"/>
  <c r="K102" i="8"/>
  <c r="P166" i="2"/>
  <c r="P163" i="2"/>
  <c r="P165" i="2"/>
  <c r="D8" i="8"/>
  <c r="P159" i="2"/>
  <c r="P156" i="2"/>
  <c r="P158" i="2"/>
  <c r="P153" i="2"/>
  <c r="P164" i="2"/>
  <c r="P161" i="2"/>
  <c r="P154" i="2"/>
  <c r="P152" i="2"/>
  <c r="P155" i="2"/>
  <c r="D10" i="8"/>
  <c r="D9" i="8"/>
  <c r="P162" i="2"/>
  <c r="P160" i="2"/>
  <c r="D6" i="8"/>
  <c r="P157" i="2"/>
  <c r="J200" i="8"/>
  <c r="K806" i="8"/>
  <c r="K393" i="8"/>
  <c r="K356" i="8"/>
  <c r="J277" i="8"/>
  <c r="K174" i="8"/>
  <c r="J1040" i="8"/>
  <c r="K491" i="8"/>
  <c r="K289" i="8"/>
  <c r="K996" i="8"/>
  <c r="K1006" i="8"/>
  <c r="J417" i="8"/>
  <c r="J435" i="8"/>
  <c r="K663" i="8"/>
  <c r="J166" i="8"/>
  <c r="J628" i="8"/>
  <c r="K921" i="8"/>
  <c r="K917" i="8"/>
  <c r="K642" i="8"/>
  <c r="J491" i="8"/>
  <c r="J223" i="8"/>
  <c r="K535" i="8"/>
  <c r="J558" i="8"/>
  <c r="K840" i="8"/>
  <c r="K306" i="8"/>
  <c r="K427" i="8"/>
  <c r="J703" i="8"/>
  <c r="J966" i="8"/>
  <c r="J725" i="8"/>
  <c r="K603" i="8"/>
  <c r="K799" i="8"/>
  <c r="K470" i="8"/>
  <c r="K950" i="8"/>
  <c r="K756" i="8"/>
  <c r="K539" i="8"/>
  <c r="K743" i="8"/>
  <c r="K752" i="8"/>
  <c r="J948" i="8"/>
  <c r="J787" i="8"/>
  <c r="J1006" i="8"/>
  <c r="K145" i="8"/>
  <c r="K730" i="8"/>
  <c r="J279" i="8"/>
  <c r="J337" i="8"/>
  <c r="J457" i="8"/>
  <c r="K827" i="8"/>
  <c r="J768" i="8"/>
  <c r="J251" i="8"/>
  <c r="K889" i="8"/>
  <c r="K922" i="8"/>
  <c r="J293" i="8"/>
  <c r="J1095" i="8"/>
  <c r="K410" i="8"/>
  <c r="K433" i="8"/>
  <c r="K549" i="8"/>
  <c r="J814" i="8"/>
  <c r="J411" i="8"/>
  <c r="J533" i="8"/>
  <c r="K183" i="8"/>
  <c r="J642" i="8"/>
  <c r="K662" i="8"/>
  <c r="K437" i="8"/>
  <c r="K468" i="8"/>
  <c r="K600" i="8"/>
  <c r="K914" i="8"/>
  <c r="J841" i="8"/>
  <c r="J424" i="8"/>
  <c r="J614" i="8"/>
  <c r="J1084" i="8"/>
  <c r="J588" i="8"/>
  <c r="K581" i="8"/>
  <c r="J919" i="8"/>
  <c r="J146" i="8"/>
  <c r="J901" i="8"/>
  <c r="J270" i="8"/>
  <c r="J1101" i="8"/>
  <c r="K436" i="8"/>
  <c r="J182" i="8"/>
  <c r="J174" i="8"/>
  <c r="K191" i="8"/>
  <c r="K243" i="8"/>
  <c r="K982" i="8"/>
  <c r="K993" i="8"/>
  <c r="K300" i="8"/>
  <c r="K226" i="8"/>
  <c r="J1079" i="8"/>
  <c r="J952" i="8"/>
  <c r="J522" i="8"/>
  <c r="J757" i="8"/>
  <c r="J918" i="8"/>
  <c r="J402" i="8"/>
  <c r="K177" i="8"/>
  <c r="K718" i="8"/>
  <c r="J976" i="8"/>
  <c r="J729" i="8"/>
  <c r="K952" i="8"/>
  <c r="K927" i="8"/>
  <c r="J730" i="8"/>
  <c r="K619" i="8"/>
  <c r="K143" i="8"/>
  <c r="J374" i="8"/>
  <c r="K265" i="8"/>
  <c r="K844" i="8"/>
  <c r="J203" i="8"/>
  <c r="J843" i="8"/>
  <c r="J363" i="8"/>
  <c r="J1049" i="8"/>
  <c r="K449" i="8"/>
  <c r="K781" i="8"/>
  <c r="K815" i="8"/>
  <c r="K1092" i="8"/>
  <c r="K888" i="8"/>
  <c r="K573" i="8"/>
  <c r="K148" i="8"/>
  <c r="K1003" i="8"/>
  <c r="K1012" i="8"/>
  <c r="K369" i="8"/>
  <c r="K913" i="8"/>
  <c r="J258" i="8"/>
  <c r="J751" i="8"/>
  <c r="K690" i="8"/>
  <c r="K213" i="8"/>
  <c r="K820" i="8"/>
  <c r="K501" i="8"/>
  <c r="K386" i="8"/>
  <c r="K545" i="8"/>
  <c r="K131" i="8"/>
  <c r="K1076" i="8"/>
  <c r="K312" i="8"/>
  <c r="K480" i="8"/>
  <c r="K450" i="8"/>
  <c r="J412" i="8"/>
  <c r="J163" i="8"/>
  <c r="J140" i="8"/>
  <c r="J430" i="8"/>
  <c r="J459" i="8"/>
  <c r="K137" i="8"/>
  <c r="K172" i="8"/>
  <c r="J228" i="8"/>
  <c r="K469" i="8"/>
  <c r="K204" i="8"/>
  <c r="K513" i="8"/>
  <c r="K691" i="8"/>
  <c r="J210" i="8"/>
  <c r="K262" i="8"/>
  <c r="K487" i="8"/>
  <c r="K611" i="8"/>
  <c r="K995" i="8"/>
  <c r="J419" i="8"/>
  <c r="J128" i="8"/>
  <c r="J893" i="8"/>
  <c r="J565" i="8"/>
  <c r="J494" i="8"/>
  <c r="J271" i="8"/>
  <c r="J647" i="8"/>
  <c r="J150" i="8"/>
  <c r="K782" i="8"/>
  <c r="J350" i="8"/>
  <c r="J311" i="8"/>
  <c r="J1027" i="8"/>
  <c r="K891" i="8"/>
  <c r="J980" i="8"/>
  <c r="J881" i="8"/>
  <c r="K360" i="8"/>
  <c r="K569" i="8"/>
  <c r="K492" i="8"/>
  <c r="J571" i="8"/>
  <c r="J1041" i="8"/>
  <c r="K325" i="8"/>
  <c r="K988" i="8"/>
  <c r="K295" i="8"/>
  <c r="J959" i="8"/>
  <c r="J447" i="8"/>
  <c r="J273" i="8"/>
  <c r="K866" i="8"/>
  <c r="J510" i="8"/>
  <c r="K202" i="8"/>
  <c r="K1060" i="8"/>
  <c r="K522" i="8"/>
  <c r="K305" i="8"/>
  <c r="K679" i="8"/>
  <c r="K649" i="8"/>
  <c r="K562" i="8"/>
  <c r="K454" i="8"/>
  <c r="K997" i="8"/>
  <c r="K817" i="8"/>
  <c r="J991" i="8"/>
  <c r="K353" i="8"/>
  <c r="K303" i="8"/>
  <c r="J932" i="8"/>
  <c r="J369" i="8"/>
  <c r="J506" i="8"/>
  <c r="J1021" i="8"/>
  <c r="E81" i="11"/>
  <c r="D81" i="11"/>
  <c r="D82" i="11"/>
  <c r="E82" i="11"/>
  <c r="J1029" i="8"/>
  <c r="J304" i="8"/>
  <c r="J983" i="8"/>
  <c r="K209" i="8"/>
  <c r="J106" i="8"/>
  <c r="J999" i="8"/>
  <c r="J1002" i="8"/>
  <c r="K992" i="8"/>
  <c r="K123" i="8"/>
  <c r="K327" i="8"/>
  <c r="J1092" i="8"/>
  <c r="J463" i="8"/>
  <c r="K134" i="8"/>
  <c r="J576" i="8"/>
  <c r="J770" i="8"/>
  <c r="J431" i="8"/>
  <c r="J1048" i="8"/>
  <c r="J238" i="8"/>
  <c r="K822" i="8"/>
  <c r="J379" i="8"/>
  <c r="J925" i="8"/>
  <c r="J1046" i="8"/>
  <c r="J158" i="8"/>
  <c r="K446" i="8"/>
  <c r="K214" i="8"/>
  <c r="K755" i="8"/>
  <c r="J567" i="8"/>
  <c r="J946" i="8"/>
  <c r="J1004" i="8"/>
  <c r="K283" i="8"/>
  <c r="K758" i="8"/>
  <c r="J804" i="8"/>
  <c r="J827" i="8"/>
  <c r="K299" i="8"/>
  <c r="K1063" i="8"/>
  <c r="K387" i="8"/>
  <c r="K482" i="8"/>
  <c r="J832" i="8"/>
  <c r="J137" i="8"/>
  <c r="J813" i="8"/>
  <c r="J897" i="8"/>
  <c r="K239" i="8"/>
  <c r="K775" i="8"/>
  <c r="K1038" i="8"/>
  <c r="J570" i="8"/>
  <c r="J1028" i="8"/>
  <c r="J604" i="8"/>
  <c r="J868" i="8"/>
  <c r="J528" i="8"/>
  <c r="J246" i="8"/>
  <c r="J227" i="8"/>
  <c r="K190" i="8"/>
  <c r="K266" i="8"/>
  <c r="J835" i="8"/>
  <c r="K352" i="8"/>
  <c r="K584" i="8"/>
  <c r="J235" i="8"/>
  <c r="J829" i="8"/>
  <c r="K640" i="8"/>
  <c r="K119" i="8"/>
  <c r="J767" i="8"/>
  <c r="J953" i="8"/>
  <c r="J575" i="8"/>
  <c r="J747" i="8"/>
  <c r="K528" i="8"/>
  <c r="K586" i="8"/>
  <c r="K620" i="8"/>
  <c r="K695" i="8"/>
  <c r="K841" i="8"/>
  <c r="J750" i="8"/>
  <c r="K245" i="8"/>
  <c r="J327" i="8"/>
  <c r="J1065" i="8"/>
  <c r="K1013" i="8"/>
  <c r="J786" i="8"/>
  <c r="J185" i="8"/>
  <c r="Q18" i="10"/>
  <c r="Y17" i="10"/>
  <c r="U17" i="10"/>
  <c r="J482" i="8"/>
  <c r="B10" i="8"/>
  <c r="O166" i="2"/>
  <c r="J102" i="8"/>
  <c r="B6" i="8"/>
  <c r="B28" i="1" s="1"/>
  <c r="O165" i="2"/>
  <c r="O162" i="2"/>
  <c r="O159" i="2"/>
  <c r="O161" i="2"/>
  <c r="O158" i="2"/>
  <c r="B8" i="8"/>
  <c r="O156" i="2"/>
  <c r="O164" i="2"/>
  <c r="O163" i="2"/>
  <c r="O157" i="2"/>
  <c r="B9" i="8"/>
  <c r="O155" i="2"/>
  <c r="O160" i="2"/>
  <c r="O153" i="2"/>
  <c r="O154" i="2"/>
  <c r="O152" i="2"/>
  <c r="K232" i="8"/>
  <c r="K284" i="8"/>
  <c r="J202" i="8"/>
  <c r="J1001" i="8"/>
  <c r="K748" i="8"/>
  <c r="K407" i="8"/>
  <c r="K972" i="8"/>
  <c r="K440" i="8"/>
  <c r="K1017" i="8"/>
  <c r="J1050" i="8"/>
  <c r="K542" i="8"/>
  <c r="J375" i="8"/>
  <c r="J763" i="8"/>
  <c r="K546" i="8"/>
  <c r="J745" i="8"/>
  <c r="J134" i="8"/>
  <c r="J381" i="8"/>
  <c r="J224" i="8"/>
  <c r="J914" i="8"/>
  <c r="K498" i="8"/>
  <c r="J393" i="8"/>
  <c r="J667" i="8"/>
  <c r="J175" i="8"/>
  <c r="K186" i="8"/>
  <c r="J1056" i="8"/>
  <c r="J713" i="8"/>
  <c r="J883" i="8"/>
  <c r="K113" i="8"/>
  <c r="J754" i="8"/>
  <c r="J811" i="8"/>
  <c r="J657" i="8"/>
  <c r="K372" i="8"/>
  <c r="K414" i="8"/>
  <c r="K958" i="8"/>
  <c r="K588" i="8"/>
  <c r="J902" i="8"/>
  <c r="K686" i="8"/>
  <c r="K231" i="8"/>
  <c r="K802" i="8"/>
  <c r="K175" i="8"/>
  <c r="K715" i="8"/>
  <c r="K391" i="8"/>
  <c r="J518" i="8"/>
  <c r="J213" i="8"/>
  <c r="J733" i="8"/>
  <c r="J644" i="8"/>
  <c r="K200" i="8"/>
  <c r="K337" i="8"/>
  <c r="K159" i="8"/>
  <c r="K375" i="8"/>
  <c r="J218" i="8"/>
  <c r="J819" i="8"/>
  <c r="K269" i="8"/>
  <c r="K238" i="8"/>
  <c r="K218" i="8"/>
  <c r="J605" i="8"/>
  <c r="K674" i="8"/>
  <c r="K316" i="8"/>
  <c r="J632" i="8"/>
  <c r="J113" i="8"/>
  <c r="J629" i="8"/>
  <c r="J640" i="8"/>
  <c r="J945" i="8"/>
  <c r="J362" i="8"/>
  <c r="J358" i="8"/>
  <c r="J830" i="8"/>
  <c r="J643" i="8"/>
  <c r="K868" i="8"/>
  <c r="K654" i="8"/>
  <c r="K945" i="8"/>
  <c r="K828" i="8"/>
  <c r="K1081" i="8"/>
  <c r="J728" i="8"/>
  <c r="K394" i="8"/>
  <c r="K626" i="8"/>
  <c r="J456" i="8"/>
  <c r="J566" i="8"/>
  <c r="J906" i="8"/>
  <c r="J834" i="8"/>
  <c r="K271" i="8"/>
  <c r="K1047" i="8"/>
  <c r="K994" i="8"/>
  <c r="J164" i="8"/>
  <c r="J979" i="8"/>
  <c r="K792" i="8"/>
  <c r="J289" i="8"/>
  <c r="J530" i="8"/>
  <c r="J115" i="8"/>
  <c r="J995" i="8"/>
  <c r="K814" i="8"/>
  <c r="K533" i="8"/>
  <c r="J997" i="8"/>
  <c r="J310" i="8"/>
  <c r="K713" i="8"/>
  <c r="J535" i="8"/>
  <c r="J287" i="8"/>
  <c r="J179" i="8"/>
  <c r="K861" i="8"/>
  <c r="J236" i="8"/>
  <c r="K643" i="8"/>
  <c r="K1101" i="8"/>
  <c r="K724" i="8"/>
  <c r="K652" i="8"/>
  <c r="J669" i="8"/>
  <c r="J331" i="8"/>
  <c r="J913" i="8"/>
  <c r="J555" i="8"/>
  <c r="B18" i="13"/>
  <c r="D18" i="13" s="1"/>
  <c r="J9" i="1"/>
  <c r="K9" i="1" s="1"/>
  <c r="J898" i="8"/>
  <c r="J1024" i="8"/>
  <c r="K240" i="8"/>
  <c r="K1065" i="8"/>
  <c r="J249" i="8"/>
  <c r="J756" i="8"/>
  <c r="J851" i="8"/>
  <c r="K438" i="8"/>
  <c r="J973" i="8"/>
  <c r="J386" i="8"/>
  <c r="K874" i="8"/>
  <c r="K701" i="8"/>
  <c r="K1070" i="8"/>
  <c r="J880" i="8"/>
  <c r="K236" i="8"/>
  <c r="J1044" i="8"/>
  <c r="J532" i="8"/>
  <c r="K915" i="8"/>
  <c r="K829" i="8"/>
  <c r="J582" i="8"/>
  <c r="K1057" i="8"/>
  <c r="J513" i="8"/>
  <c r="J119" i="8"/>
  <c r="J683" i="8"/>
  <c r="J194" i="8"/>
  <c r="J596" i="8"/>
  <c r="J240" i="8"/>
  <c r="J452" i="8"/>
  <c r="J765" i="8"/>
  <c r="J590" i="8"/>
  <c r="K1028" i="8"/>
  <c r="K604" i="8"/>
  <c r="J1058" i="8"/>
  <c r="K342" i="8"/>
  <c r="K910" i="8"/>
  <c r="K577" i="8"/>
  <c r="K784" i="8"/>
  <c r="J495" i="8"/>
  <c r="J709" i="8"/>
  <c r="K835" i="8"/>
  <c r="K543" i="8"/>
  <c r="J520" i="8"/>
  <c r="J1030" i="8"/>
  <c r="J390" i="8"/>
  <c r="K780" i="8"/>
  <c r="J586" i="8"/>
  <c r="J864" i="8"/>
  <c r="J950" i="8"/>
  <c r="J183" i="8"/>
  <c r="K963" i="8"/>
  <c r="J332" i="8"/>
  <c r="J761" i="8"/>
  <c r="K270" i="8"/>
  <c r="K696" i="8"/>
  <c r="K616" i="8"/>
  <c r="K897" i="8"/>
  <c r="J878" i="8"/>
  <c r="K277" i="8"/>
  <c r="J492" i="8"/>
  <c r="J958" i="8"/>
  <c r="J888" i="8"/>
  <c r="J383" i="8"/>
  <c r="K515" i="8"/>
  <c r="K1040" i="8"/>
  <c r="K164" i="8"/>
  <c r="J666" i="8"/>
  <c r="J927" i="8"/>
  <c r="J923" i="8"/>
  <c r="K462" i="8"/>
  <c r="J623" i="8"/>
  <c r="K493" i="8"/>
  <c r="J1010" i="8"/>
  <c r="K1024" i="8"/>
  <c r="J600" i="8"/>
  <c r="K488" i="8"/>
  <c r="K287" i="8"/>
  <c r="K735" i="8"/>
  <c r="K979" i="8"/>
  <c r="K331" i="8"/>
  <c r="J930" i="8"/>
  <c r="K572" i="8"/>
  <c r="K411" i="8"/>
  <c r="K768" i="8"/>
  <c r="K180" i="8"/>
  <c r="J391" i="8"/>
  <c r="J938" i="8"/>
  <c r="K668" i="8"/>
  <c r="K1090" i="8"/>
  <c r="J159" i="8"/>
  <c r="J774" i="8"/>
  <c r="K453" i="8"/>
  <c r="J696" i="8"/>
  <c r="K605" i="8"/>
  <c r="K550" i="8"/>
  <c r="K297" i="8"/>
  <c r="J426" i="8"/>
  <c r="K257" i="8"/>
  <c r="K461" i="8"/>
  <c r="K923" i="8"/>
  <c r="K420" i="8"/>
  <c r="K412" i="8"/>
  <c r="K628" i="8"/>
  <c r="J993" i="8"/>
  <c r="K824" i="8"/>
  <c r="K966" i="8"/>
  <c r="J828" i="8"/>
  <c r="K751" i="8"/>
  <c r="J645" i="8"/>
  <c r="J988" i="8"/>
  <c r="J110" i="8"/>
  <c r="J297" i="8"/>
  <c r="J211" i="8"/>
  <c r="J684" i="8"/>
  <c r="J568" i="8"/>
  <c r="K390" i="8"/>
  <c r="J653" i="8"/>
  <c r="J769" i="8"/>
  <c r="K224" i="8"/>
  <c r="K681" i="8"/>
  <c r="K864" i="8"/>
  <c r="K1051" i="8"/>
  <c r="K938" i="8"/>
  <c r="K385" i="8"/>
  <c r="K961" i="8"/>
  <c r="J613" i="8"/>
  <c r="J840" i="8"/>
  <c r="J461" i="8"/>
  <c r="J306" i="8"/>
  <c r="J302" i="8"/>
  <c r="J731" i="8"/>
  <c r="K279" i="8"/>
  <c r="J420" i="8"/>
  <c r="J681" i="8"/>
  <c r="J777" i="8"/>
  <c r="K723" i="8"/>
  <c r="J538" i="8"/>
  <c r="K585" i="8"/>
  <c r="J692" i="8"/>
  <c r="J955" i="8"/>
  <c r="J319" i="8"/>
  <c r="J970" i="8"/>
  <c r="J1090" i="8"/>
  <c r="J957" i="8"/>
  <c r="K398" i="8"/>
  <c r="K519" i="8"/>
  <c r="K216" i="8"/>
  <c r="K477" i="8"/>
  <c r="K146" i="8"/>
  <c r="K518" i="8"/>
  <c r="K1074" i="8"/>
  <c r="J710" i="8"/>
  <c r="K592" i="8"/>
  <c r="K925" i="8"/>
  <c r="K1099" i="8"/>
  <c r="K166" i="8"/>
  <c r="K1046" i="8"/>
  <c r="K276" i="8"/>
  <c r="K693" i="8"/>
  <c r="K845" i="8"/>
  <c r="K881" i="8"/>
  <c r="K981" i="8"/>
  <c r="K457" i="8"/>
  <c r="J371" i="8"/>
  <c r="J715" i="8"/>
  <c r="J1014" i="8"/>
  <c r="J454" i="8"/>
  <c r="J154" i="8"/>
  <c r="J312" i="8"/>
  <c r="J981" i="8"/>
  <c r="K234" i="8"/>
  <c r="K1071" i="8"/>
  <c r="K1005" i="8"/>
  <c r="J333" i="8"/>
  <c r="J905" i="8"/>
  <c r="K907" i="8"/>
  <c r="K366" i="8"/>
  <c r="K660" i="8"/>
  <c r="K509" i="8"/>
  <c r="K761" i="8"/>
  <c r="J275" i="8"/>
  <c r="J404" i="8"/>
  <c r="J462" i="8"/>
  <c r="J1078" i="8"/>
  <c r="J519" i="8"/>
  <c r="J540" i="8"/>
  <c r="J937" i="8"/>
  <c r="J403" i="8"/>
  <c r="J933" i="8"/>
  <c r="J659" i="8"/>
  <c r="K464" i="8"/>
  <c r="K618" i="8"/>
  <c r="K1009" i="8"/>
  <c r="J602" i="8"/>
  <c r="K971" i="8"/>
  <c r="K563" i="8"/>
  <c r="J680" i="8"/>
  <c r="K853" i="8"/>
  <c r="K879" i="8"/>
  <c r="K110" i="8"/>
  <c r="K197" i="8"/>
  <c r="J472" i="8"/>
  <c r="K345" i="8"/>
  <c r="K521" i="8"/>
  <c r="K908" i="8"/>
  <c r="K534" i="8"/>
  <c r="K671" i="8"/>
  <c r="K193" i="8"/>
  <c r="K803" i="8"/>
  <c r="K593" i="8"/>
  <c r="K237" i="8"/>
  <c r="K140" i="8"/>
  <c r="J325" i="8"/>
  <c r="J414" i="8"/>
  <c r="K168" i="8"/>
  <c r="J324" i="8"/>
  <c r="J485" i="8"/>
  <c r="J212" i="8"/>
  <c r="J126" i="8"/>
  <c r="E83" i="11"/>
  <c r="D83" i="11"/>
  <c r="J860" i="8"/>
  <c r="K764" i="8"/>
  <c r="J1082" i="8"/>
  <c r="J476" i="8"/>
  <c r="K222" i="8"/>
  <c r="K635" i="8"/>
  <c r="K759" i="8"/>
  <c r="K364" i="8"/>
  <c r="J127" i="8"/>
  <c r="J658" i="8"/>
  <c r="J874" i="8"/>
  <c r="K160" i="8"/>
  <c r="K673" i="8"/>
  <c r="J886" i="8"/>
  <c r="J1003" i="8"/>
  <c r="J132" i="8"/>
  <c r="J1075" i="8"/>
  <c r="K1027" i="8"/>
  <c r="J592" i="8"/>
  <c r="J432" i="8"/>
  <c r="J276" i="8"/>
  <c r="K426" i="8"/>
  <c r="K1094" i="8"/>
  <c r="K1048" i="8"/>
  <c r="K132" i="8"/>
  <c r="J184" i="8"/>
  <c r="J372" i="8"/>
  <c r="K680" i="8"/>
  <c r="K1041" i="8"/>
  <c r="J370" i="8"/>
  <c r="J489" i="8"/>
  <c r="K949" i="8"/>
  <c r="K869" i="8"/>
  <c r="J460" i="8"/>
  <c r="K355" i="8"/>
  <c r="J967" i="8"/>
  <c r="J1071" i="8"/>
  <c r="J859" i="8"/>
  <c r="J145" i="8"/>
  <c r="K138" i="8"/>
  <c r="K1073" i="8"/>
  <c r="J1034" i="8"/>
  <c r="J122" i="8"/>
  <c r="J850" i="8"/>
  <c r="J912" i="8"/>
  <c r="J620" i="8"/>
  <c r="J648" i="8"/>
  <c r="J241" i="8"/>
  <c r="K376" i="8"/>
  <c r="J394" i="8"/>
  <c r="K136" i="8"/>
  <c r="K821" i="8"/>
  <c r="J355" i="8"/>
  <c r="J915" i="8"/>
  <c r="K629" i="8"/>
  <c r="K797" i="8"/>
  <c r="J257" i="8"/>
  <c r="J639" i="8"/>
  <c r="J810" i="8"/>
  <c r="K400" i="8"/>
  <c r="K912" i="8"/>
  <c r="K169" i="8"/>
  <c r="K878" i="8"/>
  <c r="J376" i="8"/>
  <c r="J409" i="8"/>
  <c r="K987" i="8"/>
  <c r="J157" i="8"/>
  <c r="J717" i="8"/>
  <c r="K268" i="8"/>
  <c r="J525" i="8"/>
  <c r="J785" i="8"/>
  <c r="J385" i="8"/>
  <c r="K517" i="8"/>
  <c r="K655" i="8"/>
  <c r="J169" i="8"/>
  <c r="K769" i="8"/>
  <c r="J290" i="8"/>
  <c r="J515" i="8"/>
  <c r="J1051" i="8"/>
  <c r="J961" i="8"/>
  <c r="K402" i="8"/>
  <c r="K114" i="8"/>
  <c r="J176" i="8"/>
  <c r="J772" i="8"/>
  <c r="K930" i="8"/>
  <c r="J569" i="8"/>
  <c r="J922" i="8"/>
  <c r="K415" i="8"/>
  <c r="J345" i="8"/>
  <c r="J261" i="8"/>
  <c r="J726" i="8"/>
  <c r="J1008" i="8"/>
  <c r="J649" i="8"/>
  <c r="K933" i="8"/>
  <c r="J501" i="8"/>
  <c r="J196" i="8"/>
  <c r="J484" i="8"/>
  <c r="K906" i="8"/>
  <c r="K729" i="8"/>
  <c r="K818" i="8"/>
  <c r="K280" i="8"/>
  <c r="J824" i="8"/>
  <c r="J156" i="8"/>
  <c r="J410" i="8"/>
  <c r="J143" i="8"/>
  <c r="J187" i="8"/>
  <c r="J947" i="8"/>
  <c r="K419" i="8"/>
  <c r="K399" i="8"/>
  <c r="K989" i="8"/>
  <c r="J193" i="8"/>
  <c r="J250" i="8"/>
  <c r="J921" i="8"/>
  <c r="K613" i="8"/>
  <c r="K223" i="8"/>
  <c r="J334" i="8"/>
  <c r="K918" i="8"/>
  <c r="J529" i="8"/>
  <c r="K544" i="8"/>
  <c r="K1082" i="8"/>
  <c r="J114" i="8"/>
  <c r="J286" i="8"/>
  <c r="J288" i="8"/>
  <c r="J689" i="8"/>
  <c r="K647" i="8"/>
  <c r="K540" i="8"/>
  <c r="K249" i="8"/>
  <c r="K417" i="8"/>
  <c r="K837" i="8"/>
  <c r="K886" i="8"/>
  <c r="K932" i="8"/>
  <c r="K324" i="8"/>
  <c r="J996" i="8"/>
  <c r="K665" i="8"/>
  <c r="K485" i="8"/>
  <c r="K653" i="8"/>
  <c r="K158" i="8"/>
  <c r="K1098" i="8"/>
  <c r="K512" i="8"/>
  <c r="K459" i="8"/>
  <c r="K310" i="8"/>
  <c r="K704" i="8"/>
  <c r="J562" i="8"/>
  <c r="J595" i="8"/>
  <c r="J652" i="8"/>
  <c r="J724" i="8"/>
  <c r="J415" i="8"/>
  <c r="J339" i="8"/>
  <c r="K1059" i="8"/>
  <c r="J579" i="8"/>
  <c r="J795" i="8"/>
  <c r="K1061" i="8"/>
  <c r="K1088" i="8"/>
  <c r="K334" i="8"/>
  <c r="K631" i="8"/>
  <c r="K374" i="8"/>
  <c r="K877" i="8"/>
  <c r="K883" i="8"/>
  <c r="K1025" i="8"/>
  <c r="J215" i="8"/>
  <c r="J556" i="8"/>
  <c r="J759" i="8"/>
  <c r="J364" i="8"/>
  <c r="J603" i="8"/>
  <c r="J799" i="8"/>
  <c r="J1019" i="8"/>
  <c r="J450" i="8"/>
  <c r="K672" i="8"/>
  <c r="J663" i="8"/>
  <c r="J256" i="8"/>
  <c r="K536" i="8"/>
  <c r="K1044" i="8"/>
  <c r="J1076" i="8"/>
  <c r="J180" i="8"/>
  <c r="J674" i="8"/>
  <c r="K669" i="8"/>
  <c r="K991" i="8"/>
  <c r="K700" i="8"/>
  <c r="J882" i="8"/>
  <c r="K1058" i="8"/>
  <c r="K951" i="8"/>
  <c r="K1045" i="8"/>
  <c r="K789" i="8"/>
  <c r="K575" i="8"/>
  <c r="K1056" i="8"/>
  <c r="K1008" i="8"/>
  <c r="K858" i="8"/>
  <c r="K787" i="8"/>
  <c r="K524" i="8"/>
  <c r="J807" i="8"/>
  <c r="J853" i="8"/>
  <c r="K219" i="8"/>
  <c r="K445" i="8"/>
  <c r="K301" i="8"/>
  <c r="K1039" i="8"/>
  <c r="J356" i="8"/>
  <c r="J423" i="8"/>
  <c r="J872" i="8"/>
  <c r="J230" i="8"/>
  <c r="J929" i="8"/>
  <c r="J469" i="8"/>
  <c r="K210" i="8"/>
  <c r="J221" i="8"/>
  <c r="J1072" i="8"/>
  <c r="J265" i="8"/>
  <c r="K347" i="8"/>
  <c r="K452" i="8"/>
  <c r="K1078" i="8"/>
  <c r="K985" i="8"/>
  <c r="K763" i="8"/>
  <c r="J216" i="8"/>
  <c r="J1068" i="8"/>
  <c r="J446" i="8"/>
  <c r="K745" i="8"/>
  <c r="J1012" i="8"/>
  <c r="J453" i="8"/>
  <c r="J504" i="8"/>
  <c r="J656" i="8"/>
  <c r="K161" i="8"/>
  <c r="K167" i="8"/>
  <c r="J108" i="8"/>
  <c r="J434" i="8"/>
  <c r="J313" i="8"/>
  <c r="K882" i="8"/>
  <c r="K694" i="8"/>
  <c r="K523" i="8"/>
  <c r="K656" i="8"/>
  <c r="J712" i="8"/>
  <c r="J861" i="8"/>
  <c r="K842" i="8"/>
  <c r="J618" i="8"/>
  <c r="J870" i="8"/>
  <c r="K451" i="8"/>
  <c r="K479" i="8"/>
  <c r="J548" i="8"/>
  <c r="K590" i="8"/>
  <c r="J234" i="8"/>
  <c r="J172" i="8"/>
  <c r="J1059" i="8"/>
  <c r="J441" i="8"/>
  <c r="K890" i="8"/>
  <c r="K779" i="8"/>
  <c r="K346" i="8"/>
  <c r="J155" i="8"/>
  <c r="J142" i="8"/>
  <c r="J916" i="8"/>
  <c r="J1088" i="8"/>
  <c r="J1026" i="8"/>
  <c r="J654" i="8"/>
  <c r="J315" i="8"/>
  <c r="J625" i="8"/>
  <c r="K728" i="8"/>
  <c r="J245" i="8"/>
  <c r="K173" i="8"/>
  <c r="K954" i="8"/>
  <c r="J780" i="8"/>
  <c r="K122" i="8"/>
  <c r="J231" i="8"/>
  <c r="J521" i="8"/>
  <c r="J896" i="8"/>
  <c r="J598" i="8"/>
  <c r="K1026" i="8"/>
  <c r="K188" i="8"/>
  <c r="K986" i="8"/>
  <c r="K687" i="8"/>
  <c r="J266" i="8"/>
  <c r="J808" i="8"/>
  <c r="K801" i="8"/>
  <c r="J418" i="8"/>
  <c r="J852" i="8"/>
  <c r="K909" i="8"/>
  <c r="K855" i="8"/>
  <c r="J589" i="8"/>
  <c r="J707" i="8"/>
  <c r="B12" i="8" l="1"/>
  <c r="B27" i="1" s="1"/>
  <c r="B17" i="13"/>
  <c r="D17" i="13" s="1"/>
  <c r="J8" i="1"/>
  <c r="K8" i="1" s="1"/>
  <c r="B14" i="8"/>
  <c r="D28" i="1"/>
  <c r="E28" i="1" s="1"/>
  <c r="D12" i="8"/>
  <c r="D29" i="1"/>
  <c r="D11" i="8"/>
  <c r="H79" i="11"/>
  <c r="K54" i="1" s="1"/>
  <c r="C29" i="1"/>
  <c r="C11" i="8"/>
  <c r="B11" i="8"/>
  <c r="B29" i="1"/>
  <c r="Y18" i="10"/>
  <c r="Q19" i="10"/>
  <c r="U18" i="10"/>
  <c r="E29" i="1" l="1"/>
  <c r="B16" i="13"/>
  <c r="D16" i="13" s="1"/>
  <c r="C14" i="8"/>
  <c r="D27" i="1"/>
  <c r="E27" i="1" s="1"/>
  <c r="J11" i="1"/>
  <c r="K11" i="1" s="1"/>
  <c r="Y19" i="10"/>
  <c r="U19" i="10"/>
  <c r="Q20" i="10"/>
  <c r="Q21" i="10" l="1"/>
  <c r="U20" i="10"/>
  <c r="Y20" i="10"/>
  <c r="Q22" i="10" l="1"/>
  <c r="Y21" i="10"/>
  <c r="U21" i="10"/>
  <c r="Q23" i="10" l="1"/>
  <c r="Y22" i="10"/>
  <c r="U22" i="10"/>
  <c r="Q24" i="10" l="1"/>
  <c r="Y23" i="10"/>
  <c r="U23" i="10"/>
  <c r="U24" i="10" l="1"/>
  <c r="Q25" i="10"/>
  <c r="Y24" i="10"/>
  <c r="Q26" i="10" l="1"/>
  <c r="Y25" i="10"/>
  <c r="U25" i="10"/>
  <c r="U26" i="10" l="1"/>
  <c r="Q27" i="10"/>
  <c r="Y26" i="10"/>
  <c r="Y27" i="10" l="1"/>
  <c r="U27" i="10"/>
  <c r="Q28" i="10"/>
  <c r="Q29" i="10" l="1"/>
  <c r="Y28" i="10"/>
  <c r="U28" i="10"/>
  <c r="Q30" i="10" l="1"/>
  <c r="Y29" i="10"/>
  <c r="U29" i="10"/>
  <c r="Q31" i="10" l="1"/>
  <c r="Y30" i="10"/>
  <c r="U30" i="10"/>
  <c r="U31" i="10" l="1"/>
  <c r="Y31" i="10"/>
  <c r="Q32" i="10"/>
  <c r="U32" i="10" l="1"/>
  <c r="Q33" i="10"/>
  <c r="Y32" i="10"/>
  <c r="Q34" i="10" l="1"/>
  <c r="U33" i="10"/>
  <c r="Y33" i="10"/>
  <c r="U34" i="10" l="1"/>
  <c r="Y34" i="10"/>
  <c r="Q35" i="10"/>
  <c r="Y35" i="10" l="1"/>
  <c r="Q36" i="10"/>
  <c r="U35" i="10"/>
  <c r="Q37" i="10" l="1"/>
  <c r="Y36" i="10"/>
  <c r="U36" i="10"/>
  <c r="U37" i="10" l="1"/>
  <c r="Q38" i="10"/>
  <c r="Y37" i="10"/>
  <c r="U38" i="10" l="1"/>
  <c r="Y38" i="10"/>
  <c r="Q39" i="10"/>
  <c r="Y39" i="10" l="1"/>
  <c r="Q40" i="10"/>
  <c r="U39" i="10"/>
  <c r="U40" i="10" l="1"/>
  <c r="Y40" i="10"/>
  <c r="Q41" i="10"/>
  <c r="U41" i="10" l="1"/>
  <c r="Q42" i="10"/>
  <c r="Y41" i="10"/>
  <c r="U42" i="10" l="1"/>
  <c r="Q43" i="10"/>
  <c r="Y42" i="10"/>
  <c r="Q44" i="10" l="1"/>
  <c r="Y43" i="10"/>
  <c r="U43" i="10"/>
  <c r="Y44" i="10" l="1"/>
  <c r="Q45" i="10"/>
  <c r="U44" i="10"/>
  <c r="Y45" i="10" l="1"/>
  <c r="Q46" i="10"/>
  <c r="U45" i="10"/>
  <c r="Q47" i="10" l="1"/>
  <c r="Y46" i="10"/>
  <c r="U46" i="10"/>
  <c r="Y47" i="10" l="1"/>
  <c r="U47" i="10"/>
  <c r="Q48" i="10"/>
  <c r="Y48" i="10" l="1"/>
  <c r="Q49" i="10"/>
  <c r="U48" i="10"/>
  <c r="U49" i="10" l="1"/>
  <c r="Y49" i="10"/>
  <c r="Q50" i="10"/>
  <c r="Q51" i="10" l="1"/>
  <c r="Y50" i="10"/>
  <c r="U50" i="10"/>
  <c r="Y51" i="10" l="1"/>
  <c r="U51" i="10"/>
  <c r="Q52" i="10"/>
  <c r="Q53" i="10" l="1"/>
  <c r="U52" i="10"/>
  <c r="Y52" i="10"/>
  <c r="Q54" i="10" l="1"/>
  <c r="U53" i="10"/>
  <c r="Y53" i="10"/>
  <c r="Y54" i="10" l="1"/>
  <c r="Q55" i="10"/>
  <c r="U54" i="10"/>
  <c r="Q56" i="10" l="1"/>
  <c r="Y55" i="10"/>
  <c r="U55" i="10"/>
  <c r="U56" i="10" l="1"/>
  <c r="Q57" i="10"/>
  <c r="Y56" i="10"/>
  <c r="U57" i="10" l="1"/>
  <c r="Q58" i="10"/>
  <c r="Y57" i="10"/>
  <c r="Y58" i="10" l="1"/>
  <c r="U58" i="10"/>
  <c r="Q59" i="10"/>
  <c r="Y59" i="10" l="1"/>
  <c r="U59" i="10"/>
  <c r="Q60" i="10"/>
  <c r="Q61" i="10" l="1"/>
  <c r="Y60" i="10"/>
  <c r="U60" i="10"/>
  <c r="U61" i="10" l="1"/>
  <c r="Y61" i="10"/>
  <c r="Q62" i="10"/>
  <c r="Y62" i="10" l="1"/>
  <c r="Q63" i="10"/>
  <c r="U62" i="10"/>
  <c r="U63" i="10" l="1"/>
  <c r="Q64" i="10"/>
  <c r="Y63" i="10"/>
  <c r="Y64" i="10" l="1"/>
  <c r="Q65" i="10"/>
  <c r="U64" i="10"/>
  <c r="AC65" i="10" l="1"/>
  <c r="Q66" i="10"/>
  <c r="U65" i="10"/>
  <c r="Y65" i="10"/>
  <c r="AC66" i="10" l="1"/>
  <c r="Y66" i="10"/>
  <c r="Q67" i="10"/>
  <c r="U66" i="10"/>
  <c r="AC67" i="10" l="1"/>
  <c r="Y67" i="10"/>
  <c r="Q68" i="10"/>
  <c r="U67" i="10"/>
  <c r="Q69" i="10" l="1"/>
  <c r="Y68" i="10"/>
  <c r="U68" i="10"/>
  <c r="AC68" i="10"/>
  <c r="U69" i="10" l="1"/>
  <c r="Q70" i="10"/>
  <c r="AC69" i="10"/>
  <c r="Y69" i="10"/>
  <c r="U70" i="10" l="1"/>
  <c r="Q71" i="10"/>
  <c r="Y70" i="10"/>
  <c r="AC70" i="10"/>
  <c r="Y71" i="10" l="1"/>
  <c r="Q72" i="10"/>
  <c r="U71" i="10"/>
  <c r="AC71" i="10"/>
  <c r="AC72" i="10" l="1"/>
  <c r="Y72" i="10"/>
  <c r="Q73" i="10"/>
  <c r="U72" i="10"/>
  <c r="U73" i="10" l="1"/>
  <c r="Y73" i="10"/>
  <c r="Q74" i="10"/>
  <c r="AC73" i="10"/>
  <c r="Y74" i="10" l="1"/>
  <c r="U74" i="10"/>
  <c r="Q75" i="10"/>
  <c r="AC74" i="10"/>
  <c r="AC75" i="10" l="1"/>
  <c r="U75" i="10"/>
  <c r="Q76" i="10"/>
  <c r="Y75" i="10"/>
  <c r="Q77" i="10" l="1"/>
  <c r="AC76" i="10"/>
  <c r="Y76" i="10"/>
  <c r="U76" i="10"/>
  <c r="Y77" i="10" l="1"/>
  <c r="AC77" i="10"/>
  <c r="Q78" i="10"/>
  <c r="U77" i="10"/>
  <c r="U78" i="10" l="1"/>
  <c r="AC78" i="10"/>
  <c r="Y78" i="10"/>
  <c r="Q79" i="10"/>
  <c r="Y79" i="10" l="1"/>
  <c r="Q80" i="10"/>
  <c r="AC79" i="10"/>
  <c r="U79" i="10"/>
  <c r="AC80" i="10" l="1"/>
  <c r="U80" i="10"/>
  <c r="Q81" i="10"/>
  <c r="Y80" i="10"/>
  <c r="U81" i="10" l="1"/>
  <c r="Y81" i="10"/>
  <c r="Q82" i="10"/>
  <c r="AC81" i="10"/>
  <c r="Y82" i="10" l="1"/>
  <c r="Q83" i="10"/>
  <c r="AC82" i="10"/>
  <c r="U82" i="10"/>
  <c r="AC83" i="10" l="1"/>
  <c r="U83" i="10"/>
  <c r="Q84" i="10"/>
  <c r="Y83" i="10"/>
  <c r="Q85" i="10" l="1"/>
  <c r="AC84" i="10"/>
  <c r="U84" i="10"/>
  <c r="Y84" i="10"/>
  <c r="AC85" i="10" l="1"/>
  <c r="Y85" i="10"/>
  <c r="U85" i="10"/>
  <c r="Q86" i="10"/>
  <c r="U86" i="10" l="1"/>
  <c r="Y86" i="10"/>
  <c r="Q87" i="10"/>
  <c r="AC86" i="10"/>
  <c r="Y87" i="10" l="1"/>
  <c r="Q88" i="10"/>
  <c r="AC87" i="10"/>
  <c r="U87" i="10"/>
  <c r="AC88" i="10" l="1"/>
  <c r="Q89" i="10"/>
  <c r="U88" i="10"/>
  <c r="Y88" i="10"/>
  <c r="U89" i="10" l="1"/>
  <c r="Q90" i="10"/>
  <c r="AC89" i="10"/>
  <c r="Y89" i="10"/>
  <c r="Y90" i="10" l="1"/>
  <c r="AC90" i="10"/>
  <c r="Q91" i="10"/>
  <c r="U90" i="10"/>
  <c r="AC91" i="10" l="1"/>
  <c r="Y91" i="10"/>
  <c r="U91" i="10"/>
  <c r="Q92" i="10"/>
  <c r="Q93" i="10" l="1"/>
  <c r="U92" i="10"/>
  <c r="Y92" i="10"/>
  <c r="AC92" i="10"/>
  <c r="Y93" i="10" l="1"/>
  <c r="Q94" i="10"/>
  <c r="AC93" i="10"/>
  <c r="U93" i="10"/>
  <c r="U94" i="10" l="1"/>
  <c r="AC94" i="10"/>
  <c r="Y94" i="10"/>
  <c r="Q95" i="10"/>
  <c r="Y95" i="10" l="1"/>
  <c r="Q96" i="10"/>
  <c r="U95" i="10"/>
  <c r="AC95" i="10"/>
  <c r="AC96" i="10" l="1"/>
  <c r="Q97" i="10"/>
  <c r="U96" i="10"/>
  <c r="Y96" i="10"/>
  <c r="U97" i="10" l="1"/>
  <c r="AC97" i="10"/>
  <c r="Y97" i="10"/>
  <c r="Q98" i="10"/>
  <c r="Y98" i="10" l="1"/>
  <c r="AC98" i="10"/>
  <c r="U98" i="10"/>
  <c r="Q99" i="10"/>
  <c r="AC99" i="10" l="1"/>
  <c r="Q100" i="10"/>
  <c r="U99" i="10"/>
  <c r="Y99" i="10"/>
  <c r="Q101" i="10" l="1"/>
  <c r="Y100" i="10"/>
  <c r="U100" i="10"/>
  <c r="AC100" i="10"/>
  <c r="AC101" i="10" l="1"/>
  <c r="U101" i="10"/>
  <c r="Q102" i="10"/>
  <c r="Y101" i="10"/>
  <c r="U102" i="10" l="1"/>
  <c r="Y102" i="10"/>
  <c r="Q103" i="10"/>
  <c r="AC102" i="10"/>
  <c r="Y103" i="10" l="1"/>
  <c r="Q104" i="10"/>
  <c r="U103" i="10"/>
  <c r="AC103" i="10"/>
  <c r="AC104" i="10" l="1"/>
  <c r="U104" i="10"/>
  <c r="Y104" i="10"/>
  <c r="Q105" i="10"/>
  <c r="U105" i="10" l="1"/>
  <c r="AC105" i="10"/>
  <c r="Y105" i="10"/>
  <c r="Q106" i="10"/>
  <c r="Y106" i="10" l="1"/>
  <c r="Q107" i="10"/>
  <c r="U106" i="10"/>
  <c r="AC106" i="10"/>
  <c r="AC107" i="10" l="1"/>
  <c r="U107" i="10"/>
  <c r="Q108" i="10"/>
  <c r="Y107" i="10"/>
  <c r="Q109" i="10" l="1"/>
  <c r="AC108" i="10"/>
  <c r="Y108" i="10"/>
  <c r="U108" i="10"/>
  <c r="Y109" i="10" l="1"/>
  <c r="U109" i="10"/>
  <c r="Q110" i="10"/>
  <c r="AC109" i="10"/>
  <c r="U110" i="10" l="1"/>
  <c r="Q111" i="10"/>
  <c r="Y110" i="10"/>
  <c r="AC110" i="10"/>
  <c r="Y111" i="10" l="1"/>
  <c r="Q112" i="10"/>
  <c r="U111" i="10"/>
  <c r="AC111" i="10"/>
  <c r="AC112" i="10" l="1"/>
  <c r="Y112" i="10"/>
  <c r="Q113" i="10"/>
  <c r="U112" i="10"/>
  <c r="U113" i="10" l="1"/>
  <c r="Y113" i="10"/>
  <c r="Q114" i="10"/>
  <c r="AC113" i="10"/>
  <c r="Y114" i="10" l="1"/>
  <c r="Q115" i="10"/>
  <c r="AC114" i="10"/>
  <c r="U114" i="10"/>
  <c r="AC115" i="10" l="1"/>
  <c r="Q116" i="10"/>
  <c r="Y115" i="10"/>
  <c r="U115" i="10"/>
  <c r="Q117" i="10" l="1"/>
  <c r="Y116" i="10"/>
  <c r="AC116" i="10"/>
  <c r="U116" i="10"/>
  <c r="Q118" i="10" l="1"/>
  <c r="U117" i="10"/>
  <c r="AC117" i="10"/>
  <c r="Y117" i="10"/>
  <c r="U118" i="10" l="1"/>
  <c r="AC118" i="10"/>
  <c r="Q119" i="10"/>
  <c r="Y118" i="10"/>
  <c r="Y119" i="10" l="1"/>
  <c r="Q120" i="10"/>
  <c r="AC119" i="10"/>
  <c r="U119" i="10"/>
  <c r="AC120" i="10" l="1"/>
  <c r="U120" i="10"/>
  <c r="Y120" i="10"/>
  <c r="Q121" i="10"/>
  <c r="U121" i="10" l="1"/>
  <c r="Q122" i="10"/>
  <c r="AC121" i="10"/>
  <c r="Y121" i="10"/>
  <c r="Y122" i="10" l="1"/>
  <c r="AC122" i="10"/>
  <c r="Q123" i="10"/>
  <c r="U122" i="10"/>
  <c r="AC123" i="10" l="1"/>
  <c r="Y123" i="10"/>
  <c r="U123" i="10"/>
  <c r="Q124" i="10"/>
  <c r="Q125" i="10" l="1"/>
  <c r="U124" i="10"/>
  <c r="AC124" i="10"/>
  <c r="Y124" i="10"/>
  <c r="AC125" i="10" l="1"/>
  <c r="Y125" i="10"/>
  <c r="U125" i="10"/>
  <c r="Q126" i="10"/>
  <c r="U126" i="10" l="1"/>
  <c r="AC126" i="10"/>
  <c r="Y126" i="10"/>
  <c r="Q127" i="10"/>
  <c r="Y127" i="10" l="1"/>
  <c r="Q128" i="10"/>
  <c r="AC127" i="10"/>
  <c r="U127" i="10"/>
  <c r="AC128" i="10" l="1"/>
  <c r="Q129" i="10"/>
  <c r="U128" i="10"/>
  <c r="Y128" i="10"/>
  <c r="U129" i="10" l="1"/>
  <c r="AC129" i="10"/>
  <c r="Y129" i="10"/>
  <c r="Q130" i="10"/>
  <c r="Y130" i="10" l="1"/>
  <c r="AC130" i="10"/>
  <c r="U130" i="10"/>
  <c r="Q131" i="10"/>
  <c r="AC131" i="10" l="1"/>
  <c r="Q132" i="10"/>
  <c r="U131" i="10"/>
  <c r="Y131" i="10"/>
  <c r="Q133" i="10" l="1"/>
  <c r="Y132" i="10"/>
  <c r="AC132" i="10"/>
  <c r="U132" i="10"/>
  <c r="AC133" i="10" l="1"/>
  <c r="U133" i="10"/>
  <c r="Q134" i="10"/>
  <c r="Y133" i="10"/>
  <c r="U134" i="10" l="1"/>
  <c r="Y134" i="10"/>
  <c r="Q135" i="10"/>
  <c r="AC134" i="10"/>
  <c r="Y135" i="10" l="1"/>
  <c r="Q136" i="10"/>
  <c r="U135" i="10"/>
  <c r="AC135" i="10"/>
  <c r="AC136" i="10" l="1"/>
  <c r="U136" i="10"/>
  <c r="Q137" i="10"/>
  <c r="Y136" i="10"/>
  <c r="U137" i="10" l="1"/>
  <c r="Q138" i="10"/>
  <c r="AC137" i="10"/>
  <c r="Y137" i="10"/>
  <c r="Y138" i="10" l="1"/>
  <c r="Q139" i="10"/>
  <c r="U138" i="10"/>
  <c r="AC138" i="10"/>
  <c r="AC139" i="10" l="1"/>
  <c r="U139" i="10"/>
  <c r="Q140" i="10"/>
  <c r="Y139" i="10"/>
  <c r="Q141" i="10" l="1"/>
  <c r="AC140" i="10"/>
  <c r="U140" i="10"/>
  <c r="Y140" i="10"/>
  <c r="Y141" i="10" l="1"/>
  <c r="U141" i="10"/>
  <c r="Q142" i="10"/>
  <c r="AC141" i="10"/>
  <c r="U142" i="10" l="1"/>
  <c r="Q143" i="10"/>
  <c r="Y142" i="10"/>
  <c r="AC142" i="10"/>
  <c r="Y143" i="10" l="1"/>
  <c r="Q144" i="10"/>
  <c r="U143" i="10"/>
  <c r="AC143" i="10"/>
  <c r="AC144" i="10" l="1"/>
  <c r="Y144" i="10"/>
  <c r="Q145" i="10"/>
  <c r="U144" i="10"/>
  <c r="U145" i="10" l="1"/>
  <c r="Y145" i="10"/>
  <c r="Q146" i="10"/>
  <c r="AC145" i="10"/>
  <c r="Y146" i="10" l="1"/>
  <c r="AC146" i="10"/>
  <c r="U146" i="10"/>
  <c r="Q147" i="10"/>
  <c r="AC147" i="10" l="1"/>
  <c r="Y147" i="10"/>
  <c r="U147" i="10"/>
  <c r="Q148" i="10"/>
  <c r="Q149" i="10" l="1"/>
  <c r="Y148" i="10"/>
  <c r="AC148" i="10"/>
  <c r="U148" i="10"/>
  <c r="Q150" i="10" l="1"/>
  <c r="U149" i="10"/>
  <c r="Y149" i="10"/>
  <c r="AC149" i="10"/>
  <c r="U150" i="10" l="1"/>
  <c r="AC150" i="10"/>
  <c r="Y150" i="10"/>
  <c r="Q151" i="10"/>
  <c r="Y151" i="10" l="1"/>
  <c r="Q152" i="10"/>
  <c r="AC151" i="10"/>
  <c r="U151" i="10"/>
  <c r="AC152" i="10" l="1"/>
  <c r="Y152" i="10"/>
  <c r="Q153" i="10"/>
  <c r="U152" i="10"/>
  <c r="U153" i="10" l="1"/>
  <c r="Q154" i="10"/>
  <c r="Y153" i="10"/>
  <c r="AC153" i="10"/>
  <c r="Y154" i="10" l="1"/>
  <c r="AC154" i="10"/>
  <c r="U154" i="10"/>
  <c r="Q155" i="10"/>
  <c r="AC155" i="10" l="1"/>
  <c r="Y155" i="10"/>
  <c r="U155" i="10"/>
  <c r="Q156" i="10"/>
  <c r="Q157" i="10" l="1"/>
  <c r="U156" i="10"/>
  <c r="Y156" i="10"/>
  <c r="AC156" i="10"/>
  <c r="Y157" i="10" l="1"/>
  <c r="Q158" i="10"/>
  <c r="AC157" i="10"/>
  <c r="U157" i="10"/>
  <c r="U158" i="10" l="1"/>
  <c r="AC158" i="10"/>
  <c r="Y158" i="10"/>
  <c r="Q159" i="10"/>
  <c r="Y159" i="10" l="1"/>
  <c r="Q160" i="10"/>
  <c r="U159" i="10"/>
  <c r="AC159" i="10"/>
  <c r="AC160" i="10" l="1"/>
  <c r="Q161" i="10"/>
  <c r="U160" i="10"/>
  <c r="Y160" i="10"/>
  <c r="U161" i="10" l="1"/>
  <c r="AC161" i="10"/>
  <c r="Y161" i="10"/>
  <c r="Q162" i="10"/>
  <c r="Y162" i="10" l="1"/>
  <c r="AC162" i="10"/>
  <c r="U162" i="10"/>
  <c r="Q163" i="10"/>
  <c r="AC163" i="10" l="1"/>
  <c r="Q164" i="10"/>
  <c r="U163" i="10"/>
  <c r="Y163" i="10"/>
  <c r="Q165" i="10" l="1"/>
  <c r="Y164" i="10"/>
  <c r="U164" i="10"/>
  <c r="AC164" i="10"/>
  <c r="AC165" i="10" l="1"/>
  <c r="U165" i="10"/>
  <c r="Y165" i="10"/>
  <c r="Q166" i="10"/>
  <c r="U166" i="10" l="1"/>
  <c r="Y166" i="10"/>
  <c r="Q167" i="10"/>
  <c r="AC166" i="10"/>
  <c r="Y167" i="10" l="1"/>
  <c r="Q168" i="10"/>
  <c r="U167" i="10"/>
  <c r="AC167" i="10"/>
  <c r="AC168" i="10" l="1"/>
  <c r="U168" i="10"/>
  <c r="Q169" i="10"/>
  <c r="Y168" i="10"/>
  <c r="U169" i="10" l="1"/>
  <c r="Q170" i="10"/>
  <c r="AC169" i="10"/>
  <c r="Y169" i="10"/>
  <c r="Y170" i="10" l="1"/>
  <c r="Q171" i="10"/>
  <c r="U170" i="10"/>
  <c r="AC170" i="10"/>
  <c r="AC171" i="10" l="1"/>
  <c r="U171" i="10"/>
  <c r="Q172" i="10"/>
  <c r="Y171" i="10"/>
  <c r="Q173" i="10" l="1"/>
  <c r="AC172" i="10"/>
  <c r="U172" i="10"/>
  <c r="Y172" i="10"/>
  <c r="Y173" i="10" l="1"/>
  <c r="Q174" i="10"/>
  <c r="AC173" i="10"/>
  <c r="U173" i="10"/>
  <c r="U174" i="10" l="1"/>
  <c r="Q175" i="10"/>
  <c r="AC174" i="10"/>
  <c r="Y174" i="10"/>
  <c r="Y175" i="10" l="1"/>
  <c r="Q176" i="10"/>
  <c r="AC175" i="10"/>
  <c r="U175" i="10"/>
  <c r="AC176" i="10" l="1"/>
  <c r="Y176" i="10"/>
  <c r="Q177" i="10"/>
  <c r="U176" i="10"/>
  <c r="U177" i="10" l="1"/>
  <c r="Y177" i="10"/>
  <c r="AC177" i="10"/>
  <c r="Q178" i="10"/>
  <c r="Y178" i="10" l="1"/>
  <c r="AC178" i="10"/>
  <c r="U178" i="10"/>
  <c r="Q179" i="10"/>
  <c r="AC179" i="10" l="1"/>
  <c r="Y179" i="10"/>
  <c r="U179" i="10"/>
  <c r="Q180" i="10"/>
  <c r="Q181" i="10" l="1"/>
  <c r="Y180" i="10"/>
  <c r="AC180" i="10"/>
  <c r="U180" i="10"/>
  <c r="Q182" i="10" l="1"/>
  <c r="U181" i="10"/>
  <c r="AC181" i="10"/>
  <c r="Y181" i="10"/>
  <c r="U182" i="10" l="1"/>
  <c r="AC182" i="10"/>
  <c r="Q183" i="10"/>
  <c r="Y182" i="10"/>
  <c r="Y183" i="10" l="1"/>
  <c r="Q184" i="10"/>
  <c r="AC183" i="10"/>
  <c r="U183" i="10"/>
  <c r="AC184" i="10" l="1"/>
  <c r="Y184" i="10"/>
  <c r="U184" i="10"/>
  <c r="Q185" i="10"/>
  <c r="U185" i="10" l="1"/>
  <c r="Q186" i="10"/>
  <c r="Y185" i="10"/>
  <c r="AC185" i="10"/>
  <c r="Y186" i="10" l="1"/>
  <c r="AC186" i="10"/>
  <c r="U186" i="10"/>
  <c r="Q187" i="10"/>
  <c r="AC187" i="10" l="1"/>
  <c r="Y187" i="10"/>
  <c r="U187" i="10"/>
  <c r="Q188" i="10"/>
  <c r="Q189" i="10" l="1"/>
  <c r="U188" i="10"/>
  <c r="Y188" i="10"/>
  <c r="AC188" i="10"/>
  <c r="U189" i="10" l="1"/>
  <c r="AC189" i="10"/>
  <c r="Y189" i="10"/>
  <c r="Q190" i="10"/>
  <c r="U190" i="10" l="1"/>
  <c r="AC190" i="10"/>
  <c r="Y190" i="10"/>
  <c r="Q191" i="10"/>
  <c r="Y191" i="10" l="1"/>
  <c r="Q192" i="10"/>
  <c r="U191" i="10"/>
  <c r="AC191" i="10"/>
  <c r="AC192" i="10" l="1"/>
  <c r="Q193" i="10"/>
  <c r="U192" i="10"/>
  <c r="Y192" i="10"/>
  <c r="U193" i="10" l="1"/>
  <c r="AC193" i="10"/>
  <c r="Y193" i="10"/>
  <c r="Q194" i="10"/>
  <c r="Y194" i="10" l="1"/>
  <c r="U194" i="10"/>
  <c r="AC194" i="10"/>
  <c r="Q195" i="10"/>
  <c r="AC195" i="10" l="1"/>
  <c r="Q196" i="10"/>
  <c r="U195" i="10"/>
  <c r="Y195" i="10"/>
  <c r="Q197" i="10" l="1"/>
  <c r="Y196" i="10"/>
  <c r="U196" i="10"/>
  <c r="AC196" i="10"/>
  <c r="AC197" i="10" l="1"/>
  <c r="U197" i="10"/>
  <c r="Q198" i="10"/>
  <c r="Y197" i="10"/>
  <c r="U198" i="10" l="1"/>
  <c r="Y198" i="10"/>
  <c r="Q199" i="10"/>
  <c r="AC198" i="10"/>
  <c r="Y199" i="10" l="1"/>
  <c r="Q200" i="10"/>
  <c r="U199" i="10"/>
  <c r="AC199" i="10"/>
  <c r="AC200" i="10" l="1"/>
  <c r="U200" i="10"/>
  <c r="Q201" i="10"/>
  <c r="Y200" i="10"/>
  <c r="U201" i="10" l="1"/>
  <c r="Q202" i="10"/>
  <c r="AC201" i="10"/>
  <c r="Y201" i="10"/>
  <c r="AC202" i="10" l="1"/>
  <c r="Y202" i="10"/>
  <c r="U202" i="10"/>
  <c r="Q203" i="10"/>
  <c r="Q204" i="10" l="1"/>
  <c r="U203" i="10"/>
  <c r="AC203" i="10"/>
  <c r="Y203" i="10"/>
  <c r="AC204" i="10" l="1"/>
  <c r="Q205" i="10"/>
  <c r="U204" i="10"/>
  <c r="Y204" i="10"/>
  <c r="Q206" i="10" l="1"/>
  <c r="Y205" i="10"/>
  <c r="U205" i="10"/>
  <c r="AC205" i="10"/>
  <c r="Q207" i="10" l="1"/>
  <c r="AC206" i="10"/>
  <c r="U206" i="10"/>
  <c r="Y206" i="10"/>
  <c r="Y207" i="10" l="1"/>
  <c r="AC207" i="10"/>
  <c r="U207" i="10"/>
  <c r="Q208" i="10"/>
  <c r="AC208" i="10" l="1"/>
  <c r="Y208" i="10"/>
  <c r="U208" i="10"/>
  <c r="Q209" i="10"/>
  <c r="Q210" i="10" l="1"/>
  <c r="U209" i="10"/>
  <c r="AC209" i="10"/>
  <c r="Y209" i="10"/>
  <c r="Y210" i="10" l="1"/>
  <c r="Q211" i="10"/>
  <c r="AC210" i="10"/>
  <c r="U210" i="10"/>
  <c r="Q212" i="10" l="1"/>
  <c r="AC211" i="10"/>
  <c r="U211" i="10"/>
  <c r="Y211" i="10"/>
  <c r="Y212" i="10" l="1"/>
  <c r="Q213" i="10"/>
  <c r="AC212" i="10"/>
  <c r="U212" i="10"/>
  <c r="Y213" i="10" l="1"/>
  <c r="AC213" i="10"/>
  <c r="U213" i="10"/>
  <c r="Q214" i="10"/>
  <c r="AC214" i="10" l="1"/>
  <c r="Q215" i="10"/>
  <c r="U214" i="10"/>
  <c r="Y214" i="10"/>
  <c r="AC215" i="10" l="1"/>
  <c r="U215" i="10"/>
  <c r="Q216" i="10"/>
  <c r="Y215" i="10"/>
  <c r="U216" i="10" l="1"/>
  <c r="Y216" i="10"/>
  <c r="AC216" i="10"/>
  <c r="Q217" i="10"/>
  <c r="AC217" i="10" l="1"/>
  <c r="Q218" i="10"/>
  <c r="U217" i="10"/>
  <c r="Y217" i="10"/>
  <c r="U218" i="10" l="1"/>
  <c r="Q219" i="10"/>
  <c r="AC218" i="10"/>
  <c r="Y218" i="10"/>
  <c r="Q220" i="10" l="1"/>
  <c r="Y219" i="10"/>
  <c r="U219" i="10"/>
  <c r="AC219" i="10"/>
  <c r="Q221" i="10" l="1"/>
  <c r="Y220" i="10"/>
  <c r="AC220" i="10"/>
  <c r="U220" i="10"/>
  <c r="Q222" i="10" l="1"/>
  <c r="Y221" i="10"/>
  <c r="U221" i="10"/>
  <c r="AC221" i="10"/>
  <c r="Q223" i="10" l="1"/>
  <c r="Y222" i="10"/>
  <c r="U222" i="10"/>
  <c r="AC222" i="10"/>
  <c r="Q224" i="10" l="1"/>
  <c r="Y223" i="10"/>
  <c r="U223" i="10"/>
  <c r="AC223" i="10"/>
  <c r="Q225" i="10" l="1"/>
  <c r="Y224" i="10"/>
  <c r="U224" i="10"/>
  <c r="AC224" i="10"/>
  <c r="Q226" i="10" l="1"/>
  <c r="Y225" i="10"/>
  <c r="U225" i="10"/>
  <c r="AC225" i="10"/>
  <c r="Q227" i="10" l="1"/>
  <c r="Y226" i="10"/>
  <c r="AC226" i="10"/>
  <c r="U226" i="10"/>
  <c r="Q228" i="10" l="1"/>
  <c r="Y227" i="10"/>
  <c r="AC227" i="10"/>
  <c r="U227" i="10"/>
  <c r="Q229" i="10" l="1"/>
  <c r="Y228" i="10"/>
  <c r="U228" i="10"/>
  <c r="AC228" i="10"/>
  <c r="Q230" i="10" l="1"/>
  <c r="Y229" i="10"/>
  <c r="U229" i="10"/>
  <c r="AC229" i="10"/>
  <c r="Q231" i="10" l="1"/>
  <c r="Y230" i="10"/>
  <c r="AC230" i="10"/>
  <c r="U230" i="10"/>
  <c r="Q232" i="10" l="1"/>
  <c r="Y231" i="10"/>
  <c r="AC231" i="10"/>
  <c r="U231" i="10"/>
  <c r="Q233" i="10" l="1"/>
  <c r="Y232" i="10"/>
  <c r="AC232" i="10"/>
  <c r="U232" i="10"/>
  <c r="Q234" i="10" l="1"/>
  <c r="Y233" i="10"/>
  <c r="U233" i="10"/>
  <c r="AC233" i="10"/>
  <c r="Q235" i="10" l="1"/>
  <c r="Y234" i="10"/>
  <c r="U234" i="10"/>
  <c r="AC234" i="10"/>
  <c r="Q236" i="10" l="1"/>
  <c r="Y235" i="10"/>
  <c r="U235" i="10"/>
  <c r="AC235" i="10"/>
  <c r="Q237" i="10" l="1"/>
  <c r="Y236" i="10"/>
  <c r="U236" i="10"/>
  <c r="AC236" i="10"/>
  <c r="Q238" i="10" l="1"/>
  <c r="Y237" i="10"/>
  <c r="U237" i="10"/>
  <c r="AC237" i="10"/>
  <c r="Q239" i="10" l="1"/>
  <c r="Y238" i="10"/>
  <c r="U238" i="10"/>
  <c r="AC238" i="10"/>
  <c r="Q240" i="10" l="1"/>
  <c r="Y239" i="10"/>
  <c r="AC239" i="10"/>
  <c r="U239" i="10"/>
  <c r="Q241" i="10" l="1"/>
  <c r="Y240" i="10"/>
  <c r="AC240" i="10"/>
  <c r="U240" i="10"/>
  <c r="Q242" i="10" l="1"/>
  <c r="Y241" i="10"/>
  <c r="U241" i="10"/>
  <c r="AC241" i="10"/>
  <c r="Q243" i="10" l="1"/>
  <c r="Y242" i="10"/>
  <c r="AC242" i="10"/>
  <c r="U242" i="10"/>
  <c r="Q244" i="10" l="1"/>
  <c r="Y243" i="10"/>
  <c r="U243" i="10"/>
  <c r="AC243" i="10"/>
  <c r="Q245" i="10" l="1"/>
  <c r="Y244" i="10"/>
  <c r="U244" i="10"/>
  <c r="AC244" i="10"/>
  <c r="Q246" i="10" l="1"/>
  <c r="Y245" i="10"/>
  <c r="U245" i="10"/>
  <c r="AC245" i="10"/>
  <c r="Q247" i="10" l="1"/>
  <c r="Y246" i="10"/>
  <c r="AC246" i="10"/>
  <c r="U246" i="10"/>
  <c r="Q248" i="10" l="1"/>
  <c r="Y247" i="10"/>
  <c r="AC247" i="10"/>
  <c r="U247" i="10"/>
  <c r="Q249" i="10" l="1"/>
  <c r="Y248" i="10"/>
  <c r="AC248" i="10"/>
  <c r="U248" i="10"/>
  <c r="Q250" i="10" l="1"/>
  <c r="Y249" i="10"/>
  <c r="U249" i="10"/>
  <c r="AC249" i="10"/>
  <c r="Q251" i="10" l="1"/>
  <c r="Y250" i="10"/>
  <c r="AC250" i="10"/>
  <c r="U250" i="10"/>
  <c r="Q252" i="10" l="1"/>
  <c r="Y251" i="10"/>
  <c r="AC251" i="10"/>
  <c r="U251" i="10"/>
  <c r="Q253" i="10" l="1"/>
  <c r="Y252" i="10"/>
  <c r="U252" i="10"/>
  <c r="AC252" i="10"/>
  <c r="Q254" i="10" l="1"/>
  <c r="Y253" i="10"/>
  <c r="U253" i="10"/>
  <c r="AC253" i="10"/>
  <c r="Q255" i="10" l="1"/>
  <c r="Y254" i="10"/>
  <c r="U254" i="10"/>
  <c r="AC254" i="10"/>
  <c r="Q256" i="10" l="1"/>
  <c r="Y255" i="10"/>
  <c r="AC255" i="10"/>
  <c r="U255" i="10"/>
  <c r="Q257" i="10" l="1"/>
  <c r="Y256" i="10"/>
  <c r="AC256" i="10"/>
  <c r="U256" i="10"/>
  <c r="Q258" i="10" l="1"/>
  <c r="Y257" i="10"/>
  <c r="U257" i="10"/>
  <c r="AC257" i="10"/>
  <c r="Q259" i="10" l="1"/>
  <c r="Y258" i="10"/>
  <c r="U258" i="10"/>
  <c r="AC258" i="10"/>
  <c r="Q260" i="10" l="1"/>
  <c r="Y259" i="10"/>
  <c r="U259" i="10"/>
  <c r="AC259" i="10"/>
  <c r="Q261" i="10" l="1"/>
  <c r="Y260" i="10"/>
  <c r="U260" i="10"/>
  <c r="AC260" i="10"/>
  <c r="Q262" i="10" l="1"/>
  <c r="Y261" i="10"/>
  <c r="U261" i="10"/>
  <c r="AC261" i="10"/>
  <c r="Q263" i="10" l="1"/>
  <c r="Y262" i="10"/>
  <c r="AC262" i="10"/>
  <c r="U262" i="10"/>
  <c r="Q264" i="10" l="1"/>
  <c r="Y263" i="10"/>
  <c r="AC263" i="10"/>
  <c r="U263" i="10"/>
  <c r="Q265" i="10" l="1"/>
  <c r="Y264" i="10"/>
  <c r="AC264" i="10"/>
  <c r="U264" i="10"/>
  <c r="Q266" i="10" l="1"/>
  <c r="Y265" i="10"/>
  <c r="U265" i="10"/>
  <c r="AC265" i="10"/>
  <c r="Q267" i="10" l="1"/>
  <c r="Y266" i="10"/>
  <c r="AC266" i="10"/>
  <c r="U266" i="10"/>
  <c r="Q268" i="10" l="1"/>
  <c r="Y267" i="10"/>
  <c r="AC267" i="10"/>
  <c r="U267" i="10"/>
  <c r="Y268" i="10" l="1"/>
  <c r="U268" i="10"/>
  <c r="Q269" i="10"/>
  <c r="AC268" i="10"/>
  <c r="AC269" i="10" l="1"/>
  <c r="Y269" i="10"/>
  <c r="Q270" i="10"/>
  <c r="U269" i="10"/>
  <c r="AC270" i="10" l="1"/>
  <c r="Y270" i="10"/>
  <c r="U270" i="10"/>
  <c r="Q271" i="10"/>
  <c r="U271" i="10" l="1"/>
  <c r="AC271" i="10"/>
  <c r="Y271" i="10"/>
  <c r="Q272" i="10"/>
  <c r="AC272" i="10" l="1"/>
  <c r="U272" i="10"/>
  <c r="Q273" i="10"/>
  <c r="Y272" i="10"/>
  <c r="Y273" i="10" l="1"/>
  <c r="AC273" i="10"/>
  <c r="U273" i="10"/>
  <c r="Q274" i="10"/>
  <c r="AC274" i="10" l="1"/>
  <c r="Y274" i="10"/>
  <c r="Q275" i="10"/>
  <c r="U274" i="10"/>
  <c r="Q276" i="10" l="1"/>
  <c r="U275" i="10"/>
  <c r="Y275" i="10"/>
  <c r="AC275" i="10"/>
  <c r="Y276" i="10" l="1"/>
  <c r="Q277" i="10"/>
  <c r="AC276" i="10"/>
  <c r="U276" i="10"/>
  <c r="Q278" i="10" l="1"/>
  <c r="U277" i="10"/>
  <c r="AC277" i="10"/>
  <c r="Y277" i="10"/>
  <c r="Y278" i="10" l="1"/>
  <c r="U278" i="10"/>
  <c r="Q279" i="10"/>
  <c r="AC278" i="10"/>
  <c r="AC279" i="10" l="1"/>
  <c r="Y279" i="10"/>
  <c r="U279" i="10"/>
  <c r="Q280" i="10"/>
  <c r="AC280" i="10" l="1"/>
  <c r="U280" i="10"/>
  <c r="Y280" i="10"/>
  <c r="Q281" i="10"/>
  <c r="U281" i="10" l="1"/>
  <c r="Y281" i="10"/>
  <c r="Q282" i="10"/>
  <c r="AC281" i="10"/>
  <c r="U282" i="10" l="1"/>
  <c r="Y282" i="10"/>
  <c r="Q283" i="10"/>
  <c r="AC282" i="10"/>
  <c r="Q284" i="10" l="1"/>
  <c r="U283" i="10"/>
  <c r="AC283" i="10"/>
  <c r="Y283" i="10"/>
  <c r="Y284" i="10" l="1"/>
  <c r="AC284" i="10"/>
  <c r="U284" i="10"/>
  <c r="Q285" i="10"/>
  <c r="Y285" i="10" l="1"/>
  <c r="U285" i="10"/>
  <c r="Q286" i="10"/>
  <c r="AC285" i="10"/>
  <c r="Q287" i="10" l="1"/>
  <c r="Y286" i="10"/>
  <c r="AC286" i="10"/>
  <c r="U286" i="10"/>
  <c r="Q288" i="10" l="1"/>
  <c r="Y287" i="10"/>
  <c r="AC287" i="10"/>
  <c r="U287" i="10"/>
  <c r="AC288" i="10" l="1"/>
  <c r="U288" i="10"/>
  <c r="Y288" i="10"/>
  <c r="Q289" i="10"/>
  <c r="AC289" i="10" l="1"/>
  <c r="Q290" i="10"/>
  <c r="U289" i="10"/>
  <c r="Y289" i="10"/>
  <c r="AC290" i="10" l="1"/>
  <c r="Q291" i="10"/>
  <c r="U290" i="10"/>
  <c r="Y290" i="10"/>
  <c r="Q292" i="10" l="1"/>
  <c r="AC291" i="10"/>
  <c r="Y291" i="10"/>
  <c r="U291" i="10"/>
  <c r="Y292" i="10" l="1"/>
  <c r="U292" i="10"/>
  <c r="AC292" i="10"/>
  <c r="Q293" i="10"/>
  <c r="U293" i="10" l="1"/>
  <c r="AC293" i="10"/>
  <c r="Y293" i="10"/>
  <c r="Q294" i="10"/>
  <c r="U294" i="10" l="1"/>
  <c r="Y294" i="10"/>
  <c r="Q295" i="10"/>
  <c r="AC294" i="10"/>
  <c r="AC295" i="10" l="1"/>
  <c r="Y295" i="10"/>
  <c r="U295" i="10"/>
  <c r="Q296" i="10"/>
  <c r="AC296" i="10" l="1"/>
  <c r="U296" i="10"/>
  <c r="Q297" i="10"/>
  <c r="Y296" i="10"/>
  <c r="Q298" i="10" l="1"/>
  <c r="Y297" i="10"/>
  <c r="AC297" i="10"/>
  <c r="U297" i="10"/>
  <c r="Q299" i="10" l="1"/>
  <c r="Y298" i="10"/>
  <c r="U298" i="10"/>
  <c r="AC298" i="10"/>
  <c r="Q300" i="10" l="1"/>
  <c r="Y299" i="10"/>
  <c r="AC299" i="10"/>
  <c r="U299" i="10"/>
  <c r="Y300" i="10" l="1"/>
  <c r="U300" i="10"/>
  <c r="AC300" i="10"/>
  <c r="Q301" i="10"/>
  <c r="AC301" i="10" l="1"/>
  <c r="Y301" i="10"/>
  <c r="Q302" i="10"/>
  <c r="U301" i="10"/>
  <c r="AC302" i="10" l="1"/>
  <c r="Q303" i="10"/>
  <c r="U302" i="10"/>
  <c r="Y302" i="10"/>
  <c r="U303" i="10" l="1"/>
  <c r="AC303" i="10"/>
  <c r="Y303" i="10"/>
  <c r="Q304" i="10"/>
  <c r="AC304" i="10" l="1"/>
  <c r="U304" i="10"/>
  <c r="Q305" i="10"/>
  <c r="Y304" i="10"/>
  <c r="Y305" i="10" l="1"/>
  <c r="Q306" i="10"/>
  <c r="AC305" i="10"/>
  <c r="U305" i="10"/>
  <c r="Q307" i="10" l="1"/>
  <c r="Y306" i="10"/>
  <c r="U306" i="10"/>
  <c r="AC306" i="10"/>
  <c r="Q308" i="10" l="1"/>
  <c r="Y307" i="10"/>
  <c r="AC307" i="10"/>
  <c r="U307" i="10"/>
  <c r="Y308" i="10" l="1"/>
  <c r="Q309" i="10"/>
  <c r="AC308" i="10"/>
  <c r="U308" i="10"/>
  <c r="Q310" i="10" l="1"/>
  <c r="U309" i="10"/>
  <c r="AC309" i="10"/>
  <c r="Y309" i="10"/>
  <c r="AC310" i="10" l="1"/>
  <c r="Y310" i="10"/>
  <c r="Q311" i="10"/>
  <c r="U310" i="10"/>
  <c r="AC311" i="10" l="1"/>
  <c r="U311" i="10"/>
  <c r="Q312" i="10"/>
  <c r="Y311" i="10"/>
  <c r="AC312" i="10" l="1"/>
  <c r="U312" i="10"/>
  <c r="Q313" i="10"/>
  <c r="Y312" i="10"/>
  <c r="U313" i="10" l="1"/>
  <c r="AC313" i="10"/>
  <c r="Q314" i="10"/>
  <c r="Y313" i="10"/>
  <c r="Q315" i="10" l="1"/>
  <c r="U314" i="10"/>
  <c r="Y314" i="10"/>
  <c r="AC314" i="10"/>
  <c r="Q316" i="10" l="1"/>
  <c r="Y315" i="10"/>
  <c r="AC315" i="10"/>
  <c r="U315" i="10"/>
  <c r="Y316" i="10" l="1"/>
  <c r="AC316" i="10"/>
  <c r="U316" i="10"/>
  <c r="Q317" i="10"/>
  <c r="U317" i="10" l="1"/>
  <c r="Y317" i="10"/>
  <c r="Q318" i="10"/>
  <c r="AC317" i="10"/>
  <c r="Y318" i="10" l="1"/>
  <c r="Q319" i="10"/>
  <c r="AC318" i="10"/>
  <c r="U318" i="10"/>
  <c r="AC319" i="10" l="1"/>
  <c r="U319" i="10"/>
  <c r="Y319" i="10"/>
  <c r="Q320" i="10"/>
  <c r="AC320" i="10" l="1"/>
  <c r="U320" i="10"/>
  <c r="Y320" i="10"/>
  <c r="Q321" i="10"/>
  <c r="Y321" i="10" l="1"/>
  <c r="Q322" i="10"/>
  <c r="U321" i="10"/>
  <c r="AC321" i="10"/>
  <c r="Q323" i="10" l="1"/>
  <c r="Y322" i="10"/>
  <c r="U322" i="10"/>
  <c r="AC322" i="10"/>
  <c r="Q324" i="10" l="1"/>
  <c r="Y323" i="10"/>
  <c r="AC323" i="10"/>
  <c r="U323" i="10"/>
  <c r="Y324" i="10" l="1"/>
  <c r="Q325" i="10"/>
  <c r="AC324" i="10"/>
  <c r="U324" i="10"/>
  <c r="Y325" i="10" l="1"/>
  <c r="Q326" i="10"/>
  <c r="U325" i="10"/>
  <c r="AC325" i="10"/>
  <c r="AC326" i="10" l="1"/>
  <c r="Y326" i="10"/>
  <c r="Q327" i="10"/>
  <c r="U326" i="10"/>
  <c r="AC327" i="10" l="1"/>
  <c r="U327" i="10"/>
  <c r="Q328" i="10"/>
  <c r="Y327" i="10"/>
  <c r="AC328" i="10" l="1"/>
  <c r="U328" i="10"/>
  <c r="Y328" i="10"/>
  <c r="Q329" i="10"/>
  <c r="U329" i="10" l="1"/>
  <c r="Q330" i="10"/>
  <c r="AC329" i="10"/>
  <c r="Y329" i="10"/>
  <c r="Q331" i="10" l="1"/>
  <c r="U330" i="10"/>
  <c r="AC330" i="10"/>
  <c r="Y330" i="10"/>
  <c r="Q332" i="10" l="1"/>
  <c r="Y331" i="10"/>
  <c r="U331" i="10"/>
  <c r="AC331" i="10"/>
  <c r="Y332" i="10" l="1"/>
  <c r="AC332" i="10"/>
  <c r="U332" i="10"/>
  <c r="Q333" i="10"/>
  <c r="U333" i="10" l="1"/>
  <c r="Y333" i="10"/>
  <c r="AC333" i="10"/>
  <c r="Q334" i="10"/>
  <c r="Y334" i="10" l="1"/>
  <c r="Q335" i="10"/>
  <c r="AC334" i="10"/>
  <c r="U334" i="10"/>
  <c r="AC335" i="10" l="1"/>
  <c r="U335" i="10"/>
  <c r="Y335" i="10"/>
  <c r="Q336" i="10"/>
  <c r="AC336" i="10" l="1"/>
  <c r="U336" i="10"/>
  <c r="Y336" i="10"/>
  <c r="Q337" i="10"/>
  <c r="Y337" i="10" l="1"/>
  <c r="Q338" i="10"/>
  <c r="U337" i="10"/>
  <c r="AC337" i="10"/>
  <c r="Q339" i="10" l="1"/>
  <c r="Y338" i="10"/>
  <c r="AC338" i="10"/>
  <c r="U338" i="10"/>
  <c r="Q340" i="10" l="1"/>
  <c r="Y339" i="10"/>
  <c r="AC339" i="10"/>
  <c r="U339" i="10"/>
  <c r="Y340" i="10" l="1"/>
  <c r="Q341" i="10"/>
  <c r="U340" i="10"/>
  <c r="AC340" i="10"/>
  <c r="AC341" i="10" l="1"/>
  <c r="Y341" i="10"/>
  <c r="Q342" i="10"/>
  <c r="U341" i="10"/>
  <c r="AC342" i="10" l="1"/>
  <c r="U342" i="10"/>
  <c r="Q343" i="10"/>
  <c r="Y342" i="10"/>
  <c r="AC343" i="10" l="1"/>
  <c r="U343" i="10"/>
  <c r="Q344" i="10"/>
  <c r="Y343" i="10"/>
  <c r="AC344" i="10" l="1"/>
  <c r="U344" i="10"/>
  <c r="Y344" i="10"/>
  <c r="Q345" i="10"/>
  <c r="U345" i="10" l="1"/>
  <c r="Q346" i="10"/>
  <c r="Y345" i="10"/>
  <c r="AC345" i="10"/>
  <c r="Q347" i="10" l="1"/>
  <c r="U346" i="10"/>
  <c r="AC346" i="10"/>
  <c r="Y346" i="10"/>
  <c r="Q348" i="10" l="1"/>
  <c r="Y347" i="10"/>
  <c r="U347" i="10"/>
  <c r="AC347" i="10"/>
  <c r="Y348" i="10" l="1"/>
  <c r="AC348" i="10"/>
  <c r="Q349" i="10"/>
  <c r="U348" i="10"/>
  <c r="U349" i="10" l="1"/>
  <c r="AC349" i="10"/>
  <c r="Q350" i="10"/>
  <c r="Y349" i="10"/>
  <c r="Y350" i="10" l="1"/>
  <c r="Q351" i="10"/>
  <c r="U350" i="10"/>
  <c r="AC350" i="10"/>
  <c r="AC351" i="10" l="1"/>
  <c r="U351" i="10"/>
  <c r="Q352" i="10"/>
  <c r="Y351" i="10"/>
  <c r="AC352" i="10" l="1"/>
  <c r="U352" i="10"/>
  <c r="Y352" i="10"/>
  <c r="Q353" i="10"/>
  <c r="Y353" i="10" l="1"/>
  <c r="Q354" i="10"/>
  <c r="AC353" i="10"/>
  <c r="U353" i="10"/>
  <c r="Q355" i="10" l="1"/>
  <c r="Y354" i="10"/>
  <c r="U354" i="10"/>
  <c r="AC354" i="10"/>
  <c r="Q356" i="10" l="1"/>
  <c r="Y355" i="10"/>
  <c r="AC355" i="10"/>
  <c r="U355" i="10"/>
  <c r="Y356" i="10" l="1"/>
  <c r="Q357" i="10"/>
  <c r="U356" i="10"/>
  <c r="AC356" i="10"/>
  <c r="AC357" i="10" l="1"/>
  <c r="U357" i="10"/>
  <c r="Q358" i="10"/>
  <c r="Y357" i="10"/>
  <c r="AC358" i="10" l="1"/>
  <c r="Y358" i="10"/>
  <c r="U358" i="10"/>
  <c r="Q359" i="10"/>
  <c r="AC359" i="10" l="1"/>
  <c r="U359" i="10"/>
  <c r="Q360" i="10"/>
  <c r="Y359" i="10"/>
  <c r="AC360" i="10" l="1"/>
  <c r="U360" i="10"/>
  <c r="Q361" i="10"/>
  <c r="Y360" i="10"/>
  <c r="U361" i="10" l="1"/>
  <c r="Y361" i="10"/>
  <c r="Q362" i="10"/>
  <c r="AC361" i="10"/>
  <c r="Q363" i="10" l="1"/>
  <c r="U362" i="10"/>
  <c r="AC362" i="10"/>
  <c r="Y362" i="10"/>
  <c r="Q364" i="10" l="1"/>
  <c r="Y363" i="10"/>
  <c r="AC363" i="10"/>
  <c r="U363" i="10"/>
  <c r="Y364" i="10" l="1"/>
  <c r="AC364" i="10"/>
  <c r="Q365" i="10"/>
  <c r="U364" i="10"/>
  <c r="U365" i="10" l="1"/>
  <c r="AC365" i="10"/>
  <c r="Y365" i="10"/>
  <c r="Q366" i="10"/>
  <c r="Y366" i="10" l="1"/>
  <c r="Q367" i="10"/>
  <c r="U366" i="10"/>
  <c r="AC366" i="10"/>
  <c r="AC367" i="10" l="1"/>
  <c r="U367" i="10"/>
  <c r="Q368" i="10"/>
  <c r="Y367" i="10"/>
  <c r="AC368" i="10" l="1"/>
  <c r="U368" i="10"/>
  <c r="Q369" i="10"/>
  <c r="Y368" i="10"/>
  <c r="Y369" i="10" l="1"/>
  <c r="Q370" i="10"/>
  <c r="AC369" i="10"/>
  <c r="U369" i="10"/>
  <c r="Q371" i="10" l="1"/>
  <c r="Y370" i="10"/>
  <c r="U370" i="10"/>
  <c r="AC370" i="10"/>
  <c r="Q372" i="10" l="1"/>
  <c r="Y371" i="10"/>
  <c r="AC371" i="10"/>
  <c r="U371" i="10"/>
  <c r="Y372" i="10" l="1"/>
  <c r="Q373" i="10"/>
  <c r="AC372" i="10"/>
  <c r="U372" i="10"/>
  <c r="Q374" i="10" l="1"/>
  <c r="U373" i="10"/>
  <c r="Y373" i="10"/>
  <c r="AC373" i="10"/>
  <c r="AC374" i="10" l="1"/>
  <c r="Y374" i="10"/>
  <c r="U374" i="10"/>
  <c r="Q375" i="10"/>
  <c r="AC375" i="10" l="1"/>
  <c r="U375" i="10"/>
  <c r="Q376" i="10"/>
  <c r="Y375" i="10"/>
  <c r="AC376" i="10" l="1"/>
  <c r="U376" i="10"/>
  <c r="Q377" i="10"/>
  <c r="Y376" i="10"/>
  <c r="U377" i="10" l="1"/>
  <c r="AC377" i="10"/>
  <c r="Q378" i="10"/>
  <c r="Y377" i="10"/>
  <c r="Q379" i="10" l="1"/>
  <c r="U378" i="10"/>
  <c r="Y378" i="10"/>
  <c r="AC378" i="10"/>
  <c r="Q380" i="10" l="1"/>
  <c r="Y379" i="10"/>
  <c r="AC379" i="10"/>
  <c r="U379" i="10"/>
  <c r="Y380" i="10" l="1"/>
  <c r="AC380" i="10"/>
  <c r="U380" i="10"/>
  <c r="Q381" i="10"/>
  <c r="U381" i="10" l="1"/>
  <c r="Y381" i="10"/>
  <c r="Q382" i="10"/>
  <c r="AC381" i="10"/>
  <c r="Y382" i="10" l="1"/>
  <c r="Q383" i="10"/>
  <c r="AC382" i="10"/>
  <c r="U382" i="10"/>
  <c r="AC383" i="10" l="1"/>
  <c r="U383" i="10"/>
  <c r="Y383" i="10"/>
  <c r="Q384" i="10"/>
  <c r="AC384" i="10" l="1"/>
  <c r="U384" i="10"/>
  <c r="Y384" i="10"/>
  <c r="Q385" i="10"/>
  <c r="Y385" i="10" l="1"/>
  <c r="Q386" i="10"/>
  <c r="AC385" i="10"/>
  <c r="U385" i="10"/>
  <c r="Q387" i="10" l="1"/>
  <c r="Y386" i="10"/>
  <c r="U386" i="10"/>
  <c r="AC386" i="10"/>
  <c r="Q388" i="10" l="1"/>
  <c r="Y387" i="10"/>
  <c r="AC387" i="10"/>
  <c r="U387" i="10"/>
  <c r="Y388" i="10" l="1"/>
  <c r="Q389" i="10"/>
  <c r="AC388" i="10"/>
  <c r="U388" i="10"/>
  <c r="Q390" i="10" l="1"/>
  <c r="Y389" i="10"/>
  <c r="AC389" i="10"/>
  <c r="U389" i="10"/>
  <c r="Q391" i="10" l="1"/>
  <c r="Y390" i="10"/>
  <c r="U390" i="10"/>
  <c r="AC390" i="10"/>
  <c r="Q392" i="10" l="1"/>
  <c r="Y391" i="10"/>
  <c r="AC391" i="10"/>
  <c r="U391" i="10"/>
  <c r="Y392" i="10" l="1"/>
  <c r="Q393" i="10"/>
  <c r="U392" i="10"/>
  <c r="AC392" i="10"/>
  <c r="Y393" i="10" l="1"/>
  <c r="Q394" i="10"/>
  <c r="U393" i="10"/>
  <c r="AC393" i="10"/>
  <c r="AC394" i="10" l="1"/>
  <c r="U394" i="10"/>
  <c r="Q395" i="10"/>
  <c r="Y394" i="10"/>
  <c r="AC395" i="10" l="1"/>
  <c r="Q396" i="10"/>
  <c r="Y395" i="10"/>
  <c r="U395" i="10"/>
  <c r="AC396" i="10" l="1"/>
  <c r="U396" i="10"/>
  <c r="Y396" i="10"/>
  <c r="Q397" i="10"/>
  <c r="Y397" i="10" l="1"/>
  <c r="U397" i="10"/>
  <c r="Q398" i="10"/>
  <c r="AC397" i="10"/>
  <c r="AC398" i="10" l="1"/>
  <c r="U398" i="10"/>
  <c r="Q399" i="10"/>
  <c r="Y398" i="10"/>
  <c r="Q400" i="10" l="1"/>
  <c r="U399" i="10"/>
  <c r="Y399" i="10"/>
  <c r="AC399" i="10"/>
  <c r="Y400" i="10" l="1"/>
  <c r="Q401" i="10"/>
  <c r="AC400" i="10"/>
  <c r="U400" i="10"/>
  <c r="Q402" i="10" l="1"/>
  <c r="Y401" i="10"/>
  <c r="U401" i="10"/>
  <c r="AC401" i="10"/>
  <c r="Q403" i="10" l="1"/>
  <c r="Y402" i="10"/>
  <c r="U402" i="10"/>
  <c r="AC402" i="10"/>
  <c r="AC403" i="10" l="1"/>
  <c r="Q404" i="10"/>
  <c r="U403" i="10"/>
  <c r="Y403" i="10"/>
  <c r="AC404" i="10" l="1"/>
  <c r="U404" i="10"/>
  <c r="Q405" i="10"/>
  <c r="Y404" i="10"/>
  <c r="U405" i="10" l="1"/>
  <c r="AC405" i="10"/>
  <c r="Y405" i="10"/>
  <c r="Q406" i="10"/>
  <c r="U406" i="10" l="1"/>
  <c r="AC406" i="10"/>
  <c r="Q407" i="10"/>
  <c r="Y406" i="10"/>
  <c r="Q408" i="10" l="1"/>
  <c r="U407" i="10"/>
  <c r="AC407" i="10"/>
  <c r="Y407" i="10"/>
  <c r="Y408" i="10" l="1"/>
  <c r="U408" i="10"/>
  <c r="Q409" i="10"/>
  <c r="AC408" i="10"/>
  <c r="AC409" i="10" l="1"/>
  <c r="Y409" i="10"/>
  <c r="U409" i="10"/>
  <c r="Q410" i="10"/>
  <c r="Q411" i="10" l="1"/>
  <c r="Y410" i="10"/>
  <c r="U410" i="10"/>
  <c r="AC410" i="10"/>
  <c r="AC411" i="10" l="1"/>
  <c r="U411" i="10"/>
  <c r="Q412" i="10"/>
  <c r="Y411" i="10"/>
  <c r="AC412" i="10" l="1"/>
  <c r="U412" i="10"/>
  <c r="Y412" i="10"/>
  <c r="Q413" i="10"/>
  <c r="Q414" i="10" l="1"/>
  <c r="Y413" i="10"/>
  <c r="U413" i="10"/>
  <c r="AC413" i="10"/>
  <c r="Q415" i="10" l="1"/>
  <c r="Y414" i="10"/>
  <c r="U414" i="10"/>
  <c r="AC414" i="10"/>
  <c r="Q416" i="10" l="1"/>
  <c r="Y415" i="10"/>
  <c r="AC415" i="10"/>
  <c r="U415" i="10"/>
  <c r="Y416" i="10" l="1"/>
  <c r="U416" i="10"/>
  <c r="Q417" i="10"/>
  <c r="AC416" i="10"/>
  <c r="Q418" i="10" l="1"/>
  <c r="Y417" i="10"/>
  <c r="AC417" i="10"/>
  <c r="U417" i="10"/>
  <c r="Y418" i="10" l="1"/>
  <c r="U418" i="10"/>
  <c r="AC418" i="10"/>
  <c r="Q419" i="10"/>
  <c r="AC419" i="10" l="1"/>
  <c r="U419" i="10"/>
  <c r="Q420" i="10"/>
  <c r="Y419" i="10"/>
  <c r="AC420" i="10" l="1"/>
  <c r="U420" i="10"/>
  <c r="Y420" i="10"/>
  <c r="Q421" i="10"/>
  <c r="AC421" i="10" l="1"/>
  <c r="Q422" i="10"/>
  <c r="Y421" i="10"/>
  <c r="U421" i="10"/>
  <c r="Q423" i="10" l="1"/>
  <c r="U422" i="10"/>
  <c r="AC422" i="10"/>
  <c r="Y422" i="10"/>
  <c r="Q424" i="10" l="1"/>
  <c r="Y423" i="10"/>
  <c r="U423" i="10"/>
  <c r="AC423" i="10"/>
  <c r="Y424" i="10" l="1"/>
  <c r="Q425" i="10"/>
  <c r="U424" i="10"/>
  <c r="AC424" i="10"/>
  <c r="AC425" i="10" l="1"/>
  <c r="U425" i="10"/>
  <c r="Q426" i="10"/>
  <c r="Y425" i="10"/>
  <c r="Q427" i="10" l="1"/>
  <c r="U426" i="10"/>
  <c r="Y426" i="10"/>
  <c r="AC426" i="10"/>
  <c r="AC427" i="10" l="1"/>
  <c r="U427" i="10"/>
  <c r="Q428" i="10"/>
  <c r="Y427" i="10"/>
  <c r="AC428" i="10" l="1"/>
  <c r="U428" i="10"/>
  <c r="Y428" i="10"/>
  <c r="Q429" i="10"/>
  <c r="Q430" i="10" l="1"/>
  <c r="Y429" i="10"/>
  <c r="AC429" i="10"/>
  <c r="U429" i="10"/>
  <c r="Q431" i="10" l="1"/>
  <c r="Y430" i="10"/>
  <c r="U430" i="10"/>
  <c r="AC430" i="10"/>
  <c r="Q432" i="10" l="1"/>
  <c r="Y431" i="10"/>
  <c r="AC431" i="10"/>
  <c r="U431" i="10"/>
  <c r="Y432" i="10" l="1"/>
  <c r="AC432" i="10"/>
  <c r="U432" i="10"/>
  <c r="Q433" i="10"/>
  <c r="U433" i="10" l="1"/>
  <c r="Y433" i="10"/>
  <c r="Q434" i="10"/>
  <c r="AC433" i="10"/>
  <c r="Y434" i="10" l="1"/>
  <c r="Q435" i="10"/>
  <c r="AC434" i="10"/>
  <c r="U434" i="10"/>
  <c r="AC435" i="10" l="1"/>
  <c r="U435" i="10"/>
  <c r="Q436" i="10"/>
  <c r="Y435" i="10"/>
  <c r="AC436" i="10" l="1"/>
  <c r="U436" i="10"/>
  <c r="Y436" i="10"/>
  <c r="Q437" i="10"/>
  <c r="Q438" i="10" l="1"/>
  <c r="AC437" i="10"/>
  <c r="Y437" i="10"/>
  <c r="U437" i="10"/>
  <c r="Q439" i="10" l="1"/>
  <c r="Y438" i="10"/>
  <c r="U438" i="10"/>
  <c r="AC438" i="10"/>
  <c r="Q440" i="10" l="1"/>
  <c r="Y439" i="10"/>
  <c r="AC439" i="10"/>
  <c r="U439" i="10"/>
  <c r="Y440" i="10" l="1"/>
  <c r="AC440" i="10"/>
  <c r="U440" i="10"/>
  <c r="Q441" i="10"/>
  <c r="U441" i="10" l="1"/>
  <c r="Y441" i="10"/>
  <c r="AC441" i="10"/>
  <c r="Q442" i="10"/>
  <c r="Y442" i="10" l="1"/>
  <c r="Q443" i="10"/>
  <c r="AC442" i="10"/>
  <c r="U442" i="10"/>
  <c r="AC443" i="10" l="1"/>
  <c r="U443" i="10"/>
  <c r="Q444" i="10"/>
  <c r="Y443" i="10"/>
  <c r="AC444" i="10" l="1"/>
  <c r="U444" i="10"/>
  <c r="Y444" i="10"/>
  <c r="Q445" i="10"/>
  <c r="Q446" i="10" l="1"/>
  <c r="AC445" i="10"/>
  <c r="Y445" i="10"/>
  <c r="U445" i="10"/>
  <c r="Q447" i="10" l="1"/>
  <c r="Y446" i="10"/>
  <c r="U446" i="10"/>
  <c r="AC446" i="10"/>
  <c r="Q448" i="10" l="1"/>
  <c r="Y447" i="10"/>
  <c r="AC447" i="10"/>
  <c r="U447" i="10"/>
  <c r="Y448" i="10" l="1"/>
  <c r="AC448" i="10"/>
  <c r="U448" i="10"/>
  <c r="Q449" i="10"/>
  <c r="U449" i="10" l="1"/>
  <c r="AC449" i="10"/>
  <c r="Q450" i="10"/>
  <c r="Y449" i="10"/>
  <c r="Y450" i="10" l="1"/>
  <c r="U450" i="10"/>
  <c r="Q451" i="10"/>
  <c r="AC450" i="10"/>
  <c r="AC451" i="10" l="1"/>
  <c r="U451" i="10"/>
  <c r="Q452" i="10"/>
  <c r="Y451" i="10"/>
  <c r="AC452" i="10" l="1"/>
  <c r="U452" i="10"/>
  <c r="Y452" i="10"/>
  <c r="Q453" i="10"/>
  <c r="Q454" i="10" l="1"/>
  <c r="AC453" i="10"/>
  <c r="Y453" i="10"/>
  <c r="U453" i="10"/>
  <c r="Q455" i="10" l="1"/>
  <c r="Y454" i="10"/>
  <c r="U454" i="10"/>
  <c r="AC454" i="10"/>
  <c r="Q456" i="10" l="1"/>
  <c r="Y455" i="10"/>
  <c r="AC455" i="10"/>
  <c r="U455" i="10"/>
  <c r="Y456" i="10" l="1"/>
  <c r="AC456" i="10"/>
  <c r="U456" i="10"/>
  <c r="Q457" i="10"/>
  <c r="U457" i="10" l="1"/>
  <c r="AC457" i="10"/>
  <c r="Q458" i="10"/>
  <c r="Y457" i="10"/>
  <c r="Y458" i="10" l="1"/>
  <c r="U458" i="10"/>
  <c r="AC458" i="10"/>
  <c r="Q459" i="10"/>
  <c r="AC459" i="10" l="1"/>
  <c r="U459" i="10"/>
  <c r="Q460" i="10"/>
  <c r="Y459" i="10"/>
  <c r="AC460" i="10" l="1"/>
  <c r="U460" i="10"/>
  <c r="Y460" i="10"/>
  <c r="Q461" i="10"/>
  <c r="Q462" i="10" l="1"/>
  <c r="AC461" i="10"/>
  <c r="Y461" i="10"/>
  <c r="U461" i="10"/>
  <c r="Q463" i="10" l="1"/>
  <c r="Y462" i="10"/>
  <c r="U462" i="10"/>
  <c r="AC462" i="10"/>
  <c r="Q464" i="10" l="1"/>
  <c r="Y463" i="10"/>
  <c r="AC463" i="10"/>
  <c r="U463" i="10"/>
  <c r="Y464" i="10" l="1"/>
  <c r="AC464" i="10"/>
  <c r="U464" i="10"/>
  <c r="Q465" i="10"/>
  <c r="U465" i="10" l="1"/>
  <c r="AC465" i="10"/>
  <c r="Q466" i="10"/>
  <c r="Y465" i="10"/>
  <c r="Y466" i="10" l="1"/>
  <c r="U466" i="10"/>
  <c r="Q467" i="10"/>
  <c r="AC466" i="10"/>
  <c r="AC467" i="10" l="1"/>
  <c r="U467" i="10"/>
  <c r="Q468" i="10"/>
  <c r="Y467" i="10"/>
  <c r="AC468" i="10" l="1"/>
  <c r="U468" i="10"/>
  <c r="Y468" i="10"/>
  <c r="Q469" i="10"/>
  <c r="Q470" i="10" l="1"/>
  <c r="U469" i="10"/>
  <c r="AC469" i="10"/>
  <c r="Y469" i="10"/>
  <c r="Q471" i="10" l="1"/>
  <c r="Y470" i="10"/>
  <c r="AC470" i="10"/>
  <c r="U470" i="10"/>
  <c r="Q472" i="10" l="1"/>
  <c r="Y471" i="10"/>
  <c r="AC471" i="10"/>
  <c r="U471" i="10"/>
  <c r="Y472" i="10" l="1"/>
  <c r="AC472" i="10"/>
  <c r="U472" i="10"/>
  <c r="Q473" i="10"/>
  <c r="U473" i="10" l="1"/>
  <c r="AC473" i="10"/>
  <c r="Q474" i="10"/>
  <c r="Y473" i="10"/>
  <c r="Y474" i="10" l="1"/>
  <c r="AC474" i="10"/>
  <c r="Q475" i="10"/>
  <c r="U474" i="10"/>
  <c r="AC475" i="10" l="1"/>
  <c r="U475" i="10"/>
  <c r="Q476" i="10"/>
  <c r="Y475" i="10"/>
  <c r="AC476" i="10" l="1"/>
  <c r="U476" i="10"/>
  <c r="Y476" i="10"/>
  <c r="Q477" i="10"/>
  <c r="Q478" i="10" l="1"/>
  <c r="U477" i="10"/>
  <c r="AC477" i="10"/>
  <c r="Y477" i="10"/>
  <c r="Q479" i="10" l="1"/>
  <c r="Y478" i="10"/>
  <c r="AC478" i="10"/>
  <c r="U478" i="10"/>
  <c r="Q480" i="10" l="1"/>
  <c r="Y479" i="10"/>
  <c r="AC479" i="10"/>
  <c r="U479" i="10"/>
  <c r="Y480" i="10" l="1"/>
  <c r="AC480" i="10"/>
  <c r="U480" i="10"/>
  <c r="Q481" i="10"/>
  <c r="U481" i="10" l="1"/>
  <c r="Q482" i="10"/>
  <c r="AC481" i="10"/>
  <c r="Y481" i="10"/>
  <c r="Y482" i="10" l="1"/>
  <c r="AC482" i="10"/>
  <c r="Q483" i="10"/>
  <c r="U482" i="10"/>
  <c r="AC483" i="10" l="1"/>
  <c r="U483" i="10"/>
  <c r="Q484" i="10"/>
  <c r="Y483" i="10"/>
  <c r="AC484" i="10" l="1"/>
  <c r="U484" i="10"/>
  <c r="Y484" i="10"/>
  <c r="Q485" i="10"/>
  <c r="Q486" i="10" l="1"/>
  <c r="Y485" i="10"/>
  <c r="U485" i="10"/>
  <c r="AC485" i="10"/>
  <c r="Q487" i="10" l="1"/>
  <c r="Y486" i="10"/>
  <c r="AC486" i="10"/>
  <c r="U486" i="10"/>
  <c r="Q488" i="10" l="1"/>
  <c r="Y487" i="10"/>
  <c r="AC487" i="10"/>
  <c r="U487" i="10"/>
  <c r="Y488" i="10" l="1"/>
  <c r="AC488" i="10"/>
  <c r="U488" i="10"/>
  <c r="Q489" i="10"/>
  <c r="U489" i="10" l="1"/>
  <c r="Y489" i="10"/>
  <c r="Q490" i="10"/>
  <c r="AC489" i="10"/>
  <c r="Y490" i="10" l="1"/>
  <c r="AC490" i="10"/>
  <c r="Q491" i="10"/>
  <c r="U490" i="10"/>
  <c r="AC491" i="10" l="1"/>
  <c r="U491" i="10"/>
  <c r="Q492" i="10"/>
  <c r="Y491" i="10"/>
  <c r="AC492" i="10" l="1"/>
  <c r="U492" i="10"/>
  <c r="Y492" i="10"/>
  <c r="Q493" i="10"/>
  <c r="Q494" i="10" l="1"/>
  <c r="Y493" i="10"/>
  <c r="U493" i="10"/>
  <c r="AC493" i="10"/>
  <c r="Q495" i="10" l="1"/>
  <c r="Y494" i="10"/>
  <c r="AC494" i="10"/>
  <c r="U494" i="10"/>
  <c r="Q496" i="10" l="1"/>
  <c r="Y495" i="10"/>
  <c r="AC495" i="10"/>
  <c r="U495" i="10"/>
  <c r="Y496" i="10" l="1"/>
  <c r="AC496" i="10"/>
  <c r="U496" i="10"/>
  <c r="Q497" i="10"/>
  <c r="U497" i="10" l="1"/>
  <c r="Y497" i="10"/>
  <c r="Q498" i="10"/>
  <c r="AC497" i="10"/>
  <c r="Y498" i="10" l="1"/>
  <c r="Q499" i="10"/>
  <c r="AC498" i="10"/>
  <c r="U498" i="10"/>
  <c r="AC499" i="10" l="1"/>
  <c r="U499" i="10"/>
  <c r="Q500" i="10"/>
  <c r="Y499" i="10"/>
  <c r="AC500" i="10" l="1"/>
  <c r="U500" i="10"/>
  <c r="Y500" i="10"/>
  <c r="Q501" i="10"/>
  <c r="Q502" i="10" l="1"/>
  <c r="AC501" i="10"/>
  <c r="Y501" i="10"/>
  <c r="U501" i="10"/>
  <c r="Q503" i="10" l="1"/>
  <c r="Y502" i="10"/>
  <c r="U502" i="10"/>
  <c r="AC502" i="10"/>
  <c r="Q504" i="10" l="1"/>
  <c r="Y503" i="10"/>
  <c r="AC503" i="10"/>
  <c r="U503" i="10"/>
  <c r="Y504" i="10" l="1"/>
  <c r="AC504" i="10"/>
  <c r="U504" i="10"/>
  <c r="Q505" i="10"/>
  <c r="Q506" i="10" l="1"/>
  <c r="Y505" i="10"/>
  <c r="AC505" i="10"/>
  <c r="U505" i="10"/>
  <c r="Q507" i="10" l="1"/>
  <c r="Y506" i="10"/>
  <c r="U506" i="10"/>
  <c r="AC506" i="10"/>
  <c r="AC507" i="10" l="1"/>
  <c r="U507" i="10"/>
  <c r="Y507" i="10"/>
  <c r="Q508" i="10"/>
  <c r="AC508" i="10" l="1"/>
  <c r="Y508" i="10"/>
  <c r="Q509" i="10"/>
  <c r="U508" i="10"/>
  <c r="AC509" i="10" l="1"/>
  <c r="Y509" i="10"/>
  <c r="U509" i="10"/>
  <c r="Q510" i="10"/>
  <c r="Q511" i="10" l="1"/>
  <c r="AC510" i="10"/>
  <c r="U510" i="10"/>
  <c r="Y510" i="10"/>
  <c r="Y511" i="10" l="1"/>
  <c r="U511" i="10"/>
  <c r="AC511" i="10"/>
  <c r="Q512" i="10"/>
  <c r="U512" i="10" l="1"/>
  <c r="AC512" i="10"/>
  <c r="Q513" i="10"/>
  <c r="Y512" i="10"/>
  <c r="U513" i="10" l="1"/>
  <c r="Y513" i="10"/>
  <c r="AC513" i="10"/>
  <c r="Q514" i="10"/>
  <c r="AC514" i="10" l="1"/>
  <c r="U514" i="10"/>
  <c r="Y514" i="10"/>
  <c r="Q515" i="10"/>
  <c r="AC515" i="10" l="1"/>
  <c r="U515" i="10"/>
  <c r="Q516" i="10"/>
  <c r="Y515" i="10"/>
  <c r="U516" i="10" l="1"/>
  <c r="AC516" i="10"/>
  <c r="Y516" i="10"/>
  <c r="Q517" i="10"/>
  <c r="Q518" i="10" l="1"/>
  <c r="AC517" i="10"/>
  <c r="Y517" i="10"/>
  <c r="U517" i="10"/>
  <c r="Q519" i="10" l="1"/>
  <c r="Y518" i="10"/>
  <c r="U518" i="10"/>
  <c r="AC518" i="10"/>
  <c r="Y519" i="10" l="1"/>
  <c r="AC519" i="10"/>
  <c r="Q520" i="10"/>
  <c r="U519" i="10"/>
  <c r="U520" i="10" l="1"/>
  <c r="AC520" i="10"/>
  <c r="Q521" i="10"/>
  <c r="Y520" i="10"/>
  <c r="Y521" i="10" l="1"/>
  <c r="AC521" i="10"/>
  <c r="U521" i="10"/>
  <c r="Q522" i="10"/>
  <c r="AC522" i="10" l="1"/>
  <c r="U522" i="10"/>
  <c r="Y522" i="10"/>
  <c r="Q523" i="10"/>
  <c r="AC523" i="10" l="1"/>
  <c r="U523" i="10"/>
  <c r="Q524" i="10"/>
  <c r="Y523" i="10"/>
  <c r="Y524" i="10" l="1"/>
  <c r="AC524" i="10"/>
  <c r="Q525" i="10"/>
  <c r="U524" i="10"/>
  <c r="Q526" i="10" l="1"/>
  <c r="AC525" i="10"/>
  <c r="U525" i="10"/>
  <c r="Y525" i="10"/>
  <c r="Q527" i="10" l="1"/>
  <c r="Y526" i="10"/>
  <c r="U526" i="10"/>
  <c r="AC526" i="10"/>
  <c r="Y527" i="10" l="1"/>
  <c r="Q528" i="10"/>
  <c r="U527" i="10"/>
  <c r="AC527" i="10"/>
  <c r="Y528" i="10" l="1"/>
  <c r="U528" i="10"/>
  <c r="Q529" i="10"/>
  <c r="AC528" i="10"/>
  <c r="AC529" i="10" l="1"/>
  <c r="Q530" i="10"/>
  <c r="U529" i="10"/>
  <c r="Y529" i="10"/>
  <c r="AC530" i="10" l="1"/>
  <c r="U530" i="10"/>
  <c r="Y530" i="10"/>
  <c r="Q531" i="10"/>
  <c r="AC531" i="10" l="1"/>
  <c r="U531" i="10"/>
  <c r="Q532" i="10"/>
  <c r="Y531" i="10"/>
  <c r="U532" i="10" l="1"/>
  <c r="Q533" i="10"/>
  <c r="AC532" i="10"/>
  <c r="Y532" i="10"/>
  <c r="Q534" i="10" l="1"/>
  <c r="AC533" i="10"/>
  <c r="U533" i="10"/>
  <c r="Y533" i="10"/>
  <c r="Q535" i="10" l="1"/>
  <c r="Y534" i="10"/>
  <c r="U534" i="10"/>
  <c r="AC534" i="10"/>
  <c r="Y535" i="10" l="1"/>
  <c r="AC535" i="10"/>
  <c r="Q536" i="10"/>
  <c r="U535" i="10"/>
  <c r="U536" i="10" l="1"/>
  <c r="Q537" i="10"/>
  <c r="AC536" i="10"/>
  <c r="Y536" i="10"/>
  <c r="Y537" i="10" l="1"/>
  <c r="AC537" i="10"/>
  <c r="U537" i="10"/>
  <c r="Q538" i="10"/>
  <c r="Y538" i="10" l="1"/>
  <c r="Q539" i="10"/>
  <c r="AC538" i="10"/>
  <c r="U538" i="10"/>
  <c r="Y539" i="10" l="1"/>
  <c r="Q540" i="10"/>
  <c r="U539" i="10"/>
  <c r="AC539" i="10"/>
  <c r="Q541" i="10" l="1"/>
  <c r="AC540" i="10"/>
  <c r="Y540" i="10"/>
  <c r="U540" i="10"/>
  <c r="Y541" i="10" l="1"/>
  <c r="Q542" i="10"/>
  <c r="U541" i="10"/>
  <c r="AC541" i="10"/>
  <c r="Q543" i="10" l="1"/>
  <c r="Y542" i="10"/>
  <c r="AC542" i="10"/>
  <c r="U542" i="10"/>
  <c r="Q544" i="10" l="1"/>
  <c r="Y543" i="10"/>
  <c r="U543" i="10"/>
  <c r="AC543" i="10"/>
  <c r="Y544" i="10" l="1"/>
  <c r="U544" i="10"/>
  <c r="Q545" i="10"/>
  <c r="AC544" i="10"/>
  <c r="AC545" i="10" l="1"/>
  <c r="U545" i="10"/>
  <c r="Y545" i="10"/>
  <c r="Q546" i="10"/>
  <c r="U546" i="10" l="1"/>
  <c r="AC546" i="10"/>
  <c r="Y546" i="10"/>
  <c r="Q547" i="10"/>
  <c r="Q548" i="10" l="1"/>
  <c r="U547" i="10"/>
  <c r="AC547" i="10"/>
  <c r="Y547" i="10"/>
  <c r="Q549" i="10" l="1"/>
  <c r="Y548" i="10"/>
  <c r="U548" i="10"/>
  <c r="AC548" i="10"/>
  <c r="Y549" i="10" l="1"/>
  <c r="Q550" i="10"/>
  <c r="U549" i="10"/>
  <c r="AC549" i="10"/>
  <c r="AC550" i="10" l="1"/>
  <c r="Q551" i="10"/>
  <c r="Y550" i="10"/>
  <c r="U550" i="10"/>
  <c r="U551" i="10" l="1"/>
  <c r="Y551" i="10"/>
  <c r="AC551" i="10"/>
  <c r="Q552" i="10"/>
  <c r="AC552" i="10" l="1"/>
  <c r="U552" i="10"/>
  <c r="Y552" i="10"/>
  <c r="Q553" i="10"/>
  <c r="AC553" i="10" l="1"/>
  <c r="U553" i="10"/>
  <c r="Y553" i="10"/>
  <c r="Q554" i="10"/>
  <c r="Y554" i="10" l="1"/>
  <c r="AC554" i="10"/>
  <c r="U554" i="10"/>
  <c r="Q555" i="10"/>
  <c r="Q556" i="10" l="1"/>
  <c r="AC555" i="10"/>
  <c r="U555" i="10"/>
  <c r="Y555" i="10"/>
  <c r="Q557" i="10" l="1"/>
  <c r="Y556" i="10"/>
  <c r="U556" i="10"/>
  <c r="AC556" i="10"/>
  <c r="Y557" i="10" l="1"/>
  <c r="U557" i="10"/>
  <c r="Q558" i="10"/>
  <c r="AC557" i="10"/>
  <c r="Q559" i="10" l="1"/>
  <c r="Y558" i="10"/>
  <c r="AC558" i="10"/>
  <c r="U558" i="10"/>
  <c r="Y559" i="10" l="1"/>
  <c r="U559" i="10"/>
  <c r="Q560" i="10"/>
  <c r="AC559" i="10"/>
  <c r="AC560" i="10" l="1"/>
  <c r="U560" i="10"/>
  <c r="Q561" i="10"/>
  <c r="Y560" i="10"/>
  <c r="AC561" i="10" l="1"/>
  <c r="U561" i="10"/>
  <c r="Y561" i="10"/>
  <c r="Q562" i="10"/>
  <c r="AC562" i="10" l="1"/>
  <c r="Y562" i="10"/>
  <c r="Q563" i="10"/>
  <c r="U562" i="10"/>
  <c r="Q564" i="10" l="1"/>
  <c r="AC563" i="10"/>
  <c r="U563" i="10"/>
  <c r="Y563" i="10"/>
  <c r="Q565" i="10" l="1"/>
  <c r="Y564" i="10"/>
  <c r="U564" i="10"/>
  <c r="AC564" i="10"/>
  <c r="Y565" i="10" l="1"/>
  <c r="Q566" i="10"/>
  <c r="U565" i="10"/>
  <c r="AC565" i="10"/>
  <c r="AC566" i="10" l="1"/>
  <c r="Q567" i="10"/>
  <c r="U566" i="10"/>
  <c r="Y566" i="10"/>
  <c r="U567" i="10" l="1"/>
  <c r="Y567" i="10"/>
  <c r="AC567" i="10"/>
  <c r="Q568" i="10"/>
  <c r="AC568" i="10" l="1"/>
  <c r="U568" i="10"/>
  <c r="Y568" i="10"/>
  <c r="Q569" i="10"/>
  <c r="AC569" i="10" l="1"/>
  <c r="U569" i="10"/>
  <c r="Y569" i="10"/>
  <c r="Q570" i="10"/>
  <c r="Q571" i="10" l="1"/>
  <c r="U570" i="10"/>
  <c r="Y570" i="10"/>
  <c r="AC570" i="10"/>
  <c r="Q572" i="10" l="1"/>
  <c r="AC571" i="10"/>
  <c r="U571" i="10"/>
  <c r="Y571" i="10"/>
  <c r="Q573" i="10" l="1"/>
  <c r="Y572" i="10"/>
  <c r="U572" i="10"/>
  <c r="AC572" i="10"/>
  <c r="Y573" i="10" l="1"/>
  <c r="U573" i="10"/>
  <c r="Q574" i="10"/>
  <c r="AC573" i="10"/>
  <c r="Q575" i="10" l="1"/>
  <c r="Y574" i="10"/>
  <c r="AC574" i="10"/>
  <c r="U574" i="10"/>
  <c r="U575" i="10" l="1"/>
  <c r="Q576" i="10"/>
  <c r="AC575" i="10"/>
  <c r="Y575" i="10"/>
  <c r="AC576" i="10" l="1"/>
  <c r="U576" i="10"/>
  <c r="Y576" i="10"/>
  <c r="Q577" i="10"/>
  <c r="AC577" i="10" l="1"/>
  <c r="U577" i="10"/>
  <c r="Y577" i="10"/>
  <c r="Q578" i="10"/>
  <c r="AC578" i="10" l="1"/>
  <c r="Q579" i="10"/>
  <c r="Y578" i="10"/>
  <c r="U578" i="10"/>
  <c r="Q580" i="10" l="1"/>
  <c r="AC579" i="10"/>
  <c r="U579" i="10"/>
  <c r="Y579" i="10"/>
  <c r="Q581" i="10" l="1"/>
  <c r="Y580" i="10"/>
  <c r="U580" i="10"/>
  <c r="AC580" i="10"/>
  <c r="Y581" i="10" l="1"/>
  <c r="U581" i="10"/>
  <c r="Q582" i="10"/>
  <c r="AC581" i="10"/>
  <c r="AC582" i="10" l="1"/>
  <c r="Y582" i="10"/>
  <c r="Q583" i="10"/>
  <c r="U582" i="10"/>
  <c r="Q584" i="10" l="1"/>
  <c r="Y583" i="10"/>
  <c r="U583" i="10"/>
  <c r="AC583" i="10"/>
  <c r="Q585" i="10" l="1"/>
  <c r="Y584" i="10"/>
  <c r="AC584" i="10"/>
  <c r="U584" i="10"/>
  <c r="Q586" i="10" l="1"/>
  <c r="Y585" i="10"/>
  <c r="U585" i="10"/>
  <c r="AC585" i="10"/>
  <c r="Y586" i="10" l="1"/>
  <c r="AC586" i="10"/>
  <c r="Q587" i="10"/>
  <c r="U586" i="10"/>
  <c r="U587" i="10" l="1"/>
  <c r="AC587" i="10"/>
  <c r="Y587" i="10"/>
  <c r="Q588" i="10"/>
  <c r="Y588" i="10" l="1"/>
  <c r="AC588" i="10"/>
  <c r="Q589" i="10"/>
  <c r="U588" i="10"/>
  <c r="AC589" i="10" l="1"/>
  <c r="Q590" i="10"/>
  <c r="U589" i="10"/>
  <c r="Y589" i="10"/>
  <c r="AC590" i="10" l="1"/>
  <c r="U590" i="10"/>
  <c r="Y590" i="10"/>
  <c r="Q591" i="10"/>
  <c r="U591" i="10" l="1"/>
  <c r="AC591" i="10"/>
  <c r="Y591" i="10"/>
  <c r="Q592" i="10"/>
  <c r="Y592" i="10" l="1"/>
  <c r="U592" i="10"/>
  <c r="AC592" i="10"/>
  <c r="Q593" i="10"/>
  <c r="Q594" i="10" l="1"/>
  <c r="AC593" i="10"/>
  <c r="Y593" i="10"/>
  <c r="U593" i="10"/>
  <c r="Y594" i="10" l="1"/>
  <c r="Q595" i="10"/>
  <c r="AC594" i="10"/>
  <c r="U594" i="10"/>
  <c r="Q596" i="10" l="1"/>
  <c r="Y595" i="10"/>
  <c r="AC595" i="10"/>
  <c r="U595" i="10"/>
  <c r="Q597" i="10" l="1"/>
  <c r="Y596" i="10"/>
  <c r="U596" i="10"/>
  <c r="AC596" i="10"/>
  <c r="Q598" i="10" l="1"/>
  <c r="Y597" i="10"/>
  <c r="AC597" i="10"/>
  <c r="U597" i="10"/>
  <c r="AC598" i="10" l="1"/>
  <c r="U598" i="10"/>
  <c r="Y598" i="10"/>
  <c r="Q599" i="10"/>
  <c r="Q600" i="10" l="1"/>
  <c r="U599" i="10"/>
  <c r="Y599" i="10"/>
  <c r="AC599" i="10"/>
  <c r="Y600" i="10" l="1"/>
  <c r="Q601" i="10"/>
  <c r="AC600" i="10"/>
  <c r="U600" i="10"/>
  <c r="Q602" i="10" l="1"/>
  <c r="Y601" i="10"/>
  <c r="U601" i="10"/>
  <c r="AC601" i="10"/>
  <c r="Y602" i="10" l="1"/>
  <c r="AC602" i="10"/>
  <c r="U602" i="10"/>
  <c r="Q603" i="10"/>
  <c r="U603" i="10" l="1"/>
  <c r="Y603" i="10"/>
  <c r="Q604" i="10"/>
  <c r="AC603" i="10"/>
  <c r="Q605" i="10" l="1"/>
  <c r="AC604" i="10"/>
  <c r="U604" i="10"/>
  <c r="Y604" i="10"/>
  <c r="Y605" i="10" l="1"/>
  <c r="U605" i="10"/>
  <c r="Q606" i="10"/>
  <c r="AC605" i="10"/>
  <c r="AC606" i="10" l="1"/>
  <c r="U606" i="10"/>
  <c r="Y606" i="10"/>
  <c r="Q607" i="10"/>
  <c r="Q608" i="10" l="1"/>
  <c r="Y607" i="10"/>
  <c r="AC607" i="10"/>
  <c r="U607" i="10"/>
  <c r="Y608" i="10" l="1"/>
  <c r="Q609" i="10"/>
  <c r="AC608" i="10"/>
  <c r="U608" i="10"/>
  <c r="AC609" i="10" l="1"/>
  <c r="U609" i="10"/>
  <c r="Q610" i="10"/>
  <c r="Y609" i="10"/>
  <c r="Y610" i="10" l="1"/>
  <c r="Q611" i="10"/>
  <c r="AC610" i="10"/>
  <c r="U610" i="10"/>
  <c r="Y611" i="10" l="1"/>
  <c r="Q612" i="10"/>
  <c r="AC611" i="10"/>
  <c r="U611" i="10"/>
  <c r="Q613" i="10" l="1"/>
  <c r="AC612" i="10"/>
  <c r="Y612" i="10"/>
  <c r="U612" i="10"/>
  <c r="Y613" i="10" l="1"/>
  <c r="U613" i="10"/>
  <c r="Q614" i="10"/>
  <c r="AC613" i="10"/>
  <c r="AC614" i="10" l="1"/>
  <c r="U614" i="10"/>
  <c r="Q615" i="10"/>
  <c r="Y614" i="10"/>
  <c r="AC615" i="10" l="1"/>
  <c r="Q616" i="10"/>
  <c r="U615" i="10"/>
  <c r="Y615" i="10"/>
  <c r="Q617" i="10" l="1"/>
  <c r="U616" i="10"/>
  <c r="AC616" i="10"/>
  <c r="Y616" i="10"/>
  <c r="AC617" i="10" l="1"/>
  <c r="U617" i="10"/>
  <c r="Q618" i="10"/>
  <c r="Y617" i="10"/>
  <c r="AC618" i="10" l="1"/>
  <c r="U618" i="10"/>
  <c r="Y618" i="10"/>
  <c r="Q619" i="10"/>
  <c r="Y619" i="10" l="1"/>
  <c r="U619" i="10"/>
  <c r="Q620" i="10"/>
  <c r="AC619" i="10"/>
  <c r="Q621" i="10" l="1"/>
  <c r="Y620" i="10"/>
  <c r="AC620" i="10"/>
  <c r="U620" i="10"/>
  <c r="Q622" i="10" l="1"/>
  <c r="Y621" i="10"/>
  <c r="AC621" i="10"/>
  <c r="U621" i="10"/>
  <c r="Y622" i="10" l="1"/>
  <c r="AC622" i="10"/>
  <c r="U622" i="10"/>
  <c r="Q623" i="10"/>
  <c r="Y623" i="10" l="1"/>
  <c r="Q624" i="10"/>
  <c r="U623" i="10"/>
  <c r="AC623" i="10"/>
  <c r="U624" i="10" l="1"/>
  <c r="AC624" i="10"/>
  <c r="Y624" i="10"/>
  <c r="Q625" i="10"/>
  <c r="AC625" i="10" l="1"/>
  <c r="U625" i="10"/>
  <c r="Q626" i="10"/>
  <c r="Y625" i="10"/>
  <c r="AC626" i="10" l="1"/>
  <c r="U626" i="10"/>
  <c r="Y626" i="10"/>
  <c r="Q627" i="10"/>
  <c r="U627" i="10" l="1"/>
  <c r="AC627" i="10"/>
  <c r="Y627" i="10"/>
  <c r="Q628" i="10"/>
  <c r="Q629" i="10" l="1"/>
  <c r="Y628" i="10"/>
  <c r="AC628" i="10"/>
  <c r="U628" i="10"/>
  <c r="Q630" i="10" l="1"/>
  <c r="Y629" i="10"/>
  <c r="U629" i="10"/>
  <c r="AC629" i="10"/>
  <c r="Y630" i="10" l="1"/>
  <c r="AC630" i="10"/>
  <c r="U630" i="10"/>
  <c r="Q631" i="10"/>
  <c r="Y631" i="10" l="1"/>
  <c r="U631" i="10"/>
  <c r="Q632" i="10"/>
  <c r="AC631" i="10"/>
  <c r="Y632" i="10" l="1"/>
  <c r="AC632" i="10"/>
  <c r="Q633" i="10"/>
  <c r="U632" i="10"/>
  <c r="AC633" i="10" l="1"/>
  <c r="U633" i="10"/>
  <c r="Q634" i="10"/>
  <c r="Y633" i="10"/>
  <c r="AC634" i="10" l="1"/>
  <c r="U634" i="10"/>
  <c r="Y634" i="10"/>
  <c r="Q635" i="10"/>
  <c r="Y635" i="10" l="1"/>
  <c r="U635" i="10"/>
  <c r="AC635" i="10"/>
  <c r="Q636" i="10"/>
  <c r="Q637" i="10" l="1"/>
  <c r="Y636" i="10"/>
  <c r="U636" i="10"/>
  <c r="AC636" i="10"/>
  <c r="Q638" i="10" l="1"/>
  <c r="Y637" i="10"/>
  <c r="U637" i="10"/>
  <c r="AC637" i="10"/>
  <c r="Y638" i="10" l="1"/>
  <c r="AC638" i="10"/>
  <c r="U638" i="10"/>
  <c r="Q639" i="10"/>
  <c r="U639" i="10" l="1"/>
  <c r="Y639" i="10"/>
  <c r="Q640" i="10"/>
  <c r="AC639" i="10"/>
  <c r="Y640" i="10" l="1"/>
  <c r="Q641" i="10"/>
  <c r="U640" i="10"/>
  <c r="AC640" i="10"/>
  <c r="AC641" i="10" l="1"/>
  <c r="U641" i="10"/>
  <c r="Q642" i="10"/>
  <c r="Y641" i="10"/>
  <c r="AC642" i="10" l="1"/>
  <c r="U642" i="10"/>
  <c r="Y642" i="10"/>
  <c r="Q643" i="10"/>
  <c r="Q644" i="10" l="1"/>
  <c r="U643" i="10"/>
  <c r="AC643" i="10"/>
  <c r="Y643" i="10"/>
  <c r="Q645" i="10" l="1"/>
  <c r="AC644" i="10"/>
  <c r="U644" i="10"/>
  <c r="Y644" i="10"/>
  <c r="Q646" i="10" l="1"/>
  <c r="Y645" i="10"/>
  <c r="U645" i="10"/>
  <c r="AC645" i="10"/>
  <c r="Y646" i="10" l="1"/>
  <c r="AC646" i="10"/>
  <c r="U646" i="10"/>
  <c r="Q647" i="10"/>
  <c r="Q648" i="10" l="1"/>
  <c r="Y647" i="10"/>
  <c r="U647" i="10"/>
  <c r="AC647" i="10"/>
  <c r="Y648" i="10" l="1"/>
  <c r="AC648" i="10"/>
  <c r="Q649" i="10"/>
  <c r="U648" i="10"/>
  <c r="AC649" i="10" l="1"/>
  <c r="U649" i="10"/>
  <c r="Q650" i="10"/>
  <c r="Y649" i="10"/>
  <c r="AC650" i="10" l="1"/>
  <c r="U650" i="10"/>
  <c r="Q651" i="10"/>
  <c r="Y650" i="10"/>
  <c r="AC651" i="10" l="1"/>
  <c r="Q652" i="10"/>
  <c r="U651" i="10"/>
  <c r="Y651" i="10"/>
  <c r="Q653" i="10" l="1"/>
  <c r="AC652" i="10"/>
  <c r="U652" i="10"/>
  <c r="Y652" i="10"/>
  <c r="Q654" i="10" l="1"/>
  <c r="Y653" i="10"/>
  <c r="AC653" i="10"/>
  <c r="U653" i="10"/>
  <c r="Y654" i="10" l="1"/>
  <c r="Q655" i="10"/>
  <c r="U654" i="10"/>
  <c r="AC654" i="10"/>
  <c r="Q656" i="10" l="1"/>
  <c r="U655" i="10"/>
  <c r="AC655" i="10"/>
  <c r="Y655" i="10"/>
  <c r="Y656" i="10" l="1"/>
  <c r="U656" i="10"/>
  <c r="Q657" i="10"/>
  <c r="AC656" i="10"/>
  <c r="AC657" i="10" l="1"/>
  <c r="U657" i="10"/>
  <c r="Y657" i="10"/>
  <c r="Q658" i="10"/>
  <c r="AC658" i="10" l="1"/>
  <c r="U658" i="10"/>
  <c r="Y658" i="10"/>
  <c r="Q659" i="10"/>
  <c r="AC659" i="10" l="1"/>
  <c r="Y659" i="10"/>
  <c r="Q660" i="10"/>
  <c r="U659" i="10"/>
  <c r="Q661" i="10" l="1"/>
  <c r="AC660" i="10"/>
  <c r="U660" i="10"/>
  <c r="Y660" i="10"/>
  <c r="Q662" i="10" l="1"/>
  <c r="Y661" i="10"/>
  <c r="AC661" i="10"/>
  <c r="U661" i="10"/>
  <c r="Y662" i="10" l="1"/>
  <c r="Q663" i="10"/>
  <c r="AC662" i="10"/>
  <c r="U662" i="10"/>
  <c r="Q664" i="10" l="1"/>
  <c r="AC663" i="10"/>
  <c r="Y663" i="10"/>
  <c r="U663" i="10"/>
  <c r="Y664" i="10" l="1"/>
  <c r="U664" i="10"/>
  <c r="AC664" i="10"/>
  <c r="Q665" i="10"/>
  <c r="AC665" i="10" l="1"/>
  <c r="U665" i="10"/>
  <c r="Y665" i="10"/>
  <c r="Q666" i="10"/>
  <c r="AC666" i="10" l="1"/>
  <c r="U666" i="10"/>
  <c r="Y666" i="10"/>
  <c r="Q667" i="10"/>
  <c r="Q668" i="10" l="1"/>
  <c r="U667" i="10"/>
  <c r="AC667" i="10"/>
  <c r="Y667" i="10"/>
  <c r="Q669" i="10" l="1"/>
  <c r="AC668" i="10"/>
  <c r="U668" i="10"/>
  <c r="Y668" i="10"/>
  <c r="Q670" i="10" l="1"/>
  <c r="Y669" i="10"/>
  <c r="U669" i="10"/>
  <c r="AC669" i="10"/>
  <c r="Y670" i="10" l="1"/>
  <c r="AC670" i="10"/>
  <c r="Q671" i="10"/>
  <c r="U670" i="10"/>
  <c r="Q672" i="10" l="1"/>
  <c r="U671" i="10"/>
  <c r="AC671" i="10"/>
  <c r="Y671" i="10"/>
  <c r="Y672" i="10" l="1"/>
  <c r="U672" i="10"/>
  <c r="AC672" i="10"/>
  <c r="Q673" i="10"/>
  <c r="AC673" i="10" l="1"/>
  <c r="U673" i="10"/>
  <c r="Y673" i="10"/>
  <c r="Q674" i="10"/>
  <c r="AC674" i="10" l="1"/>
  <c r="U674" i="10"/>
  <c r="Y674" i="10"/>
  <c r="Q675" i="10"/>
  <c r="Y675" i="10" l="1"/>
  <c r="Q676" i="10"/>
  <c r="U675" i="10"/>
  <c r="AC675" i="10"/>
  <c r="Q677" i="10" l="1"/>
  <c r="AC676" i="10"/>
  <c r="U676" i="10"/>
  <c r="Y676" i="10"/>
  <c r="Q678" i="10" l="1"/>
  <c r="Y677" i="10"/>
  <c r="U677" i="10"/>
  <c r="AC677" i="10"/>
  <c r="Y678" i="10" l="1"/>
  <c r="AC678" i="10"/>
  <c r="U678" i="10"/>
  <c r="Q679" i="10"/>
  <c r="Q680" i="10" l="1"/>
  <c r="Y679" i="10"/>
  <c r="U679" i="10"/>
  <c r="AC679" i="10"/>
  <c r="Y680" i="10" l="1"/>
  <c r="AC680" i="10"/>
  <c r="U680" i="10"/>
  <c r="Q681" i="10"/>
  <c r="AC681" i="10" l="1"/>
  <c r="U681" i="10"/>
  <c r="Y681" i="10"/>
  <c r="Q682" i="10"/>
  <c r="AC682" i="10" l="1"/>
  <c r="U682" i="10"/>
  <c r="Q683" i="10"/>
  <c r="Y682" i="10"/>
  <c r="AC683" i="10" l="1"/>
  <c r="Y683" i="10"/>
  <c r="Q684" i="10"/>
  <c r="U683" i="10"/>
  <c r="Q685" i="10" l="1"/>
  <c r="AC684" i="10"/>
  <c r="U684" i="10"/>
  <c r="Y684" i="10"/>
  <c r="Q686" i="10" l="1"/>
  <c r="Y685" i="10"/>
  <c r="AC685" i="10"/>
  <c r="U685" i="10"/>
  <c r="Y686" i="10" l="1"/>
  <c r="AC686" i="10"/>
  <c r="U686" i="10"/>
  <c r="Q687" i="10"/>
  <c r="Q688" i="10" l="1"/>
  <c r="Y687" i="10"/>
  <c r="U687" i="10"/>
  <c r="AC687" i="10"/>
  <c r="Y688" i="10" l="1"/>
  <c r="Q689" i="10"/>
  <c r="AC688" i="10"/>
  <c r="U688" i="10"/>
  <c r="AC689" i="10" l="1"/>
  <c r="U689" i="10"/>
  <c r="Q690" i="10"/>
  <c r="Y689" i="10"/>
  <c r="AC690" i="10" l="1"/>
  <c r="U690" i="10"/>
  <c r="Y690" i="10"/>
  <c r="Q691" i="10"/>
  <c r="AC691" i="10" l="1"/>
  <c r="U691" i="10"/>
  <c r="Q692" i="10"/>
  <c r="Y691" i="10"/>
  <c r="Q693" i="10" l="1"/>
  <c r="AC692" i="10"/>
  <c r="U692" i="10"/>
  <c r="Y692" i="10"/>
  <c r="Q694" i="10" l="1"/>
  <c r="Y693" i="10"/>
  <c r="AC693" i="10"/>
  <c r="U693" i="10"/>
  <c r="Y694" i="10" l="1"/>
  <c r="AC694" i="10"/>
  <c r="U694" i="10"/>
  <c r="Q695" i="10"/>
  <c r="Q696" i="10" l="1"/>
  <c r="Y695" i="10"/>
  <c r="AC695" i="10"/>
  <c r="U695" i="10"/>
  <c r="AC696" i="10" l="1"/>
  <c r="U696" i="10"/>
  <c r="Y696" i="10"/>
  <c r="Q697" i="10"/>
  <c r="AC697" i="10" l="1"/>
  <c r="U697" i="10"/>
  <c r="Q698" i="10"/>
  <c r="Y697" i="10"/>
  <c r="AC698" i="10" l="1"/>
  <c r="U698" i="10"/>
  <c r="Q699" i="10"/>
  <c r="Y698" i="10"/>
  <c r="Q700" i="10" l="1"/>
  <c r="Y699" i="10"/>
  <c r="AC699" i="10"/>
  <c r="U699" i="10"/>
  <c r="Q701" i="10" l="1"/>
  <c r="Y700" i="10"/>
  <c r="AC700" i="10"/>
  <c r="U700" i="10"/>
  <c r="Y701" i="10" l="1"/>
  <c r="AC701" i="10"/>
  <c r="U701" i="10"/>
  <c r="G11" i="10" l="1"/>
  <c r="C11" i="10"/>
  <c r="F11" i="10"/>
  <c r="G13" i="10"/>
  <c r="F13" i="10"/>
  <c r="K31" i="1" s="1"/>
  <c r="C13" i="10"/>
  <c r="G12" i="10"/>
  <c r="F12" i="10"/>
  <c r="C12" i="10"/>
  <c r="H13" i="10" l="1"/>
  <c r="O232" i="2"/>
  <c r="I31" i="1"/>
  <c r="D12" i="10"/>
  <c r="E12" i="10" s="1"/>
  <c r="Q231" i="2" s="1"/>
  <c r="D13" i="10"/>
  <c r="E13" i="10" s="1"/>
  <c r="H11" i="10"/>
  <c r="O230" i="2"/>
  <c r="H12" i="10"/>
  <c r="O231" i="2"/>
  <c r="B25" i="13"/>
  <c r="D25" i="13" s="1"/>
  <c r="B4" i="13" s="1"/>
  <c r="B2" i="1" s="1"/>
  <c r="D11" i="10"/>
  <c r="E11" i="10" s="1"/>
  <c r="Q230" i="2" s="1"/>
  <c r="Q232" i="2" l="1"/>
  <c r="J31" i="1"/>
</calcChain>
</file>

<file path=xl/sharedStrings.xml><?xml version="1.0" encoding="utf-8"?>
<sst xmlns="http://schemas.openxmlformats.org/spreadsheetml/2006/main" count="1357" uniqueCount="668">
  <si>
    <t>EPPIB Strategic Investment Plan</t>
  </si>
  <si>
    <t>Model status</t>
  </si>
  <si>
    <t>Method</t>
  </si>
  <si>
    <t>1. Strategic asset allocation</t>
  </si>
  <si>
    <t>2. Brief compliance</t>
  </si>
  <si>
    <t>Asset class</t>
  </si>
  <si>
    <t>Current</t>
  </si>
  <si>
    <t>Benchmark</t>
  </si>
  <si>
    <t>Recommended</t>
  </si>
  <si>
    <t>Change vs current</t>
  </si>
  <si>
    <t>Trade (A$m)</t>
  </si>
  <si>
    <t>Requirement</t>
  </si>
  <si>
    <t>Limit</t>
  </si>
  <si>
    <t>Status</t>
  </si>
  <si>
    <t>Australian Equities</t>
  </si>
  <si>
    <t>(a) Return: bond yield + 4%</t>
  </si>
  <si>
    <t>World Equities</t>
  </si>
  <si>
    <t>(b) Risk no higher than current fund</t>
  </si>
  <si>
    <t>Emerging Markets</t>
  </si>
  <si>
    <t>(c) 5-year loss probability, bootstrap</t>
  </si>
  <si>
    <t>Listed Property</t>
  </si>
  <si>
    <t>(c) 5-year loss probability, normal</t>
  </si>
  <si>
    <t>Commodities</t>
  </si>
  <si>
    <t>(d) Tracking error, parametric</t>
  </si>
  <si>
    <t>Direct Property</t>
  </si>
  <si>
    <t>(d) Tracking error, bootstrap</t>
  </si>
  <si>
    <t>Hedge Funds</t>
  </si>
  <si>
    <t>(e) Equity minimum</t>
  </si>
  <si>
    <t>Private Equity</t>
  </si>
  <si>
    <t>(e) Equity maximum</t>
  </si>
  <si>
    <t>Australian Fixed Income</t>
  </si>
  <si>
    <t>(e) Illiquid maximum</t>
  </si>
  <si>
    <t>World Fixed Income</t>
  </si>
  <si>
    <t>(e) Cash minimum</t>
  </si>
  <si>
    <t>Cash</t>
  </si>
  <si>
    <t>(e) No short sales or borrowing</t>
  </si>
  <si>
    <t>Total</t>
  </si>
  <si>
    <t>One-way turnover</t>
  </si>
  <si>
    <t>Change in fees (A$m p.a.)</t>
  </si>
  <si>
    <t>3. Expected outcomes (net of fees)</t>
  </si>
  <si>
    <t>4. Stress tests (portfolio return)</t>
  </si>
  <si>
    <t>Metric</t>
  </si>
  <si>
    <t>Scenario</t>
  </si>
  <si>
    <t>Expected return (p.a.)</t>
  </si>
  <si>
    <t>Global financial crisis</t>
  </si>
  <si>
    <t>Volatility (p.a.)</t>
  </si>
  <si>
    <t>COVID shock</t>
  </si>
  <si>
    <t>Tracking error, parametric</t>
  </si>
  <si>
    <t>Inflation sell-off (2022)</t>
  </si>
  <si>
    <t>Tracking error, bootstrap</t>
  </si>
  <si>
    <t>US$150 oil (central case)</t>
  </si>
  <si>
    <t>5-year loss probability, bootstrap</t>
  </si>
  <si>
    <t>Median 5-year cumulative return</t>
  </si>
  <si>
    <t>5. Oil: 5-year regression on oil (log) change</t>
  </si>
  <si>
    <t>Management fee (p.a.)</t>
  </si>
  <si>
    <t>Series</t>
  </si>
  <si>
    <t>Beta</t>
  </si>
  <si>
    <t>t-stat (adj.)</t>
  </si>
  <si>
    <t>R-squared</t>
  </si>
  <si>
    <t>US equities</t>
  </si>
  <si>
    <t>Australian equities</t>
  </si>
  <si>
    <t>AU 3-month rate (pp)</t>
  </si>
  <si>
    <t>Likelihood: 12-month rise of this size</t>
  </si>
  <si>
    <t>6. Out-of-sample (2016-26) and sensitivity</t>
  </si>
  <si>
    <t>Measure</t>
  </si>
  <si>
    <t>Robust</t>
  </si>
  <si>
    <t>Naive MVO</t>
  </si>
  <si>
    <t>Realised return, annualised</t>
  </si>
  <si>
    <t>Realised volatility</t>
  </si>
  <si>
    <t>Return per unit of risk</t>
  </si>
  <si>
    <t>Max weight move (sensitivity)</t>
  </si>
  <si>
    <t>7. Track record: rolling 5-year windows since 2011</t>
  </si>
  <si>
    <t>Met return target</t>
  </si>
  <si>
    <t>Negative 5-year return</t>
  </si>
  <si>
    <t>Average realised TE</t>
  </si>
  <si>
    <t>8. Methods and forecast risk</t>
  </si>
  <si>
    <t>Value</t>
  </si>
  <si>
    <t>Methods meeting every brief constraint</t>
  </si>
  <si>
    <t>Robust vs resampled: largest weight gap</t>
  </si>
  <si>
    <t>Return cost of the TE limit</t>
  </si>
  <si>
    <t>Smallest forecast error that removes advantage</t>
  </si>
  <si>
    <t>Report figures</t>
  </si>
  <si>
    <t>Figure index</t>
  </si>
  <si>
    <t>Figure</t>
  </si>
  <si>
    <t>Title</t>
  </si>
  <si>
    <t>Source tab</t>
  </si>
  <si>
    <t>Figure 1</t>
  </si>
  <si>
    <t>Risk-return opportunity set</t>
  </si>
  <si>
    <t>Validation, Methods</t>
  </si>
  <si>
    <t>Figure 2</t>
  </si>
  <si>
    <t>Strategic asset allocation</t>
  </si>
  <si>
    <t>Portfolio</t>
  </si>
  <si>
    <t>Figure 3</t>
  </si>
  <si>
    <t>Fund performance since 2006</t>
  </si>
  <si>
    <t>Quarterly returns, RBA 5Y yield</t>
  </si>
  <si>
    <t>Figure 4</t>
  </si>
  <si>
    <t>Annualised returns to March 2026</t>
  </si>
  <si>
    <t>Track record</t>
  </si>
  <si>
    <t>Figure 5</t>
  </si>
  <si>
    <t>Stress tests</t>
  </si>
  <si>
    <t>Stress</t>
  </si>
  <si>
    <t>Figure 6</t>
  </si>
  <si>
    <t>Five-year outcomes (forecast-adjusted bootstrap)</t>
  </si>
  <si>
    <t>Bootstrap</t>
  </si>
  <si>
    <t>Figure 7</t>
  </si>
  <si>
    <t>How far the return target is out of reach</t>
  </si>
  <si>
    <t>Figure 8</t>
  </si>
  <si>
    <t>US$150 oil: estimates by method</t>
  </si>
  <si>
    <t>Oil</t>
  </si>
  <si>
    <t>Figure 9</t>
  </si>
  <si>
    <t>Oil and equity returns by horizon</t>
  </si>
  <si>
    <t>Figure 10</t>
  </si>
  <si>
    <t>Rolling 5-year return against the target</t>
  </si>
  <si>
    <t>Figure 11</t>
  </si>
  <si>
    <t>Portfolio construction methods</t>
  </si>
  <si>
    <t>Methods</t>
  </si>
  <si>
    <t>Figure 12</t>
  </si>
  <si>
    <t>Expected returns against 20-year history</t>
  </si>
  <si>
    <t>Forecast</t>
  </si>
  <si>
    <t>Figure 13</t>
  </si>
  <si>
    <t>Forecast stress test</t>
  </si>
  <si>
    <t>Validation</t>
  </si>
  <si>
    <t>Figure 1. Risk-return opportunity set</t>
  </si>
  <si>
    <t>Chart data, figure 1</t>
  </si>
  <si>
    <t>Point</t>
  </si>
  <si>
    <t>Vol (no TE limit)</t>
  </si>
  <si>
    <t>Return (no TE limit)</t>
  </si>
  <si>
    <t>Vol (TE limit)</t>
  </si>
  <si>
    <t>Return (TE limit)</t>
  </si>
  <si>
    <t>Point 1</t>
  </si>
  <si>
    <t>Point 2</t>
  </si>
  <si>
    <t>Point 3</t>
  </si>
  <si>
    <t>Point 4</t>
  </si>
  <si>
    <t>Point 5</t>
  </si>
  <si>
    <t>Point 6</t>
  </si>
  <si>
    <t>Point 7</t>
  </si>
  <si>
    <t>Point 8</t>
  </si>
  <si>
    <t>Point 9</t>
  </si>
  <si>
    <t>Point 10</t>
  </si>
  <si>
    <t>Volatility</t>
  </si>
  <si>
    <t>Expected return</t>
  </si>
  <si>
    <t>Current fund</t>
  </si>
  <si>
    <t>Sample MVO</t>
  </si>
  <si>
    <t>Resampled MVO</t>
  </si>
  <si>
    <t>Minimum variance</t>
  </si>
  <si>
    <t>Risk parity</t>
  </si>
  <si>
    <t>Figure 2. Strategic asset allocation</t>
  </si>
  <si>
    <t>Chart data, figure 2</t>
  </si>
  <si>
    <t>Figure 3. Fund performance since 2006</t>
  </si>
  <si>
    <t>Chart data, figure 3</t>
  </si>
  <si>
    <t>Quarter end</t>
  </si>
  <si>
    <t>Target: yield + 4%</t>
  </si>
  <si>
    <t>Figure 4. Annualised returns to March 2026</t>
  </si>
  <si>
    <t>Chart data, figure 4</t>
  </si>
  <si>
    <t>Horizon</t>
  </si>
  <si>
    <t>5 years</t>
  </si>
  <si>
    <t>10 years</t>
  </si>
  <si>
    <t>15 years</t>
  </si>
  <si>
    <t>20 years</t>
  </si>
  <si>
    <t>Figure 5. Stress tests</t>
  </si>
  <si>
    <t>Chart data, figure 5</t>
  </si>
  <si>
    <t>GFC 2007-09</t>
  </si>
  <si>
    <t>COVID 2020</t>
  </si>
  <si>
    <t>Inflation 2022</t>
  </si>
  <si>
    <t>US$150 oil</t>
  </si>
  <si>
    <t>Figure 6. Five-year outcomes (forecast-adjusted bootstrap)</t>
  </si>
  <si>
    <t>Chart data, figure 6</t>
  </si>
  <si>
    <t>5-year return</t>
  </si>
  <si>
    <t>Bin from</t>
  </si>
  <si>
    <t>Bin to</t>
  </si>
  <si>
    <t>Figure 7. How far the return target is out of reach</t>
  </si>
  <si>
    <t>Chart data, figure 7</t>
  </si>
  <si>
    <t>Setting</t>
  </si>
  <si>
    <t>Return target</t>
  </si>
  <si>
    <t>Figure 8. US$150 oil: estimates by method</t>
  </si>
  <si>
    <t>Chart data, figure 8</t>
  </si>
  <si>
    <t>Estimate</t>
  </si>
  <si>
    <t>1990 Gulf War, scaled</t>
  </si>
  <si>
    <t>2022 Ukraine, scaled</t>
  </si>
  <si>
    <t>Central case</t>
  </si>
  <si>
    <t>Central case + commodity tilt</t>
  </si>
  <si>
    <t>Figure 9. Oil and equity returns by horizon</t>
  </si>
  <si>
    <t>Chart data, figure 9</t>
  </si>
  <si>
    <t>US t-stat (adj.)</t>
  </si>
  <si>
    <t>Aus t-stat (adj.)</t>
  </si>
  <si>
    <t>1 month</t>
  </si>
  <si>
    <t>12 months</t>
  </si>
  <si>
    <t>60 months</t>
  </si>
  <si>
    <t>Figure 10. Rolling 5-year return against the target</t>
  </si>
  <si>
    <t>Chart data, figure 10</t>
  </si>
  <si>
    <t>Window end</t>
  </si>
  <si>
    <t>Figure 11. Portfolio construction methods</t>
  </si>
  <si>
    <t>Chart data, figure 11</t>
  </si>
  <si>
    <t>Tracking error</t>
  </si>
  <si>
    <t>Figure 12. Expected returns against 20-year history</t>
  </si>
  <si>
    <t>Chart data, figure 12</t>
  </si>
  <si>
    <t>Net forecast (5-year)</t>
  </si>
  <si>
    <t>20-year history</t>
  </si>
  <si>
    <t>Figure 13. Forecast stress test</t>
  </si>
  <si>
    <t>Chart data, figure 13</t>
  </si>
  <si>
    <t>Forecast 1% lower</t>
  </si>
  <si>
    <t>Forecast 1% higher</t>
  </si>
  <si>
    <t>Inputs</t>
  </si>
  <si>
    <t>1. Asset classes (linked to Fund balance sheet and Fee schedule)</t>
  </si>
  <si>
    <t>Fee (p.a.)</t>
  </si>
  <si>
    <t>Lower bound</t>
  </si>
  <si>
    <t>Upper bound</t>
  </si>
  <si>
    <t>Equity (1/0)</t>
  </si>
  <si>
    <t>Illiquid (1/0)</t>
  </si>
  <si>
    <t>Blue = input</t>
  </si>
  <si>
    <t>Black = formula</t>
  </si>
  <si>
    <t>Yellow = Solver decision cell</t>
  </si>
  <si>
    <t>2. Mandate and constraints</t>
  </si>
  <si>
    <t>Parameter</t>
  </si>
  <si>
    <t>Source</t>
  </si>
  <si>
    <t>Funds under management (A$m)</t>
  </si>
  <si>
    <t>Fund balance sheet</t>
  </si>
  <si>
    <t>5-year bond yield</t>
  </si>
  <si>
    <t>RBA F2, 22-Sep-26</t>
  </si>
  <si>
    <t>Target spread</t>
  </si>
  <si>
    <t>Brief</t>
  </si>
  <si>
    <t>Required return (yield + spread)</t>
  </si>
  <si>
    <t>Calc</t>
  </si>
  <si>
    <t>Australian cash rate</t>
  </si>
  <si>
    <t>RBA, 29-Sep-26</t>
  </si>
  <si>
    <t>Tracking error limit</t>
  </si>
  <si>
    <t>5-year loss probability limit</t>
  </si>
  <si>
    <t>Equity band (+/-)</t>
  </si>
  <si>
    <t>Benchmark equity weight</t>
  </si>
  <si>
    <t>Equity minimum</t>
  </si>
  <si>
    <t>Equity maximum</t>
  </si>
  <si>
    <t>Illiquid maximum</t>
  </si>
  <si>
    <t>Cash minimum</t>
  </si>
  <si>
    <t>3. Model settings</t>
  </si>
  <si>
    <t>Shrinkage intensity</t>
  </si>
  <si>
    <t>Ledoit-Wolf (2004)</t>
  </si>
  <si>
    <t>Direct property smoothing</t>
  </si>
  <si>
    <t>Lag-1 autocorrelation</t>
  </si>
  <si>
    <t>Private equity smoothing</t>
  </si>
  <si>
    <t>Risk aversion (delta)</t>
  </si>
  <si>
    <t>Black-Litterman</t>
  </si>
  <si>
    <t>Max confidence in building blocks</t>
  </si>
  <si>
    <t>Judgement</t>
  </si>
  <si>
    <t>Min confidence in building blocks</t>
  </si>
  <si>
    <t>Method dispersion at min confidence</t>
  </si>
  <si>
    <t>TE limit in optimiser</t>
  </si>
  <si>
    <t>Calibrated: bootstrap TE &lt; 1.5%</t>
  </si>
  <si>
    <t>Equal Aus/world equity returns (1 = yes)</t>
  </si>
  <si>
    <t>Lecture 5</t>
  </si>
  <si>
    <t>Stage 2 overweight cap</t>
  </si>
  <si>
    <t>Bootstrap seed</t>
  </si>
  <si>
    <t>Fixed seed</t>
  </si>
  <si>
    <t>Selected method (1 Robust, 2 Sample, 3 Resampled, 4 Min var, 5 Risk parity)</t>
  </si>
  <si>
    <t>Methods tab</t>
  </si>
  <si>
    <t>1. Summary</t>
  </si>
  <si>
    <t>Building-block composite</t>
  </si>
  <si>
    <t>Equilibrium prior</t>
  </si>
  <si>
    <t>Confidence</t>
  </si>
  <si>
    <t>Gross forecast</t>
  </si>
  <si>
    <t>Fee</t>
  </si>
  <si>
    <t>Net forecast</t>
  </si>
  <si>
    <t>Method dispersion</t>
  </si>
  <si>
    <t>Best single-asset forecast</t>
  </si>
  <si>
    <t>Return target (bond yield + 4%)</t>
  </si>
  <si>
    <t>Target reachable?</t>
  </si>
  <si>
    <t>2. Historical returns (adjusted quarterly data)</t>
  </si>
  <si>
    <t>Parameters</t>
  </si>
  <si>
    <t>20-year CAGR</t>
  </si>
  <si>
    <t>10-year CAGR</t>
  </si>
  <si>
    <t>5-year CAGR</t>
  </si>
  <si>
    <t>Excess vs cash, 20y</t>
  </si>
  <si>
    <t>Excess vs cash, 10y</t>
  </si>
  <si>
    <t>Excess vs cash, 5y</t>
  </si>
  <si>
    <t>Weighted excess</t>
  </si>
  <si>
    <t>Excess weight: 20 years</t>
  </si>
  <si>
    <t>Excess weight: 10 years</t>
  </si>
  <si>
    <t>Excess weight: 5 years</t>
  </si>
  <si>
    <t>Equity premium floor</t>
  </si>
  <si>
    <t>Equity premium cap</t>
  </si>
  <si>
    <t>Property premium floor</t>
  </si>
  <si>
    <t>Property premium cap</t>
  </si>
  <si>
    <t>Commodities: share of long-run excess</t>
  </si>
  <si>
    <t>World-AU spread: weight on 20 years</t>
  </si>
  <si>
    <t>World-AU spread floor</t>
  </si>
  <si>
    <t>World-AU spread cap</t>
  </si>
  <si>
    <t>Private-market premium</t>
  </si>
  <si>
    <t>Hedge fund alpha allowance</t>
  </si>
  <si>
    <t>HF replication: world equities</t>
  </si>
  <si>
    <t>3. Implied equity returns</t>
  </si>
  <si>
    <t>HF replication: world fixed income</t>
  </si>
  <si>
    <t>Item</t>
  </si>
  <si>
    <t>World equities</t>
  </si>
  <si>
    <t>HF replication: commodities</t>
  </si>
  <si>
    <t>As at</t>
  </si>
  <si>
    <t>PE proxy: world equities</t>
  </si>
  <si>
    <t>Dividend yield (trailing)</t>
  </si>
  <si>
    <t>Market data</t>
  </si>
  <si>
    <t>PE proxy: emerging markets</t>
  </si>
  <si>
    <t>P/E (trailing)</t>
  </si>
  <si>
    <t>Listed property factor: world equities</t>
  </si>
  <si>
    <t>P/E (forward)</t>
  </si>
  <si>
    <t>Listed property factor: Aus fixed income</t>
  </si>
  <si>
    <t>Expected inflation</t>
  </si>
  <si>
    <t>RBA target band</t>
  </si>
  <si>
    <t>Direct property factor: listed property</t>
  </si>
  <si>
    <t>Real growth</t>
  </si>
  <si>
    <t>Direct property factor: Aus fixed income</t>
  </si>
  <si>
    <t>Forward dividend yield</t>
  </si>
  <si>
    <t>World FI factor: Aus fixed income</t>
  </si>
  <si>
    <t>Nominal growth</t>
  </si>
  <si>
    <t>World FI factor: cash</t>
  </si>
  <si>
    <t>DDM: D1/P0 + g</t>
  </si>
  <si>
    <t>Earnings yield + inflation</t>
  </si>
  <si>
    <t>Implied return (average)</t>
  </si>
  <si>
    <t>4. Building blocks</t>
  </si>
  <si>
    <t>Weight</t>
  </si>
  <si>
    <t>Contribution</t>
  </si>
  <si>
    <t xml:space="preserve">   Cash + equity premium</t>
  </si>
  <si>
    <t xml:space="preserve">   Implied return (DDM, earnings yield)</t>
  </si>
  <si>
    <t xml:space="preserve">   20-year history</t>
  </si>
  <si>
    <t xml:space="preserve">   Composite</t>
  </si>
  <si>
    <t xml:space="preserve">   Cash + property premium</t>
  </si>
  <si>
    <t xml:space="preserve">   Equity-rate factor model</t>
  </si>
  <si>
    <t xml:space="preserve">   Collateral + share of long-run excess</t>
  </si>
  <si>
    <t xml:space="preserve">   Listed property + private-market premium</t>
  </si>
  <si>
    <t xml:space="preserve">   Listed property and rate factor model</t>
  </si>
  <si>
    <t xml:space="preserve">   20-year history (unsmoothed)</t>
  </si>
  <si>
    <t xml:space="preserve">   Beta replication + alpha allowance</t>
  </si>
  <si>
    <t xml:space="preserve">   Public-equity proxy + private-market premium</t>
  </si>
  <si>
    <t xml:space="preserve">   Current 5-year yield</t>
  </si>
  <si>
    <t xml:space="preserve">   AU yield + world-AU return spread</t>
  </si>
  <si>
    <t xml:space="preserve">   Aus fixed income and cash factor model</t>
  </si>
  <si>
    <t xml:space="preserve">   Current cash rate</t>
  </si>
  <si>
    <t xml:space="preserve">   5-year history</t>
  </si>
  <si>
    <t>Risk</t>
  </si>
  <si>
    <t>1. Sample covariance (annualised, adjusted quarterly returns)</t>
  </si>
  <si>
    <t>Sample vol</t>
  </si>
  <si>
    <t>2. Correlation</t>
  </si>
  <si>
    <t>Average correlation (target)</t>
  </si>
  <si>
    <t>3. Shrunk covariance</t>
  </si>
  <si>
    <t>Shrunk vol</t>
  </si>
  <si>
    <t>4. Portfolio metrics</t>
  </si>
  <si>
    <t>Net forecast return</t>
  </si>
  <si>
    <t>Max weight gap vs recommended</t>
  </si>
  <si>
    <t>Unshrunk covariance</t>
  </si>
  <si>
    <t>Tight TE (0.75%)</t>
  </si>
  <si>
    <t>Loose TE (1.5%)</t>
  </si>
  <si>
    <t>OOS robust, fit 2006-16</t>
  </si>
  <si>
    <t>OOS naive, fit 2006-16</t>
  </si>
  <si>
    <t>Active weights vs benchmark</t>
  </si>
  <si>
    <t>Tight TE</t>
  </si>
  <si>
    <t>Loose TE</t>
  </si>
  <si>
    <t>1. Stage 1 (optimised) and Stage 2 (judgement)</t>
  </si>
  <si>
    <t>Stage</t>
  </si>
  <si>
    <t>Lower</t>
  </si>
  <si>
    <t>Upper</t>
  </si>
  <si>
    <t>Active vs benchmark</t>
  </si>
  <si>
    <t>Return contribution</t>
  </si>
  <si>
    <t>1: optimised</t>
  </si>
  <si>
    <t>2: judgement</t>
  </si>
  <si>
    <t>2. Stage 2 scorecard (1 to 5)</t>
  </si>
  <si>
    <t>Return</t>
  </si>
  <si>
    <t>Diversification</t>
  </si>
  <si>
    <t>Liquidity</t>
  </si>
  <si>
    <t>Data quality</t>
  </si>
  <si>
    <t>Implementation</t>
  </si>
  <si>
    <t>Average</t>
  </si>
  <si>
    <t>Weight set</t>
  </si>
  <si>
    <t>Total Stage 2</t>
  </si>
  <si>
    <t>3. Solver constraints</t>
  </si>
  <si>
    <t>Lower limit</t>
  </si>
  <si>
    <t>Upper limit</t>
  </si>
  <si>
    <t>Expected return (maximise)</t>
  </si>
  <si>
    <t>Tracking error (parametric)</t>
  </si>
  <si>
    <t>Equity allocation</t>
  </si>
  <si>
    <t>Illiquid allocation</t>
  </si>
  <si>
    <t>Cash allocation</t>
  </si>
  <si>
    <t>Weights sum to 100%</t>
  </si>
  <si>
    <t>Share inside bounds</t>
  </si>
  <si>
    <t>4. What each constraint costs</t>
  </si>
  <si>
    <t>Base (recommended)</t>
  </si>
  <si>
    <t>TE limit 1.5%</t>
  </si>
  <si>
    <t>No TE limit</t>
  </si>
  <si>
    <t>Equity max 72%</t>
  </si>
  <si>
    <t>Alternatives optimised</t>
  </si>
  <si>
    <t>Long-only only</t>
  </si>
  <si>
    <t>Return gain vs base</t>
  </si>
  <si>
    <t>Reaches return target?</t>
  </si>
  <si>
    <t>Selected method</t>
  </si>
  <si>
    <t>1. Method weights (Stage 2 fixed; every method under the brief and the TE limit)</t>
  </si>
  <si>
    <t>Robust MVO</t>
  </si>
  <si>
    <t>Selected</t>
  </si>
  <si>
    <t>2. Scorecard</t>
  </si>
  <si>
    <t>Sharpe ratio</t>
  </si>
  <si>
    <t>Annual fee</t>
  </si>
  <si>
    <t>Turnover from current</t>
  </si>
  <si>
    <t>Effective N</t>
  </si>
  <si>
    <t>Diversification ratio</t>
  </si>
  <si>
    <t>5-year loss prob. (normal)</t>
  </si>
  <si>
    <t>GFC</t>
  </si>
  <si>
    <t>Meets brief?</t>
  </si>
  <si>
    <t>3. Stability check: robust vs resampled</t>
  </si>
  <si>
    <t>Check</t>
  </si>
  <si>
    <t>Difference</t>
  </si>
  <si>
    <t>Yellow cells: Solver decision variables (Robust MVO)</t>
  </si>
  <si>
    <t>Largest asset-weight difference</t>
  </si>
  <si>
    <t>Asset with the largest difference</t>
  </si>
  <si>
    <t>Largest gap inside resampling spread?</t>
  </si>
  <si>
    <t>4. Resampling spread (150 resampled input sets)</t>
  </si>
  <si>
    <t>Resampled average</t>
  </si>
  <si>
    <t>Absolute difference</t>
  </si>
  <si>
    <t>Spread (std dev)</t>
  </si>
  <si>
    <t>10th percentile</t>
  </si>
  <si>
    <t>90th percentile</t>
  </si>
  <si>
    <t>Gap within spread?</t>
  </si>
  <si>
    <t>1. Results (1,000 paths x 5 annual draws)</t>
  </si>
  <si>
    <t>5-year loss probability (bootstrap)</t>
  </si>
  <si>
    <t>5-year loss probability (normal)</t>
  </si>
  <si>
    <t>5th percentile 5-year return</t>
  </si>
  <si>
    <t>Median 5-year return</t>
  </si>
  <si>
    <t>95th percentile 5-year return</t>
  </si>
  <si>
    <t>Median return, annualised</t>
  </si>
  <si>
    <t>Tracking error (bootstrap)</t>
  </si>
  <si>
    <t>Within limit (loss / TE)</t>
  </si>
  <si>
    <t>2. Annual windows (adjusted returns, mean shifted to net forecast)</t>
  </si>
  <si>
    <t>Window</t>
  </si>
  <si>
    <t>Year ending</t>
  </si>
  <si>
    <t>Australian Equities (shifted)</t>
  </si>
  <si>
    <t>World Equities (shifted)</t>
  </si>
  <si>
    <t>Emerging Markets (shifted)</t>
  </si>
  <si>
    <t>Listed Property (shifted)</t>
  </si>
  <si>
    <t>Commodities (shifted)</t>
  </si>
  <si>
    <t>Direct Property (shifted)</t>
  </si>
  <si>
    <t>Hedge Funds (shifted)</t>
  </si>
  <si>
    <t>Private Equity (shifted)</t>
  </si>
  <si>
    <t>Australian Fixed Income (shifted)</t>
  </si>
  <si>
    <t>World Fixed Income (shifted)</t>
  </si>
  <si>
    <t>Cash (shifted)</t>
  </si>
  <si>
    <t>3. Simulated paths (draws pasted, seed in Inputs)</t>
  </si>
  <si>
    <t>Path</t>
  </si>
  <si>
    <t>Draw 1</t>
  </si>
  <si>
    <t>Draw 2</t>
  </si>
  <si>
    <t>Draw 3</t>
  </si>
  <si>
    <t>Draw 4</t>
  </si>
  <si>
    <t>Draw 5</t>
  </si>
  <si>
    <t>Relative: current (log)</t>
  </si>
  <si>
    <t>Relative: recommended (log)</t>
  </si>
  <si>
    <t>1. Historical windows</t>
  </si>
  <si>
    <t>Start (quarter end)</t>
  </si>
  <si>
    <t>End (quarter end)</t>
  </si>
  <si>
    <t>2. Asset returns in each scenario</t>
  </si>
  <si>
    <t>US$150 oil (Oil tab)</t>
  </si>
  <si>
    <t>3. Portfolio impact</t>
  </si>
  <si>
    <t>Recommended less current</t>
  </si>
  <si>
    <t>Recommended less benchmark</t>
  </si>
  <si>
    <t>1. Scenario</t>
  </si>
  <si>
    <t>Monthly panel, Jan-1968 to Jan-2026 (from Additional data and Data tabs)</t>
  </si>
  <si>
    <t>Current WTI (US$/bbl)</t>
  </si>
  <si>
    <t>FRED, 22-Sep-26</t>
  </si>
  <si>
    <t>Month end</t>
  </si>
  <si>
    <t>WTI</t>
  </si>
  <si>
    <t>ln WTI</t>
  </si>
  <si>
    <t>US equity log index</t>
  </si>
  <si>
    <t>Aus equity ln level</t>
  </si>
  <si>
    <t>AU 3-month rate (%)</t>
  </si>
  <si>
    <t>1m oil (log)</t>
  </si>
  <si>
    <t>1m US equity (log)</t>
  </si>
  <si>
    <t>1m Aus equity (log)</t>
  </si>
  <si>
    <t>1m rate change (pp)</t>
  </si>
  <si>
    <t>12m oil (log)</t>
  </si>
  <si>
    <t>12m US equity (log)</t>
  </si>
  <si>
    <t>12m Aus equity (log)</t>
  </si>
  <si>
    <t>12m rate change (pp)</t>
  </si>
  <si>
    <t>60m oil (log)</t>
  </si>
  <si>
    <t>60m US equity (log)</t>
  </si>
  <si>
    <t>60m Aus equity (log)</t>
  </si>
  <si>
    <t>60m rate change (pp)</t>
  </si>
  <si>
    <t>Scenario WTI (US$/bbl)</t>
  </si>
  <si>
    <t>Oil price change</t>
  </si>
  <si>
    <t>Log change</t>
  </si>
  <si>
    <t>2. Oil and equity returns / interest rates, monthly to 5-year horizons</t>
  </si>
  <si>
    <t>Horizon (months)</t>
  </si>
  <si>
    <t>t-stat</t>
  </si>
  <si>
    <t>t-stat (overlap-adj.)</t>
  </si>
  <si>
    <t>Obs</t>
  </si>
  <si>
    <t>Response to scenario</t>
  </si>
  <si>
    <t>3. Episode study: supply-driven oil shocks, scaled to US$150</t>
  </si>
  <si>
    <t>Episode</t>
  </si>
  <si>
    <t>Start</t>
  </si>
  <si>
    <t>End</t>
  </si>
  <si>
    <t>WTI start</t>
  </si>
  <si>
    <t>WTI end</t>
  </si>
  <si>
    <t>WTI change</t>
  </si>
  <si>
    <t>Scale to scenario</t>
  </si>
  <si>
    <t>Gulf War 1990</t>
  </si>
  <si>
    <t>Ukraine invasion 2022</t>
  </si>
  <si>
    <t>1990 as happened</t>
  </si>
  <si>
    <t>2022 as happened</t>
  </si>
  <si>
    <t>1990 scaled</t>
  </si>
  <si>
    <t>2022 scaled</t>
  </si>
  <si>
    <t>Note</t>
  </si>
  <si>
    <t>Appraisal-based</t>
  </si>
  <si>
    <t>1990: 50/50 world eq. / cash</t>
  </si>
  <si>
    <t>1990: world equities</t>
  </si>
  <si>
    <t>Not scaled</t>
  </si>
  <si>
    <t>4. Portfolio impact</t>
  </si>
  <si>
    <t>5. Likelihood (1968-2026)</t>
  </si>
  <si>
    <t>12-month windows with a rise this large</t>
  </si>
  <si>
    <t>12-month windows (count)</t>
  </si>
  <si>
    <t>60-month windows with a rise this large</t>
  </si>
  <si>
    <t>6. Mitigation: tilt from world equities to commodities</t>
  </si>
  <si>
    <t>Tilt size</t>
  </si>
  <si>
    <t>Oil central case</t>
  </si>
  <si>
    <t>Recommended + tilt</t>
  </si>
  <si>
    <t>Weights (row form)</t>
  </si>
  <si>
    <t>Active: recommended</t>
  </si>
  <si>
    <t>Active: + tilt</t>
  </si>
  <si>
    <t>1. Historical backtest (annualised)</t>
  </si>
  <si>
    <t>Horizon (years)</t>
  </si>
  <si>
    <t>Quarters</t>
  </si>
  <si>
    <t>Rec. less current</t>
  </si>
  <si>
    <t>Rec. less benchmark</t>
  </si>
  <si>
    <t>Volatility, 20 years</t>
  </si>
  <si>
    <t>Worst four-quarter return</t>
  </si>
  <si>
    <t>2. Out-of-sample: weights fitted on 2006-16 (pasted)</t>
  </si>
  <si>
    <t>Robust method</t>
  </si>
  <si>
    <t>3. Sensitivity portfolios (pasted Solver output)</t>
  </si>
  <si>
    <t>4. Out-of-sample result (test window 2016-26)</t>
  </si>
  <si>
    <t>Predicted return at fit date</t>
  </si>
  <si>
    <t>Forecast error</t>
  </si>
  <si>
    <t>5. Sensitivity result</t>
  </si>
  <si>
    <t>Max weight gap vs rec.</t>
  </si>
  <si>
    <t>6. Forecast stress test: what if a forecast is wrong?</t>
  </si>
  <si>
    <t>Forecast error (+/-)</t>
  </si>
  <si>
    <t>Base advantage vs current</t>
  </si>
  <si>
    <t>Recommended weight</t>
  </si>
  <si>
    <t>Current weight</t>
  </si>
  <si>
    <t>Rec. return (+)</t>
  </si>
  <si>
    <t>Rec. return (-)</t>
  </si>
  <si>
    <t>Advantage (+)</t>
  </si>
  <si>
    <t>Advantage (-)</t>
  </si>
  <si>
    <t>Error that removes advantage</t>
  </si>
  <si>
    <t>Smallest error that removes advantage</t>
  </si>
  <si>
    <t>Rec. return</t>
  </si>
  <si>
    <t>Current return</t>
  </si>
  <si>
    <t>Advantage</t>
  </si>
  <si>
    <t>Rec. loss prob. (normal)</t>
  </si>
  <si>
    <t>Current loss prob. (normal)</t>
  </si>
  <si>
    <t>All equities down by the error</t>
  </si>
  <si>
    <t>All growth assets down by the error</t>
  </si>
  <si>
    <t>All assets down by the error</t>
  </si>
  <si>
    <t>8. Efficient frontier: brief constraints, no TE limit</t>
  </si>
  <si>
    <t>9. Efficient frontier: brief constraints with TE limit</t>
  </si>
  <si>
    <t>1. Rolling 5-year windows, constant weights (quarterly data)</t>
  </si>
  <si>
    <t>2. By horizon (to March 2026)</t>
  </si>
  <si>
    <t>Window start</t>
  </si>
  <si>
    <t>Target (yield + 4%)</t>
  </si>
  <si>
    <t>Current met target</t>
  </si>
  <si>
    <t>Rec. met target</t>
  </si>
  <si>
    <t>Realised TE: current</t>
  </si>
  <si>
    <t>Realised TE: rec.</t>
  </si>
  <si>
    <t>Current met?</t>
  </si>
  <si>
    <t>Rec. met?</t>
  </si>
  <si>
    <t>3. Share of rolling 5-year windows</t>
  </si>
  <si>
    <t>Realised TE within 1.5%</t>
  </si>
  <si>
    <t>Checks</t>
  </si>
  <si>
    <t>Master flag</t>
  </si>
  <si>
    <t>Tests</t>
  </si>
  <si>
    <t>Test</t>
  </si>
  <si>
    <t>Current fund weights sum to 100%</t>
  </si>
  <si>
    <t>Benchmark weights sum to 100%</t>
  </si>
  <si>
    <t>Recommended weights sum to 100%</t>
  </si>
  <si>
    <t>No short sales</t>
  </si>
  <si>
    <t>All weights inside bounds</t>
  </si>
  <si>
    <t>Equity inside benchmark band</t>
  </si>
  <si>
    <t>Illiquids within maximum</t>
  </si>
  <si>
    <t>Cash at least minimum</t>
  </si>
  <si>
    <t>Parametric TE &lt;= optimiser limit</t>
  </si>
  <si>
    <t>Bootstrap TE &lt;= 1.5%</t>
  </si>
  <si>
    <t>Bootstrap loss probability &lt;= 25%</t>
  </si>
  <si>
    <t>Normal loss probability &lt;= 25%</t>
  </si>
  <si>
    <t>Stage 2 overweights within cap</t>
  </si>
  <si>
    <t>Quarterly return data complete</t>
  </si>
  <si>
    <t>Bootstrap draws valid</t>
  </si>
  <si>
    <t>Shrunk diagonal = sample variance</t>
  </si>
  <si>
    <t>Forecast method weights sum to 100%</t>
  </si>
  <si>
    <t>Oil panel complete (WTI months)</t>
  </si>
  <si>
    <t>Oil regressions have 30+ observations</t>
  </si>
  <si>
    <t>Method weights sum to 100%</t>
  </si>
  <si>
    <t>Frontier weights sum to 100%</t>
  </si>
  <si>
    <t>Constraint-cost weights sum to 100%</t>
  </si>
  <si>
    <t>Track record windows complete</t>
  </si>
  <si>
    <t>Recommended return &gt;= current</t>
  </si>
  <si>
    <t>Quarterly returns</t>
  </si>
  <si>
    <t>Reported quarterly returns (from Data tab index levels)</t>
  </si>
  <si>
    <t>Adjusted (illiquids unsmoothed)</t>
  </si>
  <si>
    <t>Constant-weight portfolios</t>
  </si>
  <si>
    <t>OOS robust (fit 2006-16)</t>
  </si>
  <si>
    <t>OOS naive (fit 2006-16)</t>
  </si>
  <si>
    <t>RBA 5Y yield</t>
  </si>
  <si>
    <t>Australian 5-year government bond yield, monthly (RBA statistical table F2)</t>
  </si>
  <si>
    <t>Date</t>
  </si>
  <si>
    <t>Yield</t>
  </si>
  <si>
    <t>Interpolated</t>
  </si>
  <si>
    <t>Corrected (x100)</t>
  </si>
  <si>
    <t>Asset Class</t>
  </si>
  <si>
    <t>Data Source</t>
  </si>
  <si>
    <t>Australia equity</t>
  </si>
  <si>
    <t>ASX All Ordinaries total return index</t>
  </si>
  <si>
    <t>World equity</t>
  </si>
  <si>
    <t>MSCI World total return index (AUD)</t>
  </si>
  <si>
    <t>Emerging market</t>
  </si>
  <si>
    <t>MSCI Emerging Market total return index (AUD)</t>
  </si>
  <si>
    <t>Listed property</t>
  </si>
  <si>
    <t>S&amp;P Global REIT total return index (AUD)</t>
  </si>
  <si>
    <t>S&amp;P Goldman Sachs Commodity total return index (AUD)</t>
  </si>
  <si>
    <t>Direct property</t>
  </si>
  <si>
    <t>Australian residential property price index, complemented with rental income</t>
  </si>
  <si>
    <t>Hedge fund</t>
  </si>
  <si>
    <t>Eurekahedge Hedge Fund Index (AUD)</t>
  </si>
  <si>
    <t>Private equity</t>
  </si>
  <si>
    <t>S&amp;P Listed Private Equity Index (AUD)</t>
  </si>
  <si>
    <t>Australia fixed income</t>
  </si>
  <si>
    <t>Vanguard Australian Fixed Income total return index</t>
  </si>
  <si>
    <t>World fixed income</t>
  </si>
  <si>
    <t>Vanguard International Fixed Income total return index (AUD hedged)</t>
  </si>
  <si>
    <t>S&amp;P/ASX Bank Bill total return index</t>
  </si>
  <si>
    <t>About this data:</t>
  </si>
  <si>
    <t xml:space="preserve">This data is provided for educational purposes only, and should not be used for commercial means. The data series themselves are indicative only. They are constructed from total return indices arising from a range of sources. Some series comprise the splicing of indices, or incorporate calculated proxies, where a full data history was not available. The series provide only a broad representation of the historical returns that Australian investors may have received from various asset classes. </t>
  </si>
  <si>
    <t>EPPIB - Total Portfolio Weightings and Measures</t>
  </si>
  <si>
    <t>EPPIB: Existing Assets</t>
  </si>
  <si>
    <t>Liquid Asset?</t>
  </si>
  <si>
    <t>Assets (A$m)</t>
  </si>
  <si>
    <t>% Weight</t>
  </si>
  <si>
    <t xml:space="preserve"> % Average Weights</t>
  </si>
  <si>
    <t>Asset Classes</t>
  </si>
  <si>
    <t>Equities</t>
  </si>
  <si>
    <t xml:space="preserve">  - Australia</t>
  </si>
  <si>
    <t>Yes</t>
  </si>
  <si>
    <t xml:space="preserve">  - World</t>
  </si>
  <si>
    <t xml:space="preserve">  - Emerging Markets</t>
  </si>
  <si>
    <t>Total Equities</t>
  </si>
  <si>
    <t>Fixed Income</t>
  </si>
  <si>
    <t xml:space="preserve">  - Australian Cash</t>
  </si>
  <si>
    <t>Total Fixed Income</t>
  </si>
  <si>
    <t>Property &amp; Infrastructure</t>
  </si>
  <si>
    <t xml:space="preserve">  - Listed</t>
  </si>
  <si>
    <t xml:space="preserve">  - Direct</t>
  </si>
  <si>
    <t>No</t>
  </si>
  <si>
    <t>Total Property &amp; Infrastructure</t>
  </si>
  <si>
    <t>Other Alternatives</t>
  </si>
  <si>
    <t xml:space="preserve">  - Hedge Funds</t>
  </si>
  <si>
    <t xml:space="preserve">  - Private Equity</t>
  </si>
  <si>
    <t xml:space="preserve">  - Commodities</t>
  </si>
  <si>
    <t>Total Other Alternatives</t>
  </si>
  <si>
    <t>TOTAL</t>
  </si>
  <si>
    <t>Indicative Investment Management Fees</t>
  </si>
  <si>
    <t>Asset</t>
  </si>
  <si>
    <t>Management Fee (% per year)</t>
  </si>
  <si>
    <t>Alternatives</t>
  </si>
  <si>
    <t>&lt; Includes incentive fees</t>
  </si>
  <si>
    <t>Commodity Futures Fund</t>
  </si>
  <si>
    <t>Note: The data provided in the assignment are gross-of-fees. To compute investor specific return, relevant fees need to be subtracted.</t>
  </si>
  <si>
    <t>observation_date</t>
  </si>
  <si>
    <t xml:space="preserve">Spot Crude Oil Price: West Texas Intermediate </t>
  </si>
  <si>
    <t>Interest Rates: 3-Month or 90-Day Rates and Yields: Interbank Rates: Total for Australia</t>
  </si>
  <si>
    <t>US monthly total equity market excess return</t>
  </si>
  <si>
    <t>US monthly risk-free interest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</si>
</sst>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dd\-mmm\-yy"/>
    <numFmt numFmtId="167" formatCode="0.0000"/>
    <numFmt numFmtId="168" formatCode="0.000"/>
    <numFmt numFmtId="170" formatCode="#,##0.0"/>
    <numFmt numFmtId="171" formatCode="0.00&quot; pp&quot;"/>
  </numFmts>
  <fonts count="35" x14ac:knownFonts="1">
    <font>
      <sz val="11"/>
      <color theme="1"/>
      <name val="Aptos Narrow"/>
      <family val="2"/>
      <scheme val="minor"/>
    </font>
    <font>
      <sz val="11"/>
      <color theme="1"/>
      <name val="Aptos Narrow"/>
      <family val="2"/>
      <scheme val="minor"/>
    </font>
    <font>
      <b/>
      <sz val="11"/>
      <color theme="1"/>
      <name val="Aptos Narrow"/>
      <family val="2"/>
      <scheme val="minor"/>
    </font>
    <font>
      <sz val="10"/>
      <color theme="1"/>
      <name val="Arial"/>
      <family val="2"/>
    </font>
    <font>
      <b/>
      <sz val="13"/>
      <color theme="1"/>
      <name val="Arial"/>
      <family val="2"/>
    </font>
    <font>
      <sz val="11"/>
      <color theme="1"/>
      <name val="Arial"/>
      <family val="2"/>
    </font>
    <font>
      <b/>
      <u/>
      <sz val="11"/>
      <color theme="1"/>
      <name val="Arial"/>
      <family val="2"/>
    </font>
    <font>
      <b/>
      <u/>
      <sz val="10.5"/>
      <color theme="1"/>
      <name val="Arial"/>
      <family val="2"/>
    </font>
    <font>
      <b/>
      <sz val="10.5"/>
      <color theme="1"/>
      <name val="Arial"/>
      <family val="2"/>
    </font>
    <font>
      <sz val="10.5"/>
      <color theme="1"/>
      <name val="Arial"/>
      <family val="2"/>
    </font>
    <font>
      <i/>
      <sz val="10.5"/>
      <color theme="1"/>
      <name val="Arial"/>
      <family val="2"/>
    </font>
    <font>
      <sz val="10.5"/>
      <name val="Arial"/>
      <family val="2"/>
    </font>
    <font>
      <b/>
      <sz val="11"/>
      <color theme="1"/>
      <name val="Arial"/>
      <family val="2"/>
    </font>
    <font>
      <b/>
      <i/>
      <sz val="11"/>
      <color theme="1"/>
      <name val="Arial"/>
      <family val="2"/>
    </font>
    <font>
      <i/>
      <sz val="11"/>
      <color theme="1"/>
      <name val="Arial"/>
      <family val="2"/>
    </font>
    <font>
      <b/>
      <sz val="15"/>
      <color rgb="FF1F3864"/>
      <name val="Arial"/>
      <family val="2"/>
    </font>
    <font>
      <b/>
      <sz val="10"/>
      <color rgb="FFFFFFFF"/>
      <name val="Arial"/>
      <family val="2"/>
    </font>
    <font>
      <b/>
      <sz val="10"/>
      <color rgb="FF1F4E79"/>
      <name val="Arial"/>
      <family val="2"/>
    </font>
    <font>
      <sz val="10"/>
      <name val="Arial"/>
      <family val="2"/>
    </font>
    <font>
      <sz val="10"/>
      <color rgb="FF0000FF"/>
      <name val="Arial"/>
      <family val="2"/>
    </font>
    <font>
      <b/>
      <sz val="10"/>
      <name val="Arial"/>
      <family val="2"/>
    </font>
    <font>
      <b/>
      <sz val="10"/>
      <color rgb="FF806000"/>
      <name val="Arial"/>
      <family val="2"/>
    </font>
    <font>
      <sz val="9"/>
      <color rgb="FF7F7F7F"/>
      <name val="Arial"/>
      <family val="2"/>
    </font>
    <font>
      <b/>
      <sz val="10"/>
      <color rgb="FF5B2C83"/>
      <name val="Arial"/>
      <family val="2"/>
    </font>
    <font>
      <b/>
      <sz val="10"/>
      <color rgb="FF595959"/>
      <name val="Arial"/>
      <family val="2"/>
    </font>
    <font>
      <b/>
      <sz val="10"/>
      <color rgb="FF1B6B73"/>
      <name val="Arial"/>
      <family val="2"/>
    </font>
    <font>
      <b/>
      <sz val="10"/>
      <color rgb="FF375623"/>
      <name val="Arial"/>
      <family val="2"/>
    </font>
    <font>
      <b/>
      <sz val="10"/>
      <color rgb="FF4F6228"/>
      <name val="Arial"/>
      <family val="2"/>
    </font>
    <font>
      <b/>
      <sz val="10"/>
      <color rgb="FF203864"/>
      <name val="Arial"/>
      <family val="2"/>
    </font>
    <font>
      <b/>
      <sz val="11"/>
      <color rgb="FF5B2C83"/>
      <name val="Arial"/>
      <family val="2"/>
    </font>
    <font>
      <b/>
      <sz val="10"/>
      <color rgb="FFC55A11"/>
      <name val="Arial"/>
      <family val="2"/>
    </font>
    <font>
      <b/>
      <sz val="10"/>
      <color rgb="FF843C0C"/>
      <name val="Arial"/>
      <family val="2"/>
    </font>
    <font>
      <b/>
      <sz val="10"/>
      <color rgb="FFA50021"/>
      <name val="Arial"/>
      <family val="2"/>
    </font>
    <font>
      <b/>
      <i/>
      <sz val="9"/>
      <color rgb="FF595959"/>
      <name val="Arial"/>
      <family val="2"/>
    </font>
    <font>
      <sz val="9"/>
      <color theme="1"/>
      <name val="Arial"/>
      <family val="2"/>
    </font>
  </fonts>
  <fills count="27">
    <fill>
      <patternFill patternType="none"/>
    </fill>
    <fill>
      <patternFill patternType="gray125"/>
    </fill>
    <fill>
      <patternFill patternType="solid">
        <fgColor theme="0"/>
        <bgColor indexed="64"/>
      </patternFill>
    </fill>
    <fill>
      <patternFill patternType="solid">
        <fgColor rgb="FF1F4E79"/>
      </patternFill>
    </fill>
    <fill>
      <patternFill patternType="solid">
        <fgColor rgb="FFDDEBF7"/>
      </patternFill>
    </fill>
    <fill>
      <patternFill patternType="solid">
        <fgColor rgb="FF806000"/>
      </patternFill>
    </fill>
    <fill>
      <patternFill patternType="solid">
        <fgColor rgb="FFFFF2CC"/>
      </patternFill>
    </fill>
    <fill>
      <patternFill patternType="solid">
        <fgColor rgb="FF5B2C83"/>
      </patternFill>
    </fill>
    <fill>
      <patternFill patternType="solid">
        <fgColor rgb="FFE4DFEC"/>
      </patternFill>
    </fill>
    <fill>
      <patternFill patternType="solid">
        <fgColor rgb="FF595959"/>
      </patternFill>
    </fill>
    <fill>
      <patternFill patternType="solid">
        <fgColor rgb="FF1B6B73"/>
      </patternFill>
    </fill>
    <fill>
      <patternFill patternType="solid">
        <fgColor rgb="FFEDEDED"/>
      </patternFill>
    </fill>
    <fill>
      <patternFill patternType="solid">
        <fgColor rgb="FFDAEEF3"/>
      </patternFill>
    </fill>
    <fill>
      <patternFill patternType="solid">
        <fgColor rgb="FF375623"/>
      </patternFill>
    </fill>
    <fill>
      <patternFill patternType="solid">
        <fgColor rgb="FFE2EFDA"/>
      </patternFill>
    </fill>
    <fill>
      <patternFill patternType="solid">
        <fgColor rgb="FF4F6228"/>
      </patternFill>
    </fill>
    <fill>
      <patternFill patternType="solid">
        <fgColor rgb="FFEBF1DE"/>
      </patternFill>
    </fill>
    <fill>
      <patternFill patternType="solid">
        <fgColor rgb="FF203864"/>
      </patternFill>
    </fill>
    <fill>
      <patternFill patternType="solid">
        <fgColor rgb="FFD9E1F2"/>
      </patternFill>
    </fill>
    <fill>
      <patternFill patternType="solid">
        <fgColor rgb="FFC55A11"/>
      </patternFill>
    </fill>
    <fill>
      <patternFill patternType="solid">
        <fgColor rgb="FFFCE4D6"/>
      </patternFill>
    </fill>
    <fill>
      <patternFill patternType="solid">
        <fgColor rgb="FF843C0C"/>
      </patternFill>
    </fill>
    <fill>
      <patternFill patternType="solid">
        <fgColor rgb="FFF4E1D2"/>
      </patternFill>
    </fill>
    <fill>
      <patternFill patternType="solid">
        <fgColor rgb="FFA50021"/>
      </patternFill>
    </fill>
    <fill>
      <patternFill patternType="solid">
        <fgColor rgb="FFFBE2D5"/>
      </patternFill>
    </fill>
    <fill>
      <patternFill patternType="solid">
        <fgColor theme="9" tint="0.59999389629810485"/>
        <bgColor indexed="64"/>
      </patternFill>
    </fill>
    <fill>
      <patternFill patternType="solid">
        <fgColor theme="5" tint="0.59999389629810485"/>
        <bgColor indexed="64"/>
      </patternFill>
    </fill>
  </fills>
  <borders count="13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bottom style="thin">
        <color rgb="FF595959"/>
      </bottom>
      <diagonal/>
    </border>
    <border>
      <left style="medium">
        <color rgb="FF1F4E79"/>
      </left>
      <right style="thin">
        <color rgb="FFD0D0D0"/>
      </right>
      <top style="medium">
        <color rgb="FF1F4E79"/>
      </top>
      <bottom style="thin">
        <color rgb="FFD0D0D0"/>
      </bottom>
      <diagonal/>
    </border>
    <border>
      <left style="thin">
        <color rgb="FFD0D0D0"/>
      </left>
      <right style="thin">
        <color rgb="FFD0D0D0"/>
      </right>
      <top style="medium">
        <color rgb="FF1F4E79"/>
      </top>
      <bottom style="thin">
        <color rgb="FFD0D0D0"/>
      </bottom>
      <diagonal/>
    </border>
    <border>
      <left style="thin">
        <color rgb="FFD0D0D0"/>
      </left>
      <right style="medium">
        <color rgb="FF1F4E79"/>
      </right>
      <top style="medium">
        <color rgb="FF1F4E79"/>
      </top>
      <bottom style="thin">
        <color rgb="FFD0D0D0"/>
      </bottom>
      <diagonal/>
    </border>
    <border>
      <left style="medium">
        <color rgb="FF1F4E79"/>
      </left>
      <right style="thin">
        <color rgb="FFD0D0D0"/>
      </right>
      <top style="thin">
        <color rgb="FFD0D0D0"/>
      </top>
      <bottom style="thin">
        <color rgb="FF1F4E79"/>
      </bottom>
      <diagonal/>
    </border>
    <border>
      <left style="thin">
        <color rgb="FFD0D0D0"/>
      </left>
      <right style="thin">
        <color rgb="FFD0D0D0"/>
      </right>
      <top style="thin">
        <color rgb="FFD0D0D0"/>
      </top>
      <bottom style="thin">
        <color rgb="FF1F4E79"/>
      </bottom>
      <diagonal/>
    </border>
    <border>
      <left style="thin">
        <color rgb="FFD0D0D0"/>
      </left>
      <right style="medium">
        <color rgb="FF1F4E79"/>
      </right>
      <top style="thin">
        <color rgb="FFD0D0D0"/>
      </top>
      <bottom style="thin">
        <color rgb="FF1F4E79"/>
      </bottom>
      <diagonal/>
    </border>
    <border>
      <left style="medium">
        <color rgb="FF1F4E79"/>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medium">
        <color rgb="FF1F4E79"/>
      </right>
      <top style="thin">
        <color rgb="FFD0D0D0"/>
      </top>
      <bottom style="thin">
        <color rgb="FFD0D0D0"/>
      </bottom>
      <diagonal/>
    </border>
    <border>
      <left style="medium">
        <color rgb="FF1F4E79"/>
      </left>
      <right style="thin">
        <color rgb="FFD0D0D0"/>
      </right>
      <top style="thin">
        <color rgb="FFD0D0D0"/>
      </top>
      <bottom style="medium">
        <color rgb="FF1F4E79"/>
      </bottom>
      <diagonal/>
    </border>
    <border>
      <left style="thin">
        <color rgb="FFD0D0D0"/>
      </left>
      <right style="thin">
        <color rgb="FFD0D0D0"/>
      </right>
      <top style="thin">
        <color rgb="FFD0D0D0"/>
      </top>
      <bottom style="medium">
        <color rgb="FF1F4E79"/>
      </bottom>
      <diagonal/>
    </border>
    <border>
      <left style="thin">
        <color rgb="FFD0D0D0"/>
      </left>
      <right style="medium">
        <color rgb="FF1F4E79"/>
      </right>
      <top style="thin">
        <color rgb="FFD0D0D0"/>
      </top>
      <bottom style="medium">
        <color rgb="FF1F4E79"/>
      </bottom>
      <diagonal/>
    </border>
    <border>
      <left style="medium">
        <color rgb="FF806000"/>
      </left>
      <right style="thin">
        <color rgb="FFD0D0D0"/>
      </right>
      <top style="medium">
        <color rgb="FF806000"/>
      </top>
      <bottom style="thin">
        <color rgb="FFD0D0D0"/>
      </bottom>
      <diagonal/>
    </border>
    <border>
      <left style="thin">
        <color rgb="FFD0D0D0"/>
      </left>
      <right style="thin">
        <color rgb="FFD0D0D0"/>
      </right>
      <top style="medium">
        <color rgb="FF806000"/>
      </top>
      <bottom style="thin">
        <color rgb="FFD0D0D0"/>
      </bottom>
      <diagonal/>
    </border>
    <border>
      <left style="thin">
        <color rgb="FFD0D0D0"/>
      </left>
      <right style="medium">
        <color rgb="FF806000"/>
      </right>
      <top style="medium">
        <color rgb="FF806000"/>
      </top>
      <bottom style="thin">
        <color rgb="FFD0D0D0"/>
      </bottom>
      <diagonal/>
    </border>
    <border>
      <left style="medium">
        <color rgb="FF806000"/>
      </left>
      <right style="thin">
        <color rgb="FFD0D0D0"/>
      </right>
      <top style="thin">
        <color rgb="FFD0D0D0"/>
      </top>
      <bottom style="thin">
        <color rgb="FF806000"/>
      </bottom>
      <diagonal/>
    </border>
    <border>
      <left style="thin">
        <color rgb="FFD0D0D0"/>
      </left>
      <right style="thin">
        <color rgb="FFD0D0D0"/>
      </right>
      <top style="thin">
        <color rgb="FFD0D0D0"/>
      </top>
      <bottom style="thin">
        <color rgb="FF806000"/>
      </bottom>
      <diagonal/>
    </border>
    <border>
      <left style="thin">
        <color rgb="FFD0D0D0"/>
      </left>
      <right style="medium">
        <color rgb="FF806000"/>
      </right>
      <top style="thin">
        <color rgb="FFD0D0D0"/>
      </top>
      <bottom style="thin">
        <color rgb="FF806000"/>
      </bottom>
      <diagonal/>
    </border>
    <border>
      <left style="medium">
        <color rgb="FF806000"/>
      </left>
      <right style="thin">
        <color rgb="FFD0D0D0"/>
      </right>
      <top style="thin">
        <color rgb="FFD0D0D0"/>
      </top>
      <bottom style="thin">
        <color rgb="FFD0D0D0"/>
      </bottom>
      <diagonal/>
    </border>
    <border>
      <left style="thin">
        <color rgb="FFD0D0D0"/>
      </left>
      <right style="medium">
        <color rgb="FF806000"/>
      </right>
      <top style="thin">
        <color rgb="FFD0D0D0"/>
      </top>
      <bottom style="thin">
        <color rgb="FFD0D0D0"/>
      </bottom>
      <diagonal/>
    </border>
    <border>
      <left style="medium">
        <color rgb="FF806000"/>
      </left>
      <right style="thin">
        <color rgb="FFD0D0D0"/>
      </right>
      <top style="thin">
        <color rgb="FFD0D0D0"/>
      </top>
      <bottom style="medium">
        <color rgb="FF806000"/>
      </bottom>
      <diagonal/>
    </border>
    <border>
      <left style="thin">
        <color rgb="FFD0D0D0"/>
      </left>
      <right style="thin">
        <color rgb="FFD0D0D0"/>
      </right>
      <top style="thin">
        <color rgb="FFD0D0D0"/>
      </top>
      <bottom style="medium">
        <color rgb="FF806000"/>
      </bottom>
      <diagonal/>
    </border>
    <border>
      <left style="thin">
        <color rgb="FFD0D0D0"/>
      </left>
      <right style="medium">
        <color rgb="FF806000"/>
      </right>
      <top style="thin">
        <color rgb="FFD0D0D0"/>
      </top>
      <bottom style="medium">
        <color rgb="FF806000"/>
      </bottom>
      <diagonal/>
    </border>
    <border>
      <left style="medium">
        <color rgb="FF5B2C83"/>
      </left>
      <right style="thin">
        <color rgb="FFD0D0D0"/>
      </right>
      <top style="medium">
        <color rgb="FF5B2C83"/>
      </top>
      <bottom style="thin">
        <color rgb="FFD0D0D0"/>
      </bottom>
      <diagonal/>
    </border>
    <border>
      <left style="thin">
        <color rgb="FFD0D0D0"/>
      </left>
      <right style="thin">
        <color rgb="FFD0D0D0"/>
      </right>
      <top style="medium">
        <color rgb="FF5B2C83"/>
      </top>
      <bottom style="thin">
        <color rgb="FFD0D0D0"/>
      </bottom>
      <diagonal/>
    </border>
    <border>
      <left style="thin">
        <color rgb="FFD0D0D0"/>
      </left>
      <right style="medium">
        <color rgb="FF5B2C83"/>
      </right>
      <top style="medium">
        <color rgb="FF5B2C83"/>
      </top>
      <bottom style="thin">
        <color rgb="FFD0D0D0"/>
      </bottom>
      <diagonal/>
    </border>
    <border>
      <left style="medium">
        <color rgb="FF5B2C83"/>
      </left>
      <right style="thin">
        <color rgb="FFD0D0D0"/>
      </right>
      <top style="thin">
        <color rgb="FFD0D0D0"/>
      </top>
      <bottom style="thin">
        <color rgb="FF5B2C83"/>
      </bottom>
      <diagonal/>
    </border>
    <border>
      <left style="thin">
        <color rgb="FFD0D0D0"/>
      </left>
      <right style="thin">
        <color rgb="FFD0D0D0"/>
      </right>
      <top style="thin">
        <color rgb="FFD0D0D0"/>
      </top>
      <bottom style="thin">
        <color rgb="FF5B2C83"/>
      </bottom>
      <diagonal/>
    </border>
    <border>
      <left style="thin">
        <color rgb="FFD0D0D0"/>
      </left>
      <right style="medium">
        <color rgb="FF5B2C83"/>
      </right>
      <top style="thin">
        <color rgb="FFD0D0D0"/>
      </top>
      <bottom style="thin">
        <color rgb="FF5B2C83"/>
      </bottom>
      <diagonal/>
    </border>
    <border>
      <left style="medium">
        <color rgb="FF5B2C83"/>
      </left>
      <right style="thin">
        <color rgb="FFD0D0D0"/>
      </right>
      <top style="thin">
        <color rgb="FFD0D0D0"/>
      </top>
      <bottom style="thin">
        <color rgb="FFD0D0D0"/>
      </bottom>
      <diagonal/>
    </border>
    <border>
      <left style="thin">
        <color rgb="FFD0D0D0"/>
      </left>
      <right style="medium">
        <color rgb="FF5B2C83"/>
      </right>
      <top style="thin">
        <color rgb="FFD0D0D0"/>
      </top>
      <bottom style="thin">
        <color rgb="FFD0D0D0"/>
      </bottom>
      <diagonal/>
    </border>
    <border>
      <left style="medium">
        <color rgb="FF5B2C83"/>
      </left>
      <right style="thin">
        <color rgb="FFD0D0D0"/>
      </right>
      <top style="thin">
        <color rgb="FFD0D0D0"/>
      </top>
      <bottom style="medium">
        <color rgb="FF5B2C83"/>
      </bottom>
      <diagonal/>
    </border>
    <border>
      <left style="thin">
        <color rgb="FFD0D0D0"/>
      </left>
      <right style="thin">
        <color rgb="FFD0D0D0"/>
      </right>
      <top style="thin">
        <color rgb="FFD0D0D0"/>
      </top>
      <bottom style="medium">
        <color rgb="FF5B2C83"/>
      </bottom>
      <diagonal/>
    </border>
    <border>
      <left style="thin">
        <color rgb="FFD0D0D0"/>
      </left>
      <right style="medium">
        <color rgb="FF5B2C83"/>
      </right>
      <top style="thin">
        <color rgb="FFD0D0D0"/>
      </top>
      <bottom style="medium">
        <color rgb="FF5B2C83"/>
      </bottom>
      <diagonal/>
    </border>
    <border>
      <left style="medium">
        <color rgb="FF595959"/>
      </left>
      <right style="thin">
        <color rgb="FFD0D0D0"/>
      </right>
      <top style="medium">
        <color rgb="FF595959"/>
      </top>
      <bottom style="thin">
        <color rgb="FFD0D0D0"/>
      </bottom>
      <diagonal/>
    </border>
    <border>
      <left style="thin">
        <color rgb="FFD0D0D0"/>
      </left>
      <right style="thin">
        <color rgb="FFD0D0D0"/>
      </right>
      <top style="medium">
        <color rgb="FF595959"/>
      </top>
      <bottom style="thin">
        <color rgb="FFD0D0D0"/>
      </bottom>
      <diagonal/>
    </border>
    <border>
      <left style="thin">
        <color rgb="FFD0D0D0"/>
      </left>
      <right style="medium">
        <color rgb="FF595959"/>
      </right>
      <top style="medium">
        <color rgb="FF595959"/>
      </top>
      <bottom style="thin">
        <color rgb="FFD0D0D0"/>
      </bottom>
      <diagonal/>
    </border>
    <border>
      <left style="medium">
        <color rgb="FF595959"/>
      </left>
      <right style="thin">
        <color rgb="FFD0D0D0"/>
      </right>
      <top style="thin">
        <color rgb="FFD0D0D0"/>
      </top>
      <bottom style="thin">
        <color rgb="FF595959"/>
      </bottom>
      <diagonal/>
    </border>
    <border>
      <left style="thin">
        <color rgb="FFD0D0D0"/>
      </left>
      <right style="thin">
        <color rgb="FFD0D0D0"/>
      </right>
      <top style="thin">
        <color rgb="FFD0D0D0"/>
      </top>
      <bottom style="thin">
        <color rgb="FF595959"/>
      </bottom>
      <diagonal/>
    </border>
    <border>
      <left style="thin">
        <color rgb="FFD0D0D0"/>
      </left>
      <right style="medium">
        <color rgb="FF595959"/>
      </right>
      <top style="thin">
        <color rgb="FFD0D0D0"/>
      </top>
      <bottom style="thin">
        <color rgb="FF595959"/>
      </bottom>
      <diagonal/>
    </border>
    <border>
      <left style="medium">
        <color rgb="FF595959"/>
      </left>
      <right style="thin">
        <color rgb="FFD0D0D0"/>
      </right>
      <top style="thin">
        <color rgb="FFD0D0D0"/>
      </top>
      <bottom style="thin">
        <color rgb="FFD0D0D0"/>
      </bottom>
      <diagonal/>
    </border>
    <border>
      <left style="thin">
        <color rgb="FFD0D0D0"/>
      </left>
      <right style="medium">
        <color rgb="FF595959"/>
      </right>
      <top style="thin">
        <color rgb="FFD0D0D0"/>
      </top>
      <bottom style="thin">
        <color rgb="FFD0D0D0"/>
      </bottom>
      <diagonal/>
    </border>
    <border>
      <left style="medium">
        <color rgb="FF595959"/>
      </left>
      <right style="thin">
        <color rgb="FFD0D0D0"/>
      </right>
      <top style="thin">
        <color rgb="FFD0D0D0"/>
      </top>
      <bottom style="medium">
        <color rgb="FF595959"/>
      </bottom>
      <diagonal/>
    </border>
    <border>
      <left style="thin">
        <color rgb="FFD0D0D0"/>
      </left>
      <right style="thin">
        <color rgb="FFD0D0D0"/>
      </right>
      <top style="thin">
        <color rgb="FFD0D0D0"/>
      </top>
      <bottom style="medium">
        <color rgb="FF595959"/>
      </bottom>
      <diagonal/>
    </border>
    <border>
      <left style="thin">
        <color rgb="FFD0D0D0"/>
      </left>
      <right style="medium">
        <color rgb="FF595959"/>
      </right>
      <top style="thin">
        <color rgb="FFD0D0D0"/>
      </top>
      <bottom style="medium">
        <color rgb="FF595959"/>
      </bottom>
      <diagonal/>
    </border>
    <border>
      <left style="medium">
        <color rgb="FF1B6B73"/>
      </left>
      <right style="thin">
        <color rgb="FFD0D0D0"/>
      </right>
      <top style="medium">
        <color rgb="FF1B6B73"/>
      </top>
      <bottom style="thin">
        <color rgb="FFD0D0D0"/>
      </bottom>
      <diagonal/>
    </border>
    <border>
      <left style="thin">
        <color rgb="FFD0D0D0"/>
      </left>
      <right style="thin">
        <color rgb="FFD0D0D0"/>
      </right>
      <top style="medium">
        <color rgb="FF1B6B73"/>
      </top>
      <bottom style="thin">
        <color rgb="FFD0D0D0"/>
      </bottom>
      <diagonal/>
    </border>
    <border>
      <left style="thin">
        <color rgb="FFD0D0D0"/>
      </left>
      <right style="medium">
        <color rgb="FF1B6B73"/>
      </right>
      <top style="medium">
        <color rgb="FF1B6B73"/>
      </top>
      <bottom style="thin">
        <color rgb="FFD0D0D0"/>
      </bottom>
      <diagonal/>
    </border>
    <border>
      <left style="medium">
        <color rgb="FF1B6B73"/>
      </left>
      <right style="thin">
        <color rgb="FFD0D0D0"/>
      </right>
      <top style="thin">
        <color rgb="FFD0D0D0"/>
      </top>
      <bottom style="thin">
        <color rgb="FF1B6B73"/>
      </bottom>
      <diagonal/>
    </border>
    <border>
      <left style="thin">
        <color rgb="FFD0D0D0"/>
      </left>
      <right style="thin">
        <color rgb="FFD0D0D0"/>
      </right>
      <top style="thin">
        <color rgb="FFD0D0D0"/>
      </top>
      <bottom style="thin">
        <color rgb="FF1B6B73"/>
      </bottom>
      <diagonal/>
    </border>
    <border>
      <left style="thin">
        <color rgb="FFD0D0D0"/>
      </left>
      <right style="medium">
        <color rgb="FF1B6B73"/>
      </right>
      <top style="thin">
        <color rgb="FFD0D0D0"/>
      </top>
      <bottom style="thin">
        <color rgb="FF1B6B73"/>
      </bottom>
      <diagonal/>
    </border>
    <border>
      <left style="medium">
        <color rgb="FF1B6B73"/>
      </left>
      <right style="thin">
        <color rgb="FFD0D0D0"/>
      </right>
      <top style="thin">
        <color rgb="FFD0D0D0"/>
      </top>
      <bottom style="thin">
        <color rgb="FFD0D0D0"/>
      </bottom>
      <diagonal/>
    </border>
    <border>
      <left style="thin">
        <color rgb="FFD0D0D0"/>
      </left>
      <right style="medium">
        <color rgb="FF1B6B73"/>
      </right>
      <top style="thin">
        <color rgb="FFD0D0D0"/>
      </top>
      <bottom style="thin">
        <color rgb="FFD0D0D0"/>
      </bottom>
      <diagonal/>
    </border>
    <border>
      <left style="medium">
        <color rgb="FF1B6B73"/>
      </left>
      <right style="thin">
        <color rgb="FFD0D0D0"/>
      </right>
      <top style="thin">
        <color rgb="FFD0D0D0"/>
      </top>
      <bottom style="medium">
        <color rgb="FF1B6B73"/>
      </bottom>
      <diagonal/>
    </border>
    <border>
      <left style="thin">
        <color rgb="FFD0D0D0"/>
      </left>
      <right style="thin">
        <color rgb="FFD0D0D0"/>
      </right>
      <top style="thin">
        <color rgb="FFD0D0D0"/>
      </top>
      <bottom style="medium">
        <color rgb="FF1B6B73"/>
      </bottom>
      <diagonal/>
    </border>
    <border>
      <left style="thin">
        <color rgb="FFD0D0D0"/>
      </left>
      <right style="medium">
        <color rgb="FF1B6B73"/>
      </right>
      <top style="thin">
        <color rgb="FFD0D0D0"/>
      </top>
      <bottom style="medium">
        <color rgb="FF1B6B73"/>
      </bottom>
      <diagonal/>
    </border>
    <border>
      <left style="medium">
        <color rgb="FF375623"/>
      </left>
      <right style="thin">
        <color rgb="FFD0D0D0"/>
      </right>
      <top style="medium">
        <color rgb="FF375623"/>
      </top>
      <bottom style="thin">
        <color rgb="FFD0D0D0"/>
      </bottom>
      <diagonal/>
    </border>
    <border>
      <left style="thin">
        <color rgb="FFD0D0D0"/>
      </left>
      <right style="thin">
        <color rgb="FFD0D0D0"/>
      </right>
      <top style="medium">
        <color rgb="FF375623"/>
      </top>
      <bottom style="thin">
        <color rgb="FFD0D0D0"/>
      </bottom>
      <diagonal/>
    </border>
    <border>
      <left style="thin">
        <color rgb="FFD0D0D0"/>
      </left>
      <right style="medium">
        <color rgb="FF375623"/>
      </right>
      <top style="medium">
        <color rgb="FF375623"/>
      </top>
      <bottom style="thin">
        <color rgb="FFD0D0D0"/>
      </bottom>
      <diagonal/>
    </border>
    <border>
      <left style="medium">
        <color rgb="FF375623"/>
      </left>
      <right style="thin">
        <color rgb="FFD0D0D0"/>
      </right>
      <top style="thin">
        <color rgb="FFD0D0D0"/>
      </top>
      <bottom style="thin">
        <color rgb="FFD0D0D0"/>
      </bottom>
      <diagonal/>
    </border>
    <border>
      <left style="thin">
        <color rgb="FFD0D0D0"/>
      </left>
      <right style="medium">
        <color rgb="FF375623"/>
      </right>
      <top style="thin">
        <color rgb="FFD0D0D0"/>
      </top>
      <bottom style="thin">
        <color rgb="FFD0D0D0"/>
      </bottom>
      <diagonal/>
    </border>
    <border>
      <left style="medium">
        <color rgb="FF375623"/>
      </left>
      <right style="thin">
        <color rgb="FFD0D0D0"/>
      </right>
      <top style="thin">
        <color rgb="FFD0D0D0"/>
      </top>
      <bottom style="thin">
        <color rgb="FF375623"/>
      </bottom>
      <diagonal/>
    </border>
    <border>
      <left style="thin">
        <color rgb="FFD0D0D0"/>
      </left>
      <right style="thin">
        <color rgb="FFD0D0D0"/>
      </right>
      <top style="thin">
        <color rgb="FFD0D0D0"/>
      </top>
      <bottom style="thin">
        <color rgb="FF375623"/>
      </bottom>
      <diagonal/>
    </border>
    <border>
      <left style="thin">
        <color rgb="FFD0D0D0"/>
      </left>
      <right style="medium">
        <color rgb="FF375623"/>
      </right>
      <top style="thin">
        <color rgb="FFD0D0D0"/>
      </top>
      <bottom style="thin">
        <color rgb="FF375623"/>
      </bottom>
      <diagonal/>
    </border>
    <border>
      <left style="medium">
        <color rgb="FF375623"/>
      </left>
      <right style="thin">
        <color rgb="FFD0D0D0"/>
      </right>
      <top style="thin">
        <color rgb="FFD0D0D0"/>
      </top>
      <bottom style="medium">
        <color rgb="FF375623"/>
      </bottom>
      <diagonal/>
    </border>
    <border>
      <left style="thin">
        <color rgb="FFD0D0D0"/>
      </left>
      <right style="thin">
        <color rgb="FFD0D0D0"/>
      </right>
      <top style="thin">
        <color rgb="FFD0D0D0"/>
      </top>
      <bottom style="medium">
        <color rgb="FF375623"/>
      </bottom>
      <diagonal/>
    </border>
    <border>
      <left style="thin">
        <color rgb="FFD0D0D0"/>
      </left>
      <right style="medium">
        <color rgb="FF375623"/>
      </right>
      <top style="thin">
        <color rgb="FFD0D0D0"/>
      </top>
      <bottom style="medium">
        <color rgb="FF375623"/>
      </bottom>
      <diagonal/>
    </border>
    <border>
      <left style="medium">
        <color rgb="FF4F6228"/>
      </left>
      <right style="thin">
        <color rgb="FFD0D0D0"/>
      </right>
      <top style="medium">
        <color rgb="FF4F6228"/>
      </top>
      <bottom style="thin">
        <color rgb="FFD0D0D0"/>
      </bottom>
      <diagonal/>
    </border>
    <border>
      <left style="thin">
        <color rgb="FFD0D0D0"/>
      </left>
      <right style="thin">
        <color rgb="FFD0D0D0"/>
      </right>
      <top style="medium">
        <color rgb="FF4F6228"/>
      </top>
      <bottom style="thin">
        <color rgb="FFD0D0D0"/>
      </bottom>
      <diagonal/>
    </border>
    <border>
      <left style="thin">
        <color rgb="FFD0D0D0"/>
      </left>
      <right style="medium">
        <color rgb="FF4F6228"/>
      </right>
      <top style="medium">
        <color rgb="FF4F6228"/>
      </top>
      <bottom style="thin">
        <color rgb="FFD0D0D0"/>
      </bottom>
      <diagonal/>
    </border>
    <border>
      <left style="medium">
        <color rgb="FF4F6228"/>
      </left>
      <right style="thin">
        <color rgb="FFD0D0D0"/>
      </right>
      <top style="thin">
        <color rgb="FFD0D0D0"/>
      </top>
      <bottom style="thin">
        <color rgb="FF4F6228"/>
      </bottom>
      <diagonal/>
    </border>
    <border>
      <left style="thin">
        <color rgb="FFD0D0D0"/>
      </left>
      <right style="thin">
        <color rgb="FFD0D0D0"/>
      </right>
      <top style="thin">
        <color rgb="FFD0D0D0"/>
      </top>
      <bottom style="thin">
        <color rgb="FF4F6228"/>
      </bottom>
      <diagonal/>
    </border>
    <border>
      <left style="thin">
        <color rgb="FFD0D0D0"/>
      </left>
      <right style="medium">
        <color rgb="FF4F6228"/>
      </right>
      <top style="thin">
        <color rgb="FFD0D0D0"/>
      </top>
      <bottom style="thin">
        <color rgb="FF4F6228"/>
      </bottom>
      <diagonal/>
    </border>
    <border>
      <left style="medium">
        <color rgb="FF4F6228"/>
      </left>
      <right style="thin">
        <color rgb="FFD0D0D0"/>
      </right>
      <top style="thin">
        <color rgb="FFD0D0D0"/>
      </top>
      <bottom style="thin">
        <color rgb="FFD0D0D0"/>
      </bottom>
      <diagonal/>
    </border>
    <border>
      <left style="thin">
        <color rgb="FFD0D0D0"/>
      </left>
      <right style="medium">
        <color rgb="FF4F6228"/>
      </right>
      <top style="thin">
        <color rgb="FFD0D0D0"/>
      </top>
      <bottom style="thin">
        <color rgb="FFD0D0D0"/>
      </bottom>
      <diagonal/>
    </border>
    <border>
      <left style="medium">
        <color rgb="FF4F6228"/>
      </left>
      <right style="thin">
        <color rgb="FFD0D0D0"/>
      </right>
      <top style="thin">
        <color rgb="FFD0D0D0"/>
      </top>
      <bottom style="medium">
        <color rgb="FF4F6228"/>
      </bottom>
      <diagonal/>
    </border>
    <border>
      <left style="thin">
        <color rgb="FFD0D0D0"/>
      </left>
      <right style="thin">
        <color rgb="FFD0D0D0"/>
      </right>
      <top style="thin">
        <color rgb="FFD0D0D0"/>
      </top>
      <bottom style="medium">
        <color rgb="FF4F6228"/>
      </bottom>
      <diagonal/>
    </border>
    <border>
      <left style="thin">
        <color rgb="FFD0D0D0"/>
      </left>
      <right style="medium">
        <color rgb="FF4F6228"/>
      </right>
      <top style="thin">
        <color rgb="FFD0D0D0"/>
      </top>
      <bottom style="medium">
        <color rgb="FF4F6228"/>
      </bottom>
      <diagonal/>
    </border>
    <border>
      <left style="medium">
        <color rgb="FF203864"/>
      </left>
      <right style="thin">
        <color rgb="FFD0D0D0"/>
      </right>
      <top style="medium">
        <color rgb="FF203864"/>
      </top>
      <bottom style="thin">
        <color rgb="FFD0D0D0"/>
      </bottom>
      <diagonal/>
    </border>
    <border>
      <left style="thin">
        <color rgb="FFD0D0D0"/>
      </left>
      <right style="thin">
        <color rgb="FFD0D0D0"/>
      </right>
      <top style="medium">
        <color rgb="FF203864"/>
      </top>
      <bottom style="thin">
        <color rgb="FFD0D0D0"/>
      </bottom>
      <diagonal/>
    </border>
    <border>
      <left style="thin">
        <color rgb="FFD0D0D0"/>
      </left>
      <right style="medium">
        <color rgb="FF203864"/>
      </right>
      <top style="medium">
        <color rgb="FF203864"/>
      </top>
      <bottom style="thin">
        <color rgb="FFD0D0D0"/>
      </bottom>
      <diagonal/>
    </border>
    <border>
      <left style="medium">
        <color rgb="FF203864"/>
      </left>
      <right style="thin">
        <color rgb="FFD0D0D0"/>
      </right>
      <top style="thin">
        <color rgb="FFD0D0D0"/>
      </top>
      <bottom style="thin">
        <color rgb="FF203864"/>
      </bottom>
      <diagonal/>
    </border>
    <border>
      <left style="thin">
        <color rgb="FFD0D0D0"/>
      </left>
      <right style="thin">
        <color rgb="FFD0D0D0"/>
      </right>
      <top style="thin">
        <color rgb="FFD0D0D0"/>
      </top>
      <bottom style="thin">
        <color rgb="FF203864"/>
      </bottom>
      <diagonal/>
    </border>
    <border>
      <left style="thin">
        <color rgb="FFD0D0D0"/>
      </left>
      <right style="medium">
        <color rgb="FF203864"/>
      </right>
      <top style="thin">
        <color rgb="FFD0D0D0"/>
      </top>
      <bottom style="thin">
        <color rgb="FF203864"/>
      </bottom>
      <diagonal/>
    </border>
    <border>
      <left style="medium">
        <color rgb="FF203864"/>
      </left>
      <right style="thin">
        <color rgb="FFD0D0D0"/>
      </right>
      <top style="thin">
        <color rgb="FFD0D0D0"/>
      </top>
      <bottom style="thin">
        <color rgb="FFD0D0D0"/>
      </bottom>
      <diagonal/>
    </border>
    <border>
      <left style="thin">
        <color rgb="FFD0D0D0"/>
      </left>
      <right style="medium">
        <color rgb="FF203864"/>
      </right>
      <top style="thin">
        <color rgb="FFD0D0D0"/>
      </top>
      <bottom style="thin">
        <color rgb="FFD0D0D0"/>
      </bottom>
      <diagonal/>
    </border>
    <border>
      <left style="medium">
        <color rgb="FF203864"/>
      </left>
      <right style="thin">
        <color rgb="FFD0D0D0"/>
      </right>
      <top style="thin">
        <color rgb="FFD0D0D0"/>
      </top>
      <bottom style="medium">
        <color rgb="FF203864"/>
      </bottom>
      <diagonal/>
    </border>
    <border>
      <left style="thin">
        <color rgb="FFD0D0D0"/>
      </left>
      <right style="thin">
        <color rgb="FFD0D0D0"/>
      </right>
      <top style="thin">
        <color rgb="FFD0D0D0"/>
      </top>
      <bottom style="medium">
        <color rgb="FF203864"/>
      </bottom>
      <diagonal/>
    </border>
    <border>
      <left style="thin">
        <color rgb="FFD0D0D0"/>
      </left>
      <right style="medium">
        <color rgb="FF203864"/>
      </right>
      <top style="thin">
        <color rgb="FFD0D0D0"/>
      </top>
      <bottom style="medium">
        <color rgb="FF203864"/>
      </bottom>
      <diagonal/>
    </border>
    <border>
      <left style="medium">
        <color rgb="FFA50021"/>
      </left>
      <right style="thin">
        <color rgb="FFD0D0D0"/>
      </right>
      <top style="medium">
        <color rgb="FFA50021"/>
      </top>
      <bottom style="thin">
        <color rgb="FFD0D0D0"/>
      </bottom>
      <diagonal/>
    </border>
    <border>
      <left style="thin">
        <color rgb="FFD0D0D0"/>
      </left>
      <right style="thin">
        <color rgb="FFD0D0D0"/>
      </right>
      <top style="medium">
        <color rgb="FFA50021"/>
      </top>
      <bottom style="thin">
        <color rgb="FFD0D0D0"/>
      </bottom>
      <diagonal/>
    </border>
    <border>
      <left style="thin">
        <color rgb="FFD0D0D0"/>
      </left>
      <right style="medium">
        <color rgb="FFA50021"/>
      </right>
      <top style="medium">
        <color rgb="FFA50021"/>
      </top>
      <bottom style="thin">
        <color rgb="FFD0D0D0"/>
      </bottom>
      <diagonal/>
    </border>
    <border>
      <left style="medium">
        <color rgb="FFA50021"/>
      </left>
      <right style="thin">
        <color rgb="FFD0D0D0"/>
      </right>
      <top style="thin">
        <color rgb="FFD0D0D0"/>
      </top>
      <bottom style="thin">
        <color rgb="FFA50021"/>
      </bottom>
      <diagonal/>
    </border>
    <border>
      <left style="thin">
        <color rgb="FFD0D0D0"/>
      </left>
      <right style="thin">
        <color rgb="FFD0D0D0"/>
      </right>
      <top style="thin">
        <color rgb="FFD0D0D0"/>
      </top>
      <bottom style="thin">
        <color rgb="FFA50021"/>
      </bottom>
      <diagonal/>
    </border>
    <border>
      <left style="thin">
        <color rgb="FFD0D0D0"/>
      </left>
      <right style="medium">
        <color rgb="FFA50021"/>
      </right>
      <top style="thin">
        <color rgb="FFD0D0D0"/>
      </top>
      <bottom style="thin">
        <color rgb="FFA50021"/>
      </bottom>
      <diagonal/>
    </border>
    <border>
      <left style="medium">
        <color rgb="FFA50021"/>
      </left>
      <right style="thin">
        <color rgb="FFD0D0D0"/>
      </right>
      <top style="thin">
        <color rgb="FFD0D0D0"/>
      </top>
      <bottom style="thin">
        <color rgb="FFD0D0D0"/>
      </bottom>
      <diagonal/>
    </border>
    <border>
      <left style="thin">
        <color rgb="FFD0D0D0"/>
      </left>
      <right style="medium">
        <color rgb="FFA50021"/>
      </right>
      <top style="thin">
        <color rgb="FFD0D0D0"/>
      </top>
      <bottom style="thin">
        <color rgb="FFD0D0D0"/>
      </bottom>
      <diagonal/>
    </border>
    <border>
      <left style="medium">
        <color rgb="FFA50021"/>
      </left>
      <right style="thin">
        <color rgb="FFD0D0D0"/>
      </right>
      <top style="thin">
        <color rgb="FFD0D0D0"/>
      </top>
      <bottom style="medium">
        <color rgb="FFA50021"/>
      </bottom>
      <diagonal/>
    </border>
    <border>
      <left style="thin">
        <color rgb="FFD0D0D0"/>
      </left>
      <right style="thin">
        <color rgb="FFD0D0D0"/>
      </right>
      <top style="thin">
        <color rgb="FFD0D0D0"/>
      </top>
      <bottom style="medium">
        <color rgb="FFA50021"/>
      </bottom>
      <diagonal/>
    </border>
    <border>
      <left style="thin">
        <color rgb="FFD0D0D0"/>
      </left>
      <right style="medium">
        <color rgb="FFA50021"/>
      </right>
      <top style="thin">
        <color rgb="FFD0D0D0"/>
      </top>
      <bottom style="medium">
        <color rgb="FFA50021"/>
      </bottom>
      <diagonal/>
    </border>
    <border>
      <left style="medium">
        <color rgb="FFC55A11"/>
      </left>
      <right style="thin">
        <color rgb="FFD0D0D0"/>
      </right>
      <top style="medium">
        <color rgb="FFC55A11"/>
      </top>
      <bottom style="thin">
        <color rgb="FFD0D0D0"/>
      </bottom>
      <diagonal/>
    </border>
    <border>
      <left style="thin">
        <color rgb="FFD0D0D0"/>
      </left>
      <right style="thin">
        <color rgb="FFD0D0D0"/>
      </right>
      <top style="medium">
        <color rgb="FFC55A11"/>
      </top>
      <bottom style="thin">
        <color rgb="FFD0D0D0"/>
      </bottom>
      <diagonal/>
    </border>
    <border>
      <left style="thin">
        <color rgb="FFD0D0D0"/>
      </left>
      <right style="medium">
        <color rgb="FFC55A11"/>
      </right>
      <top style="medium">
        <color rgb="FFC55A11"/>
      </top>
      <bottom style="thin">
        <color rgb="FFD0D0D0"/>
      </bottom>
      <diagonal/>
    </border>
    <border>
      <left style="medium">
        <color rgb="FFC55A11"/>
      </left>
      <right style="thin">
        <color rgb="FFD0D0D0"/>
      </right>
      <top style="thin">
        <color rgb="FFD0D0D0"/>
      </top>
      <bottom style="thin">
        <color rgb="FFC55A11"/>
      </bottom>
      <diagonal/>
    </border>
    <border>
      <left style="thin">
        <color rgb="FFD0D0D0"/>
      </left>
      <right style="thin">
        <color rgb="FFD0D0D0"/>
      </right>
      <top style="thin">
        <color rgb="FFD0D0D0"/>
      </top>
      <bottom style="thin">
        <color rgb="FFC55A11"/>
      </bottom>
      <diagonal/>
    </border>
    <border>
      <left style="thin">
        <color rgb="FFD0D0D0"/>
      </left>
      <right style="medium">
        <color rgb="FFC55A11"/>
      </right>
      <top style="thin">
        <color rgb="FFD0D0D0"/>
      </top>
      <bottom style="thin">
        <color rgb="FFC55A11"/>
      </bottom>
      <diagonal/>
    </border>
    <border>
      <left style="medium">
        <color rgb="FFC55A11"/>
      </left>
      <right style="thin">
        <color rgb="FFD0D0D0"/>
      </right>
      <top style="thin">
        <color rgb="FFD0D0D0"/>
      </top>
      <bottom style="thin">
        <color rgb="FFD0D0D0"/>
      </bottom>
      <diagonal/>
    </border>
    <border>
      <left style="thin">
        <color rgb="FFD0D0D0"/>
      </left>
      <right style="medium">
        <color rgb="FFC55A11"/>
      </right>
      <top style="thin">
        <color rgb="FFD0D0D0"/>
      </top>
      <bottom style="thin">
        <color rgb="FFD0D0D0"/>
      </bottom>
      <diagonal/>
    </border>
    <border>
      <left style="medium">
        <color rgb="FFC55A11"/>
      </left>
      <right style="thin">
        <color rgb="FFD0D0D0"/>
      </right>
      <top style="thin">
        <color rgb="FFD0D0D0"/>
      </top>
      <bottom style="medium">
        <color rgb="FFC55A11"/>
      </bottom>
      <diagonal/>
    </border>
    <border>
      <left style="thin">
        <color rgb="FFD0D0D0"/>
      </left>
      <right style="thin">
        <color rgb="FFD0D0D0"/>
      </right>
      <top style="thin">
        <color rgb="FFD0D0D0"/>
      </top>
      <bottom style="medium">
        <color rgb="FFC55A11"/>
      </bottom>
      <diagonal/>
    </border>
    <border>
      <left style="thin">
        <color rgb="FFD0D0D0"/>
      </left>
      <right style="medium">
        <color rgb="FFC55A11"/>
      </right>
      <top style="thin">
        <color rgb="FFD0D0D0"/>
      </top>
      <bottom style="medium">
        <color rgb="FFC55A11"/>
      </bottom>
      <diagonal/>
    </border>
    <border>
      <left style="thin">
        <color rgb="FFD0D0D0"/>
      </left>
      <right style="medium">
        <color rgb="FF595959"/>
      </right>
      <top style="thin">
        <color rgb="FFD0D0D0"/>
      </top>
      <bottom style="thin">
        <color rgb="FFC55A11"/>
      </bottom>
      <diagonal/>
    </border>
    <border>
      <left style="medium">
        <color rgb="FF843C0C"/>
      </left>
      <right style="thin">
        <color rgb="FFD0D0D0"/>
      </right>
      <top style="medium">
        <color rgb="FF843C0C"/>
      </top>
      <bottom style="thin">
        <color rgb="FFD0D0D0"/>
      </bottom>
      <diagonal/>
    </border>
    <border>
      <left style="thin">
        <color rgb="FFD0D0D0"/>
      </left>
      <right style="thin">
        <color rgb="FFD0D0D0"/>
      </right>
      <top style="medium">
        <color rgb="FF843C0C"/>
      </top>
      <bottom style="thin">
        <color rgb="FFD0D0D0"/>
      </bottom>
      <diagonal/>
    </border>
    <border>
      <left style="thin">
        <color rgb="FFD0D0D0"/>
      </left>
      <right style="medium">
        <color rgb="FF843C0C"/>
      </right>
      <top style="medium">
        <color rgb="FF843C0C"/>
      </top>
      <bottom style="thin">
        <color rgb="FFD0D0D0"/>
      </bottom>
      <diagonal/>
    </border>
    <border>
      <left style="medium">
        <color rgb="FF843C0C"/>
      </left>
      <right style="thin">
        <color rgb="FFD0D0D0"/>
      </right>
      <top style="thin">
        <color rgb="FFD0D0D0"/>
      </top>
      <bottom style="thin">
        <color rgb="FFD0D0D0"/>
      </bottom>
      <diagonal/>
    </border>
    <border>
      <left style="thin">
        <color rgb="FFD0D0D0"/>
      </left>
      <right style="medium">
        <color rgb="FF843C0C"/>
      </right>
      <top style="thin">
        <color rgb="FFD0D0D0"/>
      </top>
      <bottom style="thin">
        <color rgb="FFD0D0D0"/>
      </bottom>
      <diagonal/>
    </border>
    <border>
      <left style="medium">
        <color rgb="FF843C0C"/>
      </left>
      <right style="thin">
        <color rgb="FFD0D0D0"/>
      </right>
      <top style="thin">
        <color rgb="FFD0D0D0"/>
      </top>
      <bottom style="medium">
        <color rgb="FF843C0C"/>
      </bottom>
      <diagonal/>
    </border>
    <border>
      <left style="thin">
        <color rgb="FFD0D0D0"/>
      </left>
      <right style="thin">
        <color rgb="FFD0D0D0"/>
      </right>
      <top style="thin">
        <color rgb="FFD0D0D0"/>
      </top>
      <bottom style="medium">
        <color rgb="FF843C0C"/>
      </bottom>
      <diagonal/>
    </border>
    <border>
      <left style="thin">
        <color rgb="FFD0D0D0"/>
      </left>
      <right style="medium">
        <color rgb="FF843C0C"/>
      </right>
      <top style="thin">
        <color rgb="FFD0D0D0"/>
      </top>
      <bottom style="medium">
        <color rgb="FF843C0C"/>
      </bottom>
      <diagonal/>
    </border>
    <border>
      <left style="thin">
        <color rgb="FFD0D0D0"/>
      </left>
      <right style="thin">
        <color rgb="FFD0D0D0"/>
      </right>
      <top style="thin">
        <color rgb="FFD0D0D0"/>
      </top>
      <bottom style="thin">
        <color rgb="FF843C0C"/>
      </bottom>
      <diagonal/>
    </border>
    <border>
      <left style="thin">
        <color rgb="FFD0D0D0"/>
      </left>
      <right style="medium">
        <color rgb="FF595959"/>
      </right>
      <top style="thin">
        <color rgb="FFD0D0D0"/>
      </top>
      <bottom style="thin">
        <color rgb="FF843C0C"/>
      </bottom>
      <diagonal/>
    </border>
    <border>
      <left style="medium">
        <color rgb="FF843C0C"/>
      </left>
      <right style="thin">
        <color rgb="FFD0D0D0"/>
      </right>
      <top style="thin">
        <color rgb="FFD0D0D0"/>
      </top>
      <bottom style="thin">
        <color rgb="FF843C0C"/>
      </bottom>
      <diagonal/>
    </border>
    <border>
      <left style="thin">
        <color rgb="FFD0D0D0"/>
      </left>
      <right style="medium">
        <color rgb="FF843C0C"/>
      </right>
      <top style="thin">
        <color rgb="FFD0D0D0"/>
      </top>
      <bottom style="thin">
        <color rgb="FF843C0C"/>
      </bottom>
      <diagonal/>
    </border>
    <border>
      <left style="medium">
        <color rgb="FF203864"/>
      </left>
      <right style="thin">
        <color rgb="FFD0D0D0"/>
      </right>
      <top style="medium">
        <color rgb="FF203864"/>
      </top>
      <bottom style="medium">
        <color rgb="FF203864"/>
      </bottom>
      <diagonal/>
    </border>
    <border>
      <left style="thin">
        <color rgb="FFD0D0D0"/>
      </left>
      <right style="thin">
        <color rgb="FFD0D0D0"/>
      </right>
      <top style="medium">
        <color rgb="FF203864"/>
      </top>
      <bottom style="medium">
        <color rgb="FF203864"/>
      </bottom>
      <diagonal/>
    </border>
    <border>
      <left style="thin">
        <color rgb="FFD0D0D0"/>
      </left>
      <right style="medium">
        <color rgb="FF203864"/>
      </right>
      <top style="medium">
        <color rgb="FF203864"/>
      </top>
      <bottom style="medium">
        <color rgb="FF203864"/>
      </bottom>
      <diagonal/>
    </border>
  </borders>
  <cellStyleXfs count="3">
    <xf numFmtId="0" fontId="0" fillId="0" borderId="0"/>
    <xf numFmtId="0" fontId="3" fillId="0" borderId="0"/>
    <xf numFmtId="9" fontId="1" fillId="0" borderId="0"/>
  </cellStyleXfs>
  <cellXfs count="424">
    <xf numFmtId="0" fontId="0" fillId="0" borderId="0" xfId="0"/>
    <xf numFmtId="2" fontId="0" fillId="0" borderId="0" xfId="0" applyNumberFormat="1"/>
    <xf numFmtId="14" fontId="0" fillId="0" borderId="0" xfId="0" applyNumberFormat="1"/>
    <xf numFmtId="0" fontId="0" fillId="0" borderId="0" xfId="0" applyAlignment="1">
      <alignment wrapText="1"/>
    </xf>
    <xf numFmtId="0" fontId="2" fillId="0" borderId="0" xfId="0" applyFont="1"/>
    <xf numFmtId="0" fontId="4"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center" vertical="center"/>
    </xf>
    <xf numFmtId="0" fontId="5" fillId="0" borderId="0" xfId="0" applyFont="1" applyAlignment="1">
      <alignment vertical="center"/>
    </xf>
    <xf numFmtId="0" fontId="5" fillId="2" borderId="0" xfId="0" applyFont="1" applyFill="1" applyAlignment="1">
      <alignment horizontal="center" vertical="center" wrapText="1"/>
    </xf>
    <xf numFmtId="0" fontId="6" fillId="2" borderId="1" xfId="0" applyFont="1" applyFill="1" applyBorder="1" applyAlignment="1">
      <alignment vertical="center"/>
    </xf>
    <xf numFmtId="0" fontId="7" fillId="2" borderId="1" xfId="0" applyFont="1" applyFill="1" applyBorder="1" applyAlignment="1">
      <alignment horizontal="center" vertical="center"/>
    </xf>
    <xf numFmtId="0" fontId="6" fillId="2" borderId="0" xfId="0" applyFont="1" applyFill="1" applyAlignment="1">
      <alignment vertical="center"/>
    </xf>
    <xf numFmtId="0" fontId="8" fillId="2" borderId="0" xfId="0" applyFont="1" applyFill="1" applyAlignment="1">
      <alignment horizontal="center" vertical="center" wrapText="1"/>
    </xf>
    <xf numFmtId="0" fontId="8" fillId="2" borderId="0" xfId="0" applyFont="1" applyFill="1" applyAlignment="1">
      <alignment vertical="center"/>
    </xf>
    <xf numFmtId="0" fontId="9" fillId="2" borderId="0" xfId="0" applyFont="1" applyFill="1" applyAlignment="1">
      <alignment vertical="center"/>
    </xf>
    <xf numFmtId="164" fontId="9" fillId="2" borderId="0" xfId="0" applyNumberFormat="1" applyFont="1" applyFill="1" applyAlignment="1">
      <alignment horizontal="center" vertical="center"/>
    </xf>
    <xf numFmtId="3" fontId="9" fillId="2" borderId="0" xfId="0" applyNumberFormat="1" applyFont="1" applyFill="1" applyAlignment="1">
      <alignment horizontal="center" vertical="center"/>
    </xf>
    <xf numFmtId="9" fontId="9" fillId="2" borderId="0" xfId="0" applyNumberFormat="1" applyFont="1" applyFill="1" applyAlignment="1">
      <alignment horizontal="center" vertical="center"/>
    </xf>
    <xf numFmtId="9" fontId="9" fillId="2" borderId="0" xfId="2" applyFont="1" applyFill="1" applyAlignment="1">
      <alignment horizontal="center" vertical="center"/>
    </xf>
    <xf numFmtId="3" fontId="9" fillId="2" borderId="2" xfId="0" applyNumberFormat="1" applyFont="1" applyFill="1" applyBorder="1" applyAlignment="1">
      <alignment horizontal="center" vertical="center"/>
    </xf>
    <xf numFmtId="9" fontId="9" fillId="2" borderId="2" xfId="2" applyFont="1" applyFill="1" applyBorder="1" applyAlignment="1">
      <alignment horizontal="center" vertical="center"/>
    </xf>
    <xf numFmtId="0" fontId="10" fillId="2" borderId="0" xfId="0" applyFont="1" applyFill="1" applyAlignment="1">
      <alignment vertical="center"/>
    </xf>
    <xf numFmtId="3" fontId="10" fillId="2" borderId="0" xfId="0" applyNumberFormat="1" applyFont="1" applyFill="1" applyAlignment="1">
      <alignment horizontal="center" vertical="center"/>
    </xf>
    <xf numFmtId="9" fontId="10" fillId="2" borderId="0" xfId="2" applyFont="1" applyFill="1" applyAlignment="1">
      <alignment horizontal="center" vertical="center"/>
    </xf>
    <xf numFmtId="9" fontId="11" fillId="2" borderId="0" xfId="0" applyNumberFormat="1" applyFont="1" applyFill="1" applyAlignment="1">
      <alignment vertical="center"/>
    </xf>
    <xf numFmtId="9" fontId="9" fillId="2" borderId="0" xfId="0" applyNumberFormat="1" applyFont="1" applyFill="1" applyAlignment="1">
      <alignment vertical="center"/>
    </xf>
    <xf numFmtId="9" fontId="9" fillId="2" borderId="2" xfId="0" applyNumberFormat="1" applyFont="1" applyFill="1" applyBorder="1" applyAlignment="1">
      <alignment horizontal="center" vertical="center"/>
    </xf>
    <xf numFmtId="0" fontId="9" fillId="2" borderId="0" xfId="0" applyFont="1" applyFill="1" applyAlignment="1">
      <alignment horizontal="center" vertical="center"/>
    </xf>
    <xf numFmtId="165" fontId="9" fillId="2" borderId="0" xfId="0" applyNumberFormat="1" applyFont="1" applyFill="1" applyAlignment="1">
      <alignment horizontal="center" vertical="center"/>
    </xf>
    <xf numFmtId="165" fontId="9" fillId="2" borderId="2" xfId="0" applyNumberFormat="1" applyFont="1" applyFill="1" applyBorder="1" applyAlignment="1">
      <alignment horizontal="center" vertical="center"/>
    </xf>
    <xf numFmtId="9" fontId="9" fillId="2" borderId="2" xfId="0" applyNumberFormat="1" applyFont="1" applyFill="1" applyBorder="1" applyAlignment="1">
      <alignment vertical="center"/>
    </xf>
    <xf numFmtId="165" fontId="10" fillId="2" borderId="0" xfId="2" applyNumberFormat="1" applyFont="1" applyFill="1" applyAlignment="1">
      <alignment vertical="center"/>
    </xf>
    <xf numFmtId="165" fontId="9" fillId="2" borderId="0" xfId="2" applyNumberFormat="1" applyFont="1" applyFill="1" applyAlignment="1">
      <alignment vertical="center"/>
    </xf>
    <xf numFmtId="0" fontId="9" fillId="2" borderId="3" xfId="0" applyFont="1" applyFill="1" applyBorder="1" applyAlignment="1">
      <alignment vertical="center"/>
    </xf>
    <xf numFmtId="3" fontId="9" fillId="2" borderId="3" xfId="2" applyNumberFormat="1" applyFont="1" applyFill="1" applyBorder="1" applyAlignment="1">
      <alignment horizontal="center" vertical="center"/>
    </xf>
    <xf numFmtId="9" fontId="9" fillId="2" borderId="3" xfId="2" applyFont="1" applyFill="1" applyBorder="1" applyAlignment="1">
      <alignment horizontal="center" vertical="center"/>
    </xf>
    <xf numFmtId="0" fontId="9" fillId="0" borderId="0" xfId="0" applyFont="1" applyAlignment="1">
      <alignment vertical="center"/>
    </xf>
    <xf numFmtId="0" fontId="9" fillId="0" borderId="0" xfId="0" applyFont="1" applyAlignment="1">
      <alignment horizontal="center" vertical="center"/>
    </xf>
    <xf numFmtId="0" fontId="5" fillId="0" borderId="0" xfId="0" applyFont="1" applyAlignment="1">
      <alignment horizontal="center" vertical="center"/>
    </xf>
    <xf numFmtId="0" fontId="4" fillId="0" borderId="0" xfId="0" applyFont="1" applyAlignment="1">
      <alignment vertical="center"/>
    </xf>
    <xf numFmtId="0" fontId="12" fillId="0" borderId="0" xfId="0" applyFont="1" applyAlignment="1">
      <alignment vertical="center"/>
    </xf>
    <xf numFmtId="0" fontId="12" fillId="0" borderId="1" xfId="0" applyFont="1" applyBorder="1" applyAlignment="1">
      <alignment vertical="center"/>
    </xf>
    <xf numFmtId="0" fontId="13" fillId="0" borderId="0" xfId="0" applyFont="1" applyAlignment="1">
      <alignment horizontal="left" vertical="center"/>
    </xf>
    <xf numFmtId="0" fontId="13" fillId="0" borderId="0" xfId="0" applyFont="1" applyAlignment="1">
      <alignment horizontal="center" vertical="center"/>
    </xf>
    <xf numFmtId="0" fontId="5" fillId="0" borderId="0" xfId="0" applyFont="1" applyAlignment="1">
      <alignment horizontal="left" vertical="center"/>
    </xf>
    <xf numFmtId="10" fontId="5" fillId="0" borderId="0" xfId="2" applyNumberFormat="1" applyFont="1" applyAlignment="1">
      <alignment horizontal="center" vertical="center"/>
    </xf>
    <xf numFmtId="10" fontId="5" fillId="0" borderId="0" xfId="0" applyNumberFormat="1" applyFont="1" applyAlignment="1">
      <alignment horizontal="center" vertical="center"/>
    </xf>
    <xf numFmtId="0" fontId="14" fillId="0" borderId="0" xfId="0" applyFont="1" applyAlignment="1">
      <alignment horizontal="left" vertical="center"/>
    </xf>
    <xf numFmtId="0" fontId="0" fillId="0" borderId="0" xfId="0" applyAlignment="1">
      <alignment vertical="center"/>
    </xf>
    <xf numFmtId="0" fontId="10" fillId="0" borderId="0" xfId="0" applyFont="1" applyAlignment="1">
      <alignment vertical="center"/>
    </xf>
    <xf numFmtId="0" fontId="5" fillId="0" borderId="2" xfId="0" applyFont="1" applyBorder="1" applyAlignment="1">
      <alignment horizontal="left" vertical="center"/>
    </xf>
    <xf numFmtId="10" fontId="5" fillId="0" borderId="2" xfId="2" applyNumberFormat="1" applyFont="1" applyBorder="1" applyAlignment="1">
      <alignment horizontal="center" vertical="center"/>
    </xf>
    <xf numFmtId="0" fontId="15" fillId="0" borderId="0" xfId="0" applyFont="1"/>
    <xf numFmtId="0" fontId="20" fillId="0" borderId="0" xfId="0" applyFont="1"/>
    <xf numFmtId="0" fontId="16" fillId="17" borderId="83" xfId="0" applyFont="1" applyFill="1" applyBorder="1"/>
    <xf numFmtId="0" fontId="0" fillId="17" borderId="84" xfId="0" applyFill="1" applyBorder="1"/>
    <xf numFmtId="0" fontId="0" fillId="17" borderId="85" xfId="0" applyFill="1" applyBorder="1"/>
    <xf numFmtId="0" fontId="16" fillId="13" borderId="61" xfId="0" applyFont="1" applyFill="1" applyBorder="1"/>
    <xf numFmtId="0" fontId="0" fillId="13" borderId="62" xfId="0" applyFill="1" applyBorder="1"/>
    <xf numFmtId="0" fontId="0" fillId="13" borderId="63" xfId="0" applyFill="1" applyBorder="1"/>
    <xf numFmtId="0" fontId="28" fillId="18" borderId="86" xfId="0" applyFont="1" applyFill="1" applyBorder="1" applyAlignment="1">
      <alignment horizontal="left" vertical="center" wrapText="1"/>
    </xf>
    <xf numFmtId="0" fontId="28" fillId="18" borderId="87" xfId="0" applyFont="1" applyFill="1" applyBorder="1" applyAlignment="1">
      <alignment horizontal="center" vertical="center" wrapText="1"/>
    </xf>
    <xf numFmtId="0" fontId="28" fillId="18" borderId="88" xfId="0" applyFont="1" applyFill="1" applyBorder="1" applyAlignment="1">
      <alignment horizontal="center" vertical="center" wrapText="1"/>
    </xf>
    <xf numFmtId="0" fontId="26" fillId="14" borderId="66" xfId="0" applyFont="1" applyFill="1" applyBorder="1" applyAlignment="1">
      <alignment horizontal="left" vertical="center" wrapText="1"/>
    </xf>
    <xf numFmtId="0" fontId="26" fillId="14" borderId="67" xfId="0" applyFont="1" applyFill="1" applyBorder="1" applyAlignment="1">
      <alignment horizontal="center" vertical="center" wrapText="1"/>
    </xf>
    <xf numFmtId="0" fontId="26" fillId="14" borderId="68" xfId="0" applyFont="1" applyFill="1" applyBorder="1" applyAlignment="1">
      <alignment horizontal="center" vertical="center" wrapText="1"/>
    </xf>
    <xf numFmtId="0" fontId="18" fillId="0" borderId="89" xfId="0" applyFont="1" applyBorder="1"/>
    <xf numFmtId="164" fontId="18" fillId="0" borderId="12" xfId="0" applyNumberFormat="1" applyFont="1" applyBorder="1"/>
    <xf numFmtId="164" fontId="20" fillId="0" borderId="12" xfId="0" applyNumberFormat="1" applyFont="1" applyBorder="1"/>
    <xf numFmtId="3" fontId="18" fillId="0" borderId="90" xfId="0" applyNumberFormat="1" applyFont="1" applyBorder="1"/>
    <xf numFmtId="0" fontId="18" fillId="0" borderId="64" xfId="0" applyFont="1" applyBorder="1"/>
    <xf numFmtId="10" fontId="18" fillId="0" borderId="12" xfId="0" applyNumberFormat="1" applyFont="1" applyBorder="1"/>
    <xf numFmtId="0" fontId="18" fillId="0" borderId="69" xfId="0" applyFont="1" applyBorder="1"/>
    <xf numFmtId="164" fontId="18" fillId="0" borderId="70" xfId="0" applyNumberFormat="1" applyFont="1" applyBorder="1"/>
    <xf numFmtId="0" fontId="20" fillId="0" borderId="89" xfId="0" applyFont="1" applyBorder="1"/>
    <xf numFmtId="3" fontId="20" fillId="0" borderId="90" xfId="0" applyNumberFormat="1" applyFont="1" applyBorder="1"/>
    <xf numFmtId="0" fontId="0" fillId="0" borderId="12" xfId="0" applyBorder="1"/>
    <xf numFmtId="0" fontId="0" fillId="0" borderId="90" xfId="0" applyBorder="1"/>
    <xf numFmtId="0" fontId="18" fillId="0" borderId="91" xfId="0" applyFont="1" applyBorder="1"/>
    <xf numFmtId="0" fontId="0" fillId="0" borderId="92" xfId="0" applyBorder="1"/>
    <xf numFmtId="170" fontId="18" fillId="0" borderId="92" xfId="0" applyNumberFormat="1" applyFont="1" applyBorder="1"/>
    <xf numFmtId="0" fontId="0" fillId="0" borderId="93" xfId="0" applyBorder="1"/>
    <xf numFmtId="0" fontId="16" fillId="19" borderId="105" xfId="0" applyFont="1" applyFill="1" applyBorder="1"/>
    <xf numFmtId="0" fontId="0" fillId="19" borderId="106" xfId="0" applyFill="1" applyBorder="1"/>
    <xf numFmtId="0" fontId="0" fillId="19" borderId="107" xfId="0" applyFill="1" applyBorder="1"/>
    <xf numFmtId="0" fontId="16" fillId="23" borderId="94" xfId="0" applyFont="1" applyFill="1" applyBorder="1"/>
    <xf numFmtId="0" fontId="0" fillId="23" borderId="95" xfId="0" applyFill="1" applyBorder="1"/>
    <xf numFmtId="0" fontId="0" fillId="23" borderId="96" xfId="0" applyFill="1" applyBorder="1"/>
    <xf numFmtId="0" fontId="30" fillId="20" borderId="108" xfId="0" applyFont="1" applyFill="1" applyBorder="1" applyAlignment="1">
      <alignment horizontal="left" vertical="center" wrapText="1"/>
    </xf>
    <xf numFmtId="0" fontId="30" fillId="20" borderId="109" xfId="0" applyFont="1" applyFill="1" applyBorder="1" applyAlignment="1">
      <alignment horizontal="center" vertical="center" wrapText="1"/>
    </xf>
    <xf numFmtId="0" fontId="30" fillId="20" borderId="110" xfId="0" applyFont="1" applyFill="1" applyBorder="1" applyAlignment="1">
      <alignment horizontal="center" vertical="center" wrapText="1"/>
    </xf>
    <xf numFmtId="0" fontId="32" fillId="24" borderId="97" xfId="0" applyFont="1" applyFill="1" applyBorder="1" applyAlignment="1">
      <alignment horizontal="left" vertical="center" wrapText="1"/>
    </xf>
    <xf numFmtId="0" fontId="32" fillId="24" borderId="98" xfId="0" applyFont="1" applyFill="1" applyBorder="1" applyAlignment="1">
      <alignment horizontal="center" vertical="center" wrapText="1"/>
    </xf>
    <xf numFmtId="0" fontId="32" fillId="24" borderId="99" xfId="0" applyFont="1" applyFill="1" applyBorder="1" applyAlignment="1">
      <alignment horizontal="center" vertical="center" wrapText="1"/>
    </xf>
    <xf numFmtId="0" fontId="18" fillId="0" borderId="111" xfId="0" applyFont="1" applyBorder="1"/>
    <xf numFmtId="10" fontId="20" fillId="0" borderId="12" xfId="0" applyNumberFormat="1" applyFont="1" applyBorder="1"/>
    <xf numFmtId="10" fontId="18" fillId="0" borderId="112" xfId="0" applyNumberFormat="1" applyFont="1" applyBorder="1"/>
    <xf numFmtId="0" fontId="18" fillId="0" borderId="100" xfId="0" applyFont="1" applyBorder="1"/>
    <xf numFmtId="164" fontId="18" fillId="0" borderId="101" xfId="0" applyNumberFormat="1" applyFont="1" applyBorder="1"/>
    <xf numFmtId="0" fontId="18" fillId="0" borderId="102" xfId="0" applyFont="1" applyBorder="1"/>
    <xf numFmtId="164" fontId="18" fillId="0" borderId="103" xfId="0" applyNumberFormat="1" applyFont="1" applyBorder="1"/>
    <xf numFmtId="164" fontId="18" fillId="0" borderId="104" xfId="0" applyNumberFormat="1" applyFont="1" applyBorder="1"/>
    <xf numFmtId="164" fontId="18" fillId="0" borderId="112" xfId="0" applyNumberFormat="1" applyFont="1" applyBorder="1"/>
    <xf numFmtId="0" fontId="16" fillId="21" borderId="117" xfId="0" applyFont="1" applyFill="1" applyBorder="1"/>
    <xf numFmtId="0" fontId="0" fillId="21" borderId="118" xfId="0" applyFill="1" applyBorder="1"/>
    <xf numFmtId="0" fontId="0" fillId="21" borderId="119" xfId="0" applyFill="1" applyBorder="1"/>
    <xf numFmtId="0" fontId="18" fillId="0" borderId="113" xfId="0" applyFont="1" applyBorder="1"/>
    <xf numFmtId="10" fontId="18" fillId="0" borderId="114" xfId="0" applyNumberFormat="1" applyFont="1" applyBorder="1"/>
    <xf numFmtId="10" fontId="20" fillId="0" borderId="114" xfId="0" applyNumberFormat="1" applyFont="1" applyBorder="1"/>
    <xf numFmtId="10" fontId="18" fillId="0" borderId="115" xfId="0" applyNumberFormat="1" applyFont="1" applyBorder="1"/>
    <xf numFmtId="0" fontId="31" fillId="22" borderId="127" xfId="0" applyFont="1" applyFill="1" applyBorder="1" applyAlignment="1">
      <alignment horizontal="left" vertical="center" wrapText="1"/>
    </xf>
    <xf numFmtId="0" fontId="31" fillId="22" borderId="125" xfId="0" applyFont="1" applyFill="1" applyBorder="1" applyAlignment="1">
      <alignment horizontal="center" vertical="center" wrapText="1"/>
    </xf>
    <xf numFmtId="0" fontId="31" fillId="22" borderId="128" xfId="0" applyFont="1" applyFill="1" applyBorder="1" applyAlignment="1">
      <alignment horizontal="center" vertical="center" wrapText="1"/>
    </xf>
    <xf numFmtId="0" fontId="18" fillId="0" borderId="120" xfId="0" applyFont="1" applyBorder="1"/>
    <xf numFmtId="168" fontId="18" fillId="0" borderId="12" xfId="0" applyNumberFormat="1" applyFont="1" applyBorder="1"/>
    <xf numFmtId="2" fontId="18" fillId="0" borderId="12" xfId="0" applyNumberFormat="1" applyFont="1" applyBorder="1"/>
    <xf numFmtId="2" fontId="18" fillId="0" borderId="121" xfId="0" applyNumberFormat="1" applyFont="1" applyBorder="1"/>
    <xf numFmtId="0" fontId="18" fillId="0" borderId="122" xfId="0" applyFont="1" applyBorder="1"/>
    <xf numFmtId="0" fontId="0" fillId="0" borderId="123" xfId="0" applyBorder="1"/>
    <xf numFmtId="164" fontId="18" fillId="0" borderId="124" xfId="0" applyNumberFormat="1" applyFont="1" applyBorder="1"/>
    <xf numFmtId="0" fontId="16" fillId="15" borderId="72" xfId="0" applyFont="1" applyFill="1" applyBorder="1"/>
    <xf numFmtId="0" fontId="0" fillId="15" borderId="73" xfId="0" applyFill="1" applyBorder="1"/>
    <xf numFmtId="0" fontId="0" fillId="15" borderId="74" xfId="0" applyFill="1" applyBorder="1"/>
    <xf numFmtId="0" fontId="27" fillId="16" borderId="75" xfId="0" applyFont="1" applyFill="1" applyBorder="1" applyAlignment="1">
      <alignment horizontal="left" vertical="center" wrapText="1"/>
    </xf>
    <xf numFmtId="0" fontId="27" fillId="16" borderId="76" xfId="0" applyFont="1" applyFill="1" applyBorder="1" applyAlignment="1">
      <alignment horizontal="center" vertical="center" wrapText="1"/>
    </xf>
    <xf numFmtId="0" fontId="27" fillId="16" borderId="77" xfId="0" applyFont="1" applyFill="1" applyBorder="1" applyAlignment="1">
      <alignment horizontal="center" vertical="center" wrapText="1"/>
    </xf>
    <xf numFmtId="0" fontId="18" fillId="0" borderId="78" xfId="0" applyFont="1" applyBorder="1"/>
    <xf numFmtId="10" fontId="18" fillId="0" borderId="79" xfId="0" applyNumberFormat="1" applyFont="1" applyBorder="1"/>
    <xf numFmtId="2" fontId="18" fillId="0" borderId="79" xfId="0" applyNumberFormat="1" applyFont="1" applyBorder="1"/>
    <xf numFmtId="0" fontId="18" fillId="0" borderId="80" xfId="0" applyFont="1" applyBorder="1"/>
    <xf numFmtId="0" fontId="0" fillId="0" borderId="81" xfId="0" applyBorder="1"/>
    <xf numFmtId="164" fontId="18" fillId="0" borderId="82" xfId="0" applyNumberFormat="1" applyFont="1" applyBorder="1"/>
    <xf numFmtId="164" fontId="18" fillId="0" borderId="79" xfId="0" applyNumberFormat="1" applyFont="1" applyBorder="1"/>
    <xf numFmtId="10" fontId="18" fillId="0" borderId="81" xfId="0" applyNumberFormat="1" applyFont="1" applyBorder="1"/>
    <xf numFmtId="10" fontId="18" fillId="0" borderId="82" xfId="0" applyNumberFormat="1" applyFont="1" applyBorder="1"/>
    <xf numFmtId="0" fontId="16" fillId="7" borderId="28" xfId="0" applyFont="1" applyFill="1" applyBorder="1"/>
    <xf numFmtId="0" fontId="0" fillId="7" borderId="29" xfId="0" applyFill="1" applyBorder="1"/>
    <xf numFmtId="0" fontId="0" fillId="7" borderId="30" xfId="0" applyFill="1" applyBorder="1"/>
    <xf numFmtId="0" fontId="23" fillId="8" borderId="31" xfId="0" applyFont="1" applyFill="1" applyBorder="1" applyAlignment="1">
      <alignment horizontal="left" vertical="center" wrapText="1"/>
    </xf>
    <xf numFmtId="0" fontId="23" fillId="8" borderId="32" xfId="0" applyFont="1" applyFill="1" applyBorder="1" applyAlignment="1">
      <alignment horizontal="center" vertical="center" wrapText="1"/>
    </xf>
    <xf numFmtId="0" fontId="23" fillId="8" borderId="33" xfId="0" applyFont="1" applyFill="1" applyBorder="1" applyAlignment="1">
      <alignment horizontal="center" vertical="center" wrapText="1"/>
    </xf>
    <xf numFmtId="0" fontId="18" fillId="0" borderId="34" xfId="0" applyFont="1" applyBorder="1"/>
    <xf numFmtId="0" fontId="18" fillId="0" borderId="35" xfId="0" applyFont="1" applyBorder="1"/>
    <xf numFmtId="164" fontId="18" fillId="0" borderId="35" xfId="0" applyNumberFormat="1" applyFont="1" applyBorder="1"/>
    <xf numFmtId="10" fontId="18" fillId="0" borderId="35" xfId="0" applyNumberFormat="1" applyFont="1" applyBorder="1"/>
    <xf numFmtId="0" fontId="18" fillId="0" borderId="36" xfId="0" applyFont="1" applyBorder="1"/>
    <xf numFmtId="0" fontId="0" fillId="0" borderId="37" xfId="0" applyBorder="1"/>
    <xf numFmtId="10" fontId="18" fillId="0" borderId="38" xfId="0" applyNumberFormat="1" applyFont="1" applyBorder="1"/>
    <xf numFmtId="0" fontId="18" fillId="0" borderId="12" xfId="0" applyFont="1" applyBorder="1"/>
    <xf numFmtId="0" fontId="20" fillId="0" borderId="91" xfId="0" applyFont="1" applyBorder="1"/>
    <xf numFmtId="0" fontId="18" fillId="0" borderId="92" xfId="0" applyFont="1" applyBorder="1"/>
    <xf numFmtId="0" fontId="16" fillId="17" borderId="129" xfId="0" applyFont="1" applyFill="1" applyBorder="1"/>
    <xf numFmtId="0" fontId="0" fillId="17" borderId="130" xfId="0" applyFill="1" applyBorder="1"/>
    <xf numFmtId="0" fontId="0" fillId="17" borderId="131" xfId="0" applyFill="1" applyBorder="1"/>
    <xf numFmtId="0" fontId="33" fillId="0" borderId="0" xfId="0" applyFont="1"/>
    <xf numFmtId="0" fontId="24" fillId="11" borderId="4" xfId="0" applyFont="1" applyFill="1" applyBorder="1" applyAlignment="1">
      <alignment horizontal="left" vertical="center" wrapText="1"/>
    </xf>
    <xf numFmtId="0" fontId="24" fillId="11" borderId="4" xfId="0" applyFont="1" applyFill="1" applyBorder="1" applyAlignment="1">
      <alignment horizontal="center" vertical="center" wrapText="1"/>
    </xf>
    <xf numFmtId="0" fontId="18" fillId="0" borderId="0" xfId="0" applyFont="1"/>
    <xf numFmtId="10" fontId="18" fillId="0" borderId="0" xfId="0" applyNumberFormat="1" applyFont="1"/>
    <xf numFmtId="164" fontId="18" fillId="0" borderId="0" xfId="0" applyNumberFormat="1" applyFont="1"/>
    <xf numFmtId="17" fontId="18" fillId="0" borderId="0" xfId="0" applyNumberFormat="1" applyFont="1"/>
    <xf numFmtId="2" fontId="18" fillId="0" borderId="0" xfId="0" applyNumberFormat="1" applyFont="1"/>
    <xf numFmtId="1" fontId="18" fillId="0" borderId="0" xfId="0" applyNumberFormat="1" applyFont="1"/>
    <xf numFmtId="168" fontId="18" fillId="0" borderId="0" xfId="0" applyNumberFormat="1" applyFont="1"/>
    <xf numFmtId="0" fontId="16" fillId="3" borderId="5" xfId="0" applyFont="1" applyFill="1" applyBorder="1"/>
    <xf numFmtId="0" fontId="0" fillId="3" borderId="6" xfId="0" applyFill="1" applyBorder="1"/>
    <xf numFmtId="0" fontId="0" fillId="3" borderId="7" xfId="0" applyFill="1" applyBorder="1"/>
    <xf numFmtId="0" fontId="17" fillId="4" borderId="8" xfId="0" applyFont="1" applyFill="1" applyBorder="1" applyAlignment="1">
      <alignment horizontal="left" vertical="center" wrapText="1"/>
    </xf>
    <xf numFmtId="0" fontId="17" fillId="4" borderId="9" xfId="0" applyFont="1" applyFill="1" applyBorder="1" applyAlignment="1">
      <alignment horizontal="center" vertical="center" wrapText="1"/>
    </xf>
    <xf numFmtId="0" fontId="17" fillId="4" borderId="10" xfId="0" applyFont="1" applyFill="1" applyBorder="1" applyAlignment="1">
      <alignment horizontal="center" vertical="center" wrapText="1"/>
    </xf>
    <xf numFmtId="0" fontId="19" fillId="0" borderId="0" xfId="0" applyFont="1"/>
    <xf numFmtId="0" fontId="18" fillId="0" borderId="11" xfId="0" applyFont="1" applyBorder="1"/>
    <xf numFmtId="164" fontId="19" fillId="0" borderId="12" xfId="0" applyNumberFormat="1" applyFont="1" applyBorder="1"/>
    <xf numFmtId="1" fontId="19" fillId="0" borderId="12" xfId="0" applyNumberFormat="1" applyFont="1" applyBorder="1"/>
    <xf numFmtId="1" fontId="19" fillId="0" borderId="13" xfId="0" applyNumberFormat="1" applyFont="1" applyBorder="1"/>
    <xf numFmtId="0" fontId="18" fillId="6" borderId="0" xfId="0" applyFont="1" applyFill="1"/>
    <xf numFmtId="0" fontId="20" fillId="0" borderId="14" xfId="0" applyFont="1" applyBorder="1"/>
    <xf numFmtId="164" fontId="20" fillId="0" borderId="15" xfId="0" applyNumberFormat="1" applyFont="1" applyBorder="1"/>
    <xf numFmtId="0" fontId="0" fillId="0" borderId="15" xfId="0" applyBorder="1"/>
    <xf numFmtId="0" fontId="0" fillId="0" borderId="16" xfId="0" applyBorder="1"/>
    <xf numFmtId="0" fontId="16" fillId="5" borderId="17" xfId="0" applyFont="1" applyFill="1" applyBorder="1"/>
    <xf numFmtId="0" fontId="0" fillId="5" borderId="18" xfId="0" applyFill="1" applyBorder="1"/>
    <xf numFmtId="0" fontId="0" fillId="5" borderId="19" xfId="0" applyFill="1" applyBorder="1"/>
    <xf numFmtId="0" fontId="21" fillId="6" borderId="20" xfId="0" applyFont="1" applyFill="1" applyBorder="1" applyAlignment="1">
      <alignment horizontal="left" vertical="center" wrapText="1"/>
    </xf>
    <xf numFmtId="0" fontId="21" fillId="6" borderId="21" xfId="0" applyFont="1" applyFill="1" applyBorder="1" applyAlignment="1">
      <alignment horizontal="center" vertical="center" wrapText="1"/>
    </xf>
    <xf numFmtId="0" fontId="21" fillId="6" borderId="22" xfId="0" applyFont="1" applyFill="1" applyBorder="1" applyAlignment="1">
      <alignment horizontal="center" vertical="center" wrapText="1"/>
    </xf>
    <xf numFmtId="0" fontId="18" fillId="0" borderId="23" xfId="0" applyFont="1" applyBorder="1"/>
    <xf numFmtId="3" fontId="18" fillId="0" borderId="12" xfId="0" applyNumberFormat="1" applyFont="1" applyBorder="1"/>
    <xf numFmtId="10" fontId="19" fillId="0" borderId="12" xfId="0" applyNumberFormat="1" applyFont="1" applyBorder="1"/>
    <xf numFmtId="0" fontId="18" fillId="0" borderId="25" xfId="0" applyFont="1" applyBorder="1"/>
    <xf numFmtId="164" fontId="19" fillId="0" borderId="26" xfId="0" applyNumberFormat="1" applyFont="1" applyBorder="1"/>
    <xf numFmtId="2" fontId="19" fillId="0" borderId="12" xfId="0" applyNumberFormat="1" applyFont="1" applyBorder="1"/>
    <xf numFmtId="165" fontId="19" fillId="0" borderId="12" xfId="0" applyNumberFormat="1" applyFont="1" applyBorder="1"/>
    <xf numFmtId="1" fontId="19" fillId="0" borderId="37" xfId="0" applyNumberFormat="1" applyFont="1" applyBorder="1"/>
    <xf numFmtId="0" fontId="0" fillId="0" borderId="64" xfId="0" applyBorder="1"/>
    <xf numFmtId="0" fontId="0" fillId="0" borderId="65" xfId="0" applyBorder="1"/>
    <xf numFmtId="10" fontId="18" fillId="0" borderId="65" xfId="0" applyNumberFormat="1" applyFont="1" applyBorder="1"/>
    <xf numFmtId="0" fontId="20" fillId="0" borderId="64" xfId="0" applyFont="1" applyBorder="1"/>
    <xf numFmtId="0" fontId="20" fillId="0" borderId="69" xfId="0" applyFont="1" applyBorder="1"/>
    <xf numFmtId="0" fontId="0" fillId="0" borderId="70" xfId="0" applyBorder="1"/>
    <xf numFmtId="0" fontId="20" fillId="0" borderId="70" xfId="0" applyFont="1" applyBorder="1"/>
    <xf numFmtId="0" fontId="0" fillId="0" borderId="71" xfId="0" applyBorder="1"/>
    <xf numFmtId="0" fontId="16" fillId="9" borderId="39" xfId="0" applyFont="1" applyFill="1" applyBorder="1"/>
    <xf numFmtId="0" fontId="0" fillId="9" borderId="40" xfId="0" applyFill="1" applyBorder="1"/>
    <xf numFmtId="0" fontId="0" fillId="9" borderId="41" xfId="0" applyFill="1" applyBorder="1"/>
    <xf numFmtId="0" fontId="24" fillId="11" borderId="42" xfId="0" applyFont="1" applyFill="1" applyBorder="1" applyAlignment="1">
      <alignment horizontal="left" vertical="center" wrapText="1"/>
    </xf>
    <xf numFmtId="0" fontId="24" fillId="11" borderId="43" xfId="0" applyFont="1" applyFill="1" applyBorder="1" applyAlignment="1">
      <alignment horizontal="center" vertical="center" wrapText="1"/>
    </xf>
    <xf numFmtId="0" fontId="24" fillId="11" borderId="44" xfId="0" applyFont="1" applyFill="1" applyBorder="1" applyAlignment="1">
      <alignment horizontal="center" vertical="center" wrapText="1"/>
    </xf>
    <xf numFmtId="164" fontId="19" fillId="0" borderId="24" xfId="0" applyNumberFormat="1" applyFont="1" applyBorder="1"/>
    <xf numFmtId="0" fontId="18" fillId="0" borderId="45" xfId="0" applyFont="1" applyBorder="1"/>
    <xf numFmtId="10" fontId="18" fillId="0" borderId="46" xfId="0" applyNumberFormat="1" applyFont="1" applyBorder="1"/>
    <xf numFmtId="10" fontId="19" fillId="0" borderId="24" xfId="0" applyNumberFormat="1" applyFont="1" applyBorder="1"/>
    <xf numFmtId="0" fontId="18" fillId="0" borderId="47" xfId="0" applyFont="1" applyBorder="1"/>
    <xf numFmtId="10" fontId="18" fillId="0" borderId="48" xfId="0" applyNumberFormat="1" applyFont="1" applyBorder="1"/>
    <xf numFmtId="10" fontId="18" fillId="0" borderId="49" xfId="0" applyNumberFormat="1" applyFont="1" applyBorder="1"/>
    <xf numFmtId="166" fontId="19" fillId="0" borderId="12" xfId="0" applyNumberFormat="1" applyFont="1" applyBorder="1"/>
    <xf numFmtId="0" fontId="0" fillId="0" borderId="13" xfId="0" applyBorder="1"/>
    <xf numFmtId="0" fontId="22" fillId="0" borderId="13" xfId="0" applyFont="1" applyBorder="1"/>
    <xf numFmtId="164" fontId="19" fillId="0" borderId="27" xfId="0" applyNumberFormat="1" applyFont="1" applyBorder="1"/>
    <xf numFmtId="10" fontId="20" fillId="0" borderId="15" xfId="0" applyNumberFormat="1" applyFont="1" applyBorder="1"/>
    <xf numFmtId="0" fontId="20" fillId="0" borderId="78" xfId="0" applyFont="1" applyBorder="1"/>
    <xf numFmtId="0" fontId="0" fillId="0" borderId="79" xfId="0" applyBorder="1"/>
    <xf numFmtId="0" fontId="20" fillId="16" borderId="78" xfId="0" applyFont="1" applyFill="1" applyBorder="1"/>
    <xf numFmtId="0" fontId="18" fillId="16" borderId="12" xfId="0" applyFont="1" applyFill="1" applyBorder="1"/>
    <xf numFmtId="164" fontId="20" fillId="16" borderId="12" xfId="0" applyNumberFormat="1" applyFont="1" applyFill="1" applyBorder="1"/>
    <xf numFmtId="10" fontId="20" fillId="16" borderId="79" xfId="0" applyNumberFormat="1" applyFont="1" applyFill="1" applyBorder="1"/>
    <xf numFmtId="0" fontId="0" fillId="0" borderId="78" xfId="0" applyBorder="1"/>
    <xf numFmtId="0" fontId="20" fillId="16" borderId="80" xfId="0" applyFont="1" applyFill="1" applyBorder="1"/>
    <xf numFmtId="0" fontId="18" fillId="16" borderId="81" xfId="0" applyFont="1" applyFill="1" applyBorder="1"/>
    <xf numFmtId="164" fontId="20" fillId="16" borderId="81" xfId="0" applyNumberFormat="1" applyFont="1" applyFill="1" applyBorder="1"/>
    <xf numFmtId="10" fontId="20" fillId="16" borderId="82" xfId="0" applyNumberFormat="1" applyFont="1" applyFill="1" applyBorder="1"/>
    <xf numFmtId="167" fontId="18" fillId="0" borderId="12" xfId="0" applyNumberFormat="1" applyFont="1" applyBorder="1"/>
    <xf numFmtId="167" fontId="18" fillId="0" borderId="37" xfId="0" applyNumberFormat="1" applyFont="1" applyBorder="1"/>
    <xf numFmtId="164" fontId="18" fillId="0" borderId="38" xfId="0" applyNumberFormat="1" applyFont="1" applyBorder="1"/>
    <xf numFmtId="2" fontId="18" fillId="0" borderId="46" xfId="0" applyNumberFormat="1" applyFont="1" applyBorder="1"/>
    <xf numFmtId="0" fontId="0" fillId="0" borderId="45" xfId="0" applyBorder="1"/>
    <xf numFmtId="0" fontId="0" fillId="0" borderId="46" xfId="0" applyBorder="1"/>
    <xf numFmtId="0" fontId="20" fillId="0" borderId="47" xfId="0" applyFont="1" applyBorder="1"/>
    <xf numFmtId="168" fontId="20" fillId="0" borderId="48" xfId="0" applyNumberFormat="1" applyFont="1" applyBorder="1"/>
    <xf numFmtId="0" fontId="0" fillId="0" borderId="48" xfId="0" applyBorder="1"/>
    <xf numFmtId="0" fontId="0" fillId="0" borderId="49" xfId="0" applyBorder="1"/>
    <xf numFmtId="0" fontId="0" fillId="0" borderId="11" xfId="0" applyBorder="1"/>
    <xf numFmtId="164" fontId="18" fillId="0" borderId="13" xfId="0" applyNumberFormat="1" applyFont="1" applyBorder="1"/>
    <xf numFmtId="0" fontId="18" fillId="0" borderId="14" xfId="0" applyFont="1" applyBorder="1"/>
    <xf numFmtId="167" fontId="18" fillId="0" borderId="15" xfId="0" applyNumberFormat="1" applyFont="1" applyBorder="1"/>
    <xf numFmtId="164" fontId="18" fillId="0" borderId="16" xfId="0" applyNumberFormat="1" applyFont="1" applyBorder="1"/>
    <xf numFmtId="0" fontId="16" fillId="10" borderId="50" xfId="0" applyFont="1" applyFill="1" applyBorder="1"/>
    <xf numFmtId="0" fontId="0" fillId="10" borderId="51" xfId="0" applyFill="1" applyBorder="1"/>
    <xf numFmtId="0" fontId="0" fillId="10" borderId="52" xfId="0" applyFill="1" applyBorder="1"/>
    <xf numFmtId="0" fontId="20" fillId="0" borderId="56" xfId="0" applyFont="1" applyBorder="1"/>
    <xf numFmtId="0" fontId="0" fillId="0" borderId="57" xfId="0" applyBorder="1"/>
    <xf numFmtId="0" fontId="25" fillId="12" borderId="53" xfId="0" applyFont="1" applyFill="1" applyBorder="1" applyAlignment="1">
      <alignment horizontal="left" vertical="center" wrapText="1"/>
    </xf>
    <xf numFmtId="0" fontId="25" fillId="12" borderId="54" xfId="0" applyFont="1" applyFill="1" applyBorder="1" applyAlignment="1">
      <alignment horizontal="center" vertical="center" wrapText="1"/>
    </xf>
    <xf numFmtId="0" fontId="25" fillId="12" borderId="55" xfId="0" applyFont="1" applyFill="1" applyBorder="1" applyAlignment="1">
      <alignment horizontal="center" vertical="center" wrapText="1"/>
    </xf>
    <xf numFmtId="0" fontId="18" fillId="0" borderId="56" xfId="0" applyFont="1" applyBorder="1"/>
    <xf numFmtId="164" fontId="18" fillId="0" borderId="57" xfId="0" applyNumberFormat="1" applyFont="1" applyBorder="1"/>
    <xf numFmtId="0" fontId="0" fillId="0" borderId="56" xfId="0" applyBorder="1"/>
    <xf numFmtId="0" fontId="18" fillId="0" borderId="58" xfId="0" applyFont="1" applyBorder="1"/>
    <xf numFmtId="164" fontId="18" fillId="0" borderId="59" xfId="0" applyNumberFormat="1" applyFont="1" applyBorder="1"/>
    <xf numFmtId="0" fontId="0" fillId="0" borderId="59" xfId="0" applyBorder="1"/>
    <xf numFmtId="0" fontId="0" fillId="0" borderId="60" xfId="0" applyBorder="1"/>
    <xf numFmtId="170" fontId="18" fillId="0" borderId="12" xfId="0" applyNumberFormat="1" applyFont="1" applyBorder="1"/>
    <xf numFmtId="10" fontId="18" fillId="0" borderId="57" xfId="0" applyNumberFormat="1" applyFont="1" applyBorder="1"/>
    <xf numFmtId="0" fontId="20" fillId="0" borderId="58" xfId="0" applyFont="1" applyBorder="1"/>
    <xf numFmtId="164" fontId="20" fillId="0" borderId="59" xfId="0" applyNumberFormat="1" applyFont="1" applyBorder="1"/>
    <xf numFmtId="170" fontId="20" fillId="0" borderId="59" xfId="0" applyNumberFormat="1" applyFont="1" applyBorder="1"/>
    <xf numFmtId="10" fontId="20" fillId="0" borderId="60" xfId="0" applyNumberFormat="1" applyFont="1" applyBorder="1"/>
    <xf numFmtId="0" fontId="0" fillId="0" borderId="23" xfId="0" applyBorder="1"/>
    <xf numFmtId="0" fontId="0" fillId="0" borderId="24" xfId="0" applyBorder="1"/>
    <xf numFmtId="165" fontId="18" fillId="0" borderId="12" xfId="0" applyNumberFormat="1" applyFont="1" applyBorder="1"/>
    <xf numFmtId="164" fontId="19" fillId="6" borderId="12" xfId="0" applyNumberFormat="1" applyFont="1" applyFill="1" applyBorder="1"/>
    <xf numFmtId="164" fontId="18" fillId="0" borderId="24" xfId="0" applyNumberFormat="1" applyFont="1" applyBorder="1"/>
    <xf numFmtId="0" fontId="20" fillId="0" borderId="25" xfId="0" applyFont="1" applyBorder="1"/>
    <xf numFmtId="0" fontId="0" fillId="0" borderId="26" xfId="0" applyBorder="1"/>
    <xf numFmtId="164" fontId="20" fillId="0" borderId="26" xfId="0" applyNumberFormat="1" applyFont="1" applyBorder="1"/>
    <xf numFmtId="164" fontId="20" fillId="0" borderId="27" xfId="0" applyNumberFormat="1" applyFont="1" applyBorder="1"/>
    <xf numFmtId="0" fontId="18" fillId="0" borderId="90" xfId="0" applyFont="1" applyBorder="1"/>
    <xf numFmtId="164" fontId="18" fillId="0" borderId="92" xfId="0" applyNumberFormat="1" applyFont="1" applyBorder="1"/>
    <xf numFmtId="0" fontId="18" fillId="0" borderId="93" xfId="0" applyFont="1" applyBorder="1"/>
    <xf numFmtId="164" fontId="19" fillId="0" borderId="101" xfId="0" applyNumberFormat="1" applyFont="1" applyBorder="1"/>
    <xf numFmtId="0" fontId="0" fillId="0" borderId="100" xfId="0" applyBorder="1"/>
    <xf numFmtId="0" fontId="0" fillId="0" borderId="101" xfId="0" applyBorder="1"/>
    <xf numFmtId="0" fontId="20" fillId="0" borderId="100" xfId="0" applyFont="1" applyBorder="1"/>
    <xf numFmtId="10" fontId="18" fillId="0" borderId="101" xfId="0" applyNumberFormat="1" applyFont="1" applyBorder="1"/>
    <xf numFmtId="0" fontId="18" fillId="0" borderId="103" xfId="0" applyFont="1" applyBorder="1"/>
    <xf numFmtId="0" fontId="18" fillId="0" borderId="104" xfId="0" applyFont="1" applyBorder="1"/>
    <xf numFmtId="0" fontId="29" fillId="0" borderId="0" xfId="0" applyFont="1"/>
    <xf numFmtId="0" fontId="0" fillId="0" borderId="34" xfId="0" applyBorder="1"/>
    <xf numFmtId="0" fontId="0" fillId="0" borderId="35" xfId="0" applyBorder="1"/>
    <xf numFmtId="10" fontId="19" fillId="6" borderId="12" xfId="0" applyNumberFormat="1" applyFont="1" applyFill="1" applyBorder="1"/>
    <xf numFmtId="10" fontId="20" fillId="0" borderId="35" xfId="0" applyNumberFormat="1" applyFont="1" applyBorder="1"/>
    <xf numFmtId="0" fontId="20" fillId="0" borderId="36" xfId="0" applyFont="1" applyBorder="1"/>
    <xf numFmtId="164" fontId="20" fillId="0" borderId="37" xfId="0" applyNumberFormat="1" applyFont="1" applyBorder="1"/>
    <xf numFmtId="164" fontId="20" fillId="0" borderId="38" xfId="0" applyNumberFormat="1" applyFont="1" applyBorder="1"/>
    <xf numFmtId="0" fontId="20" fillId="0" borderId="57" xfId="0" applyFont="1" applyBorder="1"/>
    <xf numFmtId="10" fontId="18" fillId="0" borderId="59" xfId="0" applyNumberFormat="1" applyFont="1" applyBorder="1"/>
    <xf numFmtId="2" fontId="18" fillId="0" borderId="59" xfId="0" applyNumberFormat="1" applyFont="1" applyBorder="1"/>
    <xf numFmtId="165" fontId="18" fillId="0" borderId="59" xfId="0" applyNumberFormat="1" applyFont="1" applyBorder="1"/>
    <xf numFmtId="0" fontId="20" fillId="0" borderId="60" xfId="0" applyFont="1" applyBorder="1"/>
    <xf numFmtId="0" fontId="18" fillId="0" borderId="112" xfId="0" applyFont="1" applyBorder="1"/>
    <xf numFmtId="0" fontId="0" fillId="0" borderId="112" xfId="0" applyBorder="1"/>
    <xf numFmtId="0" fontId="18" fillId="0" borderId="114" xfId="0" applyFont="1" applyBorder="1"/>
    <xf numFmtId="0" fontId="0" fillId="0" borderId="114" xfId="0" applyBorder="1"/>
    <xf numFmtId="0" fontId="0" fillId="0" borderId="115" xfId="0" applyBorder="1"/>
    <xf numFmtId="0" fontId="18" fillId="0" borderId="24" xfId="0" applyFont="1" applyBorder="1"/>
    <xf numFmtId="164" fontId="18" fillId="0" borderId="26" xfId="0" applyNumberFormat="1" applyFont="1" applyBorder="1"/>
    <xf numFmtId="0" fontId="18" fillId="0" borderId="27" xfId="0" applyFont="1" applyBorder="1"/>
    <xf numFmtId="0" fontId="20" fillId="0" borderId="113" xfId="0" applyFont="1" applyBorder="1"/>
    <xf numFmtId="0" fontId="20" fillId="0" borderId="114" xfId="0" applyFont="1" applyBorder="1"/>
    <xf numFmtId="0" fontId="30" fillId="20" borderId="109" xfId="0" applyFont="1" applyFill="1" applyBorder="1" applyAlignment="1">
      <alignment horizontal="left" vertical="center" wrapText="1"/>
    </xf>
    <xf numFmtId="0" fontId="30" fillId="20" borderId="116" xfId="0" applyFont="1" applyFill="1" applyBorder="1" applyAlignment="1">
      <alignment horizontal="center" vertical="center" wrapText="1"/>
    </xf>
    <xf numFmtId="1" fontId="18" fillId="0" borderId="45" xfId="0" applyNumberFormat="1" applyFont="1" applyBorder="1"/>
    <xf numFmtId="17" fontId="18" fillId="0" borderId="12" xfId="0" applyNumberFormat="1" applyFont="1" applyBorder="1"/>
    <xf numFmtId="164" fontId="18" fillId="0" borderId="46" xfId="0" applyNumberFormat="1" applyFont="1" applyBorder="1"/>
    <xf numFmtId="1" fontId="18" fillId="0" borderId="47" xfId="0" applyNumberFormat="1" applyFont="1" applyBorder="1"/>
    <xf numFmtId="17" fontId="18" fillId="0" borderId="48" xfId="0" applyNumberFormat="1" applyFont="1" applyBorder="1"/>
    <xf numFmtId="164" fontId="18" fillId="0" borderId="48" xfId="0" applyNumberFormat="1" applyFont="1" applyBorder="1"/>
    <xf numFmtId="164" fontId="18" fillId="0" borderId="49" xfId="0" applyNumberFormat="1" applyFont="1" applyBorder="1"/>
    <xf numFmtId="0" fontId="0" fillId="0" borderId="111" xfId="0" applyBorder="1"/>
    <xf numFmtId="1" fontId="18" fillId="0" borderId="111" xfId="0" applyNumberFormat="1" applyFont="1" applyBorder="1"/>
    <xf numFmtId="167" fontId="18" fillId="0" borderId="112" xfId="0" applyNumberFormat="1" applyFont="1" applyBorder="1"/>
    <xf numFmtId="1" fontId="18" fillId="0" borderId="113" xfId="0" applyNumberFormat="1" applyFont="1" applyBorder="1"/>
    <xf numFmtId="1" fontId="19" fillId="0" borderId="114" xfId="0" applyNumberFormat="1" applyFont="1" applyBorder="1"/>
    <xf numFmtId="164" fontId="18" fillId="0" borderId="114" xfId="0" applyNumberFormat="1" applyFont="1" applyBorder="1"/>
    <xf numFmtId="167" fontId="18" fillId="0" borderId="114" xfId="0" applyNumberFormat="1" applyFont="1" applyBorder="1"/>
    <xf numFmtId="167" fontId="18" fillId="0" borderId="115" xfId="0" applyNumberFormat="1" applyFont="1" applyBorder="1"/>
    <xf numFmtId="166" fontId="19" fillId="0" borderId="101" xfId="0" applyNumberFormat="1" applyFont="1" applyBorder="1"/>
    <xf numFmtId="166" fontId="19" fillId="0" borderId="103" xfId="0" applyNumberFormat="1" applyFont="1" applyBorder="1"/>
    <xf numFmtId="166" fontId="19" fillId="0" borderId="104" xfId="0" applyNumberFormat="1" applyFont="1" applyBorder="1"/>
    <xf numFmtId="164" fontId="18" fillId="0" borderId="115" xfId="0" applyNumberFormat="1" applyFont="1" applyBorder="1"/>
    <xf numFmtId="164" fontId="20" fillId="0" borderId="101" xfId="0" applyNumberFormat="1" applyFont="1" applyBorder="1"/>
    <xf numFmtId="0" fontId="20" fillId="0" borderId="102" xfId="0" applyFont="1" applyBorder="1"/>
    <xf numFmtId="164" fontId="20" fillId="0" borderId="103" xfId="0" applyNumberFormat="1" applyFont="1" applyBorder="1"/>
    <xf numFmtId="164" fontId="20" fillId="0" borderId="104" xfId="0" applyNumberFormat="1" applyFont="1" applyBorder="1"/>
    <xf numFmtId="0" fontId="31" fillId="22" borderId="125" xfId="0" applyFont="1" applyFill="1" applyBorder="1" applyAlignment="1">
      <alignment horizontal="left" vertical="center" wrapText="1"/>
    </xf>
    <xf numFmtId="0" fontId="31" fillId="22" borderId="126" xfId="0" applyFont="1" applyFill="1" applyBorder="1" applyAlignment="1">
      <alignment horizontal="center" vertical="center" wrapText="1"/>
    </xf>
    <xf numFmtId="17" fontId="18" fillId="0" borderId="45" xfId="0" applyNumberFormat="1" applyFont="1" applyBorder="1"/>
    <xf numFmtId="0" fontId="0" fillId="0" borderId="121" xfId="0" applyBorder="1"/>
    <xf numFmtId="0" fontId="20" fillId="0" borderId="122" xfId="0" applyFont="1" applyBorder="1"/>
    <xf numFmtId="168" fontId="20" fillId="0" borderId="123" xfId="0" applyNumberFormat="1" applyFont="1" applyBorder="1"/>
    <xf numFmtId="0" fontId="0" fillId="0" borderId="124" xfId="0" applyBorder="1"/>
    <xf numFmtId="1" fontId="18" fillId="0" borderId="12" xfId="0" applyNumberFormat="1" applyFont="1" applyBorder="1"/>
    <xf numFmtId="164" fontId="18" fillId="0" borderId="121" xfId="0" applyNumberFormat="1" applyFont="1" applyBorder="1"/>
    <xf numFmtId="171" fontId="18" fillId="0" borderId="121" xfId="0" applyNumberFormat="1" applyFont="1" applyBorder="1"/>
    <xf numFmtId="1" fontId="18" fillId="0" borderId="123" xfId="0" applyNumberFormat="1" applyFont="1" applyBorder="1"/>
    <xf numFmtId="168" fontId="18" fillId="0" borderId="123" xfId="0" applyNumberFormat="1" applyFont="1" applyBorder="1"/>
    <xf numFmtId="2" fontId="18" fillId="0" borderId="123" xfId="0" applyNumberFormat="1" applyFont="1" applyBorder="1"/>
    <xf numFmtId="171" fontId="18" fillId="0" borderId="124" xfId="0" applyNumberFormat="1" applyFont="1" applyBorder="1"/>
    <xf numFmtId="17" fontId="19" fillId="0" borderId="12" xfId="0" applyNumberFormat="1" applyFont="1" applyBorder="1"/>
    <xf numFmtId="2" fontId="18" fillId="0" borderId="101" xfId="0" applyNumberFormat="1" applyFont="1" applyBorder="1"/>
    <xf numFmtId="0" fontId="22" fillId="0" borderId="101" xfId="0" applyFont="1" applyBorder="1"/>
    <xf numFmtId="0" fontId="22" fillId="0" borderId="104" xfId="0" applyFont="1" applyBorder="1"/>
    <xf numFmtId="0" fontId="20" fillId="0" borderId="120" xfId="0" applyFont="1" applyBorder="1"/>
    <xf numFmtId="164" fontId="20" fillId="0" borderId="121" xfId="0" applyNumberFormat="1" applyFont="1" applyBorder="1"/>
    <xf numFmtId="164" fontId="20" fillId="0" borderId="123" xfId="0" applyNumberFormat="1" applyFont="1" applyBorder="1"/>
    <xf numFmtId="164" fontId="20" fillId="0" borderId="124" xfId="0" applyNumberFormat="1" applyFont="1" applyBorder="1"/>
    <xf numFmtId="0" fontId="0" fillId="0" borderId="27" xfId="0" applyBorder="1"/>
    <xf numFmtId="164" fontId="18" fillId="0" borderId="81" xfId="0" applyNumberFormat="1" applyFont="1" applyBorder="1"/>
    <xf numFmtId="17" fontId="18" fillId="0" borderId="47" xfId="0" applyNumberFormat="1" applyFont="1" applyBorder="1"/>
    <xf numFmtId="2" fontId="18" fillId="0" borderId="48" xfId="0" applyNumberFormat="1" applyFont="1" applyBorder="1"/>
    <xf numFmtId="167" fontId="18" fillId="0" borderId="48" xfId="0" applyNumberFormat="1" applyFont="1" applyBorder="1"/>
    <xf numFmtId="168" fontId="18" fillId="0" borderId="48" xfId="0" applyNumberFormat="1" applyFont="1" applyBorder="1"/>
    <xf numFmtId="2" fontId="18" fillId="0" borderId="49" xfId="0" applyNumberFormat="1" applyFont="1" applyBorder="1"/>
    <xf numFmtId="1" fontId="18" fillId="0" borderId="78" xfId="0" applyNumberFormat="1" applyFont="1" applyBorder="1"/>
    <xf numFmtId="0" fontId="20" fillId="0" borderId="80" xfId="0" applyFont="1" applyBorder="1"/>
    <xf numFmtId="164" fontId="20" fillId="0" borderId="81" xfId="0" applyNumberFormat="1" applyFont="1" applyBorder="1"/>
    <xf numFmtId="0" fontId="0" fillId="0" borderId="82" xfId="0" applyBorder="1"/>
    <xf numFmtId="164" fontId="19" fillId="0" borderId="59" xfId="0" applyNumberFormat="1" applyFont="1" applyBorder="1"/>
    <xf numFmtId="164" fontId="18" fillId="0" borderId="60" xfId="0" applyNumberFormat="1" applyFont="1" applyBorder="1"/>
    <xf numFmtId="2" fontId="18" fillId="0" borderId="60" xfId="0" applyNumberFormat="1" applyFont="1" applyBorder="1"/>
    <xf numFmtId="0" fontId="20" fillId="0" borderId="23" xfId="0" applyFont="1" applyBorder="1"/>
    <xf numFmtId="10" fontId="18" fillId="0" borderId="26" xfId="0" applyNumberFormat="1" applyFont="1" applyBorder="1"/>
    <xf numFmtId="164" fontId="18" fillId="0" borderId="27" xfId="0" applyNumberFormat="1" applyFont="1" applyBorder="1"/>
    <xf numFmtId="10" fontId="22" fillId="0" borderId="0" xfId="0" applyNumberFormat="1" applyFont="1"/>
    <xf numFmtId="10" fontId="20" fillId="0" borderId="101" xfId="0" applyNumberFormat="1" applyFont="1" applyBorder="1"/>
    <xf numFmtId="10" fontId="18" fillId="0" borderId="103" xfId="0" applyNumberFormat="1" applyFont="1" applyBorder="1"/>
    <xf numFmtId="0" fontId="0" fillId="0" borderId="103" xfId="0" applyBorder="1"/>
    <xf numFmtId="0" fontId="0" fillId="0" borderId="104" xfId="0" applyBorder="1"/>
    <xf numFmtId="164" fontId="19" fillId="0" borderId="90" xfId="0" applyNumberFormat="1" applyFont="1" applyBorder="1"/>
    <xf numFmtId="10" fontId="18" fillId="0" borderId="90" xfId="0" applyNumberFormat="1" applyFont="1" applyBorder="1"/>
    <xf numFmtId="10" fontId="18" fillId="0" borderId="92" xfId="0" applyNumberFormat="1" applyFont="1" applyBorder="1"/>
    <xf numFmtId="10" fontId="18" fillId="0" borderId="93" xfId="0" applyNumberFormat="1" applyFont="1" applyBorder="1"/>
    <xf numFmtId="164" fontId="19" fillId="0" borderId="57" xfId="0" applyNumberFormat="1" applyFont="1" applyBorder="1"/>
    <xf numFmtId="10" fontId="18" fillId="0" borderId="60" xfId="0" applyNumberFormat="1" applyFont="1" applyBorder="1"/>
    <xf numFmtId="17" fontId="18" fillId="0" borderId="78" xfId="0" applyNumberFormat="1" applyFont="1" applyBorder="1"/>
    <xf numFmtId="1" fontId="18" fillId="0" borderId="23" xfId="0" applyNumberFormat="1" applyFont="1" applyBorder="1"/>
    <xf numFmtId="1" fontId="18" fillId="0" borderId="25" xfId="0" applyNumberFormat="1" applyFont="1" applyBorder="1"/>
    <xf numFmtId="0" fontId="18" fillId="0" borderId="26" xfId="0" applyFont="1" applyBorder="1"/>
    <xf numFmtId="17" fontId="18" fillId="0" borderId="80" xfId="0" applyNumberFormat="1" applyFont="1" applyBorder="1"/>
    <xf numFmtId="17" fontId="18" fillId="0" borderId="81" xfId="0" applyNumberFormat="1" applyFont="1" applyBorder="1"/>
    <xf numFmtId="1" fontId="18" fillId="0" borderId="81" xfId="0" applyNumberFormat="1" applyFont="1" applyBorder="1"/>
    <xf numFmtId="10" fontId="18" fillId="0" borderId="70" xfId="0" applyNumberFormat="1" applyFont="1" applyBorder="1"/>
    <xf numFmtId="166" fontId="18" fillId="0" borderId="45" xfId="0" applyNumberFormat="1" applyFont="1" applyBorder="1"/>
    <xf numFmtId="10" fontId="18" fillId="0" borderId="34" xfId="0" applyNumberFormat="1" applyFont="1" applyBorder="1"/>
    <xf numFmtId="10" fontId="18" fillId="0" borderId="56" xfId="0" applyNumberFormat="1" applyFont="1" applyBorder="1"/>
    <xf numFmtId="166" fontId="18" fillId="0" borderId="47" xfId="0" applyNumberFormat="1" applyFont="1" applyBorder="1"/>
    <xf numFmtId="10" fontId="18" fillId="0" borderId="36" xfId="0" applyNumberFormat="1" applyFont="1" applyBorder="1"/>
    <xf numFmtId="10" fontId="18" fillId="0" borderId="37" xfId="0" applyNumberFormat="1" applyFont="1" applyBorder="1"/>
    <xf numFmtId="10" fontId="18" fillId="0" borderId="58" xfId="0" applyNumberFormat="1" applyFont="1" applyBorder="1"/>
    <xf numFmtId="17" fontId="19" fillId="0" borderId="45" xfId="0" applyNumberFormat="1" applyFont="1" applyBorder="1"/>
    <xf numFmtId="0" fontId="22" fillId="0" borderId="46" xfId="0" applyFont="1" applyBorder="1"/>
    <xf numFmtId="17" fontId="19" fillId="0" borderId="47" xfId="0" applyNumberFormat="1" applyFont="1" applyBorder="1"/>
    <xf numFmtId="10" fontId="19" fillId="0" borderId="48" xfId="0" applyNumberFormat="1" applyFont="1" applyBorder="1"/>
    <xf numFmtId="0" fontId="22" fillId="0" borderId="49" xfId="0" applyFont="1" applyBorder="1"/>
    <xf numFmtId="0" fontId="7" fillId="2" borderId="1" xfId="0" applyFont="1" applyFill="1" applyBorder="1" applyAlignment="1">
      <alignment horizontal="center" vertical="center"/>
    </xf>
    <xf numFmtId="0" fontId="0" fillId="0" borderId="1" xfId="0" applyBorder="1"/>
    <xf numFmtId="0" fontId="6" fillId="2" borderId="1" xfId="0" applyFont="1" applyFill="1" applyBorder="1" applyAlignment="1">
      <alignment horizontal="center" vertical="center" wrapText="1"/>
    </xf>
    <xf numFmtId="0" fontId="5" fillId="0" borderId="0" xfId="0" applyFont="1" applyAlignment="1">
      <alignment vertical="center"/>
    </xf>
    <xf numFmtId="0" fontId="20" fillId="25" borderId="0" xfId="0" applyFont="1" applyFill="1"/>
    <xf numFmtId="0" fontId="0" fillId="25" borderId="0" xfId="0" applyFill="1"/>
    <xf numFmtId="0" fontId="18" fillId="25" borderId="65" xfId="0" applyFont="1" applyFill="1" applyBorder="1" applyAlignment="1">
      <alignment horizontal="center"/>
    </xf>
    <xf numFmtId="0" fontId="18" fillId="25" borderId="71" xfId="0" applyFont="1" applyFill="1" applyBorder="1" applyAlignment="1">
      <alignment horizontal="center"/>
    </xf>
    <xf numFmtId="0" fontId="0" fillId="25" borderId="0" xfId="0" applyFill="1" applyAlignment="1">
      <alignment horizontal="center"/>
    </xf>
    <xf numFmtId="0" fontId="18" fillId="26" borderId="65" xfId="0" applyFont="1" applyFill="1" applyBorder="1" applyAlignment="1">
      <alignment horizontal="center"/>
    </xf>
    <xf numFmtId="0" fontId="0" fillId="26" borderId="0" xfId="0" applyFill="1" applyAlignment="1">
      <alignment horizontal="center"/>
    </xf>
    <xf numFmtId="0" fontId="34" fillId="0" borderId="24" xfId="0" applyFont="1" applyBorder="1"/>
    <xf numFmtId="0" fontId="34" fillId="0" borderId="27" xfId="0" applyFont="1" applyBorder="1"/>
    <xf numFmtId="0" fontId="34" fillId="0" borderId="35" xfId="0" applyFont="1" applyBorder="1"/>
    <xf numFmtId="0" fontId="34" fillId="0" borderId="38" xfId="0" applyFont="1" applyBorder="1"/>
    <xf numFmtId="0" fontId="34" fillId="0" borderId="121" xfId="0" applyFont="1" applyBorder="1"/>
    <xf numFmtId="0" fontId="20" fillId="25" borderId="70" xfId="0" applyFont="1" applyFill="1" applyBorder="1" applyAlignment="1">
      <alignment horizontal="center"/>
    </xf>
    <xf numFmtId="0" fontId="34" fillId="0" borderId="90" xfId="0" applyFont="1" applyBorder="1"/>
    <xf numFmtId="0" fontId="34" fillId="0" borderId="93" xfId="0" applyFont="1" applyBorder="1"/>
  </cellXfs>
  <cellStyles count="3">
    <cellStyle name="Normal" xfId="0" builtinId="0"/>
    <cellStyle name="Normal 2" xfId="1" xr:uid="{00000000-0005-0000-0000-000001000000}"/>
    <cellStyle name="Percent 3" xfId="2" xr:uid="{00000000-0005-0000-0000-000002000000}"/>
  </cellStyles>
  <dxfs count="34">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FFEB9C"/>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Asset allocation: current, benchmark, recommended</a:t>
            </a:r>
          </a:p>
        </c:rich>
      </c:tx>
      <c:overlay val="0"/>
    </c:title>
    <c:autoTitleDeleted val="0"/>
    <c:plotArea>
      <c:layout/>
      <c:barChart>
        <c:barDir val="bar"/>
        <c:grouping val="clustered"/>
        <c:varyColors val="1"/>
        <c:ser>
          <c:idx val="0"/>
          <c:order val="0"/>
          <c:tx>
            <c:strRef>
              <c:f>Summary!$B$5</c:f>
              <c:strCache>
                <c:ptCount val="1"/>
                <c:pt idx="0">
                  <c:v>Current</c:v>
                </c:pt>
              </c:strCache>
            </c:strRef>
          </c:tx>
          <c:spPr>
            <a:solidFill>
              <a:srgbClr val="C0702A"/>
            </a:solidFill>
            <a:ln>
              <a:noFill/>
              <a:prstDash val="solid"/>
            </a:ln>
          </c:spPr>
          <c:invertIfNegative val="1"/>
          <c:cat>
            <c:strRef>
              <c:f>Summary!$A$6:$A$16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Summary!$B$6:$B$16</c:f>
              <c:numCache>
                <c:formatCode>0.0%</c:formatCode>
                <c:ptCount val="11"/>
                <c:pt idx="0">
                  <c:v>0.4</c:v>
                </c:pt>
                <c:pt idx="1">
                  <c:v>0.2</c:v>
                </c:pt>
                <c:pt idx="2">
                  <c:v>0</c:v>
                </c:pt>
                <c:pt idx="3">
                  <c:v>0.1</c:v>
                </c:pt>
                <c:pt idx="4">
                  <c:v>0</c:v>
                </c:pt>
                <c:pt idx="5">
                  <c:v>0</c:v>
                </c:pt>
                <c:pt idx="6">
                  <c:v>0</c:v>
                </c:pt>
                <c:pt idx="7">
                  <c:v>0</c:v>
                </c:pt>
                <c:pt idx="8">
                  <c:v>0.15</c:v>
                </c:pt>
                <c:pt idx="9">
                  <c:v>0.08</c:v>
                </c:pt>
                <c:pt idx="10">
                  <c:v>7.0000000000000007E-2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E54B-314B-ACAA-ED94487C69CE}"/>
            </c:ext>
          </c:extLst>
        </c:ser>
        <c:ser>
          <c:idx val="1"/>
          <c:order val="1"/>
          <c:tx>
            <c:strRef>
              <c:f>Summary!$C$5</c:f>
              <c:strCache>
                <c:ptCount val="1"/>
                <c:pt idx="0">
                  <c:v>Benchmark</c:v>
                </c:pt>
              </c:strCache>
            </c:strRef>
          </c:tx>
          <c:spPr>
            <a:solidFill>
              <a:srgbClr val="2E9E86"/>
            </a:solidFill>
            <a:ln>
              <a:noFill/>
              <a:prstDash val="solid"/>
            </a:ln>
          </c:spPr>
          <c:invertIfNegative val="1"/>
          <c:cat>
            <c:strRef>
              <c:f>Summary!$A$6:$A$16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Summary!$C$6:$C$16</c:f>
              <c:numCache>
                <c:formatCode>0.0%</c:formatCode>
                <c:ptCount val="11"/>
                <c:pt idx="0">
                  <c:v>0.25</c:v>
                </c:pt>
                <c:pt idx="1">
                  <c:v>0.24</c:v>
                </c:pt>
                <c:pt idx="2">
                  <c:v>0.03</c:v>
                </c:pt>
                <c:pt idx="3">
                  <c:v>7.0000000000000007E-2</c:v>
                </c:pt>
                <c:pt idx="4">
                  <c:v>0.02</c:v>
                </c:pt>
                <c:pt idx="5">
                  <c:v>0.05</c:v>
                </c:pt>
                <c:pt idx="6">
                  <c:v>0.03</c:v>
                </c:pt>
                <c:pt idx="7">
                  <c:v>0.03</c:v>
                </c:pt>
                <c:pt idx="8">
                  <c:v>0.14000000000000001</c:v>
                </c:pt>
                <c:pt idx="9">
                  <c:v>0.11</c:v>
                </c:pt>
                <c:pt idx="10">
                  <c:v>0.03</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E54B-314B-ACAA-ED94487C69CE}"/>
            </c:ext>
          </c:extLst>
        </c:ser>
        <c:ser>
          <c:idx val="2"/>
          <c:order val="2"/>
          <c:tx>
            <c:strRef>
              <c:f>Summary!$D$5</c:f>
              <c:strCache>
                <c:ptCount val="1"/>
                <c:pt idx="0">
                  <c:v>Recommended</c:v>
                </c:pt>
              </c:strCache>
            </c:strRef>
          </c:tx>
          <c:spPr>
            <a:solidFill>
              <a:srgbClr val="2E5AAC"/>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Summary!$D$6:$D$16</c:f>
              <c:numCache>
                <c:formatCode>0.0%</c:formatCode>
                <c:ptCount val="11"/>
                <c:pt idx="0">
                  <c:v>0.2697</c:v>
                </c:pt>
                <c:pt idx="1">
                  <c:v>0.2732</c:v>
                </c:pt>
                <c:pt idx="2">
                  <c:v>7.7100000000000002E-2</c:v>
                </c:pt>
                <c:pt idx="3">
                  <c:v>7.5399999999999995E-2</c:v>
                </c:pt>
                <c:pt idx="4">
                  <c:v>0.03</c:v>
                </c:pt>
                <c:pt idx="5">
                  <c:v>0.05</c:v>
                </c:pt>
                <c:pt idx="6">
                  <c:v>0</c:v>
                </c:pt>
                <c:pt idx="7">
                  <c:v>0.01</c:v>
                </c:pt>
                <c:pt idx="8">
                  <c:v>0.13089999999999999</c:v>
                </c:pt>
                <c:pt idx="9">
                  <c:v>6.3700000000000007E-2</c:v>
                </c:pt>
                <c:pt idx="10">
                  <c:v>0.02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E54B-314B-ACAA-ED94487C69CE}"/>
            </c:ext>
          </c:extLst>
        </c:ser>
        <c:dLbls>
          <c:showLegendKey val="0"/>
          <c:showVal val="0"/>
          <c:showCatName val="0"/>
          <c:showSerName val="0"/>
          <c:showPercent val="0"/>
          <c:showBubbleSize val="0"/>
        </c:dLbls>
        <c:gapWidth val="50"/>
        <c:axId val="10"/>
        <c:axId val="100"/>
      </c:barChart>
      <c:catAx>
        <c:axId val="10"/>
        <c:scaling>
          <c:orientation val="maxMin"/>
        </c:scaling>
        <c:delete val="0"/>
        <c:axPos val="l"/>
        <c:numFmt formatCode="General" sourceLinked="1"/>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t"/>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Risk and return: recommended portfolio on the frontier</a:t>
            </a:r>
          </a:p>
        </c:rich>
      </c:tx>
      <c:overlay val="0"/>
    </c:title>
    <c:autoTitleDeleted val="0"/>
    <c:plotArea>
      <c:layout/>
      <c:scatterChart>
        <c:scatterStyle val="lineMarker"/>
        <c:varyColors val="1"/>
        <c:ser>
          <c:idx val="0"/>
          <c:order val="0"/>
          <c:tx>
            <c:v>Frontier without the tracking-error limit</c:v>
          </c:tx>
          <c:spPr>
            <a:ln w="22320">
              <a:solidFill>
                <a:srgbClr val="9AA3AD"/>
              </a:solidFill>
              <a:prstDash val="dash"/>
            </a:ln>
          </c:spPr>
          <c:marker>
            <c:symbol val="none"/>
          </c:marker>
          <c:xVal>
            <c:numRef>
              <c:f>'Report figures'!$O$22:$O$31</c:f>
              <c:numCache>
                <c:formatCode>0.00%</c:formatCode>
                <c:ptCount val="10"/>
                <c:pt idx="0">
                  <c:v>4.9433100365275109E-2</c:v>
                </c:pt>
                <c:pt idx="1">
                  <c:v>5.2676263056367745E-2</c:v>
                </c:pt>
                <c:pt idx="2">
                  <c:v>5.610028856457016E-2</c:v>
                </c:pt>
                <c:pt idx="3">
                  <c:v>5.9637711122052697E-2</c:v>
                </c:pt>
                <c:pt idx="4">
                  <c:v>6.3204876467283011E-2</c:v>
                </c:pt>
                <c:pt idx="5">
                  <c:v>6.6799937243324184E-2</c:v>
                </c:pt>
                <c:pt idx="6">
                  <c:v>7.0451556349092406E-2</c:v>
                </c:pt>
                <c:pt idx="7">
                  <c:v>7.4469911952620982E-2</c:v>
                </c:pt>
                <c:pt idx="8">
                  <c:v>7.9018483234754827E-2</c:v>
                </c:pt>
                <c:pt idx="9">
                  <c:v>8.8695807575308039E-2</c:v>
                </c:pt>
              </c:numCache>
            </c:numRef>
          </c:xVal>
          <c:yVal>
            <c:numRef>
              <c:f>'Report figures'!$P$22:$P$31</c:f>
              <c:numCache>
                <c:formatCode>0.00%</c:formatCode>
                <c:ptCount val="10"/>
                <c:pt idx="0">
                  <c:v>6.2369554009411896E-2</c:v>
                </c:pt>
                <c:pt idx="1">
                  <c:v>6.3528968913292364E-2</c:v>
                </c:pt>
                <c:pt idx="2">
                  <c:v>6.4690287865627916E-2</c:v>
                </c:pt>
                <c:pt idx="3">
                  <c:v>6.5848632214347474E-2</c:v>
                </c:pt>
                <c:pt idx="4">
                  <c:v>6.7009140440661072E-2</c:v>
                </c:pt>
                <c:pt idx="5">
                  <c:v>6.8168636402828262E-2</c:v>
                </c:pt>
                <c:pt idx="6">
                  <c:v>6.9330399838180734E-2</c:v>
                </c:pt>
                <c:pt idx="7">
                  <c:v>7.0489157194444957E-2</c:v>
                </c:pt>
                <c:pt idx="8">
                  <c:v>7.1648332788718225E-2</c:v>
                </c:pt>
                <c:pt idx="9">
                  <c:v>7.2808538560980227E-2</c:v>
                </c:pt>
              </c:numCache>
            </c:numRef>
          </c:yVal>
          <c:smooth val="1"/>
          <c:extLst>
            <c:ext xmlns:c16="http://schemas.microsoft.com/office/drawing/2014/chart" uri="{C3380CC4-5D6E-409C-BE32-E72D297353CC}">
              <c16:uniqueId val="{00000000-3D90-C448-AA81-6A4FC76482A6}"/>
            </c:ext>
          </c:extLst>
        </c:ser>
        <c:ser>
          <c:idx val="1"/>
          <c:order val="1"/>
          <c:tx>
            <c:v>Efficient frontier, all mandate limits</c:v>
          </c:tx>
          <c:spPr>
            <a:ln w="34920">
              <a:solidFill>
                <a:srgbClr val="1F2E5C"/>
              </a:solidFill>
              <a:prstDash val="solid"/>
            </a:ln>
          </c:spPr>
          <c:marker>
            <c:symbol val="none"/>
          </c:marker>
          <c:xVal>
            <c:numRef>
              <c:f>'Report figures'!$Q$22:$Q$31</c:f>
              <c:numCache>
                <c:formatCode>0.00%</c:formatCode>
                <c:ptCount val="10"/>
                <c:pt idx="0">
                  <c:v>6.0281372248438686E-2</c:v>
                </c:pt>
                <c:pt idx="1">
                  <c:v>6.0923936055562414E-2</c:v>
                </c:pt>
                <c:pt idx="2">
                  <c:v>6.2220178311382678E-2</c:v>
                </c:pt>
                <c:pt idx="3">
                  <c:v>6.4037807446289466E-2</c:v>
                </c:pt>
                <c:pt idx="4">
                  <c:v>6.607109237478577E-2</c:v>
                </c:pt>
                <c:pt idx="5">
                  <c:v>6.8238969633792598E-2</c:v>
                </c:pt>
                <c:pt idx="6">
                  <c:v>7.0487667882380409E-2</c:v>
                </c:pt>
                <c:pt idx="7">
                  <c:v>7.2813397900805363E-2</c:v>
                </c:pt>
                <c:pt idx="8">
                  <c:v>7.5320167072069941E-2</c:v>
                </c:pt>
                <c:pt idx="9">
                  <c:v>7.8750520975673324E-2</c:v>
                </c:pt>
              </c:numCache>
            </c:numRef>
          </c:xVal>
          <c:yVal>
            <c:numRef>
              <c:f>'Report figures'!$R$22:$R$31</c:f>
              <c:numCache>
                <c:formatCode>0.00%</c:formatCode>
                <c:ptCount val="10"/>
                <c:pt idx="0">
                  <c:v>6.4978580460059138E-2</c:v>
                </c:pt>
                <c:pt idx="1">
                  <c:v>6.568853482043277E-2</c:v>
                </c:pt>
                <c:pt idx="2">
                  <c:v>6.6400049192998259E-2</c:v>
                </c:pt>
                <c:pt idx="3">
                  <c:v>6.7110267702114326E-2</c:v>
                </c:pt>
                <c:pt idx="4">
                  <c:v>6.7819562397975236E-2</c:v>
                </c:pt>
                <c:pt idx="5">
                  <c:v>6.8533368900636132E-2</c:v>
                </c:pt>
                <c:pt idx="6">
                  <c:v>6.924526134591806E-2</c:v>
                </c:pt>
                <c:pt idx="7">
                  <c:v>6.9954397104518604E-2</c:v>
                </c:pt>
                <c:pt idx="8">
                  <c:v>7.0662222914585959E-2</c:v>
                </c:pt>
                <c:pt idx="9">
                  <c:v>7.1373064296758701E-2</c:v>
                </c:pt>
              </c:numCache>
            </c:numRef>
          </c:yVal>
          <c:smooth val="1"/>
          <c:extLst>
            <c:ext xmlns:c16="http://schemas.microsoft.com/office/drawing/2014/chart" uri="{C3380CC4-5D6E-409C-BE32-E72D297353CC}">
              <c16:uniqueId val="{00000001-3D90-C448-AA81-6A4FC76482A6}"/>
            </c:ext>
          </c:extLst>
        </c:ser>
        <c:ser>
          <c:idx val="2"/>
          <c:order val="2"/>
          <c:tx>
            <c:v>Current fund</c:v>
          </c:tx>
          <c:spPr>
            <a:ln>
              <a:noFill/>
              <a:prstDash val="solid"/>
            </a:ln>
          </c:spPr>
          <c:marker>
            <c:symbol val="circle"/>
            <c:size val="9"/>
            <c:spPr>
              <a:solidFill>
                <a:srgbClr val="C0702A"/>
              </a:solidFill>
              <a:ln>
                <a:solidFill>
                  <a:srgbClr val="C0702A"/>
                </a:solidFill>
                <a:prstDash val="solid"/>
              </a:ln>
            </c:spPr>
          </c:marker>
          <c:dLbls>
            <c:spPr>
              <a:noFill/>
              <a:ln>
                <a:noFill/>
              </a:ln>
              <a:effectLst/>
            </c:spPr>
            <c:txPr>
              <a:bodyPr/>
              <a:lstStyle/>
              <a:p>
                <a:pPr>
                  <a:defRPr sz="900" b="1">
                    <a:solidFill>
                      <a:srgbClr val="C0702A"/>
                    </a:solidFill>
                    <a:latin typeface="Calibri"/>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'Report figures'!$O$33</c:f>
              <c:numCache>
                <c:formatCode>0.00%</c:formatCode>
                <c:ptCount val="1"/>
                <c:pt idx="0">
                  <c:v>8.3833964159733848E-2</c:v>
                </c:pt>
              </c:numCache>
            </c:numRef>
          </c:xVal>
          <c:yVal>
            <c:numRef>
              <c:f>'Report figures'!$P$33</c:f>
              <c:numCache>
                <c:formatCode>0.00%</c:formatCode>
                <c:ptCount val="1"/>
                <c:pt idx="0">
                  <c:v>7.1036033622111125E-2</c:v>
                </c:pt>
              </c:numCache>
            </c:numRef>
          </c:yVal>
          <c:smooth val="1"/>
          <c:extLst>
            <c:ext xmlns:c16="http://schemas.microsoft.com/office/drawing/2014/chart" uri="{C3380CC4-5D6E-409C-BE32-E72D297353CC}">
              <c16:uniqueId val="{00000002-3D90-C448-AA81-6A4FC76482A6}"/>
            </c:ext>
          </c:extLst>
        </c:ser>
        <c:ser>
          <c:idx val="3"/>
          <c:order val="3"/>
          <c:tx>
            <c:v>Benchmark</c:v>
          </c:tx>
          <c:spPr>
            <a:ln>
              <a:noFill/>
              <a:prstDash val="solid"/>
            </a:ln>
          </c:spPr>
          <c:marker>
            <c:symbol val="circle"/>
            <c:size val="9"/>
            <c:spPr>
              <a:solidFill>
                <a:srgbClr val="2E9E86"/>
              </a:solidFill>
              <a:ln>
                <a:solidFill>
                  <a:srgbClr val="2E9E86"/>
                </a:solidFill>
                <a:prstDash val="solid"/>
              </a:ln>
            </c:spPr>
          </c:marker>
          <c:dLbls>
            <c:spPr>
              <a:noFill/>
              <a:ln>
                <a:noFill/>
              </a:ln>
              <a:effectLst/>
            </c:spPr>
            <c:txPr>
              <a:bodyPr/>
              <a:lstStyle/>
              <a:p>
                <a:pPr>
                  <a:defRPr sz="900" b="1">
                    <a:solidFill>
                      <a:srgbClr val="2E9E86"/>
                    </a:solidFill>
                    <a:latin typeface="Calibri"/>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'Report figures'!$O$34</c:f>
              <c:numCache>
                <c:formatCode>0.00%</c:formatCode>
                <c:ptCount val="1"/>
                <c:pt idx="0">
                  <c:v>7.0134112008392299E-2</c:v>
                </c:pt>
              </c:numCache>
            </c:numRef>
          </c:xVal>
          <c:yVal>
            <c:numRef>
              <c:f>'Report figures'!$P$34</c:f>
              <c:numCache>
                <c:formatCode>0.00%</c:formatCode>
                <c:ptCount val="1"/>
                <c:pt idx="0">
                  <c:v>6.7685257170379112E-2</c:v>
                </c:pt>
              </c:numCache>
            </c:numRef>
          </c:yVal>
          <c:smooth val="1"/>
          <c:extLst>
            <c:ext xmlns:c16="http://schemas.microsoft.com/office/drawing/2014/chart" uri="{C3380CC4-5D6E-409C-BE32-E72D297353CC}">
              <c16:uniqueId val="{00000003-3D90-C448-AA81-6A4FC76482A6}"/>
            </c:ext>
          </c:extLst>
        </c:ser>
        <c:ser>
          <c:idx val="4"/>
          <c:order val="4"/>
          <c:tx>
            <c:v>Recommended</c:v>
          </c:tx>
          <c:spPr>
            <a:ln>
              <a:noFill/>
              <a:prstDash val="solid"/>
            </a:ln>
          </c:spPr>
          <c:marker>
            <c:symbol val="diamond"/>
            <c:size val="12"/>
            <c:spPr>
              <a:solidFill>
                <a:srgbClr val="2E5AAC"/>
              </a:solidFill>
              <a:ln>
                <a:solidFill>
                  <a:srgbClr val="2E5AAC"/>
                </a:solidFill>
                <a:prstDash val="solid"/>
              </a:ln>
            </c:spPr>
          </c:marker>
          <c:dLbls>
            <c:spPr>
              <a:noFill/>
              <a:ln>
                <a:noFill/>
              </a:ln>
              <a:effectLst/>
            </c:spPr>
            <c:txPr>
              <a:bodyPr/>
              <a:lstStyle/>
              <a:p>
                <a:pPr>
                  <a:defRPr sz="900" b="1">
                    <a:solidFill>
                      <a:srgbClr val="2E5AAC"/>
                    </a:solidFill>
                    <a:latin typeface="Calibri"/>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'Report figures'!$O$35</c:f>
              <c:numCache>
                <c:formatCode>0.00%</c:formatCode>
                <c:ptCount val="1"/>
                <c:pt idx="0">
                  <c:v>7.875064259614814E-2</c:v>
                </c:pt>
              </c:numCache>
            </c:numRef>
          </c:xVal>
          <c:yVal>
            <c:numRef>
              <c:f>'Report figures'!$P$35</c:f>
              <c:numCache>
                <c:formatCode>0.00%</c:formatCode>
                <c:ptCount val="1"/>
                <c:pt idx="0">
                  <c:v>7.1373051138514956E-2</c:v>
                </c:pt>
              </c:numCache>
            </c:numRef>
          </c:yVal>
          <c:smooth val="1"/>
          <c:extLst>
            <c:ext xmlns:c16="http://schemas.microsoft.com/office/drawing/2014/chart" uri="{C3380CC4-5D6E-409C-BE32-E72D297353CC}">
              <c16:uniqueId val="{00000004-3D90-C448-AA81-6A4FC76482A6}"/>
            </c:ext>
          </c:extLst>
        </c:ser>
        <c:dLbls>
          <c:showLegendKey val="0"/>
          <c:showVal val="0"/>
          <c:showCatName val="0"/>
          <c:showSerName val="0"/>
          <c:showPercent val="0"/>
          <c:showBubbleSize val="0"/>
        </c:dLbls>
        <c:axId val="10"/>
        <c:axId val="20"/>
      </c:scatterChart>
      <c:valAx>
        <c:axId val="10"/>
        <c:scaling>
          <c:orientation val="minMax"/>
          <c:max val="9.5000000000000001E-2"/>
          <c:min val="4.4999999999999998E-2"/>
        </c:scaling>
        <c:delete val="0"/>
        <c:axPos val="b"/>
        <c:title>
          <c:tx>
            <c:rich>
              <a:bodyPr/>
              <a:lstStyle/>
              <a:p>
                <a:pPr>
                  <a:defRPr sz="900" b="0">
                    <a:solidFill>
                      <a:srgbClr val="3A4250"/>
                    </a:solidFill>
                    <a:latin typeface="Calibri"/>
                  </a:defRPr>
                </a:pPr>
                <a:r>
                  <a:rPr lang="en-AU" sz="900" b="0">
                    <a:solidFill>
                      <a:srgbClr val="3A4250"/>
                    </a:solidFill>
                    <a:latin typeface="Calibri"/>
                  </a:rPr>
                  <a:t>Volatility (p.a.)</a:t>
                </a:r>
              </a:p>
            </c:rich>
          </c:tx>
          <c:overlay val="0"/>
        </c:title>
        <c:numFmt formatCode="0.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20"/>
        <c:crosses val="autoZero"/>
        <c:crossBetween val="midCat"/>
      </c:valAx>
      <c:valAx>
        <c:axId val="20"/>
        <c:scaling>
          <c:orientation val="minMax"/>
          <c:max val="7.4999999999999997E-2"/>
          <c:min val="6.2E-2"/>
        </c:scaling>
        <c:delete val="0"/>
        <c:axPos val="l"/>
        <c:majorGridlines>
          <c:spPr>
            <a:ln w="9360">
              <a:solidFill>
                <a:srgbClr val="E3E6EA"/>
              </a:solidFill>
              <a:prstDash val="solid"/>
            </a:ln>
          </c:spPr>
        </c:majorGridlines>
        <c:title>
          <c:tx>
            <c:rich>
              <a:bodyPr/>
              <a:lstStyle/>
              <a:p>
                <a:pPr>
                  <a:defRPr sz="900" b="0">
                    <a:solidFill>
                      <a:srgbClr val="3A4250"/>
                    </a:solidFill>
                    <a:latin typeface="Calibri"/>
                  </a:defRPr>
                </a:pPr>
                <a:r>
                  <a:rPr lang="en-AU" sz="900" b="0">
                    <a:solidFill>
                      <a:srgbClr val="3A4250"/>
                    </a:solidFill>
                    <a:latin typeface="Calibri"/>
                  </a:rPr>
                  <a:t>Expected return (net, p.a.)</a:t>
                </a:r>
              </a:p>
            </c:rich>
          </c:tx>
          <c:overlay val="0"/>
        </c:title>
        <c:numFmt formatCode="0.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midCat"/>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Risk-return opportunity set</a:t>
            </a:r>
          </a:p>
        </c:rich>
      </c:tx>
      <c:overlay val="0"/>
    </c:title>
    <c:autoTitleDeleted val="0"/>
    <c:plotArea>
      <c:layout/>
      <c:scatterChart>
        <c:scatterStyle val="lineMarker"/>
        <c:varyColors val="1"/>
        <c:ser>
          <c:idx val="0"/>
          <c:order val="0"/>
          <c:tx>
            <c:v>Frontier without the tracking-error limit</c:v>
          </c:tx>
          <c:spPr>
            <a:ln w="22320">
              <a:solidFill>
                <a:srgbClr val="9AA3AD"/>
              </a:solidFill>
              <a:prstDash val="dash"/>
            </a:ln>
          </c:spPr>
          <c:marker>
            <c:symbol val="none"/>
          </c:marker>
          <c:xVal>
            <c:numRef>
              <c:f>'Report figures'!$O$22:$O$31</c:f>
              <c:numCache>
                <c:formatCode>0.00%</c:formatCode>
                <c:ptCount val="10"/>
                <c:pt idx="0">
                  <c:v>4.9433100365275109E-2</c:v>
                </c:pt>
                <c:pt idx="1">
                  <c:v>5.2676263056367745E-2</c:v>
                </c:pt>
                <c:pt idx="2">
                  <c:v>5.610028856457016E-2</c:v>
                </c:pt>
                <c:pt idx="3">
                  <c:v>5.9637711122052697E-2</c:v>
                </c:pt>
                <c:pt idx="4">
                  <c:v>6.3204876467283011E-2</c:v>
                </c:pt>
                <c:pt idx="5">
                  <c:v>6.6799937243324184E-2</c:v>
                </c:pt>
                <c:pt idx="6">
                  <c:v>7.0451556349092406E-2</c:v>
                </c:pt>
                <c:pt idx="7">
                  <c:v>7.4469911952620982E-2</c:v>
                </c:pt>
                <c:pt idx="8">
                  <c:v>7.9018483234754827E-2</c:v>
                </c:pt>
                <c:pt idx="9">
                  <c:v>8.8695807575308039E-2</c:v>
                </c:pt>
              </c:numCache>
            </c:numRef>
          </c:xVal>
          <c:yVal>
            <c:numRef>
              <c:f>'Report figures'!$P$22:$P$31</c:f>
              <c:numCache>
                <c:formatCode>0.00%</c:formatCode>
                <c:ptCount val="10"/>
                <c:pt idx="0">
                  <c:v>6.2369554009411896E-2</c:v>
                </c:pt>
                <c:pt idx="1">
                  <c:v>6.3528968913292364E-2</c:v>
                </c:pt>
                <c:pt idx="2">
                  <c:v>6.4690287865627916E-2</c:v>
                </c:pt>
                <c:pt idx="3">
                  <c:v>6.5848632214347474E-2</c:v>
                </c:pt>
                <c:pt idx="4">
                  <c:v>6.7009140440661072E-2</c:v>
                </c:pt>
                <c:pt idx="5">
                  <c:v>6.8168636402828262E-2</c:v>
                </c:pt>
                <c:pt idx="6">
                  <c:v>6.9330399838180734E-2</c:v>
                </c:pt>
                <c:pt idx="7">
                  <c:v>7.0489157194444957E-2</c:v>
                </c:pt>
                <c:pt idx="8">
                  <c:v>7.1648332788718225E-2</c:v>
                </c:pt>
                <c:pt idx="9">
                  <c:v>7.2808538560980227E-2</c:v>
                </c:pt>
              </c:numCache>
            </c:numRef>
          </c:yVal>
          <c:smooth val="1"/>
          <c:extLst>
            <c:ext xmlns:c16="http://schemas.microsoft.com/office/drawing/2014/chart" uri="{C3380CC4-5D6E-409C-BE32-E72D297353CC}">
              <c16:uniqueId val="{00000000-20D4-B648-90E4-39FF074EBAC9}"/>
            </c:ext>
          </c:extLst>
        </c:ser>
        <c:ser>
          <c:idx val="1"/>
          <c:order val="1"/>
          <c:tx>
            <c:v>Efficient frontier, all mandate limits</c:v>
          </c:tx>
          <c:spPr>
            <a:ln w="34920">
              <a:solidFill>
                <a:srgbClr val="1F2E5C"/>
              </a:solidFill>
              <a:prstDash val="solid"/>
            </a:ln>
          </c:spPr>
          <c:marker>
            <c:symbol val="none"/>
          </c:marker>
          <c:xVal>
            <c:numRef>
              <c:f>'Report figures'!$Q$22:$Q$31</c:f>
              <c:numCache>
                <c:formatCode>0.00%</c:formatCode>
                <c:ptCount val="10"/>
                <c:pt idx="0">
                  <c:v>6.0281372248438686E-2</c:v>
                </c:pt>
                <c:pt idx="1">
                  <c:v>6.0923936055562414E-2</c:v>
                </c:pt>
                <c:pt idx="2">
                  <c:v>6.2220178311382678E-2</c:v>
                </c:pt>
                <c:pt idx="3">
                  <c:v>6.4037807446289466E-2</c:v>
                </c:pt>
                <c:pt idx="4">
                  <c:v>6.607109237478577E-2</c:v>
                </c:pt>
                <c:pt idx="5">
                  <c:v>6.8238969633792598E-2</c:v>
                </c:pt>
                <c:pt idx="6">
                  <c:v>7.0487667882380409E-2</c:v>
                </c:pt>
                <c:pt idx="7">
                  <c:v>7.2813397900805363E-2</c:v>
                </c:pt>
                <c:pt idx="8">
                  <c:v>7.5320167072069941E-2</c:v>
                </c:pt>
                <c:pt idx="9">
                  <c:v>7.8750520975673324E-2</c:v>
                </c:pt>
              </c:numCache>
            </c:numRef>
          </c:xVal>
          <c:yVal>
            <c:numRef>
              <c:f>'Report figures'!$R$22:$R$31</c:f>
              <c:numCache>
                <c:formatCode>0.00%</c:formatCode>
                <c:ptCount val="10"/>
                <c:pt idx="0">
                  <c:v>6.4978580460059138E-2</c:v>
                </c:pt>
                <c:pt idx="1">
                  <c:v>6.568853482043277E-2</c:v>
                </c:pt>
                <c:pt idx="2">
                  <c:v>6.6400049192998259E-2</c:v>
                </c:pt>
                <c:pt idx="3">
                  <c:v>6.7110267702114326E-2</c:v>
                </c:pt>
                <c:pt idx="4">
                  <c:v>6.7819562397975236E-2</c:v>
                </c:pt>
                <c:pt idx="5">
                  <c:v>6.8533368900636132E-2</c:v>
                </c:pt>
                <c:pt idx="6">
                  <c:v>6.924526134591806E-2</c:v>
                </c:pt>
                <c:pt idx="7">
                  <c:v>6.9954397104518604E-2</c:v>
                </c:pt>
                <c:pt idx="8">
                  <c:v>7.0662222914585959E-2</c:v>
                </c:pt>
                <c:pt idx="9">
                  <c:v>7.1373064296758701E-2</c:v>
                </c:pt>
              </c:numCache>
            </c:numRef>
          </c:yVal>
          <c:smooth val="1"/>
          <c:extLst>
            <c:ext xmlns:c16="http://schemas.microsoft.com/office/drawing/2014/chart" uri="{C3380CC4-5D6E-409C-BE32-E72D297353CC}">
              <c16:uniqueId val="{00000001-20D4-B648-90E4-39FF074EBAC9}"/>
            </c:ext>
          </c:extLst>
        </c:ser>
        <c:ser>
          <c:idx val="2"/>
          <c:order val="2"/>
          <c:tx>
            <c:v>Current fund</c:v>
          </c:tx>
          <c:spPr>
            <a:ln>
              <a:noFill/>
              <a:prstDash val="solid"/>
            </a:ln>
          </c:spPr>
          <c:marker>
            <c:symbol val="circle"/>
            <c:size val="9"/>
            <c:spPr>
              <a:solidFill>
                <a:srgbClr val="C0702A"/>
              </a:solidFill>
              <a:ln>
                <a:solidFill>
                  <a:srgbClr val="C0702A"/>
                </a:solidFill>
                <a:prstDash val="solid"/>
              </a:ln>
            </c:spPr>
          </c:marker>
          <c:dLbls>
            <c:spPr>
              <a:noFill/>
              <a:ln>
                <a:noFill/>
              </a:ln>
              <a:effectLst/>
            </c:spPr>
            <c:txPr>
              <a:bodyPr/>
              <a:lstStyle/>
              <a:p>
                <a:pPr>
                  <a:defRPr sz="900" b="1">
                    <a:solidFill>
                      <a:srgbClr val="C0702A"/>
                    </a:solidFill>
                    <a:latin typeface="Calibri"/>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'Report figures'!$O$33</c:f>
              <c:numCache>
                <c:formatCode>0.00%</c:formatCode>
                <c:ptCount val="1"/>
                <c:pt idx="0">
                  <c:v>8.3833964159733848E-2</c:v>
                </c:pt>
              </c:numCache>
            </c:numRef>
          </c:xVal>
          <c:yVal>
            <c:numRef>
              <c:f>'Report figures'!$P$33</c:f>
              <c:numCache>
                <c:formatCode>0.00%</c:formatCode>
                <c:ptCount val="1"/>
                <c:pt idx="0">
                  <c:v>7.1036033622111125E-2</c:v>
                </c:pt>
              </c:numCache>
            </c:numRef>
          </c:yVal>
          <c:smooth val="1"/>
          <c:extLst>
            <c:ext xmlns:c16="http://schemas.microsoft.com/office/drawing/2014/chart" uri="{C3380CC4-5D6E-409C-BE32-E72D297353CC}">
              <c16:uniqueId val="{00000002-20D4-B648-90E4-39FF074EBAC9}"/>
            </c:ext>
          </c:extLst>
        </c:ser>
        <c:ser>
          <c:idx val="3"/>
          <c:order val="3"/>
          <c:tx>
            <c:v>Benchmark</c:v>
          </c:tx>
          <c:spPr>
            <a:ln>
              <a:noFill/>
              <a:prstDash val="solid"/>
            </a:ln>
          </c:spPr>
          <c:marker>
            <c:symbol val="circle"/>
            <c:size val="9"/>
            <c:spPr>
              <a:solidFill>
                <a:srgbClr val="2E9E86"/>
              </a:solidFill>
              <a:ln>
                <a:solidFill>
                  <a:srgbClr val="2E9E86"/>
                </a:solidFill>
                <a:prstDash val="solid"/>
              </a:ln>
            </c:spPr>
          </c:marker>
          <c:dLbls>
            <c:spPr>
              <a:noFill/>
              <a:ln>
                <a:noFill/>
              </a:ln>
              <a:effectLst/>
            </c:spPr>
            <c:txPr>
              <a:bodyPr/>
              <a:lstStyle/>
              <a:p>
                <a:pPr>
                  <a:defRPr sz="900" b="1">
                    <a:solidFill>
                      <a:srgbClr val="2E9E86"/>
                    </a:solidFill>
                    <a:latin typeface="Calibri"/>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'Report figures'!$O$34</c:f>
              <c:numCache>
                <c:formatCode>0.00%</c:formatCode>
                <c:ptCount val="1"/>
                <c:pt idx="0">
                  <c:v>7.0134112008392299E-2</c:v>
                </c:pt>
              </c:numCache>
            </c:numRef>
          </c:xVal>
          <c:yVal>
            <c:numRef>
              <c:f>'Report figures'!$P$34</c:f>
              <c:numCache>
                <c:formatCode>0.00%</c:formatCode>
                <c:ptCount val="1"/>
                <c:pt idx="0">
                  <c:v>6.7685257170379112E-2</c:v>
                </c:pt>
              </c:numCache>
            </c:numRef>
          </c:yVal>
          <c:smooth val="1"/>
          <c:extLst>
            <c:ext xmlns:c16="http://schemas.microsoft.com/office/drawing/2014/chart" uri="{C3380CC4-5D6E-409C-BE32-E72D297353CC}">
              <c16:uniqueId val="{00000003-20D4-B648-90E4-39FF074EBAC9}"/>
            </c:ext>
          </c:extLst>
        </c:ser>
        <c:ser>
          <c:idx val="4"/>
          <c:order val="4"/>
          <c:tx>
            <c:v>Recommended</c:v>
          </c:tx>
          <c:spPr>
            <a:ln>
              <a:noFill/>
              <a:prstDash val="solid"/>
            </a:ln>
          </c:spPr>
          <c:marker>
            <c:symbol val="diamond"/>
            <c:size val="12"/>
            <c:spPr>
              <a:solidFill>
                <a:srgbClr val="2E5AAC"/>
              </a:solidFill>
              <a:ln>
                <a:solidFill>
                  <a:srgbClr val="2E5AAC"/>
                </a:solidFill>
                <a:prstDash val="solid"/>
              </a:ln>
            </c:spPr>
          </c:marker>
          <c:dLbls>
            <c:spPr>
              <a:noFill/>
              <a:ln>
                <a:noFill/>
              </a:ln>
              <a:effectLst/>
            </c:spPr>
            <c:txPr>
              <a:bodyPr/>
              <a:lstStyle/>
              <a:p>
                <a:pPr>
                  <a:defRPr sz="900" b="1">
                    <a:solidFill>
                      <a:srgbClr val="2E5AAC"/>
                    </a:solidFill>
                    <a:latin typeface="Calibri"/>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'Report figures'!$O$35</c:f>
              <c:numCache>
                <c:formatCode>0.00%</c:formatCode>
                <c:ptCount val="1"/>
                <c:pt idx="0">
                  <c:v>7.875064259614814E-2</c:v>
                </c:pt>
              </c:numCache>
            </c:numRef>
          </c:xVal>
          <c:yVal>
            <c:numRef>
              <c:f>'Report figures'!$P$35</c:f>
              <c:numCache>
                <c:formatCode>0.00%</c:formatCode>
                <c:ptCount val="1"/>
                <c:pt idx="0">
                  <c:v>7.1373051138514956E-2</c:v>
                </c:pt>
              </c:numCache>
            </c:numRef>
          </c:yVal>
          <c:smooth val="1"/>
          <c:extLst>
            <c:ext xmlns:c16="http://schemas.microsoft.com/office/drawing/2014/chart" uri="{C3380CC4-5D6E-409C-BE32-E72D297353CC}">
              <c16:uniqueId val="{00000004-20D4-B648-90E4-39FF074EBAC9}"/>
            </c:ext>
          </c:extLst>
        </c:ser>
        <c:ser>
          <c:idx val="5"/>
          <c:order val="5"/>
          <c:tx>
            <c:v>Sample MVO</c:v>
          </c:tx>
          <c:spPr>
            <a:ln>
              <a:noFill/>
              <a:prstDash val="solid"/>
            </a:ln>
          </c:spPr>
          <c:marker>
            <c:symbol val="circle"/>
            <c:size val="6"/>
            <c:spPr>
              <a:solidFill>
                <a:srgbClr val="7F6AA8"/>
              </a:solidFill>
              <a:ln>
                <a:solidFill>
                  <a:srgbClr val="7F6AA8"/>
                </a:solidFill>
                <a:prstDash val="solid"/>
              </a:ln>
            </c:spPr>
          </c:marker>
          <c:dLbls>
            <c:spPr>
              <a:noFill/>
              <a:ln>
                <a:noFill/>
              </a:ln>
              <a:effectLst/>
            </c:spPr>
            <c:txPr>
              <a:bodyPr/>
              <a:lstStyle/>
              <a:p>
                <a:pPr>
                  <a:defRPr sz="900" b="1">
                    <a:solidFill>
                      <a:srgbClr val="7F6AA8"/>
                    </a:solidFill>
                    <a:latin typeface="Calibri"/>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'Report figures'!$O$36</c:f>
              <c:numCache>
                <c:formatCode>0.00%</c:formatCode>
                <c:ptCount val="1"/>
                <c:pt idx="0">
                  <c:v>7.7717269946306719E-2</c:v>
                </c:pt>
              </c:numCache>
            </c:numRef>
          </c:xVal>
          <c:yVal>
            <c:numRef>
              <c:f>'Report figures'!$P$36</c:f>
              <c:numCache>
                <c:formatCode>0.00%</c:formatCode>
                <c:ptCount val="1"/>
                <c:pt idx="0">
                  <c:v>7.1087442684535956E-2</c:v>
                </c:pt>
              </c:numCache>
            </c:numRef>
          </c:yVal>
          <c:smooth val="1"/>
          <c:extLst>
            <c:ext xmlns:c16="http://schemas.microsoft.com/office/drawing/2014/chart" uri="{C3380CC4-5D6E-409C-BE32-E72D297353CC}">
              <c16:uniqueId val="{00000005-20D4-B648-90E4-39FF074EBAC9}"/>
            </c:ext>
          </c:extLst>
        </c:ser>
        <c:ser>
          <c:idx val="6"/>
          <c:order val="6"/>
          <c:tx>
            <c:v>Resampled MVO</c:v>
          </c:tx>
          <c:spPr>
            <a:ln>
              <a:noFill/>
              <a:prstDash val="solid"/>
            </a:ln>
          </c:spPr>
          <c:marker>
            <c:symbol val="circle"/>
            <c:size val="6"/>
            <c:spPr>
              <a:solidFill>
                <a:srgbClr val="7F6AA8"/>
              </a:solidFill>
              <a:ln>
                <a:solidFill>
                  <a:srgbClr val="7F6AA8"/>
                </a:solidFill>
                <a:prstDash val="solid"/>
              </a:ln>
            </c:spPr>
          </c:marker>
          <c:dLbls>
            <c:spPr>
              <a:noFill/>
              <a:ln>
                <a:noFill/>
              </a:ln>
              <a:effectLst/>
            </c:spPr>
            <c:txPr>
              <a:bodyPr/>
              <a:lstStyle/>
              <a:p>
                <a:pPr>
                  <a:defRPr sz="900" b="1">
                    <a:solidFill>
                      <a:srgbClr val="7F6AA8"/>
                    </a:solidFill>
                    <a:latin typeface="Calibri"/>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'Report figures'!$O$37</c:f>
              <c:numCache>
                <c:formatCode>0.00%</c:formatCode>
                <c:ptCount val="1"/>
                <c:pt idx="0">
                  <c:v>7.5055184078804668E-2</c:v>
                </c:pt>
              </c:numCache>
            </c:numRef>
          </c:xVal>
          <c:yVal>
            <c:numRef>
              <c:f>'Report figures'!$P$37</c:f>
              <c:numCache>
                <c:formatCode>0.00%</c:formatCode>
                <c:ptCount val="1"/>
                <c:pt idx="0">
                  <c:v>6.9908335383927295E-2</c:v>
                </c:pt>
              </c:numCache>
            </c:numRef>
          </c:yVal>
          <c:smooth val="1"/>
          <c:extLst>
            <c:ext xmlns:c16="http://schemas.microsoft.com/office/drawing/2014/chart" uri="{C3380CC4-5D6E-409C-BE32-E72D297353CC}">
              <c16:uniqueId val="{00000006-20D4-B648-90E4-39FF074EBAC9}"/>
            </c:ext>
          </c:extLst>
        </c:ser>
        <c:ser>
          <c:idx val="7"/>
          <c:order val="7"/>
          <c:tx>
            <c:v>Minimum variance</c:v>
          </c:tx>
          <c:spPr>
            <a:ln>
              <a:noFill/>
              <a:prstDash val="solid"/>
            </a:ln>
          </c:spPr>
          <c:marker>
            <c:symbol val="circle"/>
            <c:size val="6"/>
            <c:spPr>
              <a:solidFill>
                <a:srgbClr val="9AA3AD"/>
              </a:solidFill>
              <a:ln>
                <a:solidFill>
                  <a:srgbClr val="9AA3AD"/>
                </a:solidFill>
                <a:prstDash val="solid"/>
              </a:ln>
            </c:spPr>
          </c:marker>
          <c:dLbls>
            <c:spPr>
              <a:noFill/>
              <a:ln>
                <a:noFill/>
              </a:ln>
              <a:effectLst/>
            </c:spPr>
            <c:txPr>
              <a:bodyPr/>
              <a:lstStyle/>
              <a:p>
                <a:pPr>
                  <a:defRPr sz="900" b="1">
                    <a:solidFill>
                      <a:srgbClr val="9AA3AD"/>
                    </a:solidFill>
                    <a:latin typeface="Calibri"/>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'Report figures'!$O$38</c:f>
              <c:numCache>
                <c:formatCode>0.00%</c:formatCode>
                <c:ptCount val="1"/>
                <c:pt idx="0">
                  <c:v>6.0281231664845364E-2</c:v>
                </c:pt>
              </c:numCache>
            </c:numRef>
          </c:xVal>
          <c:yVal>
            <c:numRef>
              <c:f>'Report figures'!$P$38</c:f>
              <c:numCache>
                <c:formatCode>0.00%</c:formatCode>
                <c:ptCount val="1"/>
                <c:pt idx="0">
                  <c:v>6.4978593618302882E-2</c:v>
                </c:pt>
              </c:numCache>
            </c:numRef>
          </c:yVal>
          <c:smooth val="1"/>
          <c:extLst>
            <c:ext xmlns:c16="http://schemas.microsoft.com/office/drawing/2014/chart" uri="{C3380CC4-5D6E-409C-BE32-E72D297353CC}">
              <c16:uniqueId val="{00000007-20D4-B648-90E4-39FF074EBAC9}"/>
            </c:ext>
          </c:extLst>
        </c:ser>
        <c:ser>
          <c:idx val="8"/>
          <c:order val="8"/>
          <c:tx>
            <c:v>Risk parity</c:v>
          </c:tx>
          <c:spPr>
            <a:ln>
              <a:noFill/>
              <a:prstDash val="solid"/>
            </a:ln>
          </c:spPr>
          <c:marker>
            <c:symbol val="circle"/>
            <c:size val="6"/>
            <c:spPr>
              <a:solidFill>
                <a:srgbClr val="9AA3AD"/>
              </a:solidFill>
              <a:ln>
                <a:solidFill>
                  <a:srgbClr val="9AA3AD"/>
                </a:solidFill>
                <a:prstDash val="solid"/>
              </a:ln>
            </c:spPr>
          </c:marker>
          <c:dLbls>
            <c:spPr>
              <a:noFill/>
              <a:ln>
                <a:noFill/>
              </a:ln>
              <a:effectLst/>
            </c:spPr>
            <c:txPr>
              <a:bodyPr/>
              <a:lstStyle/>
              <a:p>
                <a:pPr>
                  <a:defRPr sz="900" b="1">
                    <a:solidFill>
                      <a:srgbClr val="9AA3AD"/>
                    </a:solidFill>
                    <a:latin typeface="Calibri"/>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'Report figures'!$O$39</c:f>
              <c:numCache>
                <c:formatCode>0.00%</c:formatCode>
                <c:ptCount val="1"/>
                <c:pt idx="0">
                  <c:v>6.6508937513354086E-2</c:v>
                </c:pt>
              </c:numCache>
            </c:numRef>
          </c:xVal>
          <c:yVal>
            <c:numRef>
              <c:f>'Report figures'!$P$39</c:f>
              <c:numCache>
                <c:formatCode>0.00%</c:formatCode>
                <c:ptCount val="1"/>
                <c:pt idx="0">
                  <c:v>6.7165833569283032E-2</c:v>
                </c:pt>
              </c:numCache>
            </c:numRef>
          </c:yVal>
          <c:smooth val="1"/>
          <c:extLst>
            <c:ext xmlns:c16="http://schemas.microsoft.com/office/drawing/2014/chart" uri="{C3380CC4-5D6E-409C-BE32-E72D297353CC}">
              <c16:uniqueId val="{00000008-20D4-B648-90E4-39FF074EBAC9}"/>
            </c:ext>
          </c:extLst>
        </c:ser>
        <c:dLbls>
          <c:showLegendKey val="0"/>
          <c:showVal val="0"/>
          <c:showCatName val="0"/>
          <c:showSerName val="0"/>
          <c:showPercent val="0"/>
          <c:showBubbleSize val="0"/>
        </c:dLbls>
        <c:axId val="10"/>
        <c:axId val="20"/>
      </c:scatterChart>
      <c:valAx>
        <c:axId val="10"/>
        <c:scaling>
          <c:orientation val="minMax"/>
          <c:max val="9.5000000000000001E-2"/>
          <c:min val="4.4999999999999998E-2"/>
        </c:scaling>
        <c:delete val="0"/>
        <c:axPos val="b"/>
        <c:title>
          <c:tx>
            <c:rich>
              <a:bodyPr/>
              <a:lstStyle/>
              <a:p>
                <a:pPr>
                  <a:defRPr sz="900" b="0">
                    <a:solidFill>
                      <a:srgbClr val="3A4250"/>
                    </a:solidFill>
                    <a:latin typeface="Calibri"/>
                  </a:defRPr>
                </a:pPr>
                <a:r>
                  <a:rPr lang="en-AU" sz="900" b="0">
                    <a:solidFill>
                      <a:srgbClr val="3A4250"/>
                    </a:solidFill>
                    <a:latin typeface="Calibri"/>
                  </a:rPr>
                  <a:t>Volatility (p.a.)</a:t>
                </a:r>
              </a:p>
            </c:rich>
          </c:tx>
          <c:overlay val="0"/>
        </c:title>
        <c:numFmt formatCode="0.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20"/>
        <c:crosses val="autoZero"/>
        <c:crossBetween val="midCat"/>
      </c:valAx>
      <c:valAx>
        <c:axId val="20"/>
        <c:scaling>
          <c:orientation val="minMax"/>
          <c:max val="7.4999999999999997E-2"/>
          <c:min val="6.2E-2"/>
        </c:scaling>
        <c:delete val="0"/>
        <c:axPos val="l"/>
        <c:majorGridlines>
          <c:spPr>
            <a:ln w="9360">
              <a:solidFill>
                <a:srgbClr val="E3E6EA"/>
              </a:solidFill>
              <a:prstDash val="solid"/>
            </a:ln>
          </c:spPr>
        </c:majorGridlines>
        <c:title>
          <c:tx>
            <c:rich>
              <a:bodyPr/>
              <a:lstStyle/>
              <a:p>
                <a:pPr>
                  <a:defRPr sz="900" b="0">
                    <a:solidFill>
                      <a:srgbClr val="3A4250"/>
                    </a:solidFill>
                    <a:latin typeface="Calibri"/>
                  </a:defRPr>
                </a:pPr>
                <a:r>
                  <a:rPr lang="en-AU" sz="900" b="0">
                    <a:solidFill>
                      <a:srgbClr val="3A4250"/>
                    </a:solidFill>
                    <a:latin typeface="Calibri"/>
                  </a:rPr>
                  <a:t>Expected return (net, p.a.)</a:t>
                </a:r>
              </a:p>
            </c:rich>
          </c:tx>
          <c:overlay val="0"/>
        </c:title>
        <c:numFmt formatCode="0.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midCat"/>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Strategic asset allocation</a:t>
            </a:r>
          </a:p>
        </c:rich>
      </c:tx>
      <c:overlay val="0"/>
    </c:title>
    <c:autoTitleDeleted val="0"/>
    <c:plotArea>
      <c:layout/>
      <c:barChart>
        <c:barDir val="bar"/>
        <c:grouping val="clustered"/>
        <c:varyColors val="1"/>
        <c:ser>
          <c:idx val="0"/>
          <c:order val="0"/>
          <c:tx>
            <c:strRef>
              <c:f>'Report figures'!$O$47</c:f>
              <c:strCache>
                <c:ptCount val="1"/>
                <c:pt idx="0">
                  <c:v>Current fund</c:v>
                </c:pt>
              </c:strCache>
            </c:strRef>
          </c:tx>
          <c:spPr>
            <a:solidFill>
              <a:srgbClr val="C0702A"/>
            </a:solidFill>
            <a:ln>
              <a:noFill/>
              <a:prstDash val="solid"/>
            </a:ln>
          </c:spPr>
          <c:invertIfNegative val="1"/>
          <c:cat>
            <c:strRef>
              <c:f>'Report figures'!$N$48:$N$58</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figures'!$O$48:$O$58</c:f>
              <c:numCache>
                <c:formatCode>0.0%</c:formatCode>
                <c:ptCount val="11"/>
                <c:pt idx="0">
                  <c:v>0.4</c:v>
                </c:pt>
                <c:pt idx="1">
                  <c:v>0.2</c:v>
                </c:pt>
                <c:pt idx="2">
                  <c:v>0</c:v>
                </c:pt>
                <c:pt idx="3">
                  <c:v>0.1</c:v>
                </c:pt>
                <c:pt idx="4">
                  <c:v>0</c:v>
                </c:pt>
                <c:pt idx="5">
                  <c:v>0</c:v>
                </c:pt>
                <c:pt idx="6">
                  <c:v>0</c:v>
                </c:pt>
                <c:pt idx="7">
                  <c:v>0</c:v>
                </c:pt>
                <c:pt idx="8">
                  <c:v>0.15</c:v>
                </c:pt>
                <c:pt idx="9">
                  <c:v>0.08</c:v>
                </c:pt>
                <c:pt idx="10">
                  <c:v>7.0000000000000007E-2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2BE6-D14C-9E1A-2A3DF53835DB}"/>
            </c:ext>
          </c:extLst>
        </c:ser>
        <c:ser>
          <c:idx val="1"/>
          <c:order val="1"/>
          <c:tx>
            <c:strRef>
              <c:f>'Report figures'!$P$47</c:f>
              <c:strCache>
                <c:ptCount val="1"/>
                <c:pt idx="0">
                  <c:v>Benchmark</c:v>
                </c:pt>
              </c:strCache>
            </c:strRef>
          </c:tx>
          <c:spPr>
            <a:solidFill>
              <a:srgbClr val="2E9E86"/>
            </a:solidFill>
            <a:ln>
              <a:noFill/>
              <a:prstDash val="solid"/>
            </a:ln>
          </c:spPr>
          <c:invertIfNegative val="1"/>
          <c:cat>
            <c:strRef>
              <c:f>'Report figures'!$N$48:$N$58</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figures'!$P$48:$P$58</c:f>
              <c:numCache>
                <c:formatCode>0.0%</c:formatCode>
                <c:ptCount val="11"/>
                <c:pt idx="0">
                  <c:v>0.25</c:v>
                </c:pt>
                <c:pt idx="1">
                  <c:v>0.24</c:v>
                </c:pt>
                <c:pt idx="2">
                  <c:v>0.03</c:v>
                </c:pt>
                <c:pt idx="3">
                  <c:v>7.0000000000000007E-2</c:v>
                </c:pt>
                <c:pt idx="4">
                  <c:v>0.02</c:v>
                </c:pt>
                <c:pt idx="5">
                  <c:v>0.05</c:v>
                </c:pt>
                <c:pt idx="6">
                  <c:v>0.03</c:v>
                </c:pt>
                <c:pt idx="7">
                  <c:v>0.03</c:v>
                </c:pt>
                <c:pt idx="8">
                  <c:v>0.14000000000000001</c:v>
                </c:pt>
                <c:pt idx="9">
                  <c:v>0.11</c:v>
                </c:pt>
                <c:pt idx="10">
                  <c:v>0.03</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2BE6-D14C-9E1A-2A3DF53835DB}"/>
            </c:ext>
          </c:extLst>
        </c:ser>
        <c:ser>
          <c:idx val="2"/>
          <c:order val="2"/>
          <c:tx>
            <c:strRef>
              <c:f>'Report figures'!$Q$47</c:f>
              <c:strCache>
                <c:ptCount val="1"/>
                <c:pt idx="0">
                  <c:v>Recommended</c:v>
                </c:pt>
              </c:strCache>
            </c:strRef>
          </c:tx>
          <c:spPr>
            <a:solidFill>
              <a:srgbClr val="2E5AAC"/>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figures'!$N$48:$N$58</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figures'!$Q$48:$Q$58</c:f>
              <c:numCache>
                <c:formatCode>0.0%</c:formatCode>
                <c:ptCount val="11"/>
                <c:pt idx="0">
                  <c:v>0.2697</c:v>
                </c:pt>
                <c:pt idx="1">
                  <c:v>0.2732</c:v>
                </c:pt>
                <c:pt idx="2">
                  <c:v>7.7100000000000002E-2</c:v>
                </c:pt>
                <c:pt idx="3">
                  <c:v>7.5399999999999995E-2</c:v>
                </c:pt>
                <c:pt idx="4">
                  <c:v>0.03</c:v>
                </c:pt>
                <c:pt idx="5">
                  <c:v>0.05</c:v>
                </c:pt>
                <c:pt idx="6">
                  <c:v>0</c:v>
                </c:pt>
                <c:pt idx="7">
                  <c:v>0.01</c:v>
                </c:pt>
                <c:pt idx="8">
                  <c:v>0.13089999999999999</c:v>
                </c:pt>
                <c:pt idx="9">
                  <c:v>6.3700000000000007E-2</c:v>
                </c:pt>
                <c:pt idx="10">
                  <c:v>0.02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2BE6-D14C-9E1A-2A3DF53835DB}"/>
            </c:ext>
          </c:extLst>
        </c:ser>
        <c:dLbls>
          <c:showLegendKey val="0"/>
          <c:showVal val="0"/>
          <c:showCatName val="0"/>
          <c:showSerName val="0"/>
          <c:showPercent val="0"/>
          <c:showBubbleSize val="0"/>
        </c:dLbls>
        <c:gapWidth val="50"/>
        <c:axId val="10"/>
        <c:axId val="100"/>
      </c:barChart>
      <c:catAx>
        <c:axId val="10"/>
        <c:scaling>
          <c:orientation val="maxMin"/>
        </c:scaling>
        <c:delete val="0"/>
        <c:axPos val="l"/>
        <c:numFmt formatCode="General" sourceLinked="1"/>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t"/>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Fund performance since 2006</a:t>
            </a:r>
          </a:p>
        </c:rich>
      </c:tx>
      <c:overlay val="0"/>
    </c:title>
    <c:autoTitleDeleted val="0"/>
    <c:plotArea>
      <c:layout/>
      <c:lineChart>
        <c:grouping val="standard"/>
        <c:varyColors val="1"/>
        <c:ser>
          <c:idx val="0"/>
          <c:order val="0"/>
          <c:tx>
            <c:strRef>
              <c:f>'Report figures'!$W$73</c:f>
              <c:strCache>
                <c:ptCount val="1"/>
                <c:pt idx="0">
                  <c:v>Current fund</c:v>
                </c:pt>
              </c:strCache>
            </c:strRef>
          </c:tx>
          <c:spPr>
            <a:ln w="22000">
              <a:solidFill>
                <a:srgbClr val="C0702A"/>
              </a:solidFill>
              <a:prstDash val="solid"/>
            </a:ln>
          </c:spPr>
          <c:marker>
            <c:symbol val="none"/>
          </c:marker>
          <c:cat>
            <c:numRef>
              <c:f>'Report figures'!$V$74:$V$154</c:f>
              <c:numCache>
                <c:formatCode>mmm\-yy</c:formatCode>
                <c:ptCount val="81"/>
                <c:pt idx="0">
                  <c:v>38807</c:v>
                </c:pt>
                <c:pt idx="1">
                  <c:v>38898</c:v>
                </c:pt>
                <c:pt idx="2">
                  <c:v>38989</c:v>
                </c:pt>
                <c:pt idx="3">
                  <c:v>39080</c:v>
                </c:pt>
                <c:pt idx="4">
                  <c:v>39171</c:v>
                </c:pt>
                <c:pt idx="5">
                  <c:v>39262</c:v>
                </c:pt>
                <c:pt idx="6">
                  <c:v>39353</c:v>
                </c:pt>
                <c:pt idx="7">
                  <c:v>39447</c:v>
                </c:pt>
                <c:pt idx="8">
                  <c:v>39538</c:v>
                </c:pt>
                <c:pt idx="9">
                  <c:v>39629</c:v>
                </c:pt>
                <c:pt idx="10">
                  <c:v>39721</c:v>
                </c:pt>
                <c:pt idx="11">
                  <c:v>39813</c:v>
                </c:pt>
                <c:pt idx="12">
                  <c:v>39903</c:v>
                </c:pt>
                <c:pt idx="13">
                  <c:v>39994</c:v>
                </c:pt>
                <c:pt idx="14">
                  <c:v>40086</c:v>
                </c:pt>
                <c:pt idx="15">
                  <c:v>40178</c:v>
                </c:pt>
                <c:pt idx="16">
                  <c:v>40268</c:v>
                </c:pt>
                <c:pt idx="17">
                  <c:v>40359</c:v>
                </c:pt>
                <c:pt idx="18">
                  <c:v>40451</c:v>
                </c:pt>
                <c:pt idx="19">
                  <c:v>40543</c:v>
                </c:pt>
                <c:pt idx="20">
                  <c:v>40633</c:v>
                </c:pt>
                <c:pt idx="21">
                  <c:v>40724</c:v>
                </c:pt>
                <c:pt idx="22">
                  <c:v>40816</c:v>
                </c:pt>
                <c:pt idx="23">
                  <c:v>40907</c:v>
                </c:pt>
                <c:pt idx="24">
                  <c:v>40998</c:v>
                </c:pt>
                <c:pt idx="25">
                  <c:v>41089</c:v>
                </c:pt>
                <c:pt idx="26">
                  <c:v>41180</c:v>
                </c:pt>
                <c:pt idx="27">
                  <c:v>41274</c:v>
                </c:pt>
                <c:pt idx="28">
                  <c:v>41362</c:v>
                </c:pt>
                <c:pt idx="29">
                  <c:v>41453</c:v>
                </c:pt>
                <c:pt idx="30">
                  <c:v>41547</c:v>
                </c:pt>
                <c:pt idx="31">
                  <c:v>41639</c:v>
                </c:pt>
                <c:pt idx="32">
                  <c:v>41729</c:v>
                </c:pt>
                <c:pt idx="33">
                  <c:v>41820</c:v>
                </c:pt>
                <c:pt idx="34">
                  <c:v>41912</c:v>
                </c:pt>
                <c:pt idx="35">
                  <c:v>42004</c:v>
                </c:pt>
                <c:pt idx="36">
                  <c:v>42094</c:v>
                </c:pt>
                <c:pt idx="37">
                  <c:v>42185</c:v>
                </c:pt>
                <c:pt idx="38">
                  <c:v>42277</c:v>
                </c:pt>
                <c:pt idx="39">
                  <c:v>42369</c:v>
                </c:pt>
                <c:pt idx="40">
                  <c:v>42460</c:v>
                </c:pt>
                <c:pt idx="41">
                  <c:v>42551</c:v>
                </c:pt>
                <c:pt idx="42">
                  <c:v>42643</c:v>
                </c:pt>
                <c:pt idx="43">
                  <c:v>42734</c:v>
                </c:pt>
                <c:pt idx="44">
                  <c:v>42825</c:v>
                </c:pt>
                <c:pt idx="45">
                  <c:v>42916</c:v>
                </c:pt>
                <c:pt idx="46">
                  <c:v>43007</c:v>
                </c:pt>
                <c:pt idx="47">
                  <c:v>43098</c:v>
                </c:pt>
                <c:pt idx="48">
                  <c:v>43189</c:v>
                </c:pt>
                <c:pt idx="49">
                  <c:v>43280</c:v>
                </c:pt>
                <c:pt idx="50">
                  <c:v>43371</c:v>
                </c:pt>
                <c:pt idx="51">
                  <c:v>43465</c:v>
                </c:pt>
                <c:pt idx="52">
                  <c:v>43553</c:v>
                </c:pt>
                <c:pt idx="53">
                  <c:v>43644</c:v>
                </c:pt>
                <c:pt idx="54">
                  <c:v>43738</c:v>
                </c:pt>
                <c:pt idx="55">
                  <c:v>43830</c:v>
                </c:pt>
                <c:pt idx="56">
                  <c:v>43921</c:v>
                </c:pt>
                <c:pt idx="57">
                  <c:v>44012</c:v>
                </c:pt>
                <c:pt idx="58">
                  <c:v>44104</c:v>
                </c:pt>
                <c:pt idx="59">
                  <c:v>44196</c:v>
                </c:pt>
                <c:pt idx="60">
                  <c:v>44286</c:v>
                </c:pt>
                <c:pt idx="61">
                  <c:v>44377</c:v>
                </c:pt>
                <c:pt idx="62">
                  <c:v>44469</c:v>
                </c:pt>
                <c:pt idx="63">
                  <c:v>44561</c:v>
                </c:pt>
                <c:pt idx="64">
                  <c:v>44651</c:v>
                </c:pt>
                <c:pt idx="65">
                  <c:v>44742</c:v>
                </c:pt>
                <c:pt idx="66">
                  <c:v>44834</c:v>
                </c:pt>
                <c:pt idx="67">
                  <c:v>44925</c:v>
                </c:pt>
                <c:pt idx="68">
                  <c:v>45016</c:v>
                </c:pt>
                <c:pt idx="69">
                  <c:v>45107</c:v>
                </c:pt>
                <c:pt idx="70">
                  <c:v>45198</c:v>
                </c:pt>
                <c:pt idx="71">
                  <c:v>45289</c:v>
                </c:pt>
                <c:pt idx="72">
                  <c:v>45380</c:v>
                </c:pt>
                <c:pt idx="73">
                  <c:v>45471</c:v>
                </c:pt>
                <c:pt idx="74">
                  <c:v>45565</c:v>
                </c:pt>
                <c:pt idx="75">
                  <c:v>45657</c:v>
                </c:pt>
                <c:pt idx="76">
                  <c:v>45747</c:v>
                </c:pt>
                <c:pt idx="77">
                  <c:v>45838</c:v>
                </c:pt>
                <c:pt idx="78">
                  <c:v>45930</c:v>
                </c:pt>
                <c:pt idx="79">
                  <c:v>46022</c:v>
                </c:pt>
                <c:pt idx="80">
                  <c:v>46112</c:v>
                </c:pt>
              </c:numCache>
            </c:numRef>
          </c:cat>
          <c:val>
            <c:numRef>
              <c:f>'Report figures'!$W$74:$W$154</c:f>
              <c:numCache>
                <c:formatCode>0.00</c:formatCode>
                <c:ptCount val="81"/>
                <c:pt idx="0">
                  <c:v>1</c:v>
                </c:pt>
                <c:pt idx="1">
                  <c:v>0.9814906464278631</c:v>
                </c:pt>
                <c:pt idx="2">
                  <c:v>1.0180658859198881</c:v>
                </c:pt>
                <c:pt idx="3">
                  <c:v>1.0745820616313253</c:v>
                </c:pt>
                <c:pt idx="4">
                  <c:v>1.1120478905179378</c:v>
                </c:pt>
                <c:pt idx="5">
                  <c:v>1.1302954224633119</c:v>
                </c:pt>
                <c:pt idx="6">
                  <c:v>1.1473411347511986</c:v>
                </c:pt>
                <c:pt idx="7">
                  <c:v>1.1257385628753849</c:v>
                </c:pt>
                <c:pt idx="8">
                  <c:v>1.0244560975129431</c:v>
                </c:pt>
                <c:pt idx="9">
                  <c:v>0.99802061605357018</c:v>
                </c:pt>
                <c:pt idx="10">
                  <c:v>0.99952576199987875</c:v>
                </c:pt>
                <c:pt idx="11">
                  <c:v>0.88805351666313104</c:v>
                </c:pt>
                <c:pt idx="12">
                  <c:v>0.84551521923728068</c:v>
                </c:pt>
                <c:pt idx="13">
                  <c:v>0.89387423476305417</c:v>
                </c:pt>
                <c:pt idx="14">
                  <c:v>1.0028227412212816</c:v>
                </c:pt>
                <c:pt idx="15">
                  <c:v>1.0289196399524059</c:v>
                </c:pt>
                <c:pt idx="16">
                  <c:v>1.0493321067138781</c:v>
                </c:pt>
                <c:pt idx="17">
                  <c:v>1.0085481647425629</c:v>
                </c:pt>
                <c:pt idx="18">
                  <c:v>1.0387949316507508</c:v>
                </c:pt>
                <c:pt idx="19">
                  <c:v>1.0663222462581128</c:v>
                </c:pt>
                <c:pt idx="20">
                  <c:v>1.0939126052505208</c:v>
                </c:pt>
                <c:pt idx="21">
                  <c:v>1.0717046414270954</c:v>
                </c:pt>
                <c:pt idx="22">
                  <c:v>1.01719404817985</c:v>
                </c:pt>
                <c:pt idx="23">
                  <c:v>1.0384036848308811</c:v>
                </c:pt>
                <c:pt idx="24">
                  <c:v>1.1106982248546928</c:v>
                </c:pt>
                <c:pt idx="25">
                  <c:v>1.0952232420279413</c:v>
                </c:pt>
                <c:pt idx="26">
                  <c:v>1.1482522682252356</c:v>
                </c:pt>
                <c:pt idx="27">
                  <c:v>1.1949499456893664</c:v>
                </c:pt>
                <c:pt idx="28">
                  <c:v>1.268528021192862</c:v>
                </c:pt>
                <c:pt idx="29">
                  <c:v>1.3072155227868172</c:v>
                </c:pt>
                <c:pt idx="30">
                  <c:v>1.3749949578187977</c:v>
                </c:pt>
                <c:pt idx="31">
                  <c:v>1.4394491309092932</c:v>
                </c:pt>
                <c:pt idx="32">
                  <c:v>1.4566785115752732</c:v>
                </c:pt>
                <c:pt idx="33">
                  <c:v>1.4864219033509085</c:v>
                </c:pt>
                <c:pt idx="34">
                  <c:v>1.5253085757073503</c:v>
                </c:pt>
                <c:pt idx="35">
                  <c:v>1.6168843437644567</c:v>
                </c:pt>
                <c:pt idx="36">
                  <c:v>1.7555198152732323</c:v>
                </c:pt>
                <c:pt idx="37">
                  <c:v>1.6856710752986879</c:v>
                </c:pt>
                <c:pt idx="38">
                  <c:v>1.677062012146908</c:v>
                </c:pt>
                <c:pt idx="39">
                  <c:v>1.7342118113817244</c:v>
                </c:pt>
                <c:pt idx="40">
                  <c:v>1.7041750673357701</c:v>
                </c:pt>
                <c:pt idx="41">
                  <c:v>1.7738937745205561</c:v>
                </c:pt>
                <c:pt idx="42">
                  <c:v>1.817865938730189</c:v>
                </c:pt>
                <c:pt idx="43">
                  <c:v>1.8846880043556649</c:v>
                </c:pt>
                <c:pt idx="44">
                  <c:v>1.9160557129812774</c:v>
                </c:pt>
                <c:pt idx="45">
                  <c:v>1.9196370539522807</c:v>
                </c:pt>
                <c:pt idx="46">
                  <c:v>1.9330838129819823</c:v>
                </c:pt>
                <c:pt idx="47">
                  <c:v>2.0313476764903027</c:v>
                </c:pt>
                <c:pt idx="48">
                  <c:v>1.9946586011548622</c:v>
                </c:pt>
                <c:pt idx="49">
                  <c:v>2.1178759795192583</c:v>
                </c:pt>
                <c:pt idx="50">
                  <c:v>2.1743275305396401</c:v>
                </c:pt>
                <c:pt idx="51">
                  <c:v>2.0550631796911669</c:v>
                </c:pt>
                <c:pt idx="52">
                  <c:v>2.2376319231718025</c:v>
                </c:pt>
                <c:pt idx="53">
                  <c:v>2.3520052594925875</c:v>
                </c:pt>
                <c:pt idx="54">
                  <c:v>2.444061866252238</c:v>
                </c:pt>
                <c:pt idx="55">
                  <c:v>2.4515950048107804</c:v>
                </c:pt>
                <c:pt idx="56">
                  <c:v>2.155130913790249</c:v>
                </c:pt>
                <c:pt idx="57">
                  <c:v>2.3312770302243089</c:v>
                </c:pt>
                <c:pt idx="58">
                  <c:v>2.3529437590099125</c:v>
                </c:pt>
                <c:pt idx="59">
                  <c:v>2.5168490729131028</c:v>
                </c:pt>
                <c:pt idx="60">
                  <c:v>2.594883666025726</c:v>
                </c:pt>
                <c:pt idx="61">
                  <c:v>2.7720575761155533</c:v>
                </c:pt>
                <c:pt idx="62">
                  <c:v>2.8351341264332897</c:v>
                </c:pt>
                <c:pt idx="63">
                  <c:v>2.9338208703746336</c:v>
                </c:pt>
                <c:pt idx="64">
                  <c:v>2.850166833545468</c:v>
                </c:pt>
                <c:pt idx="65">
                  <c:v>2.6167815527988947</c:v>
                </c:pt>
                <c:pt idx="66">
                  <c:v>2.6204909660589069</c:v>
                </c:pt>
                <c:pt idx="67">
                  <c:v>2.7239310745460781</c:v>
                </c:pt>
                <c:pt idx="68">
                  <c:v>2.8468443099005922</c:v>
                </c:pt>
                <c:pt idx="69">
                  <c:v>2.8975567906991628</c:v>
                </c:pt>
                <c:pt idx="70">
                  <c:v>2.880128148633029</c:v>
                </c:pt>
                <c:pt idx="71">
                  <c:v>3.059261562119115</c:v>
                </c:pt>
                <c:pt idx="72">
                  <c:v>3.2386790223774584</c:v>
                </c:pt>
                <c:pt idx="73">
                  <c:v>3.214560352558693</c:v>
                </c:pt>
                <c:pt idx="74">
                  <c:v>3.3820693471737524</c:v>
                </c:pt>
                <c:pt idx="75">
                  <c:v>3.4785346017399248</c:v>
                </c:pt>
                <c:pt idx="76">
                  <c:v>3.4234793604652376</c:v>
                </c:pt>
                <c:pt idx="77">
                  <c:v>3.5901196316540442</c:v>
                </c:pt>
                <c:pt idx="78">
                  <c:v>3.7298040178763641</c:v>
                </c:pt>
                <c:pt idx="79">
                  <c:v>3.7328156057843298</c:v>
                </c:pt>
                <c:pt idx="80">
                  <c:v>3.6435127228555046</c:v>
                </c:pt>
              </c:numCache>
            </c:numRef>
          </c:val>
          <c:smooth val="0"/>
          <c:extLst>
            <c:ext xmlns:c16="http://schemas.microsoft.com/office/drawing/2014/chart" uri="{C3380CC4-5D6E-409C-BE32-E72D297353CC}">
              <c16:uniqueId val="{00000000-D37B-0147-B458-CED542690F4F}"/>
            </c:ext>
          </c:extLst>
        </c:ser>
        <c:ser>
          <c:idx val="1"/>
          <c:order val="1"/>
          <c:tx>
            <c:strRef>
              <c:f>'Report figures'!$X$73</c:f>
              <c:strCache>
                <c:ptCount val="1"/>
                <c:pt idx="0">
                  <c:v>Benchmark</c:v>
                </c:pt>
              </c:strCache>
            </c:strRef>
          </c:tx>
          <c:spPr>
            <a:ln w="22000">
              <a:solidFill>
                <a:srgbClr val="2E9E86"/>
              </a:solidFill>
              <a:prstDash val="solid"/>
            </a:ln>
          </c:spPr>
          <c:marker>
            <c:symbol val="none"/>
          </c:marker>
          <c:cat>
            <c:numRef>
              <c:f>'Report figures'!$V$74:$V$154</c:f>
              <c:numCache>
                <c:formatCode>mmm\-yy</c:formatCode>
                <c:ptCount val="81"/>
                <c:pt idx="0">
                  <c:v>38807</c:v>
                </c:pt>
                <c:pt idx="1">
                  <c:v>38898</c:v>
                </c:pt>
                <c:pt idx="2">
                  <c:v>38989</c:v>
                </c:pt>
                <c:pt idx="3">
                  <c:v>39080</c:v>
                </c:pt>
                <c:pt idx="4">
                  <c:v>39171</c:v>
                </c:pt>
                <c:pt idx="5">
                  <c:v>39262</c:v>
                </c:pt>
                <c:pt idx="6">
                  <c:v>39353</c:v>
                </c:pt>
                <c:pt idx="7">
                  <c:v>39447</c:v>
                </c:pt>
                <c:pt idx="8">
                  <c:v>39538</c:v>
                </c:pt>
                <c:pt idx="9">
                  <c:v>39629</c:v>
                </c:pt>
                <c:pt idx="10">
                  <c:v>39721</c:v>
                </c:pt>
                <c:pt idx="11">
                  <c:v>39813</c:v>
                </c:pt>
                <c:pt idx="12">
                  <c:v>39903</c:v>
                </c:pt>
                <c:pt idx="13">
                  <c:v>39994</c:v>
                </c:pt>
                <c:pt idx="14">
                  <c:v>40086</c:v>
                </c:pt>
                <c:pt idx="15">
                  <c:v>40178</c:v>
                </c:pt>
                <c:pt idx="16">
                  <c:v>40268</c:v>
                </c:pt>
                <c:pt idx="17">
                  <c:v>40359</c:v>
                </c:pt>
                <c:pt idx="18">
                  <c:v>40451</c:v>
                </c:pt>
                <c:pt idx="19">
                  <c:v>40543</c:v>
                </c:pt>
                <c:pt idx="20">
                  <c:v>40633</c:v>
                </c:pt>
                <c:pt idx="21">
                  <c:v>40724</c:v>
                </c:pt>
                <c:pt idx="22">
                  <c:v>40816</c:v>
                </c:pt>
                <c:pt idx="23">
                  <c:v>40907</c:v>
                </c:pt>
                <c:pt idx="24">
                  <c:v>40998</c:v>
                </c:pt>
                <c:pt idx="25">
                  <c:v>41089</c:v>
                </c:pt>
                <c:pt idx="26">
                  <c:v>41180</c:v>
                </c:pt>
                <c:pt idx="27">
                  <c:v>41274</c:v>
                </c:pt>
                <c:pt idx="28">
                  <c:v>41362</c:v>
                </c:pt>
                <c:pt idx="29">
                  <c:v>41453</c:v>
                </c:pt>
                <c:pt idx="30">
                  <c:v>41547</c:v>
                </c:pt>
                <c:pt idx="31">
                  <c:v>41639</c:v>
                </c:pt>
                <c:pt idx="32">
                  <c:v>41729</c:v>
                </c:pt>
                <c:pt idx="33">
                  <c:v>41820</c:v>
                </c:pt>
                <c:pt idx="34">
                  <c:v>41912</c:v>
                </c:pt>
                <c:pt idx="35">
                  <c:v>42004</c:v>
                </c:pt>
                <c:pt idx="36">
                  <c:v>42094</c:v>
                </c:pt>
                <c:pt idx="37">
                  <c:v>42185</c:v>
                </c:pt>
                <c:pt idx="38">
                  <c:v>42277</c:v>
                </c:pt>
                <c:pt idx="39">
                  <c:v>42369</c:v>
                </c:pt>
                <c:pt idx="40">
                  <c:v>42460</c:v>
                </c:pt>
                <c:pt idx="41">
                  <c:v>42551</c:v>
                </c:pt>
                <c:pt idx="42">
                  <c:v>42643</c:v>
                </c:pt>
                <c:pt idx="43">
                  <c:v>42734</c:v>
                </c:pt>
                <c:pt idx="44">
                  <c:v>42825</c:v>
                </c:pt>
                <c:pt idx="45">
                  <c:v>42916</c:v>
                </c:pt>
                <c:pt idx="46">
                  <c:v>43007</c:v>
                </c:pt>
                <c:pt idx="47">
                  <c:v>43098</c:v>
                </c:pt>
                <c:pt idx="48">
                  <c:v>43189</c:v>
                </c:pt>
                <c:pt idx="49">
                  <c:v>43280</c:v>
                </c:pt>
                <c:pt idx="50">
                  <c:v>43371</c:v>
                </c:pt>
                <c:pt idx="51">
                  <c:v>43465</c:v>
                </c:pt>
                <c:pt idx="52">
                  <c:v>43553</c:v>
                </c:pt>
                <c:pt idx="53">
                  <c:v>43644</c:v>
                </c:pt>
                <c:pt idx="54">
                  <c:v>43738</c:v>
                </c:pt>
                <c:pt idx="55">
                  <c:v>43830</c:v>
                </c:pt>
                <c:pt idx="56">
                  <c:v>43921</c:v>
                </c:pt>
                <c:pt idx="57">
                  <c:v>44012</c:v>
                </c:pt>
                <c:pt idx="58">
                  <c:v>44104</c:v>
                </c:pt>
                <c:pt idx="59">
                  <c:v>44196</c:v>
                </c:pt>
                <c:pt idx="60">
                  <c:v>44286</c:v>
                </c:pt>
                <c:pt idx="61">
                  <c:v>44377</c:v>
                </c:pt>
                <c:pt idx="62">
                  <c:v>44469</c:v>
                </c:pt>
                <c:pt idx="63">
                  <c:v>44561</c:v>
                </c:pt>
                <c:pt idx="64">
                  <c:v>44651</c:v>
                </c:pt>
                <c:pt idx="65">
                  <c:v>44742</c:v>
                </c:pt>
                <c:pt idx="66">
                  <c:v>44834</c:v>
                </c:pt>
                <c:pt idx="67">
                  <c:v>44925</c:v>
                </c:pt>
                <c:pt idx="68">
                  <c:v>45016</c:v>
                </c:pt>
                <c:pt idx="69">
                  <c:v>45107</c:v>
                </c:pt>
                <c:pt idx="70">
                  <c:v>45198</c:v>
                </c:pt>
                <c:pt idx="71">
                  <c:v>45289</c:v>
                </c:pt>
                <c:pt idx="72">
                  <c:v>45380</c:v>
                </c:pt>
                <c:pt idx="73">
                  <c:v>45471</c:v>
                </c:pt>
                <c:pt idx="74">
                  <c:v>45565</c:v>
                </c:pt>
                <c:pt idx="75">
                  <c:v>45657</c:v>
                </c:pt>
                <c:pt idx="76">
                  <c:v>45747</c:v>
                </c:pt>
                <c:pt idx="77">
                  <c:v>45838</c:v>
                </c:pt>
                <c:pt idx="78">
                  <c:v>45930</c:v>
                </c:pt>
                <c:pt idx="79">
                  <c:v>46022</c:v>
                </c:pt>
                <c:pt idx="80">
                  <c:v>46112</c:v>
                </c:pt>
              </c:numCache>
            </c:numRef>
          </c:cat>
          <c:val>
            <c:numRef>
              <c:f>'Report figures'!$X$74:$X$154</c:f>
              <c:numCache>
                <c:formatCode>0.00</c:formatCode>
                <c:ptCount val="81"/>
                <c:pt idx="0">
                  <c:v>1</c:v>
                </c:pt>
                <c:pt idx="1">
                  <c:v>0.98692794617755608</c:v>
                </c:pt>
                <c:pt idx="2">
                  <c:v>1.0183373615151012</c:v>
                </c:pt>
                <c:pt idx="3">
                  <c:v>1.0613560584624167</c:v>
                </c:pt>
                <c:pt idx="4">
                  <c:v>1.0875778146760162</c:v>
                </c:pt>
                <c:pt idx="5">
                  <c:v>1.1113933683911632</c:v>
                </c:pt>
                <c:pt idx="6">
                  <c:v>1.1236587596146892</c:v>
                </c:pt>
                <c:pt idx="7">
                  <c:v>1.1176063811003163</c:v>
                </c:pt>
                <c:pt idx="8">
                  <c:v>1.0303180995387966</c:v>
                </c:pt>
                <c:pt idx="9">
                  <c:v>1.0076440464056002</c:v>
                </c:pt>
                <c:pt idx="10">
                  <c:v>1.016957807024772</c:v>
                </c:pt>
                <c:pt idx="11">
                  <c:v>0.9244983505202875</c:v>
                </c:pt>
                <c:pt idx="12">
                  <c:v>0.88577355852564243</c:v>
                </c:pt>
                <c:pt idx="13">
                  <c:v>0.92694960726685305</c:v>
                </c:pt>
                <c:pt idx="14">
                  <c:v>1.0125918561486131</c:v>
                </c:pt>
                <c:pt idx="15">
                  <c:v>1.0411779971513622</c:v>
                </c:pt>
                <c:pt idx="16">
                  <c:v>1.0554484252142964</c:v>
                </c:pt>
                <c:pt idx="17">
                  <c:v>1.03069161639327</c:v>
                </c:pt>
                <c:pt idx="18">
                  <c:v>1.0471258231789486</c:v>
                </c:pt>
                <c:pt idx="19">
                  <c:v>1.0717159044730893</c:v>
                </c:pt>
                <c:pt idx="20">
                  <c:v>1.0958525860475041</c:v>
                </c:pt>
                <c:pt idx="21">
                  <c:v>1.0782253497458489</c:v>
                </c:pt>
                <c:pt idx="22">
                  <c:v>1.03597230143326</c:v>
                </c:pt>
                <c:pt idx="23">
                  <c:v>1.0584282276451373</c:v>
                </c:pt>
                <c:pt idx="24">
                  <c:v>1.1261732796906057</c:v>
                </c:pt>
                <c:pt idx="25">
                  <c:v>1.1131160390285584</c:v>
                </c:pt>
                <c:pt idx="26">
                  <c:v>1.1587431370071277</c:v>
                </c:pt>
                <c:pt idx="27">
                  <c:v>1.1990838207115919</c:v>
                </c:pt>
                <c:pt idx="28">
                  <c:v>1.2612455190657981</c:v>
                </c:pt>
                <c:pt idx="29">
                  <c:v>1.3202338526675155</c:v>
                </c:pt>
                <c:pt idx="30">
                  <c:v>1.376522507577902</c:v>
                </c:pt>
                <c:pt idx="31">
                  <c:v>1.4546503005425995</c:v>
                </c:pt>
                <c:pt idx="32">
                  <c:v>1.4623972699799306</c:v>
                </c:pt>
                <c:pt idx="33">
                  <c:v>1.4972875088162423</c:v>
                </c:pt>
                <c:pt idx="34">
                  <c:v>1.5466593560810495</c:v>
                </c:pt>
                <c:pt idx="35">
                  <c:v>1.6339846916852658</c:v>
                </c:pt>
                <c:pt idx="36">
                  <c:v>1.7614218544755318</c:v>
                </c:pt>
                <c:pt idx="37">
                  <c:v>1.7245972499388422</c:v>
                </c:pt>
                <c:pt idx="38">
                  <c:v>1.7205212402961012</c:v>
                </c:pt>
                <c:pt idx="39">
                  <c:v>1.7574522404244064</c:v>
                </c:pt>
                <c:pt idx="40">
                  <c:v>1.7225150805739571</c:v>
                </c:pt>
                <c:pt idx="41">
                  <c:v>1.7976806807996788</c:v>
                </c:pt>
                <c:pt idx="42">
                  <c:v>1.8332934097475881</c:v>
                </c:pt>
                <c:pt idx="43">
                  <c:v>1.9121918806707481</c:v>
                </c:pt>
                <c:pt idx="44">
                  <c:v>1.9324267810956566</c:v>
                </c:pt>
                <c:pt idx="45">
                  <c:v>1.9478283169450941</c:v>
                </c:pt>
                <c:pt idx="46">
                  <c:v>1.9648563691936372</c:v>
                </c:pt>
                <c:pt idx="47">
                  <c:v>2.0593006716074891</c:v>
                </c:pt>
                <c:pt idx="48">
                  <c:v>2.0386642233028196</c:v>
                </c:pt>
                <c:pt idx="49">
                  <c:v>2.1462961646095535</c:v>
                </c:pt>
                <c:pt idx="50">
                  <c:v>2.203790805241777</c:v>
                </c:pt>
                <c:pt idx="51">
                  <c:v>2.088359620772581</c:v>
                </c:pt>
                <c:pt idx="52">
                  <c:v>2.2506097740588813</c:v>
                </c:pt>
                <c:pt idx="53">
                  <c:v>2.3512320520041134</c:v>
                </c:pt>
                <c:pt idx="54">
                  <c:v>2.4456430989232167</c:v>
                </c:pt>
                <c:pt idx="55">
                  <c:v>2.4731689305764442</c:v>
                </c:pt>
                <c:pt idx="56">
                  <c:v>2.246115985390515</c:v>
                </c:pt>
                <c:pt idx="57">
                  <c:v>2.3672701898388335</c:v>
                </c:pt>
                <c:pt idx="58">
                  <c:v>2.409836921721356</c:v>
                </c:pt>
                <c:pt idx="59">
                  <c:v>2.5496759633578803</c:v>
                </c:pt>
                <c:pt idx="60">
                  <c:v>2.6445183204727796</c:v>
                </c:pt>
                <c:pt idx="61">
                  <c:v>2.8297057033859132</c:v>
                </c:pt>
                <c:pt idx="62">
                  <c:v>2.9059907320015648</c:v>
                </c:pt>
                <c:pt idx="63">
                  <c:v>3.0055677364823312</c:v>
                </c:pt>
                <c:pt idx="64">
                  <c:v>2.9113318834771329</c:v>
                </c:pt>
                <c:pt idx="65">
                  <c:v>2.7186334843084348</c:v>
                </c:pt>
                <c:pt idx="66">
                  <c:v>2.7054960742785874</c:v>
                </c:pt>
                <c:pt idx="67">
                  <c:v>2.7910344749006035</c:v>
                </c:pt>
                <c:pt idx="68">
                  <c:v>2.922457586085708</c:v>
                </c:pt>
                <c:pt idx="69">
                  <c:v>2.991550711738411</c:v>
                </c:pt>
                <c:pt idx="70">
                  <c:v>3.0059165230686258</c:v>
                </c:pt>
                <c:pt idx="71">
                  <c:v>3.148594696987487</c:v>
                </c:pt>
                <c:pt idx="72">
                  <c:v>3.359114281029445</c:v>
                </c:pt>
                <c:pt idx="73">
                  <c:v>3.3411586136386324</c:v>
                </c:pt>
                <c:pt idx="74">
                  <c:v>3.4810274321111785</c:v>
                </c:pt>
                <c:pt idx="75">
                  <c:v>3.6206114456307832</c:v>
                </c:pt>
                <c:pt idx="76">
                  <c:v>3.5738068969686156</c:v>
                </c:pt>
                <c:pt idx="77">
                  <c:v>3.7223426635941812</c:v>
                </c:pt>
                <c:pt idx="78">
                  <c:v>3.8705015719378677</c:v>
                </c:pt>
                <c:pt idx="79">
                  <c:v>3.8983583030367326</c:v>
                </c:pt>
                <c:pt idx="80">
                  <c:v>3.8100333594448439</c:v>
                </c:pt>
              </c:numCache>
            </c:numRef>
          </c:val>
          <c:smooth val="0"/>
          <c:extLst>
            <c:ext xmlns:c16="http://schemas.microsoft.com/office/drawing/2014/chart" uri="{C3380CC4-5D6E-409C-BE32-E72D297353CC}">
              <c16:uniqueId val="{00000001-D37B-0147-B458-CED542690F4F}"/>
            </c:ext>
          </c:extLst>
        </c:ser>
        <c:ser>
          <c:idx val="2"/>
          <c:order val="2"/>
          <c:tx>
            <c:strRef>
              <c:f>'Report figures'!$Y$73</c:f>
              <c:strCache>
                <c:ptCount val="1"/>
                <c:pt idx="0">
                  <c:v>Recommended</c:v>
                </c:pt>
              </c:strCache>
            </c:strRef>
          </c:tx>
          <c:spPr>
            <a:ln w="22000">
              <a:solidFill>
                <a:srgbClr val="2E5AAC"/>
              </a:solidFill>
              <a:prstDash val="solid"/>
            </a:ln>
          </c:spPr>
          <c:marker>
            <c:symbol val="none"/>
          </c:marker>
          <c:cat>
            <c:numRef>
              <c:f>'Report figures'!$V$74:$V$154</c:f>
              <c:numCache>
                <c:formatCode>mmm\-yy</c:formatCode>
                <c:ptCount val="81"/>
                <c:pt idx="0">
                  <c:v>38807</c:v>
                </c:pt>
                <c:pt idx="1">
                  <c:v>38898</c:v>
                </c:pt>
                <c:pt idx="2">
                  <c:v>38989</c:v>
                </c:pt>
                <c:pt idx="3">
                  <c:v>39080</c:v>
                </c:pt>
                <c:pt idx="4">
                  <c:v>39171</c:v>
                </c:pt>
                <c:pt idx="5">
                  <c:v>39262</c:v>
                </c:pt>
                <c:pt idx="6">
                  <c:v>39353</c:v>
                </c:pt>
                <c:pt idx="7">
                  <c:v>39447</c:v>
                </c:pt>
                <c:pt idx="8">
                  <c:v>39538</c:v>
                </c:pt>
                <c:pt idx="9">
                  <c:v>39629</c:v>
                </c:pt>
                <c:pt idx="10">
                  <c:v>39721</c:v>
                </c:pt>
                <c:pt idx="11">
                  <c:v>39813</c:v>
                </c:pt>
                <c:pt idx="12">
                  <c:v>39903</c:v>
                </c:pt>
                <c:pt idx="13">
                  <c:v>39994</c:v>
                </c:pt>
                <c:pt idx="14">
                  <c:v>40086</c:v>
                </c:pt>
                <c:pt idx="15">
                  <c:v>40178</c:v>
                </c:pt>
                <c:pt idx="16">
                  <c:v>40268</c:v>
                </c:pt>
                <c:pt idx="17">
                  <c:v>40359</c:v>
                </c:pt>
                <c:pt idx="18">
                  <c:v>40451</c:v>
                </c:pt>
                <c:pt idx="19">
                  <c:v>40543</c:v>
                </c:pt>
                <c:pt idx="20">
                  <c:v>40633</c:v>
                </c:pt>
                <c:pt idx="21">
                  <c:v>40724</c:v>
                </c:pt>
                <c:pt idx="22">
                  <c:v>40816</c:v>
                </c:pt>
                <c:pt idx="23">
                  <c:v>40907</c:v>
                </c:pt>
                <c:pt idx="24">
                  <c:v>40998</c:v>
                </c:pt>
                <c:pt idx="25">
                  <c:v>41089</c:v>
                </c:pt>
                <c:pt idx="26">
                  <c:v>41180</c:v>
                </c:pt>
                <c:pt idx="27">
                  <c:v>41274</c:v>
                </c:pt>
                <c:pt idx="28">
                  <c:v>41362</c:v>
                </c:pt>
                <c:pt idx="29">
                  <c:v>41453</c:v>
                </c:pt>
                <c:pt idx="30">
                  <c:v>41547</c:v>
                </c:pt>
                <c:pt idx="31">
                  <c:v>41639</c:v>
                </c:pt>
                <c:pt idx="32">
                  <c:v>41729</c:v>
                </c:pt>
                <c:pt idx="33">
                  <c:v>41820</c:v>
                </c:pt>
                <c:pt idx="34">
                  <c:v>41912</c:v>
                </c:pt>
                <c:pt idx="35">
                  <c:v>42004</c:v>
                </c:pt>
                <c:pt idx="36">
                  <c:v>42094</c:v>
                </c:pt>
                <c:pt idx="37">
                  <c:v>42185</c:v>
                </c:pt>
                <c:pt idx="38">
                  <c:v>42277</c:v>
                </c:pt>
                <c:pt idx="39">
                  <c:v>42369</c:v>
                </c:pt>
                <c:pt idx="40">
                  <c:v>42460</c:v>
                </c:pt>
                <c:pt idx="41">
                  <c:v>42551</c:v>
                </c:pt>
                <c:pt idx="42">
                  <c:v>42643</c:v>
                </c:pt>
                <c:pt idx="43">
                  <c:v>42734</c:v>
                </c:pt>
                <c:pt idx="44">
                  <c:v>42825</c:v>
                </c:pt>
                <c:pt idx="45">
                  <c:v>42916</c:v>
                </c:pt>
                <c:pt idx="46">
                  <c:v>43007</c:v>
                </c:pt>
                <c:pt idx="47">
                  <c:v>43098</c:v>
                </c:pt>
                <c:pt idx="48">
                  <c:v>43189</c:v>
                </c:pt>
                <c:pt idx="49">
                  <c:v>43280</c:v>
                </c:pt>
                <c:pt idx="50">
                  <c:v>43371</c:v>
                </c:pt>
                <c:pt idx="51">
                  <c:v>43465</c:v>
                </c:pt>
                <c:pt idx="52">
                  <c:v>43553</c:v>
                </c:pt>
                <c:pt idx="53">
                  <c:v>43644</c:v>
                </c:pt>
                <c:pt idx="54">
                  <c:v>43738</c:v>
                </c:pt>
                <c:pt idx="55">
                  <c:v>43830</c:v>
                </c:pt>
                <c:pt idx="56">
                  <c:v>43921</c:v>
                </c:pt>
                <c:pt idx="57">
                  <c:v>44012</c:v>
                </c:pt>
                <c:pt idx="58">
                  <c:v>44104</c:v>
                </c:pt>
                <c:pt idx="59">
                  <c:v>44196</c:v>
                </c:pt>
                <c:pt idx="60">
                  <c:v>44286</c:v>
                </c:pt>
                <c:pt idx="61">
                  <c:v>44377</c:v>
                </c:pt>
                <c:pt idx="62">
                  <c:v>44469</c:v>
                </c:pt>
                <c:pt idx="63">
                  <c:v>44561</c:v>
                </c:pt>
                <c:pt idx="64">
                  <c:v>44651</c:v>
                </c:pt>
                <c:pt idx="65">
                  <c:v>44742</c:v>
                </c:pt>
                <c:pt idx="66">
                  <c:v>44834</c:v>
                </c:pt>
                <c:pt idx="67">
                  <c:v>44925</c:v>
                </c:pt>
                <c:pt idx="68">
                  <c:v>45016</c:v>
                </c:pt>
                <c:pt idx="69">
                  <c:v>45107</c:v>
                </c:pt>
                <c:pt idx="70">
                  <c:v>45198</c:v>
                </c:pt>
                <c:pt idx="71">
                  <c:v>45289</c:v>
                </c:pt>
                <c:pt idx="72">
                  <c:v>45380</c:v>
                </c:pt>
                <c:pt idx="73">
                  <c:v>45471</c:v>
                </c:pt>
                <c:pt idx="74">
                  <c:v>45565</c:v>
                </c:pt>
                <c:pt idx="75">
                  <c:v>45657</c:v>
                </c:pt>
                <c:pt idx="76">
                  <c:v>45747</c:v>
                </c:pt>
                <c:pt idx="77">
                  <c:v>45838</c:v>
                </c:pt>
                <c:pt idx="78">
                  <c:v>45930</c:v>
                </c:pt>
                <c:pt idx="79">
                  <c:v>46022</c:v>
                </c:pt>
                <c:pt idx="80">
                  <c:v>46112</c:v>
                </c:pt>
              </c:numCache>
            </c:numRef>
          </c:cat>
          <c:val>
            <c:numRef>
              <c:f>'Report figures'!$Y$74:$Y$154</c:f>
              <c:numCache>
                <c:formatCode>0.00</c:formatCode>
                <c:ptCount val="81"/>
                <c:pt idx="0">
                  <c:v>1</c:v>
                </c:pt>
                <c:pt idx="1">
                  <c:v>0.97823153804561169</c:v>
                </c:pt>
                <c:pt idx="2">
                  <c:v>1.0090353041245983</c:v>
                </c:pt>
                <c:pt idx="3">
                  <c:v>1.054891789992509</c:v>
                </c:pt>
                <c:pt idx="4">
                  <c:v>1.0801701419930319</c:v>
                </c:pt>
                <c:pt idx="5">
                  <c:v>1.1046183706612271</c:v>
                </c:pt>
                <c:pt idx="6">
                  <c:v>1.1188356112658975</c:v>
                </c:pt>
                <c:pt idx="7">
                  <c:v>1.1108583283692961</c:v>
                </c:pt>
                <c:pt idx="8">
                  <c:v>1.0062939454828423</c:v>
                </c:pt>
                <c:pt idx="9">
                  <c:v>0.97949432518307367</c:v>
                </c:pt>
                <c:pt idx="10">
                  <c:v>0.98512080892638365</c:v>
                </c:pt>
                <c:pt idx="11">
                  <c:v>0.87569223838653187</c:v>
                </c:pt>
                <c:pt idx="12">
                  <c:v>0.83500260648656355</c:v>
                </c:pt>
                <c:pt idx="13">
                  <c:v>0.87827258636015915</c:v>
                </c:pt>
                <c:pt idx="14">
                  <c:v>0.9638401286779491</c:v>
                </c:pt>
                <c:pt idx="15">
                  <c:v>0.99491040776883299</c:v>
                </c:pt>
                <c:pt idx="16">
                  <c:v>1.0107592095773636</c:v>
                </c:pt>
                <c:pt idx="17">
                  <c:v>0.98249922319665894</c:v>
                </c:pt>
                <c:pt idx="18">
                  <c:v>0.99085933237232604</c:v>
                </c:pt>
                <c:pt idx="19">
                  <c:v>1.015314771143615</c:v>
                </c:pt>
                <c:pt idx="20">
                  <c:v>1.039286100009716</c:v>
                </c:pt>
                <c:pt idx="21">
                  <c:v>1.0123883981507988</c:v>
                </c:pt>
                <c:pt idx="22">
                  <c:v>0.96276649996914265</c:v>
                </c:pt>
                <c:pt idx="23">
                  <c:v>0.98149358170311718</c:v>
                </c:pt>
                <c:pt idx="24">
                  <c:v>1.0528048613123995</c:v>
                </c:pt>
                <c:pt idx="25">
                  <c:v>1.0334451402058442</c:v>
                </c:pt>
                <c:pt idx="26">
                  <c:v>1.0805688693942839</c:v>
                </c:pt>
                <c:pt idx="27">
                  <c:v>1.1228866844089105</c:v>
                </c:pt>
                <c:pt idx="28">
                  <c:v>1.1835736387799165</c:v>
                </c:pt>
                <c:pt idx="29">
                  <c:v>1.2504494708327301</c:v>
                </c:pt>
                <c:pt idx="30">
                  <c:v>1.3078159639501077</c:v>
                </c:pt>
                <c:pt idx="31">
                  <c:v>1.3895435446296749</c:v>
                </c:pt>
                <c:pt idx="32">
                  <c:v>1.3908957612994903</c:v>
                </c:pt>
                <c:pt idx="33">
                  <c:v>1.4242614707568402</c:v>
                </c:pt>
                <c:pt idx="34">
                  <c:v>1.4761863400316728</c:v>
                </c:pt>
                <c:pt idx="35">
                  <c:v>1.563294566180784</c:v>
                </c:pt>
                <c:pt idx="36">
                  <c:v>1.6998069044841924</c:v>
                </c:pt>
                <c:pt idx="37">
                  <c:v>1.6624935704928019</c:v>
                </c:pt>
                <c:pt idx="38">
                  <c:v>1.6499257169566708</c:v>
                </c:pt>
                <c:pt idx="39">
                  <c:v>1.6801611161421628</c:v>
                </c:pt>
                <c:pt idx="40">
                  <c:v>1.6365868952291405</c:v>
                </c:pt>
                <c:pt idx="41">
                  <c:v>1.7149564309244363</c:v>
                </c:pt>
                <c:pt idx="42">
                  <c:v>1.7525563261896497</c:v>
                </c:pt>
                <c:pt idx="43">
                  <c:v>1.8413502879748114</c:v>
                </c:pt>
                <c:pt idx="44">
                  <c:v>1.8595703535316028</c:v>
                </c:pt>
                <c:pt idx="45">
                  <c:v>1.8762981657022602</c:v>
                </c:pt>
                <c:pt idx="46">
                  <c:v>1.8964578785630473</c:v>
                </c:pt>
                <c:pt idx="47">
                  <c:v>1.9971787451938501</c:v>
                </c:pt>
                <c:pt idx="48">
                  <c:v>1.9756767015608003</c:v>
                </c:pt>
                <c:pt idx="49">
                  <c:v>2.0891901138588325</c:v>
                </c:pt>
                <c:pt idx="50">
                  <c:v>2.1528883314010292</c:v>
                </c:pt>
                <c:pt idx="51">
                  <c:v>2.0170762214264912</c:v>
                </c:pt>
                <c:pt idx="52">
                  <c:v>2.19405904117199</c:v>
                </c:pt>
                <c:pt idx="53">
                  <c:v>2.2956166771708317</c:v>
                </c:pt>
                <c:pt idx="54">
                  <c:v>2.3917530211071041</c:v>
                </c:pt>
                <c:pt idx="55">
                  <c:v>2.4266778308667609</c:v>
                </c:pt>
                <c:pt idx="56">
                  <c:v>2.1585680535241876</c:v>
                </c:pt>
                <c:pt idx="57">
                  <c:v>2.2923699284090984</c:v>
                </c:pt>
                <c:pt idx="58">
                  <c:v>2.3318076839399198</c:v>
                </c:pt>
                <c:pt idx="59">
                  <c:v>2.4847650531591396</c:v>
                </c:pt>
                <c:pt idx="60">
                  <c:v>2.5959098265118983</c:v>
                </c:pt>
                <c:pt idx="61">
                  <c:v>2.7917973295986402</c:v>
                </c:pt>
                <c:pt idx="62">
                  <c:v>2.8623154916265214</c:v>
                </c:pt>
                <c:pt idx="63">
                  <c:v>2.9668667530982105</c:v>
                </c:pt>
                <c:pt idx="64">
                  <c:v>2.8751324637441478</c:v>
                </c:pt>
                <c:pt idx="65">
                  <c:v>2.685475152293217</c:v>
                </c:pt>
                <c:pt idx="66">
                  <c:v>2.6748317172981975</c:v>
                </c:pt>
                <c:pt idx="67">
                  <c:v>2.7562043552780682</c:v>
                </c:pt>
                <c:pt idx="68">
                  <c:v>2.8924745612883074</c:v>
                </c:pt>
                <c:pt idx="69">
                  <c:v>2.9731207347590765</c:v>
                </c:pt>
                <c:pt idx="70">
                  <c:v>2.989941478181771</c:v>
                </c:pt>
                <c:pt idx="71">
                  <c:v>3.1207843884329933</c:v>
                </c:pt>
                <c:pt idx="72">
                  <c:v>3.3522907725012856</c:v>
                </c:pt>
                <c:pt idx="73">
                  <c:v>3.3430611724643913</c:v>
                </c:pt>
                <c:pt idx="74">
                  <c:v>3.4747589900485796</c:v>
                </c:pt>
                <c:pt idx="75">
                  <c:v>3.6474730458230651</c:v>
                </c:pt>
                <c:pt idx="76">
                  <c:v>3.6013357245551294</c:v>
                </c:pt>
                <c:pt idx="77">
                  <c:v>3.7470739263062338</c:v>
                </c:pt>
                <c:pt idx="78">
                  <c:v>3.9238652995790355</c:v>
                </c:pt>
                <c:pt idx="79">
                  <c:v>3.9642722758791726</c:v>
                </c:pt>
                <c:pt idx="80">
                  <c:v>3.8998695407326074</c:v>
                </c:pt>
              </c:numCache>
            </c:numRef>
          </c:val>
          <c:smooth val="0"/>
          <c:extLst>
            <c:ext xmlns:c16="http://schemas.microsoft.com/office/drawing/2014/chart" uri="{C3380CC4-5D6E-409C-BE32-E72D297353CC}">
              <c16:uniqueId val="{00000002-D37B-0147-B458-CED542690F4F}"/>
            </c:ext>
          </c:extLst>
        </c:ser>
        <c:ser>
          <c:idx val="3"/>
          <c:order val="3"/>
          <c:tx>
            <c:strRef>
              <c:f>'Report figures'!$Z$73</c:f>
              <c:strCache>
                <c:ptCount val="1"/>
                <c:pt idx="0">
                  <c:v>Target: yield + 4%</c:v>
                </c:pt>
              </c:strCache>
            </c:strRef>
          </c:tx>
          <c:spPr>
            <a:ln w="22000">
              <a:solidFill>
                <a:srgbClr val="9AA3AD"/>
              </a:solidFill>
              <a:prstDash val="dash"/>
            </a:ln>
          </c:spPr>
          <c:marker>
            <c:symbol val="none"/>
          </c:marker>
          <c:cat>
            <c:numRef>
              <c:f>'Report figures'!$V$74:$V$154</c:f>
              <c:numCache>
                <c:formatCode>mmm\-yy</c:formatCode>
                <c:ptCount val="81"/>
                <c:pt idx="0">
                  <c:v>38807</c:v>
                </c:pt>
                <c:pt idx="1">
                  <c:v>38898</c:v>
                </c:pt>
                <c:pt idx="2">
                  <c:v>38989</c:v>
                </c:pt>
                <c:pt idx="3">
                  <c:v>39080</c:v>
                </c:pt>
                <c:pt idx="4">
                  <c:v>39171</c:v>
                </c:pt>
                <c:pt idx="5">
                  <c:v>39262</c:v>
                </c:pt>
                <c:pt idx="6">
                  <c:v>39353</c:v>
                </c:pt>
                <c:pt idx="7">
                  <c:v>39447</c:v>
                </c:pt>
                <c:pt idx="8">
                  <c:v>39538</c:v>
                </c:pt>
                <c:pt idx="9">
                  <c:v>39629</c:v>
                </c:pt>
                <c:pt idx="10">
                  <c:v>39721</c:v>
                </c:pt>
                <c:pt idx="11">
                  <c:v>39813</c:v>
                </c:pt>
                <c:pt idx="12">
                  <c:v>39903</c:v>
                </c:pt>
                <c:pt idx="13">
                  <c:v>39994</c:v>
                </c:pt>
                <c:pt idx="14">
                  <c:v>40086</c:v>
                </c:pt>
                <c:pt idx="15">
                  <c:v>40178</c:v>
                </c:pt>
                <c:pt idx="16">
                  <c:v>40268</c:v>
                </c:pt>
                <c:pt idx="17">
                  <c:v>40359</c:v>
                </c:pt>
                <c:pt idx="18">
                  <c:v>40451</c:v>
                </c:pt>
                <c:pt idx="19">
                  <c:v>40543</c:v>
                </c:pt>
                <c:pt idx="20">
                  <c:v>40633</c:v>
                </c:pt>
                <c:pt idx="21">
                  <c:v>40724</c:v>
                </c:pt>
                <c:pt idx="22">
                  <c:v>40816</c:v>
                </c:pt>
                <c:pt idx="23">
                  <c:v>40907</c:v>
                </c:pt>
                <c:pt idx="24">
                  <c:v>40998</c:v>
                </c:pt>
                <c:pt idx="25">
                  <c:v>41089</c:v>
                </c:pt>
                <c:pt idx="26">
                  <c:v>41180</c:v>
                </c:pt>
                <c:pt idx="27">
                  <c:v>41274</c:v>
                </c:pt>
                <c:pt idx="28">
                  <c:v>41362</c:v>
                </c:pt>
                <c:pt idx="29">
                  <c:v>41453</c:v>
                </c:pt>
                <c:pt idx="30">
                  <c:v>41547</c:v>
                </c:pt>
                <c:pt idx="31">
                  <c:v>41639</c:v>
                </c:pt>
                <c:pt idx="32">
                  <c:v>41729</c:v>
                </c:pt>
                <c:pt idx="33">
                  <c:v>41820</c:v>
                </c:pt>
                <c:pt idx="34">
                  <c:v>41912</c:v>
                </c:pt>
                <c:pt idx="35">
                  <c:v>42004</c:v>
                </c:pt>
                <c:pt idx="36">
                  <c:v>42094</c:v>
                </c:pt>
                <c:pt idx="37">
                  <c:v>42185</c:v>
                </c:pt>
                <c:pt idx="38">
                  <c:v>42277</c:v>
                </c:pt>
                <c:pt idx="39">
                  <c:v>42369</c:v>
                </c:pt>
                <c:pt idx="40">
                  <c:v>42460</c:v>
                </c:pt>
                <c:pt idx="41">
                  <c:v>42551</c:v>
                </c:pt>
                <c:pt idx="42">
                  <c:v>42643</c:v>
                </c:pt>
                <c:pt idx="43">
                  <c:v>42734</c:v>
                </c:pt>
                <c:pt idx="44">
                  <c:v>42825</c:v>
                </c:pt>
                <c:pt idx="45">
                  <c:v>42916</c:v>
                </c:pt>
                <c:pt idx="46">
                  <c:v>43007</c:v>
                </c:pt>
                <c:pt idx="47">
                  <c:v>43098</c:v>
                </c:pt>
                <c:pt idx="48">
                  <c:v>43189</c:v>
                </c:pt>
                <c:pt idx="49">
                  <c:v>43280</c:v>
                </c:pt>
                <c:pt idx="50">
                  <c:v>43371</c:v>
                </c:pt>
                <c:pt idx="51">
                  <c:v>43465</c:v>
                </c:pt>
                <c:pt idx="52">
                  <c:v>43553</c:v>
                </c:pt>
                <c:pt idx="53">
                  <c:v>43644</c:v>
                </c:pt>
                <c:pt idx="54">
                  <c:v>43738</c:v>
                </c:pt>
                <c:pt idx="55">
                  <c:v>43830</c:v>
                </c:pt>
                <c:pt idx="56">
                  <c:v>43921</c:v>
                </c:pt>
                <c:pt idx="57">
                  <c:v>44012</c:v>
                </c:pt>
                <c:pt idx="58">
                  <c:v>44104</c:v>
                </c:pt>
                <c:pt idx="59">
                  <c:v>44196</c:v>
                </c:pt>
                <c:pt idx="60">
                  <c:v>44286</c:v>
                </c:pt>
                <c:pt idx="61">
                  <c:v>44377</c:v>
                </c:pt>
                <c:pt idx="62">
                  <c:v>44469</c:v>
                </c:pt>
                <c:pt idx="63">
                  <c:v>44561</c:v>
                </c:pt>
                <c:pt idx="64">
                  <c:v>44651</c:v>
                </c:pt>
                <c:pt idx="65">
                  <c:v>44742</c:v>
                </c:pt>
                <c:pt idx="66">
                  <c:v>44834</c:v>
                </c:pt>
                <c:pt idx="67">
                  <c:v>44925</c:v>
                </c:pt>
                <c:pt idx="68">
                  <c:v>45016</c:v>
                </c:pt>
                <c:pt idx="69">
                  <c:v>45107</c:v>
                </c:pt>
                <c:pt idx="70">
                  <c:v>45198</c:v>
                </c:pt>
                <c:pt idx="71">
                  <c:v>45289</c:v>
                </c:pt>
                <c:pt idx="72">
                  <c:v>45380</c:v>
                </c:pt>
                <c:pt idx="73">
                  <c:v>45471</c:v>
                </c:pt>
                <c:pt idx="74">
                  <c:v>45565</c:v>
                </c:pt>
                <c:pt idx="75">
                  <c:v>45657</c:v>
                </c:pt>
                <c:pt idx="76">
                  <c:v>45747</c:v>
                </c:pt>
                <c:pt idx="77">
                  <c:v>45838</c:v>
                </c:pt>
                <c:pt idx="78">
                  <c:v>45930</c:v>
                </c:pt>
                <c:pt idx="79">
                  <c:v>46022</c:v>
                </c:pt>
                <c:pt idx="80">
                  <c:v>46112</c:v>
                </c:pt>
              </c:numCache>
            </c:numRef>
          </c:cat>
          <c:val>
            <c:numRef>
              <c:f>'Report figures'!$Z$74:$Z$154</c:f>
              <c:numCache>
                <c:formatCode>0.00</c:formatCode>
                <c:ptCount val="81"/>
                <c:pt idx="0">
                  <c:v>1</c:v>
                </c:pt>
                <c:pt idx="1">
                  <c:v>1.0224749018441073</c:v>
                </c:pt>
                <c:pt idx="2">
                  <c:v>1.0465310227806142</c:v>
                </c:pt>
                <c:pt idx="3">
                  <c:v>1.0713772880549304</c:v>
                </c:pt>
                <c:pt idx="4">
                  <c:v>1.0967023361129962</c:v>
                </c:pt>
                <c:pt idx="5">
                  <c:v>1.1230585232939283</c:v>
                </c:pt>
                <c:pt idx="6">
                  <c:v>1.1503269820310817</c:v>
                </c:pt>
                <c:pt idx="7">
                  <c:v>1.1784177999690399</c:v>
                </c:pt>
                <c:pt idx="8">
                  <c:v>1.2081036330799255</c:v>
                </c:pt>
                <c:pt idx="9">
                  <c:v>1.2375174055336904</c:v>
                </c:pt>
                <c:pt idx="10">
                  <c:v>1.2693421661443853</c:v>
                </c:pt>
                <c:pt idx="11">
                  <c:v>1.2985788431172955</c:v>
                </c:pt>
                <c:pt idx="12">
                  <c:v>1.3229533358933108</c:v>
                </c:pt>
                <c:pt idx="13">
                  <c:v>1.3478056720835543</c:v>
                </c:pt>
                <c:pt idx="14">
                  <c:v>1.3774808096895637</c:v>
                </c:pt>
                <c:pt idx="15">
                  <c:v>1.4079299489190313</c:v>
                </c:pt>
                <c:pt idx="16">
                  <c:v>1.439086775261291</c:v>
                </c:pt>
                <c:pt idx="17">
                  <c:v>1.4715727921086528</c:v>
                </c:pt>
                <c:pt idx="18">
                  <c:v>1.5035261230780361</c:v>
                </c:pt>
                <c:pt idx="19">
                  <c:v>1.5355914528210832</c:v>
                </c:pt>
                <c:pt idx="20">
                  <c:v>1.5702200668013575</c:v>
                </c:pt>
                <c:pt idx="21">
                  <c:v>1.6051796287521405</c:v>
                </c:pt>
                <c:pt idx="22">
                  <c:v>1.6397047446850141</c:v>
                </c:pt>
                <c:pt idx="23">
                  <c:v>1.6707357018879143</c:v>
                </c:pt>
                <c:pt idx="24">
                  <c:v>1.7015043689978078</c:v>
                </c:pt>
                <c:pt idx="25">
                  <c:v>1.7330309368795653</c:v>
                </c:pt>
                <c:pt idx="26">
                  <c:v>1.7615634326476917</c:v>
                </c:pt>
                <c:pt idx="27">
                  <c:v>1.7908486702188888</c:v>
                </c:pt>
                <c:pt idx="28">
                  <c:v>1.8206527193889659</c:v>
                </c:pt>
                <c:pt idx="29">
                  <c:v>1.8517968917797871</c:v>
                </c:pt>
                <c:pt idx="30">
                  <c:v>1.8824500258887504</c:v>
                </c:pt>
                <c:pt idx="31">
                  <c:v>1.9160407863234248</c:v>
                </c:pt>
                <c:pt idx="32">
                  <c:v>1.9508212110815448</c:v>
                </c:pt>
                <c:pt idx="33">
                  <c:v>1.9860018968559507</c:v>
                </c:pt>
                <c:pt idx="34">
                  <c:v>2.0204368125632843</c:v>
                </c:pt>
                <c:pt idx="35">
                  <c:v>2.0550993043010668</c:v>
                </c:pt>
                <c:pt idx="36">
                  <c:v>2.0873915850538918</c:v>
                </c:pt>
                <c:pt idx="37">
                  <c:v>2.1179117421626956</c:v>
                </c:pt>
                <c:pt idx="38">
                  <c:v>2.1504478594715279</c:v>
                </c:pt>
                <c:pt idx="39">
                  <c:v>2.1825227845690423</c:v>
                </c:pt>
                <c:pt idx="40">
                  <c:v>2.2160306300163337</c:v>
                </c:pt>
                <c:pt idx="41">
                  <c:v>2.249258612078247</c:v>
                </c:pt>
                <c:pt idx="42">
                  <c:v>2.2807606296740612</c:v>
                </c:pt>
                <c:pt idx="43">
                  <c:v>2.3125616450247142</c:v>
                </c:pt>
                <c:pt idx="44">
                  <c:v>2.3465843608597274</c:v>
                </c:pt>
                <c:pt idx="45">
                  <c:v>2.3826670531245484</c:v>
                </c:pt>
                <c:pt idx="46">
                  <c:v>2.4175558140775522</c:v>
                </c:pt>
                <c:pt idx="47">
                  <c:v>2.4541060424683909</c:v>
                </c:pt>
                <c:pt idx="48">
                  <c:v>2.4911267448264156</c:v>
                </c:pt>
                <c:pt idx="49">
                  <c:v>2.5301515590165824</c:v>
                </c:pt>
                <c:pt idx="50">
                  <c:v>2.5697877175013502</c:v>
                </c:pt>
                <c:pt idx="51">
                  <c:v>2.6089649376451201</c:v>
                </c:pt>
                <c:pt idx="52">
                  <c:v>2.64785390061214</c:v>
                </c:pt>
                <c:pt idx="53">
                  <c:v>2.6850781187424513</c:v>
                </c:pt>
                <c:pt idx="54">
                  <c:v>2.7199112793630387</c:v>
                </c:pt>
                <c:pt idx="55">
                  <c:v>2.7520442858763365</c:v>
                </c:pt>
                <c:pt idx="56">
                  <c:v>2.7849818967572455</c:v>
                </c:pt>
                <c:pt idx="57">
                  <c:v>2.8157976949851653</c:v>
                </c:pt>
                <c:pt idx="58">
                  <c:v>2.8462935827391256</c:v>
                </c:pt>
                <c:pt idx="59">
                  <c:v>2.8770508525670682</c:v>
                </c:pt>
                <c:pt idx="60">
                  <c:v>2.9077922050381231</c:v>
                </c:pt>
                <c:pt idx="61">
                  <c:v>2.9414287574992399</c:v>
                </c:pt>
                <c:pt idx="62">
                  <c:v>2.9756248939523728</c:v>
                </c:pt>
                <c:pt idx="63">
                  <c:v>3.0097298491892372</c:v>
                </c:pt>
                <c:pt idx="64">
                  <c:v>3.0490135299045478</c:v>
                </c:pt>
                <c:pt idx="65">
                  <c:v>3.0952854323130823</c:v>
                </c:pt>
                <c:pt idx="66">
                  <c:v>3.1517210313274973</c:v>
                </c:pt>
                <c:pt idx="67">
                  <c:v>3.2092527771379986</c:v>
                </c:pt>
                <c:pt idx="68">
                  <c:v>3.2672037843128723</c:v>
                </c:pt>
                <c:pt idx="69">
                  <c:v>3.3245124078354196</c:v>
                </c:pt>
                <c:pt idx="70">
                  <c:v>3.3873689554643938</c:v>
                </c:pt>
                <c:pt idx="71">
                  <c:v>3.4520382062607688</c:v>
                </c:pt>
                <c:pt idx="72">
                  <c:v>3.5211585344230194</c:v>
                </c:pt>
                <c:pt idx="73">
                  <c:v>3.5877247479480063</c:v>
                </c:pt>
                <c:pt idx="74">
                  <c:v>3.6575911643862731</c:v>
                </c:pt>
                <c:pt idx="75">
                  <c:v>3.7248333627083241</c:v>
                </c:pt>
                <c:pt idx="76">
                  <c:v>3.796613752898268</c:v>
                </c:pt>
                <c:pt idx="77">
                  <c:v>3.8695174443860028</c:v>
                </c:pt>
                <c:pt idx="78">
                  <c:v>3.9403259800462536</c:v>
                </c:pt>
                <c:pt idx="79">
                  <c:v>4.013651817509972</c:v>
                </c:pt>
                <c:pt idx="80">
                  <c:v>4.0940268169159992</c:v>
                </c:pt>
              </c:numCache>
            </c:numRef>
          </c:val>
          <c:smooth val="0"/>
          <c:extLst>
            <c:ext xmlns:c16="http://schemas.microsoft.com/office/drawing/2014/chart" uri="{C3380CC4-5D6E-409C-BE32-E72D297353CC}">
              <c16:uniqueId val="{00000003-D37B-0147-B458-CED542690F4F}"/>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yyyy" sourceLinked="0"/>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Offset val="100"/>
        <c:baseTimeUnit val="months"/>
        <c:majorUnit val="8"/>
      </c:dateAx>
      <c:valAx>
        <c:axId val="100"/>
        <c:scaling>
          <c:orientation val="minMax"/>
        </c:scaling>
        <c:delete val="0"/>
        <c:axPos val="l"/>
        <c:majorGridlines>
          <c:spPr>
            <a:ln w="9360">
              <a:solidFill>
                <a:srgbClr val="E3E6EA"/>
              </a:solidFill>
              <a:prstDash val="solid"/>
            </a:ln>
          </c:spPr>
        </c:majorGridlines>
        <c:title>
          <c:tx>
            <c:rich>
              <a:bodyPr/>
              <a:lstStyle/>
              <a:p>
                <a:pPr>
                  <a:defRPr sz="900" b="0">
                    <a:solidFill>
                      <a:srgbClr val="3A4250"/>
                    </a:solidFill>
                    <a:latin typeface="Calibri"/>
                  </a:defRPr>
                </a:pPr>
                <a:r>
                  <a:rPr lang="en-AU" sz="900" b="0">
                    <a:solidFill>
                      <a:srgbClr val="3A4250"/>
                    </a:solidFill>
                    <a:latin typeface="Calibri"/>
                  </a:rPr>
                  <a:t>Value of A$1 (gross of fees)</a:t>
                </a:r>
              </a:p>
            </c:rich>
          </c:tx>
          <c:overlay val="0"/>
        </c:title>
        <c:numFmt formatCode="0.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Annualised returns to March 2026</a:t>
            </a:r>
          </a:p>
        </c:rich>
      </c:tx>
      <c:overlay val="0"/>
    </c:title>
    <c:autoTitleDeleted val="0"/>
    <c:plotArea>
      <c:layout/>
      <c:barChart>
        <c:barDir val="col"/>
        <c:grouping val="clustered"/>
        <c:varyColors val="1"/>
        <c:ser>
          <c:idx val="0"/>
          <c:order val="0"/>
          <c:tx>
            <c:strRef>
              <c:f>'Report figures'!$O$99</c:f>
              <c:strCache>
                <c:ptCount val="1"/>
                <c:pt idx="0">
                  <c:v>Current fund</c:v>
                </c:pt>
              </c:strCache>
            </c:strRef>
          </c:tx>
          <c:spPr>
            <a:solidFill>
              <a:srgbClr val="C0702A"/>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figures'!$N$100:$N$103</c:f>
              <c:strCache>
                <c:ptCount val="4"/>
                <c:pt idx="0">
                  <c:v>5 years</c:v>
                </c:pt>
                <c:pt idx="1">
                  <c:v>10 years</c:v>
                </c:pt>
                <c:pt idx="2">
                  <c:v>15 years</c:v>
                </c:pt>
                <c:pt idx="3">
                  <c:v>20 years</c:v>
                </c:pt>
              </c:strCache>
            </c:strRef>
          </c:cat>
          <c:val>
            <c:numRef>
              <c:f>'Report figures'!$O$100:$O$103</c:f>
              <c:numCache>
                <c:formatCode>0.00%</c:formatCode>
                <c:ptCount val="4"/>
                <c:pt idx="0">
                  <c:v>7.0238277460718646E-2</c:v>
                </c:pt>
                <c:pt idx="1">
                  <c:v>7.8948233532036394E-2</c:v>
                </c:pt>
                <c:pt idx="2">
                  <c:v>8.3517285924374463E-2</c:v>
                </c:pt>
                <c:pt idx="3">
                  <c:v>6.6782823780299871E-2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5685-F44E-A72E-6D34D2D77214}"/>
            </c:ext>
          </c:extLst>
        </c:ser>
        <c:ser>
          <c:idx val="1"/>
          <c:order val="1"/>
          <c:tx>
            <c:strRef>
              <c:f>'Report figures'!$P$99</c:f>
              <c:strCache>
                <c:ptCount val="1"/>
                <c:pt idx="0">
                  <c:v>Benchmark</c:v>
                </c:pt>
              </c:strCache>
            </c:strRef>
          </c:tx>
          <c:spPr>
            <a:solidFill>
              <a:srgbClr val="2E9E86"/>
            </a:solidFill>
            <a:ln>
              <a:noFill/>
              <a:prstDash val="solid"/>
            </a:ln>
          </c:spPr>
          <c:invertIfNegative val="1"/>
          <c:cat>
            <c:strRef>
              <c:f>'Report figures'!$N$100:$N$103</c:f>
              <c:strCache>
                <c:ptCount val="4"/>
                <c:pt idx="0">
                  <c:v>5 years</c:v>
                </c:pt>
                <c:pt idx="1">
                  <c:v>10 years</c:v>
                </c:pt>
                <c:pt idx="2">
                  <c:v>15 years</c:v>
                </c:pt>
                <c:pt idx="3">
                  <c:v>20 years</c:v>
                </c:pt>
              </c:strCache>
            </c:strRef>
          </c:cat>
          <c:val>
            <c:numRef>
              <c:f>'Report figures'!$P$100:$P$103</c:f>
              <c:numCache>
                <c:formatCode>0.00%</c:formatCode>
                <c:ptCount val="4"/>
                <c:pt idx="0">
                  <c:v>7.5762595366314356E-2</c:v>
                </c:pt>
                <c:pt idx="1">
                  <c:v>8.2621317917636494E-2</c:v>
                </c:pt>
                <c:pt idx="2">
                  <c:v>8.662187276334854E-2</c:v>
                </c:pt>
                <c:pt idx="3">
                  <c:v>6.9169198887697236E-2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5685-F44E-A72E-6D34D2D77214}"/>
            </c:ext>
          </c:extLst>
        </c:ser>
        <c:ser>
          <c:idx val="2"/>
          <c:order val="2"/>
          <c:tx>
            <c:strRef>
              <c:f>'Report figures'!$Q$99</c:f>
              <c:strCache>
                <c:ptCount val="1"/>
                <c:pt idx="0">
                  <c:v>Recommended</c:v>
                </c:pt>
              </c:strCache>
            </c:strRef>
          </c:tx>
          <c:spPr>
            <a:solidFill>
              <a:srgbClr val="2E5AAC"/>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figures'!$N$100:$N$103</c:f>
              <c:strCache>
                <c:ptCount val="4"/>
                <c:pt idx="0">
                  <c:v>5 years</c:v>
                </c:pt>
                <c:pt idx="1">
                  <c:v>10 years</c:v>
                </c:pt>
                <c:pt idx="2">
                  <c:v>15 years</c:v>
                </c:pt>
                <c:pt idx="3">
                  <c:v>20 years</c:v>
                </c:pt>
              </c:strCache>
            </c:strRef>
          </c:cat>
          <c:val>
            <c:numRef>
              <c:f>'Report figures'!$Q$100:$Q$103</c:f>
              <c:numCache>
                <c:formatCode>0.00%</c:formatCode>
                <c:ptCount val="4"/>
                <c:pt idx="0">
                  <c:v>8.4806041869762261E-2</c:v>
                </c:pt>
                <c:pt idx="1">
                  <c:v>9.0714535876666114E-2</c:v>
                </c:pt>
                <c:pt idx="2">
                  <c:v>9.2163514233834176E-2</c:v>
                </c:pt>
                <c:pt idx="3">
                  <c:v>7.0415782824255757E-2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5685-F44E-A72E-6D34D2D77214}"/>
            </c:ext>
          </c:extLst>
        </c:ser>
        <c:dLbls>
          <c:showLegendKey val="0"/>
          <c:showVal val="0"/>
          <c:showCatName val="0"/>
          <c:showSerName val="0"/>
          <c:showPercent val="0"/>
          <c:showBubbleSize val="0"/>
        </c:dLbls>
        <c:gapWidth val="60"/>
        <c:axId val="10"/>
        <c:axId val="100"/>
      </c:barChart>
      <c:lineChart>
        <c:grouping val="standard"/>
        <c:varyColors val="1"/>
        <c:ser>
          <c:idx val="3"/>
          <c:order val="3"/>
          <c:tx>
            <c:strRef>
              <c:f>'Report figures'!$R$99</c:f>
              <c:strCache>
                <c:ptCount val="1"/>
                <c:pt idx="0">
                  <c:v>Target: yield + 4%</c:v>
                </c:pt>
              </c:strCache>
            </c:strRef>
          </c:tx>
          <c:spPr>
            <a:ln>
              <a:noFill/>
              <a:prstDash val="solid"/>
            </a:ln>
          </c:spPr>
          <c:marker>
            <c:symbol val="dash"/>
            <c:size val="14"/>
            <c:spPr>
              <a:solidFill>
                <a:srgbClr val="1F2E5C"/>
              </a:solidFill>
              <a:ln>
                <a:solidFill>
                  <a:srgbClr val="1F2E5C"/>
                </a:solidFill>
                <a:prstDash val="solid"/>
              </a:ln>
            </c:spPr>
          </c:marker>
          <c:val>
            <c:numRef>
              <c:f>'Report figures'!$R$100:$R$103</c:f>
              <c:numCache>
                <c:formatCode>0.00%</c:formatCode>
                <c:ptCount val="4"/>
                <c:pt idx="0">
                  <c:v>4.7080000000000004E-2</c:v>
                </c:pt>
                <c:pt idx="1">
                  <c:v>6.1340000000000006E-2</c:v>
                </c:pt>
                <c:pt idx="2">
                  <c:v>9.2075000000000004E-2</c:v>
                </c:pt>
                <c:pt idx="3">
                  <c:v>9.2976000000000003E-2</c:v>
                </c:pt>
              </c:numCache>
            </c:numRef>
          </c:val>
          <c:smooth val="0"/>
          <c:extLst>
            <c:ext xmlns:c16="http://schemas.microsoft.com/office/drawing/2014/chart" uri="{C3380CC4-5D6E-409C-BE32-E72D297353CC}">
              <c16:uniqueId val="{00000003-5685-F44E-A72E-6D34D2D77214}"/>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l"/>
        <c:majorGridlines>
          <c:spPr>
            <a:ln w="9360">
              <a:solidFill>
                <a:srgbClr val="E3E6EA"/>
              </a:solidFill>
              <a:prstDash val="solid"/>
            </a:ln>
          </c:spPr>
        </c:majorGridlines>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Stress tests</a:t>
            </a:r>
          </a:p>
        </c:rich>
      </c:tx>
      <c:overlay val="0"/>
    </c:title>
    <c:autoTitleDeleted val="0"/>
    <c:plotArea>
      <c:layout/>
      <c:barChart>
        <c:barDir val="col"/>
        <c:grouping val="clustered"/>
        <c:varyColors val="1"/>
        <c:ser>
          <c:idx val="0"/>
          <c:order val="0"/>
          <c:tx>
            <c:strRef>
              <c:f>'Report figures'!$O$125</c:f>
              <c:strCache>
                <c:ptCount val="1"/>
                <c:pt idx="0">
                  <c:v>Current fund</c:v>
                </c:pt>
              </c:strCache>
            </c:strRef>
          </c:tx>
          <c:spPr>
            <a:solidFill>
              <a:srgbClr val="C0702A"/>
            </a:solidFill>
            <a:ln>
              <a:noFill/>
              <a:prstDash val="solid"/>
            </a:ln>
          </c:spPr>
          <c:invertIfNegative val="1"/>
          <c:cat>
            <c:strRef>
              <c:f>'Report figures'!$N$126:$N$129</c:f>
              <c:strCache>
                <c:ptCount val="4"/>
                <c:pt idx="0">
                  <c:v>GFC 2007-09</c:v>
                </c:pt>
                <c:pt idx="1">
                  <c:v>COVID 2020</c:v>
                </c:pt>
                <c:pt idx="2">
                  <c:v>Inflation 2022</c:v>
                </c:pt>
                <c:pt idx="3">
                  <c:v>US$150 oil</c:v>
                </c:pt>
              </c:strCache>
            </c:strRef>
          </c:cat>
          <c:val>
            <c:numRef>
              <c:f>'Report figures'!$O$126:$O$129</c:f>
              <c:numCache>
                <c:formatCode>0.0%</c:formatCode>
                <c:ptCount val="4"/>
                <c:pt idx="0">
                  <c:v>-0.24167170700493548</c:v>
                </c:pt>
                <c:pt idx="1">
                  <c:v>-0.12092702523817271</c:v>
                </c:pt>
                <c:pt idx="2">
                  <c:v>-7.2754437481492379E-2</c:v>
                </c:pt>
                <c:pt idx="3">
                  <c:v>-8.2609308004662318E-2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9FC8-8B40-B399-7ABC05DFBBD2}"/>
            </c:ext>
          </c:extLst>
        </c:ser>
        <c:ser>
          <c:idx val="1"/>
          <c:order val="1"/>
          <c:tx>
            <c:strRef>
              <c:f>'Report figures'!$P$125</c:f>
              <c:strCache>
                <c:ptCount val="1"/>
                <c:pt idx="0">
                  <c:v>Benchmark</c:v>
                </c:pt>
              </c:strCache>
            </c:strRef>
          </c:tx>
          <c:spPr>
            <a:solidFill>
              <a:srgbClr val="2E9E86"/>
            </a:solidFill>
            <a:ln>
              <a:noFill/>
              <a:prstDash val="solid"/>
            </a:ln>
          </c:spPr>
          <c:invertIfNegative val="1"/>
          <c:cat>
            <c:strRef>
              <c:f>'Report figures'!$N$126:$N$129</c:f>
              <c:strCache>
                <c:ptCount val="4"/>
                <c:pt idx="0">
                  <c:v>GFC 2007-09</c:v>
                </c:pt>
                <c:pt idx="1">
                  <c:v>COVID 2020</c:v>
                </c:pt>
                <c:pt idx="2">
                  <c:v>Inflation 2022</c:v>
                </c:pt>
                <c:pt idx="3">
                  <c:v>US$150 oil</c:v>
                </c:pt>
              </c:strCache>
            </c:strRef>
          </c:cat>
          <c:val>
            <c:numRef>
              <c:f>'Report figures'!$P$126:$P$129</c:f>
              <c:numCache>
                <c:formatCode>0.0%</c:formatCode>
                <c:ptCount val="4"/>
                <c:pt idx="0">
                  <c:v>-0.19300088608551058</c:v>
                </c:pt>
                <c:pt idx="1">
                  <c:v>-9.1806484538445088E-2</c:v>
                </c:pt>
                <c:pt idx="2">
                  <c:v>-7.2610797933692253E-2</c:v>
                </c:pt>
                <c:pt idx="3">
                  <c:v>-7.3910247008008134E-2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9FC8-8B40-B399-7ABC05DFBBD2}"/>
            </c:ext>
          </c:extLst>
        </c:ser>
        <c:ser>
          <c:idx val="2"/>
          <c:order val="2"/>
          <c:tx>
            <c:strRef>
              <c:f>'Report figures'!$Q$125</c:f>
              <c:strCache>
                <c:ptCount val="1"/>
                <c:pt idx="0">
                  <c:v>Recommended</c:v>
                </c:pt>
              </c:strCache>
            </c:strRef>
          </c:tx>
          <c:spPr>
            <a:solidFill>
              <a:srgbClr val="2E5AAC"/>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figures'!$N$126:$N$129</c:f>
              <c:strCache>
                <c:ptCount val="4"/>
                <c:pt idx="0">
                  <c:v>GFC 2007-09</c:v>
                </c:pt>
                <c:pt idx="1">
                  <c:v>COVID 2020</c:v>
                </c:pt>
                <c:pt idx="2">
                  <c:v>Inflation 2022</c:v>
                </c:pt>
                <c:pt idx="3">
                  <c:v>US$150 oil</c:v>
                </c:pt>
              </c:strCache>
            </c:strRef>
          </c:cat>
          <c:val>
            <c:numRef>
              <c:f>'Report figures'!$Q$126:$Q$129</c:f>
              <c:numCache>
                <c:formatCode>0.0%</c:formatCode>
                <c:ptCount val="4"/>
                <c:pt idx="0">
                  <c:v>-0.24131526738452802</c:v>
                </c:pt>
                <c:pt idx="1">
                  <c:v>-0.11048429005790601</c:v>
                </c:pt>
                <c:pt idx="2">
                  <c:v>-7.2174037325547016E-2</c:v>
                </c:pt>
                <c:pt idx="3">
                  <c:v>-7.8202714049658631E-2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9FC8-8B40-B399-7ABC05DFBBD2}"/>
            </c:ext>
          </c:extLst>
        </c:ser>
        <c:dLbls>
          <c:showLegendKey val="0"/>
          <c:showVal val="0"/>
          <c:showCatName val="0"/>
          <c:showSerName val="0"/>
          <c:showPercent val="0"/>
          <c:showBubbleSize val="0"/>
        </c:dLbls>
        <c:gapWidth val="50"/>
        <c:axId val="10"/>
        <c:axId val="100"/>
      </c:barChart>
      <c:catAx>
        <c:axId val="10"/>
        <c:scaling>
          <c:orientation val="minMax"/>
        </c:scaling>
        <c:delete val="0"/>
        <c:axPos val="b"/>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l"/>
        <c:majorGridlines>
          <c:spPr>
            <a:ln w="9360">
              <a:solidFill>
                <a:srgbClr val="E3E6EA"/>
              </a:solidFill>
              <a:prstDash val="solid"/>
            </a:ln>
          </c:spPr>
        </c:majorGridlines>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Five-year outcomes (forecast-adjusted bootstrap)</a:t>
            </a:r>
          </a:p>
        </c:rich>
      </c:tx>
      <c:overlay val="0"/>
    </c:title>
    <c:autoTitleDeleted val="0"/>
    <c:plotArea>
      <c:layout/>
      <c:barChart>
        <c:barDir val="col"/>
        <c:grouping val="clustered"/>
        <c:varyColors val="1"/>
        <c:ser>
          <c:idx val="0"/>
          <c:order val="0"/>
          <c:tx>
            <c:strRef>
              <c:f>'Report figures'!$O$151</c:f>
              <c:strCache>
                <c:ptCount val="1"/>
                <c:pt idx="0">
                  <c:v>Current fund</c:v>
                </c:pt>
              </c:strCache>
            </c:strRef>
          </c:tx>
          <c:spPr>
            <a:solidFill>
              <a:srgbClr val="E3C3A2"/>
            </a:solidFill>
            <a:ln>
              <a:noFill/>
              <a:prstDash val="solid"/>
            </a:ln>
          </c:spPr>
          <c:invertIfNegative val="1"/>
          <c:cat>
            <c:strRef>
              <c:f>'Report figures'!$N$152:$N$166</c:f>
              <c:strCache>
                <c:ptCount val="15"/>
                <c:pt idx="0">
                  <c:v>-30% to -20%</c:v>
                </c:pt>
                <c:pt idx="1">
                  <c:v>-20% to -10%</c:v>
                </c:pt>
                <c:pt idx="2">
                  <c:v>-10% to 0%</c:v>
                </c:pt>
                <c:pt idx="3">
                  <c:v>0% to 10%</c:v>
                </c:pt>
                <c:pt idx="4">
                  <c:v>10% to 20%</c:v>
                </c:pt>
                <c:pt idx="5">
                  <c:v>20% to 30%</c:v>
                </c:pt>
                <c:pt idx="6">
                  <c:v>30% to 40%</c:v>
                </c:pt>
                <c:pt idx="7">
                  <c:v>40% to 50%</c:v>
                </c:pt>
                <c:pt idx="8">
                  <c:v>50% to 60%</c:v>
                </c:pt>
                <c:pt idx="9">
                  <c:v>60% to 70%</c:v>
                </c:pt>
                <c:pt idx="10">
                  <c:v>70% to 80%</c:v>
                </c:pt>
                <c:pt idx="11">
                  <c:v>80% to 90%</c:v>
                </c:pt>
                <c:pt idx="12">
                  <c:v>90% to 100%</c:v>
                </c:pt>
                <c:pt idx="13">
                  <c:v>100% to 110%</c:v>
                </c:pt>
                <c:pt idx="14">
                  <c:v>110% to 120%</c:v>
                </c:pt>
              </c:strCache>
            </c:strRef>
          </c:cat>
          <c:val>
            <c:numRef>
              <c:f>'Report figures'!$O$152:$O$166</c:f>
              <c:numCache>
                <c:formatCode>0</c:formatCode>
                <c:ptCount val="15"/>
                <c:pt idx="0">
                  <c:v>11</c:v>
                </c:pt>
                <c:pt idx="1">
                  <c:v>16</c:v>
                </c:pt>
                <c:pt idx="2">
                  <c:v>43</c:v>
                </c:pt>
                <c:pt idx="3">
                  <c:v>67</c:v>
                </c:pt>
                <c:pt idx="4">
                  <c:v>99</c:v>
                </c:pt>
                <c:pt idx="5">
                  <c:v>131</c:v>
                </c:pt>
                <c:pt idx="6">
                  <c:v>121</c:v>
                </c:pt>
                <c:pt idx="7">
                  <c:v>147</c:v>
                </c:pt>
                <c:pt idx="8">
                  <c:v>118</c:v>
                </c:pt>
                <c:pt idx="9">
                  <c:v>87</c:v>
                </c:pt>
                <c:pt idx="10">
                  <c:v>74</c:v>
                </c:pt>
                <c:pt idx="11">
                  <c:v>43</c:v>
                </c:pt>
                <c:pt idx="12">
                  <c:v>20</c:v>
                </c:pt>
                <c:pt idx="13">
                  <c:v>13</c:v>
                </c:pt>
                <c:pt idx="14">
                  <c:v>3</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86CA-EB4E-8033-A09CEF739793}"/>
            </c:ext>
          </c:extLst>
        </c:ser>
        <c:dLbls>
          <c:showLegendKey val="0"/>
          <c:showVal val="0"/>
          <c:showCatName val="0"/>
          <c:showSerName val="0"/>
          <c:showPercent val="0"/>
          <c:showBubbleSize val="0"/>
        </c:dLbls>
        <c:gapWidth val="15"/>
        <c:axId val="10"/>
        <c:axId val="100"/>
      </c:barChart>
      <c:lineChart>
        <c:grouping val="standard"/>
        <c:varyColors val="1"/>
        <c:ser>
          <c:idx val="1"/>
          <c:order val="1"/>
          <c:tx>
            <c:strRef>
              <c:f>'Report figures'!$P$151</c:f>
              <c:strCache>
                <c:ptCount val="1"/>
                <c:pt idx="0">
                  <c:v>Recommended</c:v>
                </c:pt>
              </c:strCache>
            </c:strRef>
          </c:tx>
          <c:spPr>
            <a:ln w="28000">
              <a:solidFill>
                <a:srgbClr val="2E5AAC"/>
              </a:solidFill>
              <a:prstDash val="solid"/>
            </a:ln>
          </c:spPr>
          <c:marker>
            <c:symbol val="none"/>
          </c:marker>
          <c:val>
            <c:numRef>
              <c:f>'Report figures'!$P$152:$P$166</c:f>
              <c:numCache>
                <c:formatCode>0</c:formatCode>
                <c:ptCount val="15"/>
                <c:pt idx="0">
                  <c:v>13</c:v>
                </c:pt>
                <c:pt idx="1">
                  <c:v>15</c:v>
                </c:pt>
                <c:pt idx="2">
                  <c:v>42</c:v>
                </c:pt>
                <c:pt idx="3">
                  <c:v>65</c:v>
                </c:pt>
                <c:pt idx="4">
                  <c:v>107</c:v>
                </c:pt>
                <c:pt idx="5">
                  <c:v>127</c:v>
                </c:pt>
                <c:pt idx="6">
                  <c:v>122</c:v>
                </c:pt>
                <c:pt idx="7">
                  <c:v>132</c:v>
                </c:pt>
                <c:pt idx="8">
                  <c:v>126</c:v>
                </c:pt>
                <c:pt idx="9">
                  <c:v>83</c:v>
                </c:pt>
                <c:pt idx="10">
                  <c:v>73</c:v>
                </c:pt>
                <c:pt idx="11">
                  <c:v>44</c:v>
                </c:pt>
                <c:pt idx="12">
                  <c:v>26</c:v>
                </c:pt>
                <c:pt idx="13">
                  <c:v>9</c:v>
                </c:pt>
                <c:pt idx="14">
                  <c:v>7</c:v>
                </c:pt>
              </c:numCache>
            </c:numRef>
          </c:val>
          <c:smooth val="1"/>
          <c:extLst>
            <c:ext xmlns:c16="http://schemas.microsoft.com/office/drawing/2014/chart" uri="{C3380CC4-5D6E-409C-BE32-E72D297353CC}">
              <c16:uniqueId val="{00000001-86CA-EB4E-8033-A09CEF739793}"/>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title>
          <c:tx>
            <c:rich>
              <a:bodyPr/>
              <a:lstStyle/>
              <a:p>
                <a:pPr>
                  <a:defRPr sz="900" b="0">
                    <a:solidFill>
                      <a:srgbClr val="3A4250"/>
                    </a:solidFill>
                    <a:latin typeface="Calibri"/>
                  </a:defRPr>
                </a:pPr>
                <a:r>
                  <a:rPr lang="en-AU" sz="900" b="0">
                    <a:solidFill>
                      <a:srgbClr val="3A4250"/>
                    </a:solidFill>
                    <a:latin typeface="Calibri"/>
                  </a:rPr>
                  <a:t>Cumulative 5-year return</a:t>
                </a:r>
              </a:p>
            </c:rich>
          </c:tx>
          <c:overlay val="0"/>
        </c:title>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l"/>
        <c:majorGridlines>
          <c:spPr>
            <a:ln w="9360">
              <a:solidFill>
                <a:srgbClr val="E3E6EA"/>
              </a:solidFill>
              <a:prstDash val="solid"/>
            </a:ln>
          </c:spPr>
        </c:majorGridlines>
        <c:title>
          <c:tx>
            <c:rich>
              <a:bodyPr/>
              <a:lstStyle/>
              <a:p>
                <a:pPr>
                  <a:defRPr sz="900" b="0">
                    <a:solidFill>
                      <a:srgbClr val="3A4250"/>
                    </a:solidFill>
                    <a:latin typeface="Calibri"/>
                  </a:defRPr>
                </a:pPr>
                <a:r>
                  <a:rPr lang="en-AU" sz="900" b="0">
                    <a:solidFill>
                      <a:srgbClr val="3A4250"/>
                    </a:solidFill>
                    <a:latin typeface="Calibri"/>
                  </a:rPr>
                  <a:t>Number of paths (of 1,000)</a:t>
                </a:r>
              </a:p>
            </c:rich>
          </c:tx>
          <c:overlay val="0"/>
        </c:title>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How far the return target is out of reach</a:t>
            </a:r>
          </a:p>
        </c:rich>
      </c:tx>
      <c:overlay val="0"/>
    </c:title>
    <c:autoTitleDeleted val="0"/>
    <c:plotArea>
      <c:layout/>
      <c:barChart>
        <c:barDir val="col"/>
        <c:grouping val="clustered"/>
        <c:varyColors val="1"/>
        <c:ser>
          <c:idx val="0"/>
          <c:order val="0"/>
          <c:tx>
            <c:strRef>
              <c:f>'Report figures'!$O$177</c:f>
              <c:strCache>
                <c:ptCount val="1"/>
                <c:pt idx="0">
                  <c:v>Expected return</c:v>
                </c:pt>
              </c:strCache>
            </c:strRef>
          </c:tx>
          <c:spPr>
            <a:solidFill>
              <a:srgbClr val="9AA3AD"/>
            </a:solidFill>
            <a:ln>
              <a:noFill/>
              <a:prstDash val="solid"/>
            </a:ln>
          </c:spPr>
          <c:invertIfNegative val="1"/>
          <c:dPt>
            <c:idx val="0"/>
            <c:invertIfNegative val="1"/>
            <c:bubble3D val="0"/>
            <c:spPr>
              <a:solidFill>
                <a:srgbClr val="2E5AAC"/>
              </a:solidFill>
              <a:ln>
                <a:noFill/>
                <a:prstDash val="solid"/>
              </a:ln>
            </c:spPr>
            <c:extLst>
              <c:ext xmlns:c16="http://schemas.microsoft.com/office/drawing/2014/chart" uri="{C3380CC4-5D6E-409C-BE32-E72D297353CC}">
                <c16:uniqueId val="{00000001-5B3B-BB4E-A760-1723D8028C9F}"/>
              </c:ext>
            </c:extLst>
          </c:dPt>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figures'!$N$178:$N$183</c:f>
              <c:strCache>
                <c:ptCount val="6"/>
                <c:pt idx="0">
                  <c:v>Base (recommended)</c:v>
                </c:pt>
                <c:pt idx="1">
                  <c:v>TE limit 1.5%</c:v>
                </c:pt>
                <c:pt idx="2">
                  <c:v>No TE limit</c:v>
                </c:pt>
                <c:pt idx="3">
                  <c:v>Equity max 72%</c:v>
                </c:pt>
                <c:pt idx="4">
                  <c:v>Alternatives optimised</c:v>
                </c:pt>
                <c:pt idx="5">
                  <c:v>Long-only only</c:v>
                </c:pt>
              </c:strCache>
            </c:strRef>
          </c:cat>
          <c:val>
            <c:numRef>
              <c:f>'Report figures'!$O$178:$O$183</c:f>
              <c:numCache>
                <c:formatCode>0.00%</c:formatCode>
                <c:ptCount val="6"/>
                <c:pt idx="0">
                  <c:v>7.1373051138514956E-2</c:v>
                </c:pt>
                <c:pt idx="1">
                  <c:v>7.2308153066702532E-2</c:v>
                </c:pt>
                <c:pt idx="2">
                  <c:v>7.2808538560980227E-2</c:v>
                </c:pt>
                <c:pt idx="3">
                  <c:v>7.1380892226549392E-2</c:v>
                </c:pt>
                <c:pt idx="4">
                  <c:v>7.1766692218464517E-2</c:v>
                </c:pt>
                <c:pt idx="5">
                  <c:v>8.1926451796201755E-2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5B3B-BB4E-A760-1723D8028C9F}"/>
            </c:ext>
          </c:extLst>
        </c:ser>
        <c:dLbls>
          <c:showLegendKey val="0"/>
          <c:showVal val="0"/>
          <c:showCatName val="0"/>
          <c:showSerName val="0"/>
          <c:showPercent val="0"/>
          <c:showBubbleSize val="0"/>
        </c:dLbls>
        <c:gapWidth val="60"/>
        <c:axId val="10"/>
        <c:axId val="100"/>
      </c:barChart>
      <c:lineChart>
        <c:grouping val="standard"/>
        <c:varyColors val="1"/>
        <c:ser>
          <c:idx val="1"/>
          <c:order val="1"/>
          <c:tx>
            <c:strRef>
              <c:f>'Report figures'!$P$177</c:f>
              <c:strCache>
                <c:ptCount val="1"/>
                <c:pt idx="0">
                  <c:v>Return target</c:v>
                </c:pt>
              </c:strCache>
            </c:strRef>
          </c:tx>
          <c:spPr>
            <a:ln w="28000">
              <a:solidFill>
                <a:srgbClr val="C0702A"/>
              </a:solidFill>
              <a:prstDash val="dash"/>
            </a:ln>
          </c:spPr>
          <c:marker>
            <c:symbol val="none"/>
          </c:marker>
          <c:val>
            <c:numRef>
              <c:f>'Report figures'!$P$178:$P$183</c:f>
              <c:numCache>
                <c:formatCode>0.00%</c:formatCode>
                <c:ptCount val="6"/>
                <c:pt idx="0">
                  <c:v>8.9880000000000002E-2</c:v>
                </c:pt>
                <c:pt idx="1">
                  <c:v>8.9880000000000002E-2</c:v>
                </c:pt>
                <c:pt idx="2">
                  <c:v>8.9880000000000002E-2</c:v>
                </c:pt>
                <c:pt idx="3">
                  <c:v>8.9880000000000002E-2</c:v>
                </c:pt>
                <c:pt idx="4">
                  <c:v>8.9880000000000002E-2</c:v>
                </c:pt>
                <c:pt idx="5">
                  <c:v>8.9880000000000002E-2</c:v>
                </c:pt>
              </c:numCache>
            </c:numRef>
          </c:val>
          <c:smooth val="0"/>
          <c:extLst>
            <c:ext xmlns:c16="http://schemas.microsoft.com/office/drawing/2014/chart" uri="{C3380CC4-5D6E-409C-BE32-E72D297353CC}">
              <c16:uniqueId val="{00000003-5B3B-BB4E-A760-1723D8028C9F}"/>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max val="9.5000000000000001E-2"/>
          <c:min val="0.06"/>
        </c:scaling>
        <c:delete val="0"/>
        <c:axPos val="l"/>
        <c:majorGridlines>
          <c:spPr>
            <a:ln w="9360">
              <a:solidFill>
                <a:srgbClr val="E3E6EA"/>
              </a:solidFill>
              <a:prstDash val="solid"/>
            </a:ln>
          </c:spPr>
        </c:majorGridlines>
        <c:numFmt formatCode="0.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sz="1300" b="1">
                <a:solidFill>
                  <a:srgbClr val="1F2E5C"/>
                </a:solidFill>
                <a:latin typeface="Calibri"/>
              </a:rPr>
              <a:t>US$150 oil: estimates by method</a:t>
            </a:r>
          </a:p>
        </c:rich>
      </c:tx>
      <c:overlay val="0"/>
    </c:title>
    <c:autoTitleDeleted val="0"/>
    <c:plotArea>
      <c:layout/>
      <c:barChart>
        <c:barDir val="bar"/>
        <c:grouping val="clustered"/>
        <c:varyColors val="1"/>
        <c:ser>
          <c:idx val="0"/>
          <c:order val="0"/>
          <c:tx>
            <c:strRef>
              <c:f>'Report figures'!$O$203</c:f>
              <c:strCache>
                <c:ptCount val="1"/>
                <c:pt idx="0">
                  <c:v>Current fund</c:v>
                </c:pt>
              </c:strCache>
            </c:strRef>
          </c:tx>
          <c:spPr>
            <a:solidFill>
              <a:srgbClr val="C0702A"/>
            </a:solidFill>
            <a:ln>
              <a:noFill/>
              <a:prstDash val="solid"/>
            </a:ln>
          </c:spPr>
          <c:invertIfNegative val="1"/>
          <c:cat>
            <c:strRef>
              <c:f>'Report figures'!$N$204:$N$207</c:f>
              <c:strCache>
                <c:ptCount val="4"/>
                <c:pt idx="0">
                  <c:v>1990 Gulf War, scaled</c:v>
                </c:pt>
                <c:pt idx="1">
                  <c:v>2022 Ukraine, scaled</c:v>
                </c:pt>
                <c:pt idx="2">
                  <c:v>Central case</c:v>
                </c:pt>
                <c:pt idx="3">
                  <c:v>Central case + commodity tilt</c:v>
                </c:pt>
              </c:strCache>
            </c:strRef>
          </c:cat>
          <c:val>
            <c:numRef>
              <c:f>'Report figures'!$O$204:$O$207</c:f>
              <c:numCache>
                <c:formatCode>0.0%</c:formatCode>
                <c:ptCount val="4"/>
                <c:pt idx="0">
                  <c:v>-6.1563913719371872E-2</c:v>
                </c:pt>
                <c:pt idx="1">
                  <c:v>-0.10365470228995276</c:v>
                </c:pt>
                <c:pt idx="2">
                  <c:v>-8.2609308004662318E-2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B954-2B4C-9FAB-16E2003FEEA5}"/>
            </c:ext>
          </c:extLst>
        </c:ser>
        <c:ser>
          <c:idx val="1"/>
          <c:order val="1"/>
          <c:tx>
            <c:strRef>
              <c:f>'Report figures'!$P$203</c:f>
              <c:strCache>
                <c:ptCount val="1"/>
                <c:pt idx="0">
                  <c:v>Benchmark</c:v>
                </c:pt>
              </c:strCache>
            </c:strRef>
          </c:tx>
          <c:spPr>
            <a:solidFill>
              <a:srgbClr val="2E9E86"/>
            </a:solidFill>
            <a:ln>
              <a:noFill/>
              <a:prstDash val="solid"/>
            </a:ln>
          </c:spPr>
          <c:invertIfNegative val="1"/>
          <c:cat>
            <c:strRef>
              <c:f>'Report figures'!$N$204:$N$207</c:f>
              <c:strCache>
                <c:ptCount val="4"/>
                <c:pt idx="0">
                  <c:v>1990 Gulf War, scaled</c:v>
                </c:pt>
                <c:pt idx="1">
                  <c:v>2022 Ukraine, scaled</c:v>
                </c:pt>
                <c:pt idx="2">
                  <c:v>Central case</c:v>
                </c:pt>
                <c:pt idx="3">
                  <c:v>Central case + commodity tilt</c:v>
                </c:pt>
              </c:strCache>
            </c:strRef>
          </c:cat>
          <c:val>
            <c:numRef>
              <c:f>'Report figures'!$P$204:$P$207</c:f>
              <c:numCache>
                <c:formatCode>0.0%</c:formatCode>
                <c:ptCount val="4"/>
                <c:pt idx="0">
                  <c:v>-5.1764015692218189E-2</c:v>
                </c:pt>
                <c:pt idx="1">
                  <c:v>-9.60564783237981E-2</c:v>
                </c:pt>
                <c:pt idx="2">
                  <c:v>-7.3910247008008134E-2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B954-2B4C-9FAB-16E2003FEEA5}"/>
            </c:ext>
          </c:extLst>
        </c:ser>
        <c:ser>
          <c:idx val="2"/>
          <c:order val="2"/>
          <c:tx>
            <c:strRef>
              <c:f>'Report figures'!$Q$203</c:f>
              <c:strCache>
                <c:ptCount val="1"/>
                <c:pt idx="0">
                  <c:v>Recommended</c:v>
                </c:pt>
              </c:strCache>
            </c:strRef>
          </c:tx>
          <c:spPr>
            <a:solidFill>
              <a:srgbClr val="2E5AAC"/>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figures'!$N$204:$N$207</c:f>
              <c:strCache>
                <c:ptCount val="4"/>
                <c:pt idx="0">
                  <c:v>1990 Gulf War, scaled</c:v>
                </c:pt>
                <c:pt idx="1">
                  <c:v>2022 Ukraine, scaled</c:v>
                </c:pt>
                <c:pt idx="2">
                  <c:v>Central case</c:v>
                </c:pt>
                <c:pt idx="3">
                  <c:v>Central case + commodity tilt</c:v>
                </c:pt>
              </c:strCache>
            </c:strRef>
          </c:cat>
          <c:val>
            <c:numRef>
              <c:f>'Report figures'!$Q$204:$Q$207</c:f>
              <c:numCache>
                <c:formatCode>0.0%</c:formatCode>
                <c:ptCount val="4"/>
                <c:pt idx="0">
                  <c:v>-5.9562692217399758E-2</c:v>
                </c:pt>
                <c:pt idx="1">
                  <c:v>-9.6842735881917455E-2</c:v>
                </c:pt>
                <c:pt idx="2">
                  <c:v>-7.8202714049658631E-2</c:v>
                </c:pt>
                <c:pt idx="3">
                  <c:v>-6.9801346163105904E-2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B954-2B4C-9FAB-16E2003FEEA5}"/>
            </c:ext>
          </c:extLst>
        </c:ser>
        <c:dLbls>
          <c:showLegendKey val="0"/>
          <c:showVal val="0"/>
          <c:showCatName val="0"/>
          <c:showSerName val="0"/>
          <c:showPercent val="0"/>
          <c:showBubbleSize val="0"/>
        </c:dLbls>
        <c:gapWidth val="40"/>
        <c:axId val="10"/>
        <c:axId val="100"/>
      </c:barChart>
      <c:catAx>
        <c:axId val="10"/>
        <c:scaling>
          <c:orientation val="maxMin"/>
        </c:scaling>
        <c:delete val="0"/>
        <c:axPos val="l"/>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t"/>
        <c:majorGridlines>
          <c:spPr>
            <a:ln w="9360">
              <a:solidFill>
                <a:srgbClr val="E3E6EA"/>
              </a:solidFill>
              <a:prstDash val="solid"/>
            </a:ln>
          </c:spPr>
        </c:majorGridlines>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sz="1300" b="1">
                <a:solidFill>
                  <a:srgbClr val="1F2E5C"/>
                </a:solidFill>
                <a:latin typeface="Calibri"/>
              </a:rPr>
              <a:t>Oil beta of equity returns (log return on log oil change)</a:t>
            </a:r>
          </a:p>
        </c:rich>
      </c:tx>
      <c:overlay val="0"/>
    </c:title>
    <c:autoTitleDeleted val="0"/>
    <c:plotArea>
      <c:layout/>
      <c:barChart>
        <c:barDir val="col"/>
        <c:grouping val="clustered"/>
        <c:varyColors val="1"/>
        <c:ser>
          <c:idx val="0"/>
          <c:order val="0"/>
          <c:tx>
            <c:strRef>
              <c:f>'Report figures'!$O$229</c:f>
              <c:strCache>
                <c:ptCount val="1"/>
                <c:pt idx="0">
                  <c:v>US equities</c:v>
                </c:pt>
              </c:strCache>
            </c:strRef>
          </c:tx>
          <c:spPr>
            <a:solidFill>
              <a:srgbClr val="9AA3AD"/>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figures'!$N$230:$N$232</c:f>
              <c:strCache>
                <c:ptCount val="3"/>
                <c:pt idx="0">
                  <c:v>1 month</c:v>
                </c:pt>
                <c:pt idx="1">
                  <c:v>12 months</c:v>
                </c:pt>
                <c:pt idx="2">
                  <c:v>60 months</c:v>
                </c:pt>
              </c:strCache>
            </c:strRef>
          </c:cat>
          <c:val>
            <c:numRef>
              <c:f>'Report figures'!$O$230:$O$232</c:f>
              <c:numCache>
                <c:formatCode>0.000</c:formatCode>
                <c:ptCount val="3"/>
                <c:pt idx="0">
                  <c:v>3.3291576486848377E-2</c:v>
                </c:pt>
                <c:pt idx="1">
                  <c:v>2.030193864590087E-2</c:v>
                </c:pt>
                <c:pt idx="2">
                  <c:v>-0.22998126837037369</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AA07-274D-B4D0-E65938B12D52}"/>
            </c:ext>
          </c:extLst>
        </c:ser>
        <c:ser>
          <c:idx val="1"/>
          <c:order val="1"/>
          <c:tx>
            <c:strRef>
              <c:f>'Report figures'!$P$229</c:f>
              <c:strCache>
                <c:ptCount val="1"/>
                <c:pt idx="0">
                  <c:v>Australian equities</c:v>
                </c:pt>
              </c:strCache>
            </c:strRef>
          </c:tx>
          <c:spPr>
            <a:solidFill>
              <a:srgbClr val="2E5AAC"/>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figures'!$N$230:$N$232</c:f>
              <c:strCache>
                <c:ptCount val="3"/>
                <c:pt idx="0">
                  <c:v>1 month</c:v>
                </c:pt>
                <c:pt idx="1">
                  <c:v>12 months</c:v>
                </c:pt>
                <c:pt idx="2">
                  <c:v>60 months</c:v>
                </c:pt>
              </c:strCache>
            </c:strRef>
          </c:cat>
          <c:val>
            <c:numRef>
              <c:f>'Report figures'!$P$230:$P$232</c:f>
              <c:numCache>
                <c:formatCode>0.000</c:formatCode>
                <c:ptCount val="3"/>
                <c:pt idx="0">
                  <c:v>6.7087054081970979E-2</c:v>
                </c:pt>
                <c:pt idx="1">
                  <c:v>0.10082179247598959</c:v>
                </c:pt>
                <c:pt idx="2">
                  <c:v>8.7571807846546904E-2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AA07-274D-B4D0-E65938B12D52}"/>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l"/>
        <c:majorGridlines>
          <c:spPr>
            <a:ln w="9360">
              <a:solidFill>
                <a:srgbClr val="E3E6EA"/>
              </a:solidFill>
              <a:prstDash val="solid"/>
            </a:ln>
          </c:spPr>
        </c:majorGridlines>
        <c:numFmt formatCode="0.0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sz="1300" b="1">
                <a:solidFill>
                  <a:srgbClr val="1F2E5C"/>
                </a:solidFill>
                <a:latin typeface="Calibri"/>
              </a:rPr>
              <a:t>Rolling 5-year return against the target</a:t>
            </a:r>
          </a:p>
        </c:rich>
      </c:tx>
      <c:overlay val="0"/>
    </c:title>
    <c:autoTitleDeleted val="0"/>
    <c:plotArea>
      <c:layout/>
      <c:lineChart>
        <c:grouping val="standard"/>
        <c:varyColors val="1"/>
        <c:ser>
          <c:idx val="0"/>
          <c:order val="0"/>
          <c:tx>
            <c:strRef>
              <c:f>'Report figures'!$AC$255</c:f>
              <c:strCache>
                <c:ptCount val="1"/>
                <c:pt idx="0">
                  <c:v>Current fund</c:v>
                </c:pt>
              </c:strCache>
            </c:strRef>
          </c:tx>
          <c:spPr>
            <a:ln w="22000">
              <a:solidFill>
                <a:srgbClr val="C0702A"/>
              </a:solidFill>
              <a:prstDash val="solid"/>
            </a:ln>
          </c:spPr>
          <c:marker>
            <c:symbol val="none"/>
          </c:marker>
          <c:cat>
            <c:numRef>
              <c:f>'Report figures'!$AB$256:$AB$316</c:f>
              <c:numCache>
                <c:formatCode>mmm\-yy</c:formatCode>
                <c:ptCount val="61"/>
                <c:pt idx="0">
                  <c:v>40633</c:v>
                </c:pt>
                <c:pt idx="1">
                  <c:v>40724</c:v>
                </c:pt>
                <c:pt idx="2">
                  <c:v>40816</c:v>
                </c:pt>
                <c:pt idx="3">
                  <c:v>40907</c:v>
                </c:pt>
                <c:pt idx="4">
                  <c:v>40998</c:v>
                </c:pt>
                <c:pt idx="5">
                  <c:v>41089</c:v>
                </c:pt>
                <c:pt idx="6">
                  <c:v>41180</c:v>
                </c:pt>
                <c:pt idx="7">
                  <c:v>41274</c:v>
                </c:pt>
                <c:pt idx="8">
                  <c:v>41362</c:v>
                </c:pt>
                <c:pt idx="9">
                  <c:v>41453</c:v>
                </c:pt>
                <c:pt idx="10">
                  <c:v>41547</c:v>
                </c:pt>
                <c:pt idx="11">
                  <c:v>41639</c:v>
                </c:pt>
                <c:pt idx="12">
                  <c:v>41729</c:v>
                </c:pt>
                <c:pt idx="13">
                  <c:v>41820</c:v>
                </c:pt>
                <c:pt idx="14">
                  <c:v>41912</c:v>
                </c:pt>
                <c:pt idx="15">
                  <c:v>42004</c:v>
                </c:pt>
                <c:pt idx="16">
                  <c:v>42094</c:v>
                </c:pt>
                <c:pt idx="17">
                  <c:v>42185</c:v>
                </c:pt>
                <c:pt idx="18">
                  <c:v>42277</c:v>
                </c:pt>
                <c:pt idx="19">
                  <c:v>42369</c:v>
                </c:pt>
                <c:pt idx="20">
                  <c:v>42460</c:v>
                </c:pt>
                <c:pt idx="21">
                  <c:v>42551</c:v>
                </c:pt>
                <c:pt idx="22">
                  <c:v>42643</c:v>
                </c:pt>
                <c:pt idx="23">
                  <c:v>42734</c:v>
                </c:pt>
                <c:pt idx="24">
                  <c:v>42825</c:v>
                </c:pt>
                <c:pt idx="25">
                  <c:v>42916</c:v>
                </c:pt>
                <c:pt idx="26">
                  <c:v>43007</c:v>
                </c:pt>
                <c:pt idx="27">
                  <c:v>43098</c:v>
                </c:pt>
                <c:pt idx="28">
                  <c:v>43189</c:v>
                </c:pt>
                <c:pt idx="29">
                  <c:v>43280</c:v>
                </c:pt>
                <c:pt idx="30">
                  <c:v>43371</c:v>
                </c:pt>
                <c:pt idx="31">
                  <c:v>43465</c:v>
                </c:pt>
                <c:pt idx="32">
                  <c:v>43553</c:v>
                </c:pt>
                <c:pt idx="33">
                  <c:v>43644</c:v>
                </c:pt>
                <c:pt idx="34">
                  <c:v>43738</c:v>
                </c:pt>
                <c:pt idx="35">
                  <c:v>43830</c:v>
                </c:pt>
                <c:pt idx="36">
                  <c:v>43921</c:v>
                </c:pt>
                <c:pt idx="37">
                  <c:v>44012</c:v>
                </c:pt>
                <c:pt idx="38">
                  <c:v>44104</c:v>
                </c:pt>
                <c:pt idx="39">
                  <c:v>44196</c:v>
                </c:pt>
                <c:pt idx="40">
                  <c:v>44286</c:v>
                </c:pt>
                <c:pt idx="41">
                  <c:v>44377</c:v>
                </c:pt>
                <c:pt idx="42">
                  <c:v>44469</c:v>
                </c:pt>
                <c:pt idx="43">
                  <c:v>44561</c:v>
                </c:pt>
                <c:pt idx="44">
                  <c:v>44651</c:v>
                </c:pt>
                <c:pt idx="45">
                  <c:v>44742</c:v>
                </c:pt>
                <c:pt idx="46">
                  <c:v>44834</c:v>
                </c:pt>
                <c:pt idx="47">
                  <c:v>44925</c:v>
                </c:pt>
                <c:pt idx="48">
                  <c:v>45016</c:v>
                </c:pt>
                <c:pt idx="49">
                  <c:v>45107</c:v>
                </c:pt>
                <c:pt idx="50">
                  <c:v>45198</c:v>
                </c:pt>
                <c:pt idx="51">
                  <c:v>45289</c:v>
                </c:pt>
                <c:pt idx="52">
                  <c:v>45380</c:v>
                </c:pt>
                <c:pt idx="53">
                  <c:v>45471</c:v>
                </c:pt>
                <c:pt idx="54">
                  <c:v>45565</c:v>
                </c:pt>
                <c:pt idx="55">
                  <c:v>45657</c:v>
                </c:pt>
                <c:pt idx="56">
                  <c:v>45747</c:v>
                </c:pt>
                <c:pt idx="57">
                  <c:v>45838</c:v>
                </c:pt>
                <c:pt idx="58">
                  <c:v>45930</c:v>
                </c:pt>
                <c:pt idx="59">
                  <c:v>46022</c:v>
                </c:pt>
                <c:pt idx="60">
                  <c:v>46112</c:v>
                </c:pt>
              </c:numCache>
            </c:numRef>
          </c:cat>
          <c:val>
            <c:numRef>
              <c:f>'Report figures'!$AC$256:$AC$316</c:f>
              <c:numCache>
                <c:formatCode>0.00%</c:formatCode>
                <c:ptCount val="61"/>
                <c:pt idx="0">
                  <c:v>1.8114271752995181E-2</c:v>
                </c:pt>
                <c:pt idx="1">
                  <c:v>1.7742215628443914E-2</c:v>
                </c:pt>
                <c:pt idx="2">
                  <c:v>-1.7133204260566526E-4</c:v>
                </c:pt>
                <c:pt idx="3">
                  <c:v>-6.8260341798290769E-3</c:v>
                </c:pt>
                <c:pt idx="4">
                  <c:v>-2.4285309561700164E-4</c:v>
                </c:pt>
                <c:pt idx="5">
                  <c:v>-6.2843340276597104E-3</c:v>
                </c:pt>
                <c:pt idx="6">
                  <c:v>1.5877478150949642E-4</c:v>
                </c:pt>
                <c:pt idx="7">
                  <c:v>1.2004477733330132E-2</c:v>
                </c:pt>
                <c:pt idx="8">
                  <c:v>4.3665536642239378E-2</c:v>
                </c:pt>
                <c:pt idx="9">
                  <c:v>5.545941129034615E-2</c:v>
                </c:pt>
                <c:pt idx="10">
                  <c:v>6.5863088733740804E-2</c:v>
                </c:pt>
                <c:pt idx="11">
                  <c:v>0.10141614102078655</c:v>
                </c:pt>
                <c:pt idx="12">
                  <c:v>0.1149321962104759</c:v>
                </c:pt>
                <c:pt idx="13">
                  <c:v>0.10706503746936424</c:v>
                </c:pt>
                <c:pt idx="14">
                  <c:v>8.7493594566552035E-2</c:v>
                </c:pt>
                <c:pt idx="15">
                  <c:v>9.4610222667861787E-2</c:v>
                </c:pt>
                <c:pt idx="16">
                  <c:v>0.10840520087598837</c:v>
                </c:pt>
                <c:pt idx="17">
                  <c:v>0.10819258073006832</c:v>
                </c:pt>
                <c:pt idx="18">
                  <c:v>0.10053500273119576</c:v>
                </c:pt>
                <c:pt idx="19">
                  <c:v>0.10215514921867719</c:v>
                </c:pt>
                <c:pt idx="20">
                  <c:v>9.2713518729043987E-2</c:v>
                </c:pt>
                <c:pt idx="21">
                  <c:v>0.10603914952928783</c:v>
                </c:pt>
                <c:pt idx="22">
                  <c:v>0.12313408742454346</c:v>
                </c:pt>
                <c:pt idx="23">
                  <c:v>0.12661271698621945</c:v>
                </c:pt>
                <c:pt idx="24">
                  <c:v>0.11522478064253128</c:v>
                </c:pt>
                <c:pt idx="25">
                  <c:v>0.11877639481204039</c:v>
                </c:pt>
                <c:pt idx="26">
                  <c:v>0.10979477155771566</c:v>
                </c:pt>
                <c:pt idx="27">
                  <c:v>0.1119542256026127</c:v>
                </c:pt>
                <c:pt idx="28">
                  <c:v>9.4746843867708153E-2</c:v>
                </c:pt>
                <c:pt idx="29">
                  <c:v>0.10131274633564491</c:v>
                </c:pt>
                <c:pt idx="30">
                  <c:v>9.5985407662285915E-2</c:v>
                </c:pt>
                <c:pt idx="31">
                  <c:v>7.3805863909190306E-2</c:v>
                </c:pt>
                <c:pt idx="32">
                  <c:v>8.9644891467909327E-2</c:v>
                </c:pt>
                <c:pt idx="33">
                  <c:v>9.6122868218283752E-2</c:v>
                </c:pt>
                <c:pt idx="34">
                  <c:v>9.8881587610582411E-2</c:v>
                </c:pt>
                <c:pt idx="35">
                  <c:v>8.6810822280062094E-2</c:v>
                </c:pt>
                <c:pt idx="36">
                  <c:v>4.1870122755690797E-2</c:v>
                </c:pt>
                <c:pt idx="37">
                  <c:v>6.6999485426270988E-2</c:v>
                </c:pt>
                <c:pt idx="38">
                  <c:v>7.0070730425939587E-2</c:v>
                </c:pt>
                <c:pt idx="39">
                  <c:v>7.7335588953850953E-2</c:v>
                </c:pt>
                <c:pt idx="40">
                  <c:v>8.7729074130998175E-2</c:v>
                </c:pt>
                <c:pt idx="41">
                  <c:v>9.3389571485528178E-2</c:v>
                </c:pt>
                <c:pt idx="42">
                  <c:v>9.2955176778384274E-2</c:v>
                </c:pt>
                <c:pt idx="43">
                  <c:v>9.2543721109386246E-2</c:v>
                </c:pt>
                <c:pt idx="44">
                  <c:v>8.2660843151380892E-2</c:v>
                </c:pt>
                <c:pt idx="45">
                  <c:v>6.392170510471118E-2</c:v>
                </c:pt>
                <c:pt idx="46">
                  <c:v>6.2738456951444865E-2</c:v>
                </c:pt>
                <c:pt idx="47">
                  <c:v>6.0430890950906813E-2</c:v>
                </c:pt>
                <c:pt idx="48">
                  <c:v>7.3739743823662884E-2</c:v>
                </c:pt>
                <c:pt idx="49">
                  <c:v>6.4697627690645021E-2</c:v>
                </c:pt>
                <c:pt idx="50">
                  <c:v>5.7833629179004031E-2</c:v>
                </c:pt>
                <c:pt idx="51">
                  <c:v>8.2825030647579068E-2</c:v>
                </c:pt>
                <c:pt idx="52">
                  <c:v>7.6752408317629639E-2</c:v>
                </c:pt>
                <c:pt idx="53">
                  <c:v>6.4477923894174394E-2</c:v>
                </c:pt>
                <c:pt idx="54">
                  <c:v>6.7121973380403599E-2</c:v>
                </c:pt>
                <c:pt idx="55">
                  <c:v>7.2480785142654325E-2</c:v>
                </c:pt>
                <c:pt idx="56">
                  <c:v>9.6980257193159058E-2</c:v>
                </c:pt>
                <c:pt idx="57">
                  <c:v>9.0192041178368765E-2</c:v>
                </c:pt>
                <c:pt idx="58">
                  <c:v>9.6515798076960646E-2</c:v>
                </c:pt>
                <c:pt idx="59">
                  <c:v>8.2021456186899933E-2</c:v>
                </c:pt>
                <c:pt idx="60">
                  <c:v>7.0238277460718646E-2</c:v>
                </c:pt>
              </c:numCache>
            </c:numRef>
          </c:val>
          <c:smooth val="0"/>
          <c:extLst>
            <c:ext xmlns:c16="http://schemas.microsoft.com/office/drawing/2014/chart" uri="{C3380CC4-5D6E-409C-BE32-E72D297353CC}">
              <c16:uniqueId val="{00000000-B656-9642-A2DB-65E0F27779CC}"/>
            </c:ext>
          </c:extLst>
        </c:ser>
        <c:ser>
          <c:idx val="1"/>
          <c:order val="1"/>
          <c:tx>
            <c:strRef>
              <c:f>'Report figures'!$AD$255</c:f>
              <c:strCache>
                <c:ptCount val="1"/>
                <c:pt idx="0">
                  <c:v>Recommended</c:v>
                </c:pt>
              </c:strCache>
            </c:strRef>
          </c:tx>
          <c:spPr>
            <a:ln w="22000">
              <a:solidFill>
                <a:srgbClr val="2E5AAC"/>
              </a:solidFill>
              <a:prstDash val="solid"/>
            </a:ln>
          </c:spPr>
          <c:marker>
            <c:symbol val="none"/>
          </c:marker>
          <c:cat>
            <c:numRef>
              <c:f>'Report figures'!$AB$256:$AB$316</c:f>
              <c:numCache>
                <c:formatCode>mmm\-yy</c:formatCode>
                <c:ptCount val="61"/>
                <c:pt idx="0">
                  <c:v>40633</c:v>
                </c:pt>
                <c:pt idx="1">
                  <c:v>40724</c:v>
                </c:pt>
                <c:pt idx="2">
                  <c:v>40816</c:v>
                </c:pt>
                <c:pt idx="3">
                  <c:v>40907</c:v>
                </c:pt>
                <c:pt idx="4">
                  <c:v>40998</c:v>
                </c:pt>
                <c:pt idx="5">
                  <c:v>41089</c:v>
                </c:pt>
                <c:pt idx="6">
                  <c:v>41180</c:v>
                </c:pt>
                <c:pt idx="7">
                  <c:v>41274</c:v>
                </c:pt>
                <c:pt idx="8">
                  <c:v>41362</c:v>
                </c:pt>
                <c:pt idx="9">
                  <c:v>41453</c:v>
                </c:pt>
                <c:pt idx="10">
                  <c:v>41547</c:v>
                </c:pt>
                <c:pt idx="11">
                  <c:v>41639</c:v>
                </c:pt>
                <c:pt idx="12">
                  <c:v>41729</c:v>
                </c:pt>
                <c:pt idx="13">
                  <c:v>41820</c:v>
                </c:pt>
                <c:pt idx="14">
                  <c:v>41912</c:v>
                </c:pt>
                <c:pt idx="15">
                  <c:v>42004</c:v>
                </c:pt>
                <c:pt idx="16">
                  <c:v>42094</c:v>
                </c:pt>
                <c:pt idx="17">
                  <c:v>42185</c:v>
                </c:pt>
                <c:pt idx="18">
                  <c:v>42277</c:v>
                </c:pt>
                <c:pt idx="19">
                  <c:v>42369</c:v>
                </c:pt>
                <c:pt idx="20">
                  <c:v>42460</c:v>
                </c:pt>
                <c:pt idx="21">
                  <c:v>42551</c:v>
                </c:pt>
                <c:pt idx="22">
                  <c:v>42643</c:v>
                </c:pt>
                <c:pt idx="23">
                  <c:v>42734</c:v>
                </c:pt>
                <c:pt idx="24">
                  <c:v>42825</c:v>
                </c:pt>
                <c:pt idx="25">
                  <c:v>42916</c:v>
                </c:pt>
                <c:pt idx="26">
                  <c:v>43007</c:v>
                </c:pt>
                <c:pt idx="27">
                  <c:v>43098</c:v>
                </c:pt>
                <c:pt idx="28">
                  <c:v>43189</c:v>
                </c:pt>
                <c:pt idx="29">
                  <c:v>43280</c:v>
                </c:pt>
                <c:pt idx="30">
                  <c:v>43371</c:v>
                </c:pt>
                <c:pt idx="31">
                  <c:v>43465</c:v>
                </c:pt>
                <c:pt idx="32">
                  <c:v>43553</c:v>
                </c:pt>
                <c:pt idx="33">
                  <c:v>43644</c:v>
                </c:pt>
                <c:pt idx="34">
                  <c:v>43738</c:v>
                </c:pt>
                <c:pt idx="35">
                  <c:v>43830</c:v>
                </c:pt>
                <c:pt idx="36">
                  <c:v>43921</c:v>
                </c:pt>
                <c:pt idx="37">
                  <c:v>44012</c:v>
                </c:pt>
                <c:pt idx="38">
                  <c:v>44104</c:v>
                </c:pt>
                <c:pt idx="39">
                  <c:v>44196</c:v>
                </c:pt>
                <c:pt idx="40">
                  <c:v>44286</c:v>
                </c:pt>
                <c:pt idx="41">
                  <c:v>44377</c:v>
                </c:pt>
                <c:pt idx="42">
                  <c:v>44469</c:v>
                </c:pt>
                <c:pt idx="43">
                  <c:v>44561</c:v>
                </c:pt>
                <c:pt idx="44">
                  <c:v>44651</c:v>
                </c:pt>
                <c:pt idx="45">
                  <c:v>44742</c:v>
                </c:pt>
                <c:pt idx="46">
                  <c:v>44834</c:v>
                </c:pt>
                <c:pt idx="47">
                  <c:v>44925</c:v>
                </c:pt>
                <c:pt idx="48">
                  <c:v>45016</c:v>
                </c:pt>
                <c:pt idx="49">
                  <c:v>45107</c:v>
                </c:pt>
                <c:pt idx="50">
                  <c:v>45198</c:v>
                </c:pt>
                <c:pt idx="51">
                  <c:v>45289</c:v>
                </c:pt>
                <c:pt idx="52">
                  <c:v>45380</c:v>
                </c:pt>
                <c:pt idx="53">
                  <c:v>45471</c:v>
                </c:pt>
                <c:pt idx="54">
                  <c:v>45565</c:v>
                </c:pt>
                <c:pt idx="55">
                  <c:v>45657</c:v>
                </c:pt>
                <c:pt idx="56">
                  <c:v>45747</c:v>
                </c:pt>
                <c:pt idx="57">
                  <c:v>45838</c:v>
                </c:pt>
                <c:pt idx="58">
                  <c:v>45930</c:v>
                </c:pt>
                <c:pt idx="59">
                  <c:v>46022</c:v>
                </c:pt>
                <c:pt idx="60">
                  <c:v>46112</c:v>
                </c:pt>
              </c:numCache>
            </c:numRef>
          </c:cat>
          <c:val>
            <c:numRef>
              <c:f>'Report figures'!$AD$256:$AD$316</c:f>
              <c:numCache>
                <c:formatCode>0.00%</c:formatCode>
                <c:ptCount val="61"/>
                <c:pt idx="0">
                  <c:v>7.7365809044231959E-3</c:v>
                </c:pt>
                <c:pt idx="1">
                  <c:v>6.887848940477781E-3</c:v>
                </c:pt>
                <c:pt idx="2">
                  <c:v>-9.3438915999903838E-3</c:v>
                </c:pt>
                <c:pt idx="3">
                  <c:v>-1.4320077705457068E-2</c:v>
                </c:pt>
                <c:pt idx="4">
                  <c:v>-5.118986806856296E-3</c:v>
                </c:pt>
                <c:pt idx="5">
                  <c:v>-1.3232054808203109E-2</c:v>
                </c:pt>
                <c:pt idx="6">
                  <c:v>-6.9360097427967338E-3</c:v>
                </c:pt>
                <c:pt idx="7">
                  <c:v>2.1562776306336406E-3</c:v>
                </c:pt>
                <c:pt idx="8">
                  <c:v>3.2985165650823101E-2</c:v>
                </c:pt>
                <c:pt idx="9">
                  <c:v>5.0056927860339107E-2</c:v>
                </c:pt>
                <c:pt idx="10">
                  <c:v>5.8306414138397544E-2</c:v>
                </c:pt>
                <c:pt idx="11">
                  <c:v>9.6741133590983353E-2</c:v>
                </c:pt>
                <c:pt idx="12">
                  <c:v>0.10744291872471234</c:v>
                </c:pt>
                <c:pt idx="13">
                  <c:v>0.10151922082351428</c:v>
                </c:pt>
                <c:pt idx="14">
                  <c:v>8.8998384978232536E-2</c:v>
                </c:pt>
                <c:pt idx="15">
                  <c:v>9.458972950680522E-2</c:v>
                </c:pt>
                <c:pt idx="16">
                  <c:v>0.10955893841312636</c:v>
                </c:pt>
                <c:pt idx="17">
                  <c:v>0.11092707607759134</c:v>
                </c:pt>
                <c:pt idx="18">
                  <c:v>0.10736419605564218</c:v>
                </c:pt>
                <c:pt idx="19">
                  <c:v>0.1059870581087039</c:v>
                </c:pt>
                <c:pt idx="20">
                  <c:v>9.5067248265514825E-2</c:v>
                </c:pt>
                <c:pt idx="21">
                  <c:v>0.11117173663665803</c:v>
                </c:pt>
                <c:pt idx="22">
                  <c:v>0.12727584957147298</c:v>
                </c:pt>
                <c:pt idx="23">
                  <c:v>0.13409592518783287</c:v>
                </c:pt>
                <c:pt idx="24">
                  <c:v>0.12050280079113285</c:v>
                </c:pt>
                <c:pt idx="25">
                  <c:v>0.12668596744168226</c:v>
                </c:pt>
                <c:pt idx="26">
                  <c:v>0.11907231027613996</c:v>
                </c:pt>
                <c:pt idx="27">
                  <c:v>0.12206031034902853</c:v>
                </c:pt>
                <c:pt idx="28">
                  <c:v>0.10790907294472318</c:v>
                </c:pt>
                <c:pt idx="29">
                  <c:v>0.10810869582615723</c:v>
                </c:pt>
                <c:pt idx="30">
                  <c:v>0.1048287676362345</c:v>
                </c:pt>
                <c:pt idx="31">
                  <c:v>7.738277970545826E-2</c:v>
                </c:pt>
                <c:pt idx="32">
                  <c:v>9.5445423404353136E-2</c:v>
                </c:pt>
                <c:pt idx="33">
                  <c:v>0.10017539793991204</c:v>
                </c:pt>
                <c:pt idx="34">
                  <c:v>0.10132381321018435</c:v>
                </c:pt>
                <c:pt idx="35">
                  <c:v>9.1928649264119144E-2</c:v>
                </c:pt>
                <c:pt idx="36">
                  <c:v>4.8946241719497463E-2</c:v>
                </c:pt>
                <c:pt idx="37">
                  <c:v>6.6362700129976915E-2</c:v>
                </c:pt>
                <c:pt idx="38">
                  <c:v>7.1631984839683804E-2</c:v>
                </c:pt>
                <c:pt idx="39">
                  <c:v>8.1401282098907846E-2</c:v>
                </c:pt>
                <c:pt idx="40">
                  <c:v>9.6655211029399002E-2</c:v>
                </c:pt>
                <c:pt idx="41">
                  <c:v>0.10236688674004046</c:v>
                </c:pt>
                <c:pt idx="42">
                  <c:v>0.10308531560273781</c:v>
                </c:pt>
                <c:pt idx="43">
                  <c:v>0.10010040752127281</c:v>
                </c:pt>
                <c:pt idx="44">
                  <c:v>9.1061042058271369E-2</c:v>
                </c:pt>
                <c:pt idx="45">
                  <c:v>7.4345222413177758E-2</c:v>
                </c:pt>
                <c:pt idx="46">
                  <c:v>7.1200218560005801E-2</c:v>
                </c:pt>
                <c:pt idx="47">
                  <c:v>6.6544292174297803E-2</c:v>
                </c:pt>
                <c:pt idx="48">
                  <c:v>7.9221861015975836E-2</c:v>
                </c:pt>
                <c:pt idx="49">
                  <c:v>7.3116609206263616E-2</c:v>
                </c:pt>
                <c:pt idx="50">
                  <c:v>6.7894222290911577E-2</c:v>
                </c:pt>
                <c:pt idx="51">
                  <c:v>9.1209883802036984E-2</c:v>
                </c:pt>
                <c:pt idx="52">
                  <c:v>8.8475540501889327E-2</c:v>
                </c:pt>
                <c:pt idx="53">
                  <c:v>7.8075038190473123E-2</c:v>
                </c:pt>
                <c:pt idx="54">
                  <c:v>7.7560520034213543E-2</c:v>
                </c:pt>
                <c:pt idx="55">
                  <c:v>8.491569931675258E-2</c:v>
                </c:pt>
                <c:pt idx="56">
                  <c:v>0.10779543908333244</c:v>
                </c:pt>
                <c:pt idx="57">
                  <c:v>0.1032692447282364</c:v>
                </c:pt>
                <c:pt idx="58">
                  <c:v>0.10969664302351156</c:v>
                </c:pt>
                <c:pt idx="59">
                  <c:v>9.7932469973212921E-2</c:v>
                </c:pt>
                <c:pt idx="60">
                  <c:v>8.4806041869762261E-2</c:v>
                </c:pt>
              </c:numCache>
            </c:numRef>
          </c:val>
          <c:smooth val="0"/>
          <c:extLst>
            <c:ext xmlns:c16="http://schemas.microsoft.com/office/drawing/2014/chart" uri="{C3380CC4-5D6E-409C-BE32-E72D297353CC}">
              <c16:uniqueId val="{00000001-B656-9642-A2DB-65E0F27779CC}"/>
            </c:ext>
          </c:extLst>
        </c:ser>
        <c:ser>
          <c:idx val="2"/>
          <c:order val="2"/>
          <c:tx>
            <c:strRef>
              <c:f>'Report figures'!$AE$255</c:f>
              <c:strCache>
                <c:ptCount val="1"/>
                <c:pt idx="0">
                  <c:v>Target: yield + 4%</c:v>
                </c:pt>
              </c:strCache>
            </c:strRef>
          </c:tx>
          <c:spPr>
            <a:ln w="22000">
              <a:solidFill>
                <a:srgbClr val="9AA3AD"/>
              </a:solidFill>
              <a:prstDash val="dash"/>
            </a:ln>
          </c:spPr>
          <c:marker>
            <c:symbol val="none"/>
          </c:marker>
          <c:cat>
            <c:numRef>
              <c:f>'Report figures'!$AB$256:$AB$316</c:f>
              <c:numCache>
                <c:formatCode>mmm\-yy</c:formatCode>
                <c:ptCount val="61"/>
                <c:pt idx="0">
                  <c:v>40633</c:v>
                </c:pt>
                <c:pt idx="1">
                  <c:v>40724</c:v>
                </c:pt>
                <c:pt idx="2">
                  <c:v>40816</c:v>
                </c:pt>
                <c:pt idx="3">
                  <c:v>40907</c:v>
                </c:pt>
                <c:pt idx="4">
                  <c:v>40998</c:v>
                </c:pt>
                <c:pt idx="5">
                  <c:v>41089</c:v>
                </c:pt>
                <c:pt idx="6">
                  <c:v>41180</c:v>
                </c:pt>
                <c:pt idx="7">
                  <c:v>41274</c:v>
                </c:pt>
                <c:pt idx="8">
                  <c:v>41362</c:v>
                </c:pt>
                <c:pt idx="9">
                  <c:v>41453</c:v>
                </c:pt>
                <c:pt idx="10">
                  <c:v>41547</c:v>
                </c:pt>
                <c:pt idx="11">
                  <c:v>41639</c:v>
                </c:pt>
                <c:pt idx="12">
                  <c:v>41729</c:v>
                </c:pt>
                <c:pt idx="13">
                  <c:v>41820</c:v>
                </c:pt>
                <c:pt idx="14">
                  <c:v>41912</c:v>
                </c:pt>
                <c:pt idx="15">
                  <c:v>42004</c:v>
                </c:pt>
                <c:pt idx="16">
                  <c:v>42094</c:v>
                </c:pt>
                <c:pt idx="17">
                  <c:v>42185</c:v>
                </c:pt>
                <c:pt idx="18">
                  <c:v>42277</c:v>
                </c:pt>
                <c:pt idx="19">
                  <c:v>42369</c:v>
                </c:pt>
                <c:pt idx="20">
                  <c:v>42460</c:v>
                </c:pt>
                <c:pt idx="21">
                  <c:v>42551</c:v>
                </c:pt>
                <c:pt idx="22">
                  <c:v>42643</c:v>
                </c:pt>
                <c:pt idx="23">
                  <c:v>42734</c:v>
                </c:pt>
                <c:pt idx="24">
                  <c:v>42825</c:v>
                </c:pt>
                <c:pt idx="25">
                  <c:v>42916</c:v>
                </c:pt>
                <c:pt idx="26">
                  <c:v>43007</c:v>
                </c:pt>
                <c:pt idx="27">
                  <c:v>43098</c:v>
                </c:pt>
                <c:pt idx="28">
                  <c:v>43189</c:v>
                </c:pt>
                <c:pt idx="29">
                  <c:v>43280</c:v>
                </c:pt>
                <c:pt idx="30">
                  <c:v>43371</c:v>
                </c:pt>
                <c:pt idx="31">
                  <c:v>43465</c:v>
                </c:pt>
                <c:pt idx="32">
                  <c:v>43553</c:v>
                </c:pt>
                <c:pt idx="33">
                  <c:v>43644</c:v>
                </c:pt>
                <c:pt idx="34">
                  <c:v>43738</c:v>
                </c:pt>
                <c:pt idx="35">
                  <c:v>43830</c:v>
                </c:pt>
                <c:pt idx="36">
                  <c:v>43921</c:v>
                </c:pt>
                <c:pt idx="37">
                  <c:v>44012</c:v>
                </c:pt>
                <c:pt idx="38">
                  <c:v>44104</c:v>
                </c:pt>
                <c:pt idx="39">
                  <c:v>44196</c:v>
                </c:pt>
                <c:pt idx="40">
                  <c:v>44286</c:v>
                </c:pt>
                <c:pt idx="41">
                  <c:v>44377</c:v>
                </c:pt>
                <c:pt idx="42">
                  <c:v>44469</c:v>
                </c:pt>
                <c:pt idx="43">
                  <c:v>44561</c:v>
                </c:pt>
                <c:pt idx="44">
                  <c:v>44651</c:v>
                </c:pt>
                <c:pt idx="45">
                  <c:v>44742</c:v>
                </c:pt>
                <c:pt idx="46">
                  <c:v>44834</c:v>
                </c:pt>
                <c:pt idx="47">
                  <c:v>44925</c:v>
                </c:pt>
                <c:pt idx="48">
                  <c:v>45016</c:v>
                </c:pt>
                <c:pt idx="49">
                  <c:v>45107</c:v>
                </c:pt>
                <c:pt idx="50">
                  <c:v>45198</c:v>
                </c:pt>
                <c:pt idx="51">
                  <c:v>45289</c:v>
                </c:pt>
                <c:pt idx="52">
                  <c:v>45380</c:v>
                </c:pt>
                <c:pt idx="53">
                  <c:v>45471</c:v>
                </c:pt>
                <c:pt idx="54">
                  <c:v>45565</c:v>
                </c:pt>
                <c:pt idx="55">
                  <c:v>45657</c:v>
                </c:pt>
                <c:pt idx="56">
                  <c:v>45747</c:v>
                </c:pt>
                <c:pt idx="57">
                  <c:v>45838</c:v>
                </c:pt>
                <c:pt idx="58">
                  <c:v>45930</c:v>
                </c:pt>
                <c:pt idx="59">
                  <c:v>46022</c:v>
                </c:pt>
                <c:pt idx="60">
                  <c:v>46112</c:v>
                </c:pt>
              </c:numCache>
            </c:numRef>
          </c:cat>
          <c:val>
            <c:numRef>
              <c:f>'Report figures'!$AE$256:$AE$316</c:f>
              <c:numCache>
                <c:formatCode>0.00%</c:formatCode>
                <c:ptCount val="61"/>
                <c:pt idx="0">
                  <c:v>9.2976000000000003E-2</c:v>
                </c:pt>
                <c:pt idx="1">
                  <c:v>9.7483E-2</c:v>
                </c:pt>
                <c:pt idx="2">
                  <c:v>9.8402000000000003E-2</c:v>
                </c:pt>
                <c:pt idx="3">
                  <c:v>9.7957000000000002E-2</c:v>
                </c:pt>
                <c:pt idx="4">
                  <c:v>9.9650000000000002E-2</c:v>
                </c:pt>
                <c:pt idx="5">
                  <c:v>0.100717</c:v>
                </c:pt>
                <c:pt idx="6">
                  <c:v>0.101316</c:v>
                </c:pt>
                <c:pt idx="7">
                  <c:v>0.10463700000000001</c:v>
                </c:pt>
                <c:pt idx="8">
                  <c:v>0.10100300000000001</c:v>
                </c:pt>
                <c:pt idx="9">
                  <c:v>0.106903</c:v>
                </c:pt>
                <c:pt idx="10">
                  <c:v>9.5364000000000004E-2</c:v>
                </c:pt>
                <c:pt idx="11">
                  <c:v>7.7220999999999998E-2</c:v>
                </c:pt>
                <c:pt idx="12">
                  <c:v>7.7285999999999994E-2</c:v>
                </c:pt>
                <c:pt idx="13">
                  <c:v>9.1020999999999991E-2</c:v>
                </c:pt>
                <c:pt idx="14">
                  <c:v>9.1395000000000004E-2</c:v>
                </c:pt>
                <c:pt idx="15">
                  <c:v>9.1499999999999998E-2</c:v>
                </c:pt>
                <c:pt idx="16">
                  <c:v>9.3400000000000011E-2</c:v>
                </c:pt>
                <c:pt idx="17">
                  <c:v>8.9724999999999999E-2</c:v>
                </c:pt>
                <c:pt idx="18">
                  <c:v>8.8075000000000001E-2</c:v>
                </c:pt>
                <c:pt idx="19">
                  <c:v>9.3299999999999994E-2</c:v>
                </c:pt>
                <c:pt idx="20">
                  <c:v>9.2075000000000004E-2</c:v>
                </c:pt>
                <c:pt idx="21">
                  <c:v>8.8849999999999998E-2</c:v>
                </c:pt>
                <c:pt idx="22">
                  <c:v>7.7875E-2</c:v>
                </c:pt>
                <c:pt idx="23">
                  <c:v>7.5725000000000001E-2</c:v>
                </c:pt>
                <c:pt idx="24">
                  <c:v>7.6200000000000004E-2</c:v>
                </c:pt>
                <c:pt idx="25">
                  <c:v>6.7500000000000004E-2</c:v>
                </c:pt>
                <c:pt idx="26">
                  <c:v>6.8174999999999999E-2</c:v>
                </c:pt>
                <c:pt idx="27">
                  <c:v>6.8250000000000005E-2</c:v>
                </c:pt>
                <c:pt idx="28">
                  <c:v>7.0199999999999999E-2</c:v>
                </c:pt>
                <c:pt idx="29">
                  <c:v>6.7875000000000005E-2</c:v>
                </c:pt>
                <c:pt idx="30">
                  <c:v>7.331E-2</c:v>
                </c:pt>
                <c:pt idx="31">
                  <c:v>7.461000000000001E-2</c:v>
                </c:pt>
                <c:pt idx="32">
                  <c:v>7.4110000000000009E-2</c:v>
                </c:pt>
                <c:pt idx="33">
                  <c:v>7.1179999999999993E-2</c:v>
                </c:pt>
                <c:pt idx="34">
                  <c:v>7.041E-2</c:v>
                </c:pt>
                <c:pt idx="35">
                  <c:v>6.4350000000000004E-2</c:v>
                </c:pt>
                <c:pt idx="36">
                  <c:v>5.978E-2</c:v>
                </c:pt>
                <c:pt idx="37">
                  <c:v>6.2880000000000005E-2</c:v>
                </c:pt>
                <c:pt idx="38">
                  <c:v>6.1010000000000002E-2</c:v>
                </c:pt>
                <c:pt idx="39">
                  <c:v>6.2840000000000007E-2</c:v>
                </c:pt>
                <c:pt idx="40">
                  <c:v>6.1340000000000006E-2</c:v>
                </c:pt>
                <c:pt idx="41">
                  <c:v>5.7209999999999997E-2</c:v>
                </c:pt>
                <c:pt idx="42">
                  <c:v>5.6950000000000001E-2</c:v>
                </c:pt>
                <c:pt idx="43">
                  <c:v>6.0160000000000005E-2</c:v>
                </c:pt>
                <c:pt idx="44">
                  <c:v>6.2939999999999996E-2</c:v>
                </c:pt>
                <c:pt idx="45">
                  <c:v>5.987E-2</c:v>
                </c:pt>
                <c:pt idx="46">
                  <c:v>6.1859999999999998E-2</c:v>
                </c:pt>
                <c:pt idx="47">
                  <c:v>6.1719999999999997E-2</c:v>
                </c:pt>
                <c:pt idx="48">
                  <c:v>6.4149999999999999E-2</c:v>
                </c:pt>
                <c:pt idx="49">
                  <c:v>6.4149999999999999E-2</c:v>
                </c:pt>
                <c:pt idx="50">
                  <c:v>6.2390000000000001E-2</c:v>
                </c:pt>
                <c:pt idx="51">
                  <c:v>6.0969999999999996E-2</c:v>
                </c:pt>
                <c:pt idx="52">
                  <c:v>5.7430000000000002E-2</c:v>
                </c:pt>
                <c:pt idx="53">
                  <c:v>5.2909999999999999E-2</c:v>
                </c:pt>
                <c:pt idx="54">
                  <c:v>4.8100000000000004E-2</c:v>
                </c:pt>
                <c:pt idx="55">
                  <c:v>4.8739999999999999E-2</c:v>
                </c:pt>
                <c:pt idx="56">
                  <c:v>4.4999999999999998E-2</c:v>
                </c:pt>
                <c:pt idx="57">
                  <c:v>4.403E-2</c:v>
                </c:pt>
                <c:pt idx="58">
                  <c:v>4.3930000000000004E-2</c:v>
                </c:pt>
                <c:pt idx="59">
                  <c:v>4.3430000000000003E-2</c:v>
                </c:pt>
                <c:pt idx="60">
                  <c:v>4.7080000000000004E-2</c:v>
                </c:pt>
              </c:numCache>
            </c:numRef>
          </c:val>
          <c:smooth val="0"/>
          <c:extLst>
            <c:ext xmlns:c16="http://schemas.microsoft.com/office/drawing/2014/chart" uri="{C3380CC4-5D6E-409C-BE32-E72D297353CC}">
              <c16:uniqueId val="{00000002-B656-9642-A2DB-65E0F27779CC}"/>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yyyy" sourceLinked="0"/>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Offset val="100"/>
        <c:baseTimeUnit val="months"/>
        <c:majorUnit val="8"/>
      </c:dateAx>
      <c:valAx>
        <c:axId val="100"/>
        <c:scaling>
          <c:orientation val="minMax"/>
        </c:scaling>
        <c:delete val="0"/>
        <c:axPos val="l"/>
        <c:majorGridlines>
          <c:spPr>
            <a:ln w="9360">
              <a:solidFill>
                <a:srgbClr val="E3E6EA"/>
              </a:solidFill>
              <a:prstDash val="solid"/>
            </a:ln>
          </c:spPr>
        </c:majorGridlines>
        <c:title>
          <c:tx>
            <c:rich>
              <a:bodyPr/>
              <a:lstStyle/>
              <a:p>
                <a:pPr>
                  <a:defRPr sz="900" b="0">
                    <a:solidFill>
                      <a:srgbClr val="3A4250"/>
                    </a:solidFill>
                    <a:latin typeface="Calibri"/>
                  </a:defRPr>
                </a:pPr>
                <a:r>
                  <a:rPr sz="900" b="0">
                    <a:solidFill>
                      <a:srgbClr val="3A4250"/>
                    </a:solidFill>
                    <a:latin typeface="Calibri"/>
                  </a:rPr>
                  <a:t>Annualised 5-year return</a:t>
                </a:r>
              </a:p>
            </c:rich>
          </c:tx>
          <c:overlay val="0"/>
        </c:title>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sz="1300" b="1">
                <a:solidFill>
                  <a:srgbClr val="1F2E5C"/>
                </a:solidFill>
                <a:latin typeface="Calibri"/>
              </a:rPr>
              <a:t>Portfolio construction methods</a:t>
            </a:r>
          </a:p>
        </c:rich>
      </c:tx>
      <c:overlay val="0"/>
    </c:title>
    <c:autoTitleDeleted val="0"/>
    <c:plotArea>
      <c:layout/>
      <c:barChart>
        <c:barDir val="col"/>
        <c:grouping val="clustered"/>
        <c:varyColors val="1"/>
        <c:ser>
          <c:idx val="0"/>
          <c:order val="0"/>
          <c:tx>
            <c:strRef>
              <c:f>'Report figures'!$O$281</c:f>
              <c:strCache>
                <c:ptCount val="1"/>
                <c:pt idx="0">
                  <c:v>Expected return</c:v>
                </c:pt>
              </c:strCache>
            </c:strRef>
          </c:tx>
          <c:spPr>
            <a:solidFill>
              <a:srgbClr val="2E5AAC"/>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figures'!$N$282:$N$288</c:f>
              <c:strCache>
                <c:ptCount val="7"/>
                <c:pt idx="0">
                  <c:v>Robust MVO</c:v>
                </c:pt>
                <c:pt idx="1">
                  <c:v>Sample MVO</c:v>
                </c:pt>
                <c:pt idx="2">
                  <c:v>Resampled MVO</c:v>
                </c:pt>
                <c:pt idx="3">
                  <c:v>Minimum variance</c:v>
                </c:pt>
                <c:pt idx="4">
                  <c:v>Risk parity</c:v>
                </c:pt>
                <c:pt idx="5">
                  <c:v>Current fund</c:v>
                </c:pt>
                <c:pt idx="6">
                  <c:v>Benchmark</c:v>
                </c:pt>
              </c:strCache>
            </c:strRef>
          </c:cat>
          <c:val>
            <c:numRef>
              <c:f>'Report figures'!$O$282:$O$288</c:f>
              <c:numCache>
                <c:formatCode>0.00%</c:formatCode>
                <c:ptCount val="7"/>
                <c:pt idx="0">
                  <c:v>7.1373051138514956E-2</c:v>
                </c:pt>
                <c:pt idx="1">
                  <c:v>7.1087442684535956E-2</c:v>
                </c:pt>
                <c:pt idx="2">
                  <c:v>6.9908335383927295E-2</c:v>
                </c:pt>
                <c:pt idx="3">
                  <c:v>6.4978593618302882E-2</c:v>
                </c:pt>
                <c:pt idx="4">
                  <c:v>6.7165833569283032E-2</c:v>
                </c:pt>
                <c:pt idx="5">
                  <c:v>7.1036033622111125E-2</c:v>
                </c:pt>
                <c:pt idx="6">
                  <c:v>6.7685257170379112E-2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C88F-5843-995D-A4C4DB07EBB0}"/>
            </c:ext>
          </c:extLst>
        </c:ser>
        <c:ser>
          <c:idx val="1"/>
          <c:order val="1"/>
          <c:tx>
            <c:strRef>
              <c:f>'Report figures'!$P$281</c:f>
              <c:strCache>
                <c:ptCount val="1"/>
                <c:pt idx="0">
                  <c:v>Volatility</c:v>
                </c:pt>
              </c:strCache>
            </c:strRef>
          </c:tx>
          <c:spPr>
            <a:solidFill>
              <a:srgbClr val="9AA3AD"/>
            </a:solidFill>
            <a:ln>
              <a:noFill/>
              <a:prstDash val="solid"/>
            </a:ln>
          </c:spPr>
          <c:invertIfNegative val="1"/>
          <c:cat>
            <c:strRef>
              <c:f>'Report figures'!$N$282:$N$288</c:f>
              <c:strCache>
                <c:ptCount val="7"/>
                <c:pt idx="0">
                  <c:v>Robust MVO</c:v>
                </c:pt>
                <c:pt idx="1">
                  <c:v>Sample MVO</c:v>
                </c:pt>
                <c:pt idx="2">
                  <c:v>Resampled MVO</c:v>
                </c:pt>
                <c:pt idx="3">
                  <c:v>Minimum variance</c:v>
                </c:pt>
                <c:pt idx="4">
                  <c:v>Risk parity</c:v>
                </c:pt>
                <c:pt idx="5">
                  <c:v>Current fund</c:v>
                </c:pt>
                <c:pt idx="6">
                  <c:v>Benchmark</c:v>
                </c:pt>
              </c:strCache>
            </c:strRef>
          </c:cat>
          <c:val>
            <c:numRef>
              <c:f>'Report figures'!$P$282:$P$288</c:f>
              <c:numCache>
                <c:formatCode>0.00%</c:formatCode>
                <c:ptCount val="7"/>
                <c:pt idx="0">
                  <c:v>7.875064259614814E-2</c:v>
                </c:pt>
                <c:pt idx="1">
                  <c:v>7.7717269946306719E-2</c:v>
                </c:pt>
                <c:pt idx="2">
                  <c:v>7.5055184078804668E-2</c:v>
                </c:pt>
                <c:pt idx="3">
                  <c:v>6.0281231664845364E-2</c:v>
                </c:pt>
                <c:pt idx="4">
                  <c:v>6.6508937513354086E-2</c:v>
                </c:pt>
                <c:pt idx="5">
                  <c:v>8.3833964159733848E-2</c:v>
                </c:pt>
                <c:pt idx="6">
                  <c:v>7.0134112008392299E-2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C88F-5843-995D-A4C4DB07EBB0}"/>
            </c:ext>
          </c:extLst>
        </c:ser>
        <c:ser>
          <c:idx val="2"/>
          <c:order val="2"/>
          <c:tx>
            <c:strRef>
              <c:f>'Report figures'!$Q$281</c:f>
              <c:strCache>
                <c:ptCount val="1"/>
                <c:pt idx="0">
                  <c:v>Tracking error</c:v>
                </c:pt>
              </c:strCache>
            </c:strRef>
          </c:tx>
          <c:spPr>
            <a:solidFill>
              <a:srgbClr val="C0702A"/>
            </a:solidFill>
            <a:ln>
              <a:noFill/>
              <a:prstDash val="solid"/>
            </a:ln>
          </c:spPr>
          <c:invertIfNegative val="1"/>
          <c:cat>
            <c:strRef>
              <c:f>'Report figures'!$N$282:$N$288</c:f>
              <c:strCache>
                <c:ptCount val="7"/>
                <c:pt idx="0">
                  <c:v>Robust MVO</c:v>
                </c:pt>
                <c:pt idx="1">
                  <c:v>Sample MVO</c:v>
                </c:pt>
                <c:pt idx="2">
                  <c:v>Resampled MVO</c:v>
                </c:pt>
                <c:pt idx="3">
                  <c:v>Minimum variance</c:v>
                </c:pt>
                <c:pt idx="4">
                  <c:v>Risk parity</c:v>
                </c:pt>
                <c:pt idx="5">
                  <c:v>Current fund</c:v>
                </c:pt>
                <c:pt idx="6">
                  <c:v>Benchmark</c:v>
                </c:pt>
              </c:strCache>
            </c:strRef>
          </c:cat>
          <c:val>
            <c:numRef>
              <c:f>'Report figures'!$Q$282:$Q$288</c:f>
              <c:numCache>
                <c:formatCode>0.00%</c:formatCode>
                <c:ptCount val="7"/>
                <c:pt idx="0">
                  <c:v>1.0997193071421192E-2</c:v>
                </c:pt>
                <c:pt idx="1">
                  <c:v>1.0237182534916716E-2</c:v>
                </c:pt>
                <c:pt idx="2">
                  <c:v>7.1514980578707716E-3</c:v>
                </c:pt>
                <c:pt idx="3">
                  <c:v>1.1001412029090087E-2</c:v>
                </c:pt>
                <c:pt idx="4">
                  <c:v>1.0999556058268955E-2</c:v>
                </c:pt>
                <c:pt idx="5">
                  <c:v>2.1585026414092778E-2</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C88F-5843-995D-A4C4DB07EBB0}"/>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min val="0"/>
        </c:scaling>
        <c:delete val="0"/>
        <c:axPos val="l"/>
        <c:majorGridlines>
          <c:spPr>
            <a:ln w="9360">
              <a:solidFill>
                <a:srgbClr val="E3E6EA"/>
              </a:solidFill>
              <a:prstDash val="solid"/>
            </a:ln>
          </c:spPr>
        </c:majorGridlines>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sz="1300" b="1">
                <a:solidFill>
                  <a:srgbClr val="1F2E5C"/>
                </a:solidFill>
                <a:latin typeface="Calibri"/>
              </a:rPr>
              <a:t>Expected returns against 20-year history</a:t>
            </a:r>
          </a:p>
        </c:rich>
      </c:tx>
      <c:overlay val="0"/>
    </c:title>
    <c:autoTitleDeleted val="0"/>
    <c:plotArea>
      <c:layout/>
      <c:barChart>
        <c:barDir val="col"/>
        <c:grouping val="clustered"/>
        <c:varyColors val="1"/>
        <c:ser>
          <c:idx val="0"/>
          <c:order val="0"/>
          <c:tx>
            <c:strRef>
              <c:f>'Report figures'!$O$307</c:f>
              <c:strCache>
                <c:ptCount val="1"/>
                <c:pt idx="0">
                  <c:v>Net forecast (5-year)</c:v>
                </c:pt>
              </c:strCache>
            </c:strRef>
          </c:tx>
          <c:spPr>
            <a:solidFill>
              <a:srgbClr val="2E5AAC"/>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figures'!$N$308:$N$318</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figures'!$O$308:$O$318</c:f>
              <c:numCache>
                <c:formatCode>0.00%</c:formatCode>
                <c:ptCount val="11"/>
                <c:pt idx="0">
                  <c:v>8.2659384356717505E-2</c:v>
                </c:pt>
                <c:pt idx="1">
                  <c:v>8.2159384356717505E-2</c:v>
                </c:pt>
                <c:pt idx="2">
                  <c:v>7.8765261100419232E-2</c:v>
                </c:pt>
                <c:pt idx="3">
                  <c:v>7.3233091332700284E-2</c:v>
                </c:pt>
                <c:pt idx="4">
                  <c:v>5.0257982430074385E-2</c:v>
                </c:pt>
                <c:pt idx="5">
                  <c:v>5.4405261181730516E-2</c:v>
                </c:pt>
                <c:pt idx="6">
                  <c:v>3.3246946826272439E-2</c:v>
                </c:pt>
                <c:pt idx="7">
                  <c:v>5.8677020230353594E-2</c:v>
                </c:pt>
                <c:pt idx="8">
                  <c:v>4.7855337072321653E-2</c:v>
                </c:pt>
                <c:pt idx="9">
                  <c:v>4.7723754634965566E-2</c:v>
                </c:pt>
                <c:pt idx="10">
                  <c:v>4.6012756330930112E-2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31AC-9447-B80A-E60D0A36C44C}"/>
            </c:ext>
          </c:extLst>
        </c:ser>
        <c:ser>
          <c:idx val="1"/>
          <c:order val="1"/>
          <c:tx>
            <c:strRef>
              <c:f>'Report figures'!$P$307</c:f>
              <c:strCache>
                <c:ptCount val="1"/>
                <c:pt idx="0">
                  <c:v>20-year history</c:v>
                </c:pt>
              </c:strCache>
            </c:strRef>
          </c:tx>
          <c:spPr>
            <a:solidFill>
              <a:srgbClr val="9AA3AD"/>
            </a:solidFill>
            <a:ln>
              <a:noFill/>
              <a:prstDash val="solid"/>
            </a:ln>
          </c:spPr>
          <c:invertIfNegative val="1"/>
          <c:cat>
            <c:strRef>
              <c:f>'Report figures'!$N$308:$N$318</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figures'!$P$308:$P$318</c:f>
              <c:numCache>
                <c:formatCode>0.00%</c:formatCode>
                <c:ptCount val="11"/>
                <c:pt idx="0">
                  <c:v>6.950124987418338E-2</c:v>
                </c:pt>
                <c:pt idx="1">
                  <c:v>8.8450812806027956E-2</c:v>
                </c:pt>
                <c:pt idx="2">
                  <c:v>7.9988927529070608E-2</c:v>
                </c:pt>
                <c:pt idx="3">
                  <c:v>5.3753445740167161E-2</c:v>
                </c:pt>
                <c:pt idx="4">
                  <c:v>-6.7382599487993966E-3</c:v>
                </c:pt>
                <c:pt idx="5">
                  <c:v>6.0608487419002488E-2</c:v>
                </c:pt>
                <c:pt idx="6">
                  <c:v>7.6551345490687206E-2</c:v>
                </c:pt>
                <c:pt idx="7">
                  <c:v>0.10687219699712047</c:v>
                </c:pt>
                <c:pt idx="8">
                  <c:v>3.9606304840795525E-2</c:v>
                </c:pt>
                <c:pt idx="9">
                  <c:v>4.3020942898742698E-2</c:v>
                </c:pt>
                <c:pt idx="10">
                  <c:v>3.3059149449572667E-2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31AC-9447-B80A-E60D0A36C44C}"/>
            </c:ext>
          </c:extLst>
        </c:ser>
        <c:dLbls>
          <c:showLegendKey val="0"/>
          <c:showVal val="0"/>
          <c:showCatName val="0"/>
          <c:showSerName val="0"/>
          <c:showPercent val="0"/>
          <c:showBubbleSize val="0"/>
        </c:dLbls>
        <c:gapWidth val="50"/>
        <c:axId val="10"/>
        <c:axId val="100"/>
      </c:barChart>
      <c:catAx>
        <c:axId val="10"/>
        <c:scaling>
          <c:orientation val="minMax"/>
        </c:scaling>
        <c:delete val="0"/>
        <c:axPos val="b"/>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l"/>
        <c:majorGridlines>
          <c:spPr>
            <a:ln w="9360">
              <a:solidFill>
                <a:srgbClr val="E3E6EA"/>
              </a:solidFill>
              <a:prstDash val="solid"/>
            </a:ln>
          </c:spPr>
        </c:majorGridlines>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sz="1300" b="1">
                <a:solidFill>
                  <a:srgbClr val="1F2E5C"/>
                </a:solidFill>
                <a:latin typeface="Calibri"/>
              </a:rPr>
              <a:t>Forecast stress test: change in advantage over the current fund</a:t>
            </a:r>
          </a:p>
        </c:rich>
      </c:tx>
      <c:overlay val="0"/>
    </c:title>
    <c:autoTitleDeleted val="0"/>
    <c:plotArea>
      <c:layout/>
      <c:barChart>
        <c:barDir val="bar"/>
        <c:grouping val="clustered"/>
        <c:varyColors val="1"/>
        <c:ser>
          <c:idx val="0"/>
          <c:order val="0"/>
          <c:tx>
            <c:strRef>
              <c:f>'Report figures'!$O$333</c:f>
              <c:strCache>
                <c:ptCount val="1"/>
                <c:pt idx="0">
                  <c:v>Forecast 1% lower</c:v>
                </c:pt>
              </c:strCache>
            </c:strRef>
          </c:tx>
          <c:spPr>
            <a:solidFill>
              <a:srgbClr val="9AA3AD"/>
            </a:solidFill>
            <a:ln>
              <a:noFill/>
              <a:prstDash val="solid"/>
            </a:ln>
          </c:spPr>
          <c:invertIfNegative val="1"/>
          <c:cat>
            <c:strRef>
              <c:f>'Report figures'!$N$334:$N$344</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figures'!$O$334:$O$344</c:f>
              <c:numCache>
                <c:formatCode>0.00%</c:formatCode>
                <c:ptCount val="11"/>
                <c:pt idx="0">
                  <c:v>1.3030000000000003E-3</c:v>
                </c:pt>
                <c:pt idx="1">
                  <c:v>-7.319999999999999E-4</c:v>
                </c:pt>
                <c:pt idx="2">
                  <c:v>-7.7099999999999998E-4</c:v>
                </c:pt>
                <c:pt idx="3">
                  <c:v>2.4600000000000012E-4</c:v>
                </c:pt>
                <c:pt idx="4">
                  <c:v>-2.9999999999999997E-4</c:v>
                </c:pt>
                <c:pt idx="5">
                  <c:v>-5.0000000000000001E-4</c:v>
                </c:pt>
                <c:pt idx="6">
                  <c:v>0</c:v>
                </c:pt>
                <c:pt idx="7">
                  <c:v>-9.9999999999999991E-5</c:v>
                </c:pt>
                <c:pt idx="8">
                  <c:v>1.9100000000000009E-4</c:v>
                </c:pt>
                <c:pt idx="9">
                  <c:v>1.6299999999999995E-4</c:v>
                </c:pt>
                <c:pt idx="10">
                  <c:v>5.0000000000000001E-4</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F541-C541-97DC-65BF97294830}"/>
            </c:ext>
          </c:extLst>
        </c:ser>
        <c:ser>
          <c:idx val="1"/>
          <c:order val="1"/>
          <c:tx>
            <c:strRef>
              <c:f>'Report figures'!$P$333</c:f>
              <c:strCache>
                <c:ptCount val="1"/>
                <c:pt idx="0">
                  <c:v>Forecast 1% higher</c:v>
                </c:pt>
              </c:strCache>
            </c:strRef>
          </c:tx>
          <c:spPr>
            <a:solidFill>
              <a:srgbClr val="2E5AAC"/>
            </a:solidFill>
            <a:ln>
              <a:noFill/>
              <a:prstDash val="solid"/>
            </a:ln>
          </c:spPr>
          <c:invertIfNegative val="1"/>
          <c:cat>
            <c:strRef>
              <c:f>'Report figures'!$N$334:$N$344</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'Report figures'!$P$334:$P$344</c:f>
              <c:numCache>
                <c:formatCode>0.00%</c:formatCode>
                <c:ptCount val="11"/>
                <c:pt idx="0">
                  <c:v>-1.3030000000000003E-3</c:v>
                </c:pt>
                <c:pt idx="1">
                  <c:v>7.3200000000000001E-4</c:v>
                </c:pt>
                <c:pt idx="2">
                  <c:v>7.7099999999999998E-4</c:v>
                </c:pt>
                <c:pt idx="3">
                  <c:v>-2.4600000000000012E-4</c:v>
                </c:pt>
                <c:pt idx="4">
                  <c:v>2.9999999999999992E-4</c:v>
                </c:pt>
                <c:pt idx="5">
                  <c:v>5.0000000000000001E-4</c:v>
                </c:pt>
                <c:pt idx="6">
                  <c:v>0</c:v>
                </c:pt>
                <c:pt idx="7">
                  <c:v>9.9999999999999991E-5</c:v>
                </c:pt>
                <c:pt idx="8">
                  <c:v>-1.9100000000000006E-4</c:v>
                </c:pt>
                <c:pt idx="9">
                  <c:v>-1.6299999999999995E-4</c:v>
                </c:pt>
                <c:pt idx="10">
                  <c:v>-5.0000000000000001E-4</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F541-C541-97DC-65BF97294830}"/>
            </c:ext>
          </c:extLst>
        </c:ser>
        <c:dLbls>
          <c:showLegendKey val="0"/>
          <c:showVal val="0"/>
          <c:showCatName val="0"/>
          <c:showSerName val="0"/>
          <c:showPercent val="0"/>
          <c:showBubbleSize val="0"/>
        </c:dLbls>
        <c:gapWidth val="40"/>
        <c:overlap val="100"/>
        <c:axId val="10"/>
        <c:axId val="100"/>
      </c:barChart>
      <c:catAx>
        <c:axId val="10"/>
        <c:scaling>
          <c:orientation val="maxMin"/>
        </c:scaling>
        <c:delete val="0"/>
        <c:axPos val="l"/>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t"/>
        <c:majorGridlines>
          <c:spPr>
            <a:ln w="9360">
              <a:solidFill>
                <a:srgbClr val="E3E6EA"/>
              </a:solidFill>
              <a:prstDash val="solid"/>
            </a:ln>
          </c:spPr>
        </c:majorGridlines>
        <c:numFmt formatCode="0.0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Portfolio construction methods</a:t>
            </a:r>
          </a:p>
        </c:rich>
      </c:tx>
      <c:overlay val="0"/>
    </c:title>
    <c:autoTitleDeleted val="0"/>
    <c:plotArea>
      <c:layout/>
      <c:barChart>
        <c:barDir val="col"/>
        <c:grouping val="clustered"/>
        <c:varyColors val="1"/>
        <c:ser>
          <c:idx val="0"/>
          <c:order val="0"/>
          <c:tx>
            <c:strRef>
              <c:f>'Report figures'!$O$281</c:f>
              <c:strCache>
                <c:ptCount val="1"/>
                <c:pt idx="0">
                  <c:v>Expected return</c:v>
                </c:pt>
              </c:strCache>
            </c:strRef>
          </c:tx>
          <c:spPr>
            <a:solidFill>
              <a:srgbClr val="2E5AAC"/>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figures'!$N$282:$N$288</c:f>
              <c:strCache>
                <c:ptCount val="7"/>
                <c:pt idx="0">
                  <c:v>Robust MVO</c:v>
                </c:pt>
                <c:pt idx="1">
                  <c:v>Sample MVO</c:v>
                </c:pt>
                <c:pt idx="2">
                  <c:v>Resampled MVO</c:v>
                </c:pt>
                <c:pt idx="3">
                  <c:v>Minimum variance</c:v>
                </c:pt>
                <c:pt idx="4">
                  <c:v>Risk parity</c:v>
                </c:pt>
                <c:pt idx="5">
                  <c:v>Current fund</c:v>
                </c:pt>
                <c:pt idx="6">
                  <c:v>Benchmark</c:v>
                </c:pt>
              </c:strCache>
            </c:strRef>
          </c:cat>
          <c:val>
            <c:numRef>
              <c:f>'Report figures'!$O$282:$O$288</c:f>
              <c:numCache>
                <c:formatCode>0.00%</c:formatCode>
                <c:ptCount val="7"/>
                <c:pt idx="0">
                  <c:v>7.1373051138514956E-2</c:v>
                </c:pt>
                <c:pt idx="1">
                  <c:v>7.1087442684535956E-2</c:v>
                </c:pt>
                <c:pt idx="2">
                  <c:v>6.9908335383927295E-2</c:v>
                </c:pt>
                <c:pt idx="3">
                  <c:v>6.4978593618302882E-2</c:v>
                </c:pt>
                <c:pt idx="4">
                  <c:v>6.7165833569283032E-2</c:v>
                </c:pt>
                <c:pt idx="5">
                  <c:v>7.1036033622111125E-2</c:v>
                </c:pt>
                <c:pt idx="6">
                  <c:v>6.7685257170379112E-2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3CC9-3440-BB21-893D5F513C88}"/>
            </c:ext>
          </c:extLst>
        </c:ser>
        <c:ser>
          <c:idx val="1"/>
          <c:order val="1"/>
          <c:tx>
            <c:strRef>
              <c:f>'Report figures'!$P$281</c:f>
              <c:strCache>
                <c:ptCount val="1"/>
                <c:pt idx="0">
                  <c:v>Volatility</c:v>
                </c:pt>
              </c:strCache>
            </c:strRef>
          </c:tx>
          <c:spPr>
            <a:solidFill>
              <a:srgbClr val="9AA3AD"/>
            </a:solidFill>
            <a:ln>
              <a:noFill/>
              <a:prstDash val="solid"/>
            </a:ln>
          </c:spPr>
          <c:invertIfNegative val="1"/>
          <c:cat>
            <c:strRef>
              <c:f>'Report figures'!$N$282:$N$288</c:f>
              <c:strCache>
                <c:ptCount val="7"/>
                <c:pt idx="0">
                  <c:v>Robust MVO</c:v>
                </c:pt>
                <c:pt idx="1">
                  <c:v>Sample MVO</c:v>
                </c:pt>
                <c:pt idx="2">
                  <c:v>Resampled MVO</c:v>
                </c:pt>
                <c:pt idx="3">
                  <c:v>Minimum variance</c:v>
                </c:pt>
                <c:pt idx="4">
                  <c:v>Risk parity</c:v>
                </c:pt>
                <c:pt idx="5">
                  <c:v>Current fund</c:v>
                </c:pt>
                <c:pt idx="6">
                  <c:v>Benchmark</c:v>
                </c:pt>
              </c:strCache>
            </c:strRef>
          </c:cat>
          <c:val>
            <c:numRef>
              <c:f>'Report figures'!$P$282:$P$288</c:f>
              <c:numCache>
                <c:formatCode>0.00%</c:formatCode>
                <c:ptCount val="7"/>
                <c:pt idx="0">
                  <c:v>7.875064259614814E-2</c:v>
                </c:pt>
                <c:pt idx="1">
                  <c:v>7.7717269946306719E-2</c:v>
                </c:pt>
                <c:pt idx="2">
                  <c:v>7.5055184078804668E-2</c:v>
                </c:pt>
                <c:pt idx="3">
                  <c:v>6.0281231664845364E-2</c:v>
                </c:pt>
                <c:pt idx="4">
                  <c:v>6.6508937513354086E-2</c:v>
                </c:pt>
                <c:pt idx="5">
                  <c:v>8.3833964159733848E-2</c:v>
                </c:pt>
                <c:pt idx="6">
                  <c:v>7.0134112008392299E-2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3CC9-3440-BB21-893D5F513C88}"/>
            </c:ext>
          </c:extLst>
        </c:ser>
        <c:ser>
          <c:idx val="2"/>
          <c:order val="2"/>
          <c:tx>
            <c:strRef>
              <c:f>'Report figures'!$Q$281</c:f>
              <c:strCache>
                <c:ptCount val="1"/>
                <c:pt idx="0">
                  <c:v>Tracking error</c:v>
                </c:pt>
              </c:strCache>
            </c:strRef>
          </c:tx>
          <c:spPr>
            <a:solidFill>
              <a:srgbClr val="C0702A"/>
            </a:solidFill>
            <a:ln>
              <a:noFill/>
              <a:prstDash val="solid"/>
            </a:ln>
          </c:spPr>
          <c:invertIfNegative val="1"/>
          <c:cat>
            <c:strRef>
              <c:f>'Report figures'!$N$282:$N$288</c:f>
              <c:strCache>
                <c:ptCount val="7"/>
                <c:pt idx="0">
                  <c:v>Robust MVO</c:v>
                </c:pt>
                <c:pt idx="1">
                  <c:v>Sample MVO</c:v>
                </c:pt>
                <c:pt idx="2">
                  <c:v>Resampled MVO</c:v>
                </c:pt>
                <c:pt idx="3">
                  <c:v>Minimum variance</c:v>
                </c:pt>
                <c:pt idx="4">
                  <c:v>Risk parity</c:v>
                </c:pt>
                <c:pt idx="5">
                  <c:v>Current fund</c:v>
                </c:pt>
                <c:pt idx="6">
                  <c:v>Benchmark</c:v>
                </c:pt>
              </c:strCache>
            </c:strRef>
          </c:cat>
          <c:val>
            <c:numRef>
              <c:f>'Report figures'!$Q$282:$Q$288</c:f>
              <c:numCache>
                <c:formatCode>0.00%</c:formatCode>
                <c:ptCount val="7"/>
                <c:pt idx="0">
                  <c:v>1.0997193071421192E-2</c:v>
                </c:pt>
                <c:pt idx="1">
                  <c:v>1.0237182534916716E-2</c:v>
                </c:pt>
                <c:pt idx="2">
                  <c:v>7.1514980578707716E-3</c:v>
                </c:pt>
                <c:pt idx="3">
                  <c:v>1.1001412029090087E-2</c:v>
                </c:pt>
                <c:pt idx="4">
                  <c:v>1.0999556058268955E-2</c:v>
                </c:pt>
                <c:pt idx="5">
                  <c:v>2.1585026414092778E-2</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3CC9-3440-BB21-893D5F513C88}"/>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min val="0"/>
        </c:scaling>
        <c:delete val="0"/>
        <c:axPos val="l"/>
        <c:majorGridlines>
          <c:spPr>
            <a:ln w="9360">
              <a:solidFill>
                <a:srgbClr val="E3E6EA"/>
              </a:solidFill>
              <a:prstDash val="solid"/>
            </a:ln>
          </c:spPr>
        </c:majorGridlines>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Weights by method</a:t>
            </a:r>
          </a:p>
        </c:rich>
      </c:tx>
      <c:overlay val="0"/>
    </c:title>
    <c:autoTitleDeleted val="0"/>
    <c:plotArea>
      <c:layout/>
      <c:barChart>
        <c:barDir val="col"/>
        <c:grouping val="clustered"/>
        <c:varyColors val="1"/>
        <c:ser>
          <c:idx val="0"/>
          <c:order val="0"/>
          <c:tx>
            <c:strRef>
              <c:f>Methods!$D$5</c:f>
              <c:strCache>
                <c:ptCount val="1"/>
                <c:pt idx="0">
                  <c:v>Robust MVO</c:v>
                </c:pt>
              </c:strCache>
            </c:strRef>
          </c:tx>
          <c:spPr>
            <a:solidFill>
              <a:srgbClr val="2E5AAC"/>
            </a:solidFill>
            <a:ln>
              <a:noFill/>
              <a:prstDash val="solid"/>
            </a:ln>
          </c:spPr>
          <c:invertIfNegative val="1"/>
          <c:cat>
            <c:strRef>
              <c:f>Methods!$A$6:$A$16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Methods!$D$6:$D$16</c:f>
              <c:numCache>
                <c:formatCode>0.00%</c:formatCode>
                <c:ptCount val="11"/>
                <c:pt idx="0">
                  <c:v>0.2697</c:v>
                </c:pt>
                <c:pt idx="1">
                  <c:v>0.2732</c:v>
                </c:pt>
                <c:pt idx="2">
                  <c:v>7.7100000000000002E-2</c:v>
                </c:pt>
                <c:pt idx="3">
                  <c:v>7.5399999999999995E-2</c:v>
                </c:pt>
                <c:pt idx="4" formatCode="0.0%">
                  <c:v>0.03</c:v>
                </c:pt>
                <c:pt idx="5" formatCode="0.0%">
                  <c:v>0.05</c:v>
                </c:pt>
                <c:pt idx="6" formatCode="0.0%">
                  <c:v>0</c:v>
                </c:pt>
                <c:pt idx="7" formatCode="0.0%">
                  <c:v>0.01</c:v>
                </c:pt>
                <c:pt idx="8">
                  <c:v>0.13089999999999999</c:v>
                </c:pt>
                <c:pt idx="9">
                  <c:v>6.3700000000000007E-2</c:v>
                </c:pt>
                <c:pt idx="10">
                  <c:v>0.02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0126-4949-9781-5013D2A9E802}"/>
            </c:ext>
          </c:extLst>
        </c:ser>
        <c:ser>
          <c:idx val="1"/>
          <c:order val="1"/>
          <c:tx>
            <c:strRef>
              <c:f>Methods!$E$5</c:f>
              <c:strCache>
                <c:ptCount val="1"/>
                <c:pt idx="0">
                  <c:v>Sample MVO</c:v>
                </c:pt>
              </c:strCache>
            </c:strRef>
          </c:tx>
          <c:spPr>
            <a:solidFill>
              <a:srgbClr val="7F6AA8"/>
            </a:solidFill>
            <a:ln>
              <a:noFill/>
              <a:prstDash val="solid"/>
            </a:ln>
          </c:spPr>
          <c:invertIfNegative val="1"/>
          <c:cat>
            <c:strRef>
              <c:f>Methods!$A$6:$A$16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Methods!$E$6:$E$16</c:f>
              <c:numCache>
                <c:formatCode>0.00%</c:formatCode>
                <c:ptCount val="11"/>
                <c:pt idx="0">
                  <c:v>0.26900000000000002</c:v>
                </c:pt>
                <c:pt idx="1">
                  <c:v>0.27829999999999999</c:v>
                </c:pt>
                <c:pt idx="2">
                  <c:v>7.2700000000000001E-2</c:v>
                </c:pt>
                <c:pt idx="3">
                  <c:v>6.3500000000000001E-2</c:v>
                </c:pt>
                <c:pt idx="4" formatCode="0.0%">
                  <c:v>0.03</c:v>
                </c:pt>
                <c:pt idx="5" formatCode="0.0%">
                  <c:v>0.05</c:v>
                </c:pt>
                <c:pt idx="6" formatCode="0.0%">
                  <c:v>0</c:v>
                </c:pt>
                <c:pt idx="7" formatCode="0.0%">
                  <c:v>0.01</c:v>
                </c:pt>
                <c:pt idx="8">
                  <c:v>0.1565</c:v>
                </c:pt>
                <c:pt idx="9">
                  <c:v>0.05</c:v>
                </c:pt>
                <c:pt idx="10">
                  <c:v>0.02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0126-4949-9781-5013D2A9E802}"/>
            </c:ext>
          </c:extLst>
        </c:ser>
        <c:ser>
          <c:idx val="2"/>
          <c:order val="2"/>
          <c:tx>
            <c:strRef>
              <c:f>Methods!$F$5</c:f>
              <c:strCache>
                <c:ptCount val="1"/>
                <c:pt idx="0">
                  <c:v>Resampled MVO</c:v>
                </c:pt>
              </c:strCache>
            </c:strRef>
          </c:tx>
          <c:spPr>
            <a:solidFill>
              <a:srgbClr val="2E9E86"/>
            </a:solidFill>
            <a:ln>
              <a:noFill/>
              <a:prstDash val="solid"/>
            </a:ln>
          </c:spPr>
          <c:invertIfNegative val="1"/>
          <c:cat>
            <c:strRef>
              <c:f>Methods!$A$6:$A$16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Methods!$F$6:$F$16</c:f>
              <c:numCache>
                <c:formatCode>0.00%</c:formatCode>
                <c:ptCount val="11"/>
                <c:pt idx="0">
                  <c:v>0.25600000000000001</c:v>
                </c:pt>
                <c:pt idx="1">
                  <c:v>0.2712</c:v>
                </c:pt>
                <c:pt idx="2">
                  <c:v>4.8899999999999999E-2</c:v>
                </c:pt>
                <c:pt idx="3">
                  <c:v>7.4399999999999994E-2</c:v>
                </c:pt>
                <c:pt idx="4" formatCode="0.0%">
                  <c:v>0.03</c:v>
                </c:pt>
                <c:pt idx="5" formatCode="0.0%">
                  <c:v>0.05</c:v>
                </c:pt>
                <c:pt idx="6" formatCode="0.0%">
                  <c:v>0</c:v>
                </c:pt>
                <c:pt idx="7" formatCode="0.0%">
                  <c:v>0.01</c:v>
                </c:pt>
                <c:pt idx="8">
                  <c:v>0.12889999999999999</c:v>
                </c:pt>
                <c:pt idx="9">
                  <c:v>0.1012</c:v>
                </c:pt>
                <c:pt idx="10">
                  <c:v>2.9399999999999999E-2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0126-4949-9781-5013D2A9E802}"/>
            </c:ext>
          </c:extLst>
        </c:ser>
        <c:ser>
          <c:idx val="3"/>
          <c:order val="3"/>
          <c:tx>
            <c:strRef>
              <c:f>Methods!$G$5</c:f>
              <c:strCache>
                <c:ptCount val="1"/>
                <c:pt idx="0">
                  <c:v>Minimum variance</c:v>
                </c:pt>
              </c:strCache>
            </c:strRef>
          </c:tx>
          <c:spPr>
            <a:solidFill>
              <a:srgbClr val="9AA3AD"/>
            </a:solidFill>
            <a:ln>
              <a:noFill/>
              <a:prstDash val="solid"/>
            </a:ln>
          </c:spPr>
          <c:invertIfNegative val="1"/>
          <c:cat>
            <c:strRef>
              <c:f>Methods!$A$6:$A$16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Methods!$G$6:$G$16</c:f>
              <c:numCache>
                <c:formatCode>0.00%</c:formatCode>
                <c:ptCount val="11"/>
                <c:pt idx="0">
                  <c:v>0.2117</c:v>
                </c:pt>
                <c:pt idx="1">
                  <c:v>0.20860000000000001</c:v>
                </c:pt>
                <c:pt idx="2">
                  <c:v>2.8500000000000001E-2</c:v>
                </c:pt>
                <c:pt idx="3">
                  <c:v>5.57E-2</c:v>
                </c:pt>
                <c:pt idx="4" formatCode="0.0%">
                  <c:v>0.03</c:v>
                </c:pt>
                <c:pt idx="5" formatCode="0.0%">
                  <c:v>0.05</c:v>
                </c:pt>
                <c:pt idx="6" formatCode="0.0%">
                  <c:v>0</c:v>
                </c:pt>
                <c:pt idx="7" formatCode="0.0%">
                  <c:v>0.01</c:v>
                </c:pt>
                <c:pt idx="8">
                  <c:v>0.16420000000000001</c:v>
                </c:pt>
                <c:pt idx="9">
                  <c:v>0.14130000000000001</c:v>
                </c:pt>
                <c:pt idx="10">
                  <c:v>0.1</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3-0126-4949-9781-5013D2A9E802}"/>
            </c:ext>
          </c:extLst>
        </c:ser>
        <c:ser>
          <c:idx val="4"/>
          <c:order val="4"/>
          <c:tx>
            <c:strRef>
              <c:f>Methods!$H$5</c:f>
              <c:strCache>
                <c:ptCount val="1"/>
                <c:pt idx="0">
                  <c:v>Risk parity</c:v>
                </c:pt>
              </c:strCache>
            </c:strRef>
          </c:tx>
          <c:spPr>
            <a:solidFill>
              <a:srgbClr val="C0702A"/>
            </a:solidFill>
            <a:ln>
              <a:noFill/>
              <a:prstDash val="solid"/>
            </a:ln>
          </c:spPr>
          <c:invertIfNegative val="1"/>
          <c:cat>
            <c:strRef>
              <c:f>Methods!$A$6:$A$16</c:f>
              <c:strCache>
                <c:ptCount val="11"/>
                <c:pt idx="0">
                  <c:v>Australian Equities</c:v>
                </c:pt>
                <c:pt idx="1">
                  <c:v>World Equities</c:v>
                </c:pt>
                <c:pt idx="2">
                  <c:v>Emerging Markets</c:v>
                </c:pt>
                <c:pt idx="3">
                  <c:v>Listed Property</c:v>
                </c:pt>
                <c:pt idx="4">
                  <c:v>Commodities</c:v>
                </c:pt>
                <c:pt idx="5">
                  <c:v>Direct Property</c:v>
                </c:pt>
                <c:pt idx="6">
                  <c:v>Hedge Funds</c:v>
                </c:pt>
                <c:pt idx="7">
                  <c:v>Private Equity</c:v>
                </c:pt>
                <c:pt idx="8">
                  <c:v>Australian Fixed Income</c:v>
                </c:pt>
                <c:pt idx="9">
                  <c:v>World Fixed Income</c:v>
                </c:pt>
                <c:pt idx="10">
                  <c:v>Cash</c:v>
                </c:pt>
              </c:strCache>
            </c:strRef>
          </c:cat>
          <c:val>
            <c:numRef>
              <c:f>Methods!$H$6:$H$16</c:f>
              <c:numCache>
                <c:formatCode>0.00%</c:formatCode>
                <c:ptCount val="11"/>
                <c:pt idx="0">
                  <c:v>0.19309999999999999</c:v>
                </c:pt>
                <c:pt idx="1">
                  <c:v>0.19919999999999999</c:v>
                </c:pt>
                <c:pt idx="2">
                  <c:v>0.08</c:v>
                </c:pt>
                <c:pt idx="3">
                  <c:v>0.11169999999999999</c:v>
                </c:pt>
                <c:pt idx="4" formatCode="0.0%">
                  <c:v>0.03</c:v>
                </c:pt>
                <c:pt idx="5" formatCode="0.0%">
                  <c:v>0.05</c:v>
                </c:pt>
                <c:pt idx="6" formatCode="0.0%">
                  <c:v>0</c:v>
                </c:pt>
                <c:pt idx="7" formatCode="0.0%">
                  <c:v>0.01</c:v>
                </c:pt>
                <c:pt idx="8">
                  <c:v>0.1391</c:v>
                </c:pt>
                <c:pt idx="9">
                  <c:v>0.16689999999999999</c:v>
                </c:pt>
                <c:pt idx="10">
                  <c:v>0.02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4-0126-4949-9781-5013D2A9E802}"/>
            </c:ext>
          </c:extLst>
        </c:ser>
        <c:dLbls>
          <c:showLegendKey val="0"/>
          <c:showVal val="0"/>
          <c:showCatName val="0"/>
          <c:showSerName val="0"/>
          <c:showPercent val="0"/>
          <c:showBubbleSize val="0"/>
        </c:dLbls>
        <c:gapWidth val="50"/>
        <c:axId val="10"/>
        <c:axId val="100"/>
      </c:barChart>
      <c:catAx>
        <c:axId val="10"/>
        <c:scaling>
          <c:orientation val="minMax"/>
        </c:scaling>
        <c:delete val="0"/>
        <c:axPos val="b"/>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l"/>
        <c:majorGridlines>
          <c:spPr>
            <a:ln w="9360">
              <a:solidFill>
                <a:srgbClr val="E3E6EA"/>
              </a:solidFill>
              <a:prstDash val="solid"/>
            </a:ln>
          </c:spPr>
        </c:majorGridlines>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sz="1300" b="1">
                <a:solidFill>
                  <a:srgbClr val="1F2E5C"/>
                </a:solidFill>
                <a:latin typeface="Calibri"/>
              </a:rPr>
              <a:t>Oil beta of equity returns (log return on log oil change)</a:t>
            </a:r>
          </a:p>
        </c:rich>
      </c:tx>
      <c:overlay val="0"/>
    </c:title>
    <c:autoTitleDeleted val="0"/>
    <c:plotArea>
      <c:layout/>
      <c:barChart>
        <c:barDir val="col"/>
        <c:grouping val="clustered"/>
        <c:varyColors val="1"/>
        <c:ser>
          <c:idx val="0"/>
          <c:order val="0"/>
          <c:tx>
            <c:strRef>
              <c:f>'Report figures'!$O$229</c:f>
              <c:strCache>
                <c:ptCount val="1"/>
                <c:pt idx="0">
                  <c:v>US equities</c:v>
                </c:pt>
              </c:strCache>
            </c:strRef>
          </c:tx>
          <c:spPr>
            <a:solidFill>
              <a:srgbClr val="9AA3AD"/>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figures'!$N$230:$N$232</c:f>
              <c:strCache>
                <c:ptCount val="3"/>
                <c:pt idx="0">
                  <c:v>1 month</c:v>
                </c:pt>
                <c:pt idx="1">
                  <c:v>12 months</c:v>
                </c:pt>
                <c:pt idx="2">
                  <c:v>60 months</c:v>
                </c:pt>
              </c:strCache>
            </c:strRef>
          </c:cat>
          <c:val>
            <c:numRef>
              <c:f>'Report figures'!$O$230:$O$232</c:f>
              <c:numCache>
                <c:formatCode>0.000</c:formatCode>
                <c:ptCount val="3"/>
                <c:pt idx="0">
                  <c:v>3.3291576486848377E-2</c:v>
                </c:pt>
                <c:pt idx="1">
                  <c:v>2.030193864590087E-2</c:v>
                </c:pt>
                <c:pt idx="2">
                  <c:v>-0.22998126837037369</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5181-2D4D-9555-721ADF697951}"/>
            </c:ext>
          </c:extLst>
        </c:ser>
        <c:ser>
          <c:idx val="1"/>
          <c:order val="1"/>
          <c:tx>
            <c:strRef>
              <c:f>'Report figures'!$P$229</c:f>
              <c:strCache>
                <c:ptCount val="1"/>
                <c:pt idx="0">
                  <c:v>Australian equities</c:v>
                </c:pt>
              </c:strCache>
            </c:strRef>
          </c:tx>
          <c:spPr>
            <a:solidFill>
              <a:srgbClr val="2E5AAC"/>
            </a:solidFill>
            <a:ln>
              <a:noFill/>
              <a:prstDash val="solid"/>
            </a:ln>
          </c:spPr>
          <c:invertIfNegative val="1"/>
          <c:dLbls>
            <c:spPr>
              <a:noFill/>
              <a:ln>
                <a:noFill/>
              </a:ln>
              <a:effectLst/>
            </c:spPr>
            <c:txPr>
              <a:bodyPr/>
              <a:lstStyle/>
              <a:p>
                <a:pPr>
                  <a:defRPr sz="800" b="0">
                    <a:solidFill>
                      <a:srgbClr val="3A4250"/>
                    </a:solidFill>
                    <a:latin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 figures'!$N$230:$N$232</c:f>
              <c:strCache>
                <c:ptCount val="3"/>
                <c:pt idx="0">
                  <c:v>1 month</c:v>
                </c:pt>
                <c:pt idx="1">
                  <c:v>12 months</c:v>
                </c:pt>
                <c:pt idx="2">
                  <c:v>60 months</c:v>
                </c:pt>
              </c:strCache>
            </c:strRef>
          </c:cat>
          <c:val>
            <c:numRef>
              <c:f>'Report figures'!$P$230:$P$232</c:f>
              <c:numCache>
                <c:formatCode>0.000</c:formatCode>
                <c:ptCount val="3"/>
                <c:pt idx="0">
                  <c:v>6.7087054081970979E-2</c:v>
                </c:pt>
                <c:pt idx="1">
                  <c:v>0.10082179247598959</c:v>
                </c:pt>
                <c:pt idx="2">
                  <c:v>8.7571807846546904E-2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5181-2D4D-9555-721ADF697951}"/>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Algn val="ctr"/>
        <c:lblOffset val="100"/>
        <c:noMultiLvlLbl val="1"/>
      </c:catAx>
      <c:valAx>
        <c:axId val="100"/>
        <c:scaling>
          <c:orientation val="minMax"/>
        </c:scaling>
        <c:delete val="0"/>
        <c:axPos val="l"/>
        <c:majorGridlines>
          <c:spPr>
            <a:ln w="9360">
              <a:solidFill>
                <a:srgbClr val="E3E6EA"/>
              </a:solidFill>
              <a:prstDash val="solid"/>
            </a:ln>
          </c:spPr>
        </c:majorGridlines>
        <c:numFmt formatCode="0.0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300" b="1">
                <a:solidFill>
                  <a:srgbClr val="1F2E5C"/>
                </a:solidFill>
                <a:latin typeface="Calibri"/>
              </a:defRPr>
            </a:pPr>
            <a:r>
              <a:rPr lang="en-AU" sz="1300" b="1">
                <a:solidFill>
                  <a:srgbClr val="1F2E5C"/>
                </a:solidFill>
                <a:latin typeface="Calibri"/>
              </a:rPr>
              <a:t>Rolling 5-year return against the target</a:t>
            </a:r>
          </a:p>
        </c:rich>
      </c:tx>
      <c:overlay val="0"/>
    </c:title>
    <c:autoTitleDeleted val="0"/>
    <c:plotArea>
      <c:layout/>
      <c:lineChart>
        <c:grouping val="standard"/>
        <c:varyColors val="1"/>
        <c:ser>
          <c:idx val="0"/>
          <c:order val="0"/>
          <c:tx>
            <c:strRef>
              <c:f>'Report figures'!$AC$255</c:f>
              <c:strCache>
                <c:ptCount val="1"/>
                <c:pt idx="0">
                  <c:v>Current fund</c:v>
                </c:pt>
              </c:strCache>
            </c:strRef>
          </c:tx>
          <c:spPr>
            <a:ln w="22000">
              <a:solidFill>
                <a:srgbClr val="C0702A"/>
              </a:solidFill>
              <a:prstDash val="solid"/>
            </a:ln>
          </c:spPr>
          <c:marker>
            <c:symbol val="none"/>
          </c:marker>
          <c:cat>
            <c:numRef>
              <c:f>'Report figures'!$AB$256:$AB$316</c:f>
              <c:numCache>
                <c:formatCode>mmm\-yy</c:formatCode>
                <c:ptCount val="61"/>
                <c:pt idx="0">
                  <c:v>40633</c:v>
                </c:pt>
                <c:pt idx="1">
                  <c:v>40724</c:v>
                </c:pt>
                <c:pt idx="2">
                  <c:v>40816</c:v>
                </c:pt>
                <c:pt idx="3">
                  <c:v>40907</c:v>
                </c:pt>
                <c:pt idx="4">
                  <c:v>40998</c:v>
                </c:pt>
                <c:pt idx="5">
                  <c:v>41089</c:v>
                </c:pt>
                <c:pt idx="6">
                  <c:v>41180</c:v>
                </c:pt>
                <c:pt idx="7">
                  <c:v>41274</c:v>
                </c:pt>
                <c:pt idx="8">
                  <c:v>41362</c:v>
                </c:pt>
                <c:pt idx="9">
                  <c:v>41453</c:v>
                </c:pt>
                <c:pt idx="10">
                  <c:v>41547</c:v>
                </c:pt>
                <c:pt idx="11">
                  <c:v>41639</c:v>
                </c:pt>
                <c:pt idx="12">
                  <c:v>41729</c:v>
                </c:pt>
                <c:pt idx="13">
                  <c:v>41820</c:v>
                </c:pt>
                <c:pt idx="14">
                  <c:v>41912</c:v>
                </c:pt>
                <c:pt idx="15">
                  <c:v>42004</c:v>
                </c:pt>
                <c:pt idx="16">
                  <c:v>42094</c:v>
                </c:pt>
                <c:pt idx="17">
                  <c:v>42185</c:v>
                </c:pt>
                <c:pt idx="18">
                  <c:v>42277</c:v>
                </c:pt>
                <c:pt idx="19">
                  <c:v>42369</c:v>
                </c:pt>
                <c:pt idx="20">
                  <c:v>42460</c:v>
                </c:pt>
                <c:pt idx="21">
                  <c:v>42551</c:v>
                </c:pt>
                <c:pt idx="22">
                  <c:v>42643</c:v>
                </c:pt>
                <c:pt idx="23">
                  <c:v>42734</c:v>
                </c:pt>
                <c:pt idx="24">
                  <c:v>42825</c:v>
                </c:pt>
                <c:pt idx="25">
                  <c:v>42916</c:v>
                </c:pt>
                <c:pt idx="26">
                  <c:v>43007</c:v>
                </c:pt>
                <c:pt idx="27">
                  <c:v>43098</c:v>
                </c:pt>
                <c:pt idx="28">
                  <c:v>43189</c:v>
                </c:pt>
                <c:pt idx="29">
                  <c:v>43280</c:v>
                </c:pt>
                <c:pt idx="30">
                  <c:v>43371</c:v>
                </c:pt>
                <c:pt idx="31">
                  <c:v>43465</c:v>
                </c:pt>
                <c:pt idx="32">
                  <c:v>43553</c:v>
                </c:pt>
                <c:pt idx="33">
                  <c:v>43644</c:v>
                </c:pt>
                <c:pt idx="34">
                  <c:v>43738</c:v>
                </c:pt>
                <c:pt idx="35">
                  <c:v>43830</c:v>
                </c:pt>
                <c:pt idx="36">
                  <c:v>43921</c:v>
                </c:pt>
                <c:pt idx="37">
                  <c:v>44012</c:v>
                </c:pt>
                <c:pt idx="38">
                  <c:v>44104</c:v>
                </c:pt>
                <c:pt idx="39">
                  <c:v>44196</c:v>
                </c:pt>
                <c:pt idx="40">
                  <c:v>44286</c:v>
                </c:pt>
                <c:pt idx="41">
                  <c:v>44377</c:v>
                </c:pt>
                <c:pt idx="42">
                  <c:v>44469</c:v>
                </c:pt>
                <c:pt idx="43">
                  <c:v>44561</c:v>
                </c:pt>
                <c:pt idx="44">
                  <c:v>44651</c:v>
                </c:pt>
                <c:pt idx="45">
                  <c:v>44742</c:v>
                </c:pt>
                <c:pt idx="46">
                  <c:v>44834</c:v>
                </c:pt>
                <c:pt idx="47">
                  <c:v>44925</c:v>
                </c:pt>
                <c:pt idx="48">
                  <c:v>45016</c:v>
                </c:pt>
                <c:pt idx="49">
                  <c:v>45107</c:v>
                </c:pt>
                <c:pt idx="50">
                  <c:v>45198</c:v>
                </c:pt>
                <c:pt idx="51">
                  <c:v>45289</c:v>
                </c:pt>
                <c:pt idx="52">
                  <c:v>45380</c:v>
                </c:pt>
                <c:pt idx="53">
                  <c:v>45471</c:v>
                </c:pt>
                <c:pt idx="54">
                  <c:v>45565</c:v>
                </c:pt>
                <c:pt idx="55">
                  <c:v>45657</c:v>
                </c:pt>
                <c:pt idx="56">
                  <c:v>45747</c:v>
                </c:pt>
                <c:pt idx="57">
                  <c:v>45838</c:v>
                </c:pt>
                <c:pt idx="58">
                  <c:v>45930</c:v>
                </c:pt>
                <c:pt idx="59">
                  <c:v>46022</c:v>
                </c:pt>
                <c:pt idx="60">
                  <c:v>46112</c:v>
                </c:pt>
              </c:numCache>
            </c:numRef>
          </c:cat>
          <c:val>
            <c:numRef>
              <c:f>'Report figures'!$AC$256:$AC$316</c:f>
              <c:numCache>
                <c:formatCode>0.00%</c:formatCode>
                <c:ptCount val="61"/>
                <c:pt idx="0">
                  <c:v>1.8114271752995181E-2</c:v>
                </c:pt>
                <c:pt idx="1">
                  <c:v>1.7742215628443914E-2</c:v>
                </c:pt>
                <c:pt idx="2">
                  <c:v>-1.7133204260566526E-4</c:v>
                </c:pt>
                <c:pt idx="3">
                  <c:v>-6.8260341798290769E-3</c:v>
                </c:pt>
                <c:pt idx="4">
                  <c:v>-2.4285309561700164E-4</c:v>
                </c:pt>
                <c:pt idx="5">
                  <c:v>-6.2843340276597104E-3</c:v>
                </c:pt>
                <c:pt idx="6">
                  <c:v>1.5877478150949642E-4</c:v>
                </c:pt>
                <c:pt idx="7">
                  <c:v>1.2004477733330132E-2</c:v>
                </c:pt>
                <c:pt idx="8">
                  <c:v>4.3665536642239378E-2</c:v>
                </c:pt>
                <c:pt idx="9">
                  <c:v>5.545941129034615E-2</c:v>
                </c:pt>
                <c:pt idx="10">
                  <c:v>6.5863088733740804E-2</c:v>
                </c:pt>
                <c:pt idx="11">
                  <c:v>0.10141614102078655</c:v>
                </c:pt>
                <c:pt idx="12">
                  <c:v>0.1149321962104759</c:v>
                </c:pt>
                <c:pt idx="13">
                  <c:v>0.10706503746936424</c:v>
                </c:pt>
                <c:pt idx="14">
                  <c:v>8.7493594566552035E-2</c:v>
                </c:pt>
                <c:pt idx="15">
                  <c:v>9.4610222667861787E-2</c:v>
                </c:pt>
                <c:pt idx="16">
                  <c:v>0.10840520087598837</c:v>
                </c:pt>
                <c:pt idx="17">
                  <c:v>0.10819258073006832</c:v>
                </c:pt>
                <c:pt idx="18">
                  <c:v>0.10053500273119576</c:v>
                </c:pt>
                <c:pt idx="19">
                  <c:v>0.10215514921867719</c:v>
                </c:pt>
                <c:pt idx="20">
                  <c:v>9.2713518729043987E-2</c:v>
                </c:pt>
                <c:pt idx="21">
                  <c:v>0.10603914952928783</c:v>
                </c:pt>
                <c:pt idx="22">
                  <c:v>0.12313408742454346</c:v>
                </c:pt>
                <c:pt idx="23">
                  <c:v>0.12661271698621945</c:v>
                </c:pt>
                <c:pt idx="24">
                  <c:v>0.11522478064253128</c:v>
                </c:pt>
                <c:pt idx="25">
                  <c:v>0.11877639481204039</c:v>
                </c:pt>
                <c:pt idx="26">
                  <c:v>0.10979477155771566</c:v>
                </c:pt>
                <c:pt idx="27">
                  <c:v>0.1119542256026127</c:v>
                </c:pt>
                <c:pt idx="28">
                  <c:v>9.4746843867708153E-2</c:v>
                </c:pt>
                <c:pt idx="29">
                  <c:v>0.10131274633564491</c:v>
                </c:pt>
                <c:pt idx="30">
                  <c:v>9.5985407662285915E-2</c:v>
                </c:pt>
                <c:pt idx="31">
                  <c:v>7.3805863909190306E-2</c:v>
                </c:pt>
                <c:pt idx="32">
                  <c:v>8.9644891467909327E-2</c:v>
                </c:pt>
                <c:pt idx="33">
                  <c:v>9.6122868218283752E-2</c:v>
                </c:pt>
                <c:pt idx="34">
                  <c:v>9.8881587610582411E-2</c:v>
                </c:pt>
                <c:pt idx="35">
                  <c:v>8.6810822280062094E-2</c:v>
                </c:pt>
                <c:pt idx="36">
                  <c:v>4.1870122755690797E-2</c:v>
                </c:pt>
                <c:pt idx="37">
                  <c:v>6.6999485426270988E-2</c:v>
                </c:pt>
                <c:pt idx="38">
                  <c:v>7.0070730425939587E-2</c:v>
                </c:pt>
                <c:pt idx="39">
                  <c:v>7.7335588953850953E-2</c:v>
                </c:pt>
                <c:pt idx="40">
                  <c:v>8.7729074130998175E-2</c:v>
                </c:pt>
                <c:pt idx="41">
                  <c:v>9.3389571485528178E-2</c:v>
                </c:pt>
                <c:pt idx="42">
                  <c:v>9.2955176778384274E-2</c:v>
                </c:pt>
                <c:pt idx="43">
                  <c:v>9.2543721109386246E-2</c:v>
                </c:pt>
                <c:pt idx="44">
                  <c:v>8.2660843151380892E-2</c:v>
                </c:pt>
                <c:pt idx="45">
                  <c:v>6.392170510471118E-2</c:v>
                </c:pt>
                <c:pt idx="46">
                  <c:v>6.2738456951444865E-2</c:v>
                </c:pt>
                <c:pt idx="47">
                  <c:v>6.0430890950906813E-2</c:v>
                </c:pt>
                <c:pt idx="48">
                  <c:v>7.3739743823662884E-2</c:v>
                </c:pt>
                <c:pt idx="49">
                  <c:v>6.4697627690645021E-2</c:v>
                </c:pt>
                <c:pt idx="50">
                  <c:v>5.7833629179004031E-2</c:v>
                </c:pt>
                <c:pt idx="51">
                  <c:v>8.2825030647579068E-2</c:v>
                </c:pt>
                <c:pt idx="52">
                  <c:v>7.6752408317629639E-2</c:v>
                </c:pt>
                <c:pt idx="53">
                  <c:v>6.4477923894174394E-2</c:v>
                </c:pt>
                <c:pt idx="54">
                  <c:v>6.7121973380403599E-2</c:v>
                </c:pt>
                <c:pt idx="55">
                  <c:v>7.2480785142654325E-2</c:v>
                </c:pt>
                <c:pt idx="56">
                  <c:v>9.6980257193159058E-2</c:v>
                </c:pt>
                <c:pt idx="57">
                  <c:v>9.0192041178368765E-2</c:v>
                </c:pt>
                <c:pt idx="58">
                  <c:v>9.6515798076960646E-2</c:v>
                </c:pt>
                <c:pt idx="59">
                  <c:v>8.2021456186899933E-2</c:v>
                </c:pt>
                <c:pt idx="60">
                  <c:v>7.0238277460718646E-2</c:v>
                </c:pt>
              </c:numCache>
            </c:numRef>
          </c:val>
          <c:smooth val="0"/>
          <c:extLst>
            <c:ext xmlns:c16="http://schemas.microsoft.com/office/drawing/2014/chart" uri="{C3380CC4-5D6E-409C-BE32-E72D297353CC}">
              <c16:uniqueId val="{00000000-3C65-274C-9FD8-37F24F2887E4}"/>
            </c:ext>
          </c:extLst>
        </c:ser>
        <c:ser>
          <c:idx val="1"/>
          <c:order val="1"/>
          <c:tx>
            <c:strRef>
              <c:f>'Report figures'!$AD$255</c:f>
              <c:strCache>
                <c:ptCount val="1"/>
                <c:pt idx="0">
                  <c:v>Recommended</c:v>
                </c:pt>
              </c:strCache>
            </c:strRef>
          </c:tx>
          <c:spPr>
            <a:ln w="22000">
              <a:solidFill>
                <a:srgbClr val="2E5AAC"/>
              </a:solidFill>
              <a:prstDash val="solid"/>
            </a:ln>
          </c:spPr>
          <c:marker>
            <c:symbol val="none"/>
          </c:marker>
          <c:cat>
            <c:numRef>
              <c:f>'Report figures'!$AB$256:$AB$316</c:f>
              <c:numCache>
                <c:formatCode>mmm\-yy</c:formatCode>
                <c:ptCount val="61"/>
                <c:pt idx="0">
                  <c:v>40633</c:v>
                </c:pt>
                <c:pt idx="1">
                  <c:v>40724</c:v>
                </c:pt>
                <c:pt idx="2">
                  <c:v>40816</c:v>
                </c:pt>
                <c:pt idx="3">
                  <c:v>40907</c:v>
                </c:pt>
                <c:pt idx="4">
                  <c:v>40998</c:v>
                </c:pt>
                <c:pt idx="5">
                  <c:v>41089</c:v>
                </c:pt>
                <c:pt idx="6">
                  <c:v>41180</c:v>
                </c:pt>
                <c:pt idx="7">
                  <c:v>41274</c:v>
                </c:pt>
                <c:pt idx="8">
                  <c:v>41362</c:v>
                </c:pt>
                <c:pt idx="9">
                  <c:v>41453</c:v>
                </c:pt>
                <c:pt idx="10">
                  <c:v>41547</c:v>
                </c:pt>
                <c:pt idx="11">
                  <c:v>41639</c:v>
                </c:pt>
                <c:pt idx="12">
                  <c:v>41729</c:v>
                </c:pt>
                <c:pt idx="13">
                  <c:v>41820</c:v>
                </c:pt>
                <c:pt idx="14">
                  <c:v>41912</c:v>
                </c:pt>
                <c:pt idx="15">
                  <c:v>42004</c:v>
                </c:pt>
                <c:pt idx="16">
                  <c:v>42094</c:v>
                </c:pt>
                <c:pt idx="17">
                  <c:v>42185</c:v>
                </c:pt>
                <c:pt idx="18">
                  <c:v>42277</c:v>
                </c:pt>
                <c:pt idx="19">
                  <c:v>42369</c:v>
                </c:pt>
                <c:pt idx="20">
                  <c:v>42460</c:v>
                </c:pt>
                <c:pt idx="21">
                  <c:v>42551</c:v>
                </c:pt>
                <c:pt idx="22">
                  <c:v>42643</c:v>
                </c:pt>
                <c:pt idx="23">
                  <c:v>42734</c:v>
                </c:pt>
                <c:pt idx="24">
                  <c:v>42825</c:v>
                </c:pt>
                <c:pt idx="25">
                  <c:v>42916</c:v>
                </c:pt>
                <c:pt idx="26">
                  <c:v>43007</c:v>
                </c:pt>
                <c:pt idx="27">
                  <c:v>43098</c:v>
                </c:pt>
                <c:pt idx="28">
                  <c:v>43189</c:v>
                </c:pt>
                <c:pt idx="29">
                  <c:v>43280</c:v>
                </c:pt>
                <c:pt idx="30">
                  <c:v>43371</c:v>
                </c:pt>
                <c:pt idx="31">
                  <c:v>43465</c:v>
                </c:pt>
                <c:pt idx="32">
                  <c:v>43553</c:v>
                </c:pt>
                <c:pt idx="33">
                  <c:v>43644</c:v>
                </c:pt>
                <c:pt idx="34">
                  <c:v>43738</c:v>
                </c:pt>
                <c:pt idx="35">
                  <c:v>43830</c:v>
                </c:pt>
                <c:pt idx="36">
                  <c:v>43921</c:v>
                </c:pt>
                <c:pt idx="37">
                  <c:v>44012</c:v>
                </c:pt>
                <c:pt idx="38">
                  <c:v>44104</c:v>
                </c:pt>
                <c:pt idx="39">
                  <c:v>44196</c:v>
                </c:pt>
                <c:pt idx="40">
                  <c:v>44286</c:v>
                </c:pt>
                <c:pt idx="41">
                  <c:v>44377</c:v>
                </c:pt>
                <c:pt idx="42">
                  <c:v>44469</c:v>
                </c:pt>
                <c:pt idx="43">
                  <c:v>44561</c:v>
                </c:pt>
                <c:pt idx="44">
                  <c:v>44651</c:v>
                </c:pt>
                <c:pt idx="45">
                  <c:v>44742</c:v>
                </c:pt>
                <c:pt idx="46">
                  <c:v>44834</c:v>
                </c:pt>
                <c:pt idx="47">
                  <c:v>44925</c:v>
                </c:pt>
                <c:pt idx="48">
                  <c:v>45016</c:v>
                </c:pt>
                <c:pt idx="49">
                  <c:v>45107</c:v>
                </c:pt>
                <c:pt idx="50">
                  <c:v>45198</c:v>
                </c:pt>
                <c:pt idx="51">
                  <c:v>45289</c:v>
                </c:pt>
                <c:pt idx="52">
                  <c:v>45380</c:v>
                </c:pt>
                <c:pt idx="53">
                  <c:v>45471</c:v>
                </c:pt>
                <c:pt idx="54">
                  <c:v>45565</c:v>
                </c:pt>
                <c:pt idx="55">
                  <c:v>45657</c:v>
                </c:pt>
                <c:pt idx="56">
                  <c:v>45747</c:v>
                </c:pt>
                <c:pt idx="57">
                  <c:v>45838</c:v>
                </c:pt>
                <c:pt idx="58">
                  <c:v>45930</c:v>
                </c:pt>
                <c:pt idx="59">
                  <c:v>46022</c:v>
                </c:pt>
                <c:pt idx="60">
                  <c:v>46112</c:v>
                </c:pt>
              </c:numCache>
            </c:numRef>
          </c:cat>
          <c:val>
            <c:numRef>
              <c:f>'Report figures'!$AD$256:$AD$316</c:f>
              <c:numCache>
                <c:formatCode>0.00%</c:formatCode>
                <c:ptCount val="61"/>
                <c:pt idx="0">
                  <c:v>7.7365809044231959E-3</c:v>
                </c:pt>
                <c:pt idx="1">
                  <c:v>6.887848940477781E-3</c:v>
                </c:pt>
                <c:pt idx="2">
                  <c:v>-9.3438915999903838E-3</c:v>
                </c:pt>
                <c:pt idx="3">
                  <c:v>-1.4320077705457068E-2</c:v>
                </c:pt>
                <c:pt idx="4">
                  <c:v>-5.118986806856296E-3</c:v>
                </c:pt>
                <c:pt idx="5">
                  <c:v>-1.3232054808203109E-2</c:v>
                </c:pt>
                <c:pt idx="6">
                  <c:v>-6.9360097427967338E-3</c:v>
                </c:pt>
                <c:pt idx="7">
                  <c:v>2.1562776306336406E-3</c:v>
                </c:pt>
                <c:pt idx="8">
                  <c:v>3.2985165650823101E-2</c:v>
                </c:pt>
                <c:pt idx="9">
                  <c:v>5.0056927860339107E-2</c:v>
                </c:pt>
                <c:pt idx="10">
                  <c:v>5.8306414138397544E-2</c:v>
                </c:pt>
                <c:pt idx="11">
                  <c:v>9.6741133590983353E-2</c:v>
                </c:pt>
                <c:pt idx="12">
                  <c:v>0.10744291872471234</c:v>
                </c:pt>
                <c:pt idx="13">
                  <c:v>0.10151922082351428</c:v>
                </c:pt>
                <c:pt idx="14">
                  <c:v>8.8998384978232536E-2</c:v>
                </c:pt>
                <c:pt idx="15">
                  <c:v>9.458972950680522E-2</c:v>
                </c:pt>
                <c:pt idx="16">
                  <c:v>0.10955893841312636</c:v>
                </c:pt>
                <c:pt idx="17">
                  <c:v>0.11092707607759134</c:v>
                </c:pt>
                <c:pt idx="18">
                  <c:v>0.10736419605564218</c:v>
                </c:pt>
                <c:pt idx="19">
                  <c:v>0.1059870581087039</c:v>
                </c:pt>
                <c:pt idx="20">
                  <c:v>9.5067248265514825E-2</c:v>
                </c:pt>
                <c:pt idx="21">
                  <c:v>0.11117173663665803</c:v>
                </c:pt>
                <c:pt idx="22">
                  <c:v>0.12727584957147298</c:v>
                </c:pt>
                <c:pt idx="23">
                  <c:v>0.13409592518783287</c:v>
                </c:pt>
                <c:pt idx="24">
                  <c:v>0.12050280079113285</c:v>
                </c:pt>
                <c:pt idx="25">
                  <c:v>0.12668596744168226</c:v>
                </c:pt>
                <c:pt idx="26">
                  <c:v>0.11907231027613996</c:v>
                </c:pt>
                <c:pt idx="27">
                  <c:v>0.12206031034902853</c:v>
                </c:pt>
                <c:pt idx="28">
                  <c:v>0.10790907294472318</c:v>
                </c:pt>
                <c:pt idx="29">
                  <c:v>0.10810869582615723</c:v>
                </c:pt>
                <c:pt idx="30">
                  <c:v>0.1048287676362345</c:v>
                </c:pt>
                <c:pt idx="31">
                  <c:v>7.738277970545826E-2</c:v>
                </c:pt>
                <c:pt idx="32">
                  <c:v>9.5445423404353136E-2</c:v>
                </c:pt>
                <c:pt idx="33">
                  <c:v>0.10017539793991204</c:v>
                </c:pt>
                <c:pt idx="34">
                  <c:v>0.10132381321018435</c:v>
                </c:pt>
                <c:pt idx="35">
                  <c:v>9.1928649264119144E-2</c:v>
                </c:pt>
                <c:pt idx="36">
                  <c:v>4.8946241719497463E-2</c:v>
                </c:pt>
                <c:pt idx="37">
                  <c:v>6.6362700129976915E-2</c:v>
                </c:pt>
                <c:pt idx="38">
                  <c:v>7.1631984839683804E-2</c:v>
                </c:pt>
                <c:pt idx="39">
                  <c:v>8.1401282098907846E-2</c:v>
                </c:pt>
                <c:pt idx="40">
                  <c:v>9.6655211029399002E-2</c:v>
                </c:pt>
                <c:pt idx="41">
                  <c:v>0.10236688674004046</c:v>
                </c:pt>
                <c:pt idx="42">
                  <c:v>0.10308531560273781</c:v>
                </c:pt>
                <c:pt idx="43">
                  <c:v>0.10010040752127281</c:v>
                </c:pt>
                <c:pt idx="44">
                  <c:v>9.1061042058271369E-2</c:v>
                </c:pt>
                <c:pt idx="45">
                  <c:v>7.4345222413177758E-2</c:v>
                </c:pt>
                <c:pt idx="46">
                  <c:v>7.1200218560005801E-2</c:v>
                </c:pt>
                <c:pt idx="47">
                  <c:v>6.6544292174297803E-2</c:v>
                </c:pt>
                <c:pt idx="48">
                  <c:v>7.9221861015975836E-2</c:v>
                </c:pt>
                <c:pt idx="49">
                  <c:v>7.3116609206263616E-2</c:v>
                </c:pt>
                <c:pt idx="50">
                  <c:v>6.7894222290911577E-2</c:v>
                </c:pt>
                <c:pt idx="51">
                  <c:v>9.1209883802036984E-2</c:v>
                </c:pt>
                <c:pt idx="52">
                  <c:v>8.8475540501889327E-2</c:v>
                </c:pt>
                <c:pt idx="53">
                  <c:v>7.8075038190473123E-2</c:v>
                </c:pt>
                <c:pt idx="54">
                  <c:v>7.7560520034213543E-2</c:v>
                </c:pt>
                <c:pt idx="55">
                  <c:v>8.491569931675258E-2</c:v>
                </c:pt>
                <c:pt idx="56">
                  <c:v>0.10779543908333244</c:v>
                </c:pt>
                <c:pt idx="57">
                  <c:v>0.1032692447282364</c:v>
                </c:pt>
                <c:pt idx="58">
                  <c:v>0.10969664302351156</c:v>
                </c:pt>
                <c:pt idx="59">
                  <c:v>9.7932469973212921E-2</c:v>
                </c:pt>
                <c:pt idx="60">
                  <c:v>8.4806041869762261E-2</c:v>
                </c:pt>
              </c:numCache>
            </c:numRef>
          </c:val>
          <c:smooth val="0"/>
          <c:extLst>
            <c:ext xmlns:c16="http://schemas.microsoft.com/office/drawing/2014/chart" uri="{C3380CC4-5D6E-409C-BE32-E72D297353CC}">
              <c16:uniqueId val="{00000001-3C65-274C-9FD8-37F24F2887E4}"/>
            </c:ext>
          </c:extLst>
        </c:ser>
        <c:ser>
          <c:idx val="2"/>
          <c:order val="2"/>
          <c:tx>
            <c:strRef>
              <c:f>'Report figures'!$AE$255</c:f>
              <c:strCache>
                <c:ptCount val="1"/>
                <c:pt idx="0">
                  <c:v>Target: yield + 4%</c:v>
                </c:pt>
              </c:strCache>
            </c:strRef>
          </c:tx>
          <c:spPr>
            <a:ln w="22000">
              <a:solidFill>
                <a:srgbClr val="9AA3AD"/>
              </a:solidFill>
              <a:prstDash val="dash"/>
            </a:ln>
          </c:spPr>
          <c:marker>
            <c:symbol val="none"/>
          </c:marker>
          <c:cat>
            <c:numRef>
              <c:f>'Report figures'!$AB$256:$AB$316</c:f>
              <c:numCache>
                <c:formatCode>mmm\-yy</c:formatCode>
                <c:ptCount val="61"/>
                <c:pt idx="0">
                  <c:v>40633</c:v>
                </c:pt>
                <c:pt idx="1">
                  <c:v>40724</c:v>
                </c:pt>
                <c:pt idx="2">
                  <c:v>40816</c:v>
                </c:pt>
                <c:pt idx="3">
                  <c:v>40907</c:v>
                </c:pt>
                <c:pt idx="4">
                  <c:v>40998</c:v>
                </c:pt>
                <c:pt idx="5">
                  <c:v>41089</c:v>
                </c:pt>
                <c:pt idx="6">
                  <c:v>41180</c:v>
                </c:pt>
                <c:pt idx="7">
                  <c:v>41274</c:v>
                </c:pt>
                <c:pt idx="8">
                  <c:v>41362</c:v>
                </c:pt>
                <c:pt idx="9">
                  <c:v>41453</c:v>
                </c:pt>
                <c:pt idx="10">
                  <c:v>41547</c:v>
                </c:pt>
                <c:pt idx="11">
                  <c:v>41639</c:v>
                </c:pt>
                <c:pt idx="12">
                  <c:v>41729</c:v>
                </c:pt>
                <c:pt idx="13">
                  <c:v>41820</c:v>
                </c:pt>
                <c:pt idx="14">
                  <c:v>41912</c:v>
                </c:pt>
                <c:pt idx="15">
                  <c:v>42004</c:v>
                </c:pt>
                <c:pt idx="16">
                  <c:v>42094</c:v>
                </c:pt>
                <c:pt idx="17">
                  <c:v>42185</c:v>
                </c:pt>
                <c:pt idx="18">
                  <c:v>42277</c:v>
                </c:pt>
                <c:pt idx="19">
                  <c:v>42369</c:v>
                </c:pt>
                <c:pt idx="20">
                  <c:v>42460</c:v>
                </c:pt>
                <c:pt idx="21">
                  <c:v>42551</c:v>
                </c:pt>
                <c:pt idx="22">
                  <c:v>42643</c:v>
                </c:pt>
                <c:pt idx="23">
                  <c:v>42734</c:v>
                </c:pt>
                <c:pt idx="24">
                  <c:v>42825</c:v>
                </c:pt>
                <c:pt idx="25">
                  <c:v>42916</c:v>
                </c:pt>
                <c:pt idx="26">
                  <c:v>43007</c:v>
                </c:pt>
                <c:pt idx="27">
                  <c:v>43098</c:v>
                </c:pt>
                <c:pt idx="28">
                  <c:v>43189</c:v>
                </c:pt>
                <c:pt idx="29">
                  <c:v>43280</c:v>
                </c:pt>
                <c:pt idx="30">
                  <c:v>43371</c:v>
                </c:pt>
                <c:pt idx="31">
                  <c:v>43465</c:v>
                </c:pt>
                <c:pt idx="32">
                  <c:v>43553</c:v>
                </c:pt>
                <c:pt idx="33">
                  <c:v>43644</c:v>
                </c:pt>
                <c:pt idx="34">
                  <c:v>43738</c:v>
                </c:pt>
                <c:pt idx="35">
                  <c:v>43830</c:v>
                </c:pt>
                <c:pt idx="36">
                  <c:v>43921</c:v>
                </c:pt>
                <c:pt idx="37">
                  <c:v>44012</c:v>
                </c:pt>
                <c:pt idx="38">
                  <c:v>44104</c:v>
                </c:pt>
                <c:pt idx="39">
                  <c:v>44196</c:v>
                </c:pt>
                <c:pt idx="40">
                  <c:v>44286</c:v>
                </c:pt>
                <c:pt idx="41">
                  <c:v>44377</c:v>
                </c:pt>
                <c:pt idx="42">
                  <c:v>44469</c:v>
                </c:pt>
                <c:pt idx="43">
                  <c:v>44561</c:v>
                </c:pt>
                <c:pt idx="44">
                  <c:v>44651</c:v>
                </c:pt>
                <c:pt idx="45">
                  <c:v>44742</c:v>
                </c:pt>
                <c:pt idx="46">
                  <c:v>44834</c:v>
                </c:pt>
                <c:pt idx="47">
                  <c:v>44925</c:v>
                </c:pt>
                <c:pt idx="48">
                  <c:v>45016</c:v>
                </c:pt>
                <c:pt idx="49">
                  <c:v>45107</c:v>
                </c:pt>
                <c:pt idx="50">
                  <c:v>45198</c:v>
                </c:pt>
                <c:pt idx="51">
                  <c:v>45289</c:v>
                </c:pt>
                <c:pt idx="52">
                  <c:v>45380</c:v>
                </c:pt>
                <c:pt idx="53">
                  <c:v>45471</c:v>
                </c:pt>
                <c:pt idx="54">
                  <c:v>45565</c:v>
                </c:pt>
                <c:pt idx="55">
                  <c:v>45657</c:v>
                </c:pt>
                <c:pt idx="56">
                  <c:v>45747</c:v>
                </c:pt>
                <c:pt idx="57">
                  <c:v>45838</c:v>
                </c:pt>
                <c:pt idx="58">
                  <c:v>45930</c:v>
                </c:pt>
                <c:pt idx="59">
                  <c:v>46022</c:v>
                </c:pt>
                <c:pt idx="60">
                  <c:v>46112</c:v>
                </c:pt>
              </c:numCache>
            </c:numRef>
          </c:cat>
          <c:val>
            <c:numRef>
              <c:f>'Report figures'!$AE$256:$AE$316</c:f>
              <c:numCache>
                <c:formatCode>0.00%</c:formatCode>
                <c:ptCount val="61"/>
                <c:pt idx="0">
                  <c:v>9.2976000000000003E-2</c:v>
                </c:pt>
                <c:pt idx="1">
                  <c:v>9.7483E-2</c:v>
                </c:pt>
                <c:pt idx="2">
                  <c:v>9.8402000000000003E-2</c:v>
                </c:pt>
                <c:pt idx="3">
                  <c:v>9.7957000000000002E-2</c:v>
                </c:pt>
                <c:pt idx="4">
                  <c:v>9.9650000000000002E-2</c:v>
                </c:pt>
                <c:pt idx="5">
                  <c:v>0.100717</c:v>
                </c:pt>
                <c:pt idx="6">
                  <c:v>0.101316</c:v>
                </c:pt>
                <c:pt idx="7">
                  <c:v>0.10463700000000001</c:v>
                </c:pt>
                <c:pt idx="8">
                  <c:v>0.10100300000000001</c:v>
                </c:pt>
                <c:pt idx="9">
                  <c:v>0.106903</c:v>
                </c:pt>
                <c:pt idx="10">
                  <c:v>9.5364000000000004E-2</c:v>
                </c:pt>
                <c:pt idx="11">
                  <c:v>7.7220999999999998E-2</c:v>
                </c:pt>
                <c:pt idx="12">
                  <c:v>7.7285999999999994E-2</c:v>
                </c:pt>
                <c:pt idx="13">
                  <c:v>9.1020999999999991E-2</c:v>
                </c:pt>
                <c:pt idx="14">
                  <c:v>9.1395000000000004E-2</c:v>
                </c:pt>
                <c:pt idx="15">
                  <c:v>9.1499999999999998E-2</c:v>
                </c:pt>
                <c:pt idx="16">
                  <c:v>9.3400000000000011E-2</c:v>
                </c:pt>
                <c:pt idx="17">
                  <c:v>8.9724999999999999E-2</c:v>
                </c:pt>
                <c:pt idx="18">
                  <c:v>8.8075000000000001E-2</c:v>
                </c:pt>
                <c:pt idx="19">
                  <c:v>9.3299999999999994E-2</c:v>
                </c:pt>
                <c:pt idx="20">
                  <c:v>9.2075000000000004E-2</c:v>
                </c:pt>
                <c:pt idx="21">
                  <c:v>8.8849999999999998E-2</c:v>
                </c:pt>
                <c:pt idx="22">
                  <c:v>7.7875E-2</c:v>
                </c:pt>
                <c:pt idx="23">
                  <c:v>7.5725000000000001E-2</c:v>
                </c:pt>
                <c:pt idx="24">
                  <c:v>7.6200000000000004E-2</c:v>
                </c:pt>
                <c:pt idx="25">
                  <c:v>6.7500000000000004E-2</c:v>
                </c:pt>
                <c:pt idx="26">
                  <c:v>6.8174999999999999E-2</c:v>
                </c:pt>
                <c:pt idx="27">
                  <c:v>6.8250000000000005E-2</c:v>
                </c:pt>
                <c:pt idx="28">
                  <c:v>7.0199999999999999E-2</c:v>
                </c:pt>
                <c:pt idx="29">
                  <c:v>6.7875000000000005E-2</c:v>
                </c:pt>
                <c:pt idx="30">
                  <c:v>7.331E-2</c:v>
                </c:pt>
                <c:pt idx="31">
                  <c:v>7.461000000000001E-2</c:v>
                </c:pt>
                <c:pt idx="32">
                  <c:v>7.4110000000000009E-2</c:v>
                </c:pt>
                <c:pt idx="33">
                  <c:v>7.1179999999999993E-2</c:v>
                </c:pt>
                <c:pt idx="34">
                  <c:v>7.041E-2</c:v>
                </c:pt>
                <c:pt idx="35">
                  <c:v>6.4350000000000004E-2</c:v>
                </c:pt>
                <c:pt idx="36">
                  <c:v>5.978E-2</c:v>
                </c:pt>
                <c:pt idx="37">
                  <c:v>6.2880000000000005E-2</c:v>
                </c:pt>
                <c:pt idx="38">
                  <c:v>6.1010000000000002E-2</c:v>
                </c:pt>
                <c:pt idx="39">
                  <c:v>6.2840000000000007E-2</c:v>
                </c:pt>
                <c:pt idx="40">
                  <c:v>6.1340000000000006E-2</c:v>
                </c:pt>
                <c:pt idx="41">
                  <c:v>5.7209999999999997E-2</c:v>
                </c:pt>
                <c:pt idx="42">
                  <c:v>5.6950000000000001E-2</c:v>
                </c:pt>
                <c:pt idx="43">
                  <c:v>6.0160000000000005E-2</c:v>
                </c:pt>
                <c:pt idx="44">
                  <c:v>6.2939999999999996E-2</c:v>
                </c:pt>
                <c:pt idx="45">
                  <c:v>5.987E-2</c:v>
                </c:pt>
                <c:pt idx="46">
                  <c:v>6.1859999999999998E-2</c:v>
                </c:pt>
                <c:pt idx="47">
                  <c:v>6.1719999999999997E-2</c:v>
                </c:pt>
                <c:pt idx="48">
                  <c:v>6.4149999999999999E-2</c:v>
                </c:pt>
                <c:pt idx="49">
                  <c:v>6.4149999999999999E-2</c:v>
                </c:pt>
                <c:pt idx="50">
                  <c:v>6.2390000000000001E-2</c:v>
                </c:pt>
                <c:pt idx="51">
                  <c:v>6.0969999999999996E-2</c:v>
                </c:pt>
                <c:pt idx="52">
                  <c:v>5.7430000000000002E-2</c:v>
                </c:pt>
                <c:pt idx="53">
                  <c:v>5.2909999999999999E-2</c:v>
                </c:pt>
                <c:pt idx="54">
                  <c:v>4.8100000000000004E-2</c:v>
                </c:pt>
                <c:pt idx="55">
                  <c:v>4.8739999999999999E-2</c:v>
                </c:pt>
                <c:pt idx="56">
                  <c:v>4.4999999999999998E-2</c:v>
                </c:pt>
                <c:pt idx="57">
                  <c:v>4.403E-2</c:v>
                </c:pt>
                <c:pt idx="58">
                  <c:v>4.3930000000000004E-2</c:v>
                </c:pt>
                <c:pt idx="59">
                  <c:v>4.3430000000000003E-2</c:v>
                </c:pt>
                <c:pt idx="60">
                  <c:v>4.7080000000000004E-2</c:v>
                </c:pt>
              </c:numCache>
            </c:numRef>
          </c:val>
          <c:smooth val="0"/>
          <c:extLst>
            <c:ext xmlns:c16="http://schemas.microsoft.com/office/drawing/2014/chart" uri="{C3380CC4-5D6E-409C-BE32-E72D297353CC}">
              <c16:uniqueId val="{00000002-3C65-274C-9FD8-37F24F2887E4}"/>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yyyy" sourceLinked="0"/>
        <c:majorTickMark val="none"/>
        <c:minorTickMark val="none"/>
        <c:tickLblPos val="low"/>
        <c:spPr>
          <a:ln w="9360">
            <a:solidFill>
              <a:srgbClr val="B8BEC6"/>
            </a:solidFill>
            <a:prstDash val="solid"/>
          </a:ln>
        </c:spPr>
        <c:txPr>
          <a:bodyPr/>
          <a:lstStyle/>
          <a:p>
            <a:pPr>
              <a:defRPr sz="900" b="0">
                <a:solidFill>
                  <a:srgbClr val="3A4250"/>
                </a:solidFill>
                <a:latin typeface="Calibri"/>
              </a:defRPr>
            </a:pPr>
            <a:endParaRPr lang="en-US"/>
          </a:p>
        </c:txPr>
        <c:crossAx val="100"/>
        <c:crosses val="autoZero"/>
        <c:auto val="1"/>
        <c:lblOffset val="100"/>
        <c:baseTimeUnit val="months"/>
        <c:majorUnit val="8"/>
      </c:dateAx>
      <c:valAx>
        <c:axId val="100"/>
        <c:scaling>
          <c:orientation val="minMax"/>
        </c:scaling>
        <c:delete val="0"/>
        <c:axPos val="l"/>
        <c:majorGridlines>
          <c:spPr>
            <a:ln w="9360">
              <a:solidFill>
                <a:srgbClr val="E3E6EA"/>
              </a:solidFill>
              <a:prstDash val="solid"/>
            </a:ln>
          </c:spPr>
        </c:majorGridlines>
        <c:title>
          <c:tx>
            <c:rich>
              <a:bodyPr/>
              <a:lstStyle/>
              <a:p>
                <a:pPr>
                  <a:defRPr sz="900" b="0">
                    <a:solidFill>
                      <a:srgbClr val="3A4250"/>
                    </a:solidFill>
                    <a:latin typeface="Calibri"/>
                  </a:defRPr>
                </a:pPr>
                <a:r>
                  <a:rPr lang="en-AU" sz="900" b="0">
                    <a:solidFill>
                      <a:srgbClr val="3A4250"/>
                    </a:solidFill>
                    <a:latin typeface="Calibri"/>
                  </a:rPr>
                  <a:t>Annualised 5-year return</a:t>
                </a:r>
              </a:p>
            </c:rich>
          </c:tx>
          <c:overlay val="0"/>
        </c:title>
        <c:numFmt formatCode="0%" sourceLinked="0"/>
        <c:majorTickMark val="none"/>
        <c:minorTickMark val="none"/>
        <c:tickLblPos val="nextTo"/>
        <c:spPr>
          <a:ln w="9360">
            <a:solidFill>
              <a:srgbClr val="B8BEC6"/>
            </a:solidFill>
            <a:prstDash val="solid"/>
          </a:ln>
        </c:spPr>
        <c:txPr>
          <a:bodyPr/>
          <a:lstStyle/>
          <a:p>
            <a:pPr>
              <a:defRPr sz="900" b="0">
                <a:solidFill>
                  <a:srgbClr val="3A4250"/>
                </a:solidFill>
                <a:latin typeface="Calibri"/>
              </a:defRPr>
            </a:pPr>
            <a:endParaRPr lang="en-US"/>
          </a:p>
        </c:txPr>
        <c:crossAx val="10"/>
        <c:crosses val="autoZero"/>
        <c:crossBetween val="between"/>
      </c:valAx>
      <c:spPr>
        <a:noFill/>
        <a:ln>
          <a:noFill/>
          <a:prstDash val="solid"/>
        </a:ln>
      </c:spPr>
    </c:plotArea>
    <c:legend>
      <c:legendPos val="b"/>
      <c:overlay val="1"/>
      <c:txPr>
        <a:bodyPr/>
        <a:lstStyle/>
        <a:p>
          <a:pPr>
            <a:defRPr sz="900" b="0">
              <a:solidFill>
                <a:srgbClr val="3A4250"/>
              </a:solidFill>
              <a:latin typeface="Calibri"/>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oneCellAnchor>
    <xdr:from>
      <xdr:col>0</xdr:col>
      <xdr:colOff>0</xdr:colOff>
      <xdr:row>32</xdr:row>
      <xdr:rowOff>0</xdr:rowOff>
    </xdr:from>
    <xdr:ext cx="5580000" cy="324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51</xdr:row>
      <xdr:rowOff>0</xdr:rowOff>
    </xdr:from>
    <xdr:ext cx="5580000" cy="324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21</xdr:row>
      <xdr:rowOff>0</xdr:rowOff>
    </xdr:from>
    <xdr:ext cx="7200000" cy="360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47</xdr:row>
      <xdr:rowOff>0</xdr:rowOff>
    </xdr:from>
    <xdr:ext cx="7200000" cy="360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73</xdr:row>
      <xdr:rowOff>0</xdr:rowOff>
    </xdr:from>
    <xdr:ext cx="7200000" cy="3600000"/>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0</xdr:colOff>
      <xdr:row>99</xdr:row>
      <xdr:rowOff>0</xdr:rowOff>
    </xdr:from>
    <xdr:ext cx="7200000" cy="3600000"/>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0</xdr:colOff>
      <xdr:row>125</xdr:row>
      <xdr:rowOff>0</xdr:rowOff>
    </xdr:from>
    <xdr:ext cx="7200000" cy="3600000"/>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0</xdr:colOff>
      <xdr:row>151</xdr:row>
      <xdr:rowOff>0</xdr:rowOff>
    </xdr:from>
    <xdr:ext cx="7200000" cy="3600000"/>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0</xdr:colOff>
      <xdr:row>177</xdr:row>
      <xdr:rowOff>0</xdr:rowOff>
    </xdr:from>
    <xdr:ext cx="7200000" cy="3600000"/>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0</xdr:col>
      <xdr:colOff>0</xdr:colOff>
      <xdr:row>203</xdr:row>
      <xdr:rowOff>0</xdr:rowOff>
    </xdr:from>
    <xdr:ext cx="7200000" cy="3600000"/>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0</xdr:col>
      <xdr:colOff>0</xdr:colOff>
      <xdr:row>229</xdr:row>
      <xdr:rowOff>0</xdr:rowOff>
    </xdr:from>
    <xdr:ext cx="7200000" cy="3600000"/>
    <xdr:graphicFrame macro="">
      <xdr:nvGraphicFramePr>
        <xdr:cNvPr id="10" name="Chart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oneCellAnchor>
    <xdr:from>
      <xdr:col>0</xdr:col>
      <xdr:colOff>0</xdr:colOff>
      <xdr:row>255</xdr:row>
      <xdr:rowOff>0</xdr:rowOff>
    </xdr:from>
    <xdr:ext cx="7200000" cy="3600000"/>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oneCellAnchor>
  <xdr:oneCellAnchor>
    <xdr:from>
      <xdr:col>0</xdr:col>
      <xdr:colOff>0</xdr:colOff>
      <xdr:row>281</xdr:row>
      <xdr:rowOff>0</xdr:rowOff>
    </xdr:from>
    <xdr:ext cx="7200000" cy="3600000"/>
    <xdr:graphicFrame macro="">
      <xdr:nvGraphicFramePr>
        <xdr:cNvPr id="12" name="Chart 11">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oneCellAnchor>
  <xdr:oneCellAnchor>
    <xdr:from>
      <xdr:col>0</xdr:col>
      <xdr:colOff>0</xdr:colOff>
      <xdr:row>307</xdr:row>
      <xdr:rowOff>0</xdr:rowOff>
    </xdr:from>
    <xdr:ext cx="7200000" cy="3600000"/>
    <xdr:graphicFrame macro="">
      <xdr:nvGraphicFramePr>
        <xdr:cNvPr id="13" name="Chart 12">
          <a:extLst>
            <a:ext uri="{FF2B5EF4-FFF2-40B4-BE49-F238E27FC236}">
              <a16:creationId xmlns:a16="http://schemas.microsoft.com/office/drawing/2014/main" id="{00000000-0008-0000-01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oneCellAnchor>
  <xdr:oneCellAnchor>
    <xdr:from>
      <xdr:col>0</xdr:col>
      <xdr:colOff>0</xdr:colOff>
      <xdr:row>333</xdr:row>
      <xdr:rowOff>0</xdr:rowOff>
    </xdr:from>
    <xdr:ext cx="7200000" cy="3600000"/>
    <xdr:graphicFrame macro="">
      <xdr:nvGraphicFramePr>
        <xdr:cNvPr id="14" name="Chart 13">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53</xdr:row>
      <xdr:rowOff>0</xdr:rowOff>
    </xdr:from>
    <xdr:ext cx="6480000" cy="324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10</xdr:col>
      <xdr:colOff>0</xdr:colOff>
      <xdr:row>53</xdr:row>
      <xdr:rowOff>0</xdr:rowOff>
    </xdr:from>
    <xdr:ext cx="7200000" cy="3600000"/>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69</xdr:row>
      <xdr:rowOff>0</xdr:rowOff>
    </xdr:from>
    <xdr:ext cx="6120000" cy="306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11</xdr:col>
      <xdr:colOff>0</xdr:colOff>
      <xdr:row>18</xdr:row>
      <xdr:rowOff>0</xdr:rowOff>
    </xdr:from>
    <xdr:ext cx="6120000" cy="3060000"/>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03864"/>
    <pageSetUpPr fitToPage="1"/>
  </sheetPr>
  <dimension ref="A1:K54"/>
  <sheetViews>
    <sheetView showGridLines="0" workbookViewId="0">
      <selection activeCell="L11" sqref="L11"/>
    </sheetView>
  </sheetViews>
  <sheetFormatPr baseColWidth="10" defaultColWidth="8.83203125" defaultRowHeight="15" x14ac:dyDescent="0.2"/>
  <cols>
    <col min="1" max="1" width="36" customWidth="1"/>
    <col min="2" max="2" width="17" customWidth="1"/>
    <col min="3" max="3" width="12" customWidth="1"/>
    <col min="4" max="4" width="13" customWidth="1"/>
    <col min="5" max="5" width="14" customWidth="1"/>
    <col min="6" max="6" width="12" customWidth="1"/>
    <col min="7" max="7" width="3" customWidth="1"/>
    <col min="8" max="8" width="40" customWidth="1"/>
    <col min="9" max="9" width="12" customWidth="1"/>
    <col min="10" max="10" width="14" customWidth="1"/>
    <col min="11" max="11" width="15" customWidth="1"/>
  </cols>
  <sheetData>
    <row r="1" spans="1:11" ht="19" x14ac:dyDescent="0.2">
      <c r="A1" s="53" t="s">
        <v>0</v>
      </c>
    </row>
    <row r="2" spans="1:11" x14ac:dyDescent="0.2">
      <c r="A2" s="54" t="s">
        <v>1</v>
      </c>
      <c r="B2" s="409" t="str">
        <f>Checks!B4</f>
        <v>ALL CHECKS PASS</v>
      </c>
      <c r="D2" s="54" t="s">
        <v>2</v>
      </c>
      <c r="E2" s="54" t="str">
        <f>Methods!B2</f>
        <v>Robust MVO</v>
      </c>
    </row>
    <row r="4" spans="1:11" x14ac:dyDescent="0.2">
      <c r="A4" s="55" t="s">
        <v>3</v>
      </c>
      <c r="B4" s="56"/>
      <c r="C4" s="56"/>
      <c r="D4" s="56"/>
      <c r="E4" s="56"/>
      <c r="F4" s="57"/>
      <c r="H4" s="58" t="s">
        <v>4</v>
      </c>
      <c r="I4" s="59"/>
      <c r="J4" s="59"/>
      <c r="K4" s="60"/>
    </row>
    <row r="5" spans="1:11" ht="28" x14ac:dyDescent="0.2">
      <c r="A5" s="61" t="s">
        <v>5</v>
      </c>
      <c r="B5" s="62" t="s">
        <v>6</v>
      </c>
      <c r="C5" s="62" t="s">
        <v>7</v>
      </c>
      <c r="D5" s="62" t="s">
        <v>8</v>
      </c>
      <c r="E5" s="62" t="s">
        <v>9</v>
      </c>
      <c r="F5" s="63" t="s">
        <v>10</v>
      </c>
      <c r="H5" s="64" t="s">
        <v>11</v>
      </c>
      <c r="I5" s="65" t="s">
        <v>12</v>
      </c>
      <c r="J5" s="65" t="s">
        <v>8</v>
      </c>
      <c r="K5" s="66" t="s">
        <v>13</v>
      </c>
    </row>
    <row r="6" spans="1:11" x14ac:dyDescent="0.2">
      <c r="A6" s="67" t="s">
        <v>14</v>
      </c>
      <c r="B6" s="68">
        <f>Portfolio!C6</f>
        <v>0.4</v>
      </c>
      <c r="C6" s="68">
        <f>Portfolio!D6</f>
        <v>0.25</v>
      </c>
      <c r="D6" s="69">
        <f>Portfolio!E6</f>
        <v>0.2697</v>
      </c>
      <c r="E6" s="68">
        <f>Portfolio!I6</f>
        <v>-0.13030000000000003</v>
      </c>
      <c r="F6" s="70">
        <f>Portfolio!J6</f>
        <v>-390.90000000000009</v>
      </c>
      <c r="H6" s="71" t="s">
        <v>15</v>
      </c>
      <c r="I6" s="72">
        <f>Inputs!$B$25</f>
        <v>8.9880000000000002E-2</v>
      </c>
      <c r="J6" s="72">
        <f>Risk!N58</f>
        <v>7.1373051138514956E-2</v>
      </c>
      <c r="K6" s="414" t="str">
        <f>IF(J6&gt;=I6,"MET",IF(Forecast!G18&lt;I6,"MAX FEASIBLE","NOT MET"))</f>
        <v>MAX FEASIBLE</v>
      </c>
    </row>
    <row r="7" spans="1:11" x14ac:dyDescent="0.2">
      <c r="A7" s="67" t="s">
        <v>16</v>
      </c>
      <c r="B7" s="68">
        <f>Portfolio!C7</f>
        <v>0.2</v>
      </c>
      <c r="C7" s="68">
        <f>Portfolio!D7</f>
        <v>0.24</v>
      </c>
      <c r="D7" s="69">
        <f>Portfolio!E7</f>
        <v>0.2732</v>
      </c>
      <c r="E7" s="68">
        <f>Portfolio!I7</f>
        <v>7.3199999999999987E-2</v>
      </c>
      <c r="F7" s="70">
        <f>Portfolio!J7</f>
        <v>219.59999999999997</v>
      </c>
      <c r="H7" s="71" t="s">
        <v>17</v>
      </c>
      <c r="I7" s="72">
        <f>Risk!M56</f>
        <v>8.3833964159733848E-2</v>
      </c>
      <c r="J7" s="72">
        <f>Risk!M58</f>
        <v>7.875064259614814E-2</v>
      </c>
      <c r="K7" s="411" t="str">
        <f>IF(J7&lt;=I7,"MET","NOT MET")</f>
        <v>MET</v>
      </c>
    </row>
    <row r="8" spans="1:11" x14ac:dyDescent="0.2">
      <c r="A8" s="67" t="s">
        <v>18</v>
      </c>
      <c r="B8" s="68">
        <f>Portfolio!C8</f>
        <v>0</v>
      </c>
      <c r="C8" s="68">
        <f>Portfolio!D8</f>
        <v>0.03</v>
      </c>
      <c r="D8" s="69">
        <f>Portfolio!E8</f>
        <v>7.7100000000000002E-2</v>
      </c>
      <c r="E8" s="68">
        <f>Portfolio!I8</f>
        <v>7.7100000000000002E-2</v>
      </c>
      <c r="F8" s="70">
        <f>Portfolio!J8</f>
        <v>231.3</v>
      </c>
      <c r="H8" s="71" t="s">
        <v>19</v>
      </c>
      <c r="I8" s="68">
        <f>Inputs!$B$28</f>
        <v>0.25</v>
      </c>
      <c r="J8" s="68">
        <f>Bootstrap!D6</f>
        <v>7.3999999999999996E-2</v>
      </c>
      <c r="K8" s="411" t="str">
        <f>IF(J8&lt;=I8,"MET","NOT MET")</f>
        <v>MET</v>
      </c>
    </row>
    <row r="9" spans="1:11" x14ac:dyDescent="0.2">
      <c r="A9" s="67" t="s">
        <v>20</v>
      </c>
      <c r="B9" s="68">
        <f>Portfolio!C9</f>
        <v>0.1</v>
      </c>
      <c r="C9" s="68">
        <f>Portfolio!D9</f>
        <v>7.0000000000000007E-2</v>
      </c>
      <c r="D9" s="69">
        <f>Portfolio!E9</f>
        <v>7.5399999999999995E-2</v>
      </c>
      <c r="E9" s="68">
        <f>Portfolio!I9</f>
        <v>-2.4600000000000011E-2</v>
      </c>
      <c r="F9" s="70">
        <f>Portfolio!J9</f>
        <v>-73.800000000000026</v>
      </c>
      <c r="H9" s="71" t="s">
        <v>21</v>
      </c>
      <c r="I9" s="68">
        <f>Inputs!$B$28</f>
        <v>0.25</v>
      </c>
      <c r="J9" s="68">
        <f>Bootstrap!D7</f>
        <v>2.6278647117227945E-2</v>
      </c>
      <c r="K9" s="411" t="str">
        <f>IF(J9&lt;=I9,"MET","NOT MET")</f>
        <v>MET</v>
      </c>
    </row>
    <row r="10" spans="1:11" x14ac:dyDescent="0.2">
      <c r="A10" s="67" t="s">
        <v>22</v>
      </c>
      <c r="B10" s="68">
        <f>Portfolio!C10</f>
        <v>0</v>
      </c>
      <c r="C10" s="68">
        <f>Portfolio!D10</f>
        <v>0.02</v>
      </c>
      <c r="D10" s="69">
        <f>Portfolio!E10</f>
        <v>0.03</v>
      </c>
      <c r="E10" s="68">
        <f>Portfolio!I10</f>
        <v>0.03</v>
      </c>
      <c r="F10" s="70">
        <f>Portfolio!J10</f>
        <v>90</v>
      </c>
      <c r="H10" s="71" t="s">
        <v>23</v>
      </c>
      <c r="I10" s="72">
        <f>Inputs!$B$27</f>
        <v>1.4999999999999999E-2</v>
      </c>
      <c r="J10" s="72">
        <f>Risk!O58</f>
        <v>1.0997193071421192E-2</v>
      </c>
      <c r="K10" s="411" t="str">
        <f>IF(J10&lt;=I10,"MET","NOT MET")</f>
        <v>MET</v>
      </c>
    </row>
    <row r="11" spans="1:11" x14ac:dyDescent="0.2">
      <c r="A11" s="67" t="s">
        <v>24</v>
      </c>
      <c r="B11" s="68">
        <f>Portfolio!C11</f>
        <v>0</v>
      </c>
      <c r="C11" s="68">
        <f>Portfolio!D11</f>
        <v>0.05</v>
      </c>
      <c r="D11" s="69">
        <f>Portfolio!E11</f>
        <v>0.05</v>
      </c>
      <c r="E11" s="68">
        <f>Portfolio!I11</f>
        <v>0.05</v>
      </c>
      <c r="F11" s="70">
        <f>Portfolio!J11</f>
        <v>150</v>
      </c>
      <c r="H11" s="71" t="s">
        <v>25</v>
      </c>
      <c r="I11" s="72">
        <f>Inputs!$B$27</f>
        <v>1.4999999999999999E-2</v>
      </c>
      <c r="J11" s="72">
        <f>Bootstrap!D12</f>
        <v>1.405107452298854E-2</v>
      </c>
      <c r="K11" s="411" t="str">
        <f>IF(J11&lt;=I11,"MET","NOT MET")</f>
        <v>MET</v>
      </c>
    </row>
    <row r="12" spans="1:11" x14ac:dyDescent="0.2">
      <c r="A12" s="67" t="s">
        <v>26</v>
      </c>
      <c r="B12" s="68">
        <f>Portfolio!C12</f>
        <v>0</v>
      </c>
      <c r="C12" s="68">
        <f>Portfolio!D12</f>
        <v>0.03</v>
      </c>
      <c r="D12" s="69">
        <f>Portfolio!E12</f>
        <v>0</v>
      </c>
      <c r="E12" s="68">
        <f>Portfolio!I12</f>
        <v>0</v>
      </c>
      <c r="F12" s="70">
        <f>Portfolio!J12</f>
        <v>0</v>
      </c>
      <c r="H12" s="71" t="s">
        <v>27</v>
      </c>
      <c r="I12" s="68">
        <f>Inputs!$B$31</f>
        <v>0.42000000000000004</v>
      </c>
      <c r="J12" s="68">
        <f>Portfolio!B34</f>
        <v>0.61999999999999988</v>
      </c>
      <c r="K12" s="411" t="str">
        <f>IF(J12&gt;=I12-0.000001,"MET","NOT MET")</f>
        <v>MET</v>
      </c>
    </row>
    <row r="13" spans="1:11" x14ac:dyDescent="0.2">
      <c r="A13" s="67" t="s">
        <v>28</v>
      </c>
      <c r="B13" s="68">
        <f>Portfolio!C13</f>
        <v>0</v>
      </c>
      <c r="C13" s="68">
        <f>Portfolio!D13</f>
        <v>0.03</v>
      </c>
      <c r="D13" s="69">
        <f>Portfolio!E13</f>
        <v>0.01</v>
      </c>
      <c r="E13" s="68">
        <f>Portfolio!I13</f>
        <v>0.01</v>
      </c>
      <c r="F13" s="70">
        <f>Portfolio!J13</f>
        <v>30</v>
      </c>
      <c r="H13" s="71" t="s">
        <v>29</v>
      </c>
      <c r="I13" s="68">
        <f>Inputs!$B$32</f>
        <v>0.62</v>
      </c>
      <c r="J13" s="68">
        <f>Portfolio!B34</f>
        <v>0.61999999999999988</v>
      </c>
      <c r="K13" s="411" t="str">
        <f>IF(J13&lt;=I13+0.000001,"MET","NOT MET")</f>
        <v>MET</v>
      </c>
    </row>
    <row r="14" spans="1:11" x14ac:dyDescent="0.2">
      <c r="A14" s="67" t="s">
        <v>30</v>
      </c>
      <c r="B14" s="68">
        <f>Portfolio!C14</f>
        <v>0.15</v>
      </c>
      <c r="C14" s="68">
        <f>Portfolio!D14</f>
        <v>0.14000000000000001</v>
      </c>
      <c r="D14" s="69">
        <f>Portfolio!E14</f>
        <v>0.13089999999999999</v>
      </c>
      <c r="E14" s="68">
        <f>Portfolio!I14</f>
        <v>-1.9100000000000006E-2</v>
      </c>
      <c r="F14" s="70">
        <f>Portfolio!J14</f>
        <v>-57.300000000000018</v>
      </c>
      <c r="H14" s="71" t="s">
        <v>31</v>
      </c>
      <c r="I14" s="68">
        <f>Inputs!$B$33</f>
        <v>0.3</v>
      </c>
      <c r="J14" s="68">
        <f>Portfolio!B35</f>
        <v>6.0000000000000005E-2</v>
      </c>
      <c r="K14" s="411" t="str">
        <f>IF(J14&lt;=I14,"MET","NOT MET")</f>
        <v>MET</v>
      </c>
    </row>
    <row r="15" spans="1:11" x14ac:dyDescent="0.2">
      <c r="A15" s="67" t="s">
        <v>32</v>
      </c>
      <c r="B15" s="68">
        <f>Portfolio!C15</f>
        <v>0.08</v>
      </c>
      <c r="C15" s="68">
        <f>Portfolio!D15</f>
        <v>0.11</v>
      </c>
      <c r="D15" s="69">
        <f>Portfolio!E15</f>
        <v>6.3700000000000007E-2</v>
      </c>
      <c r="E15" s="68">
        <f>Portfolio!I15</f>
        <v>-1.6299999999999995E-2</v>
      </c>
      <c r="F15" s="70">
        <f>Portfolio!J15</f>
        <v>-48.899999999999984</v>
      </c>
      <c r="H15" s="71" t="s">
        <v>33</v>
      </c>
      <c r="I15" s="68">
        <f>Inputs!$B$34</f>
        <v>0.02</v>
      </c>
      <c r="J15" s="68">
        <f>Portfolio!B36</f>
        <v>0.02</v>
      </c>
      <c r="K15" s="411" t="str">
        <f>IF(J15&gt;=I15,"MET","NOT MET")</f>
        <v>MET</v>
      </c>
    </row>
    <row r="16" spans="1:11" x14ac:dyDescent="0.2">
      <c r="A16" s="67" t="s">
        <v>34</v>
      </c>
      <c r="B16" s="68">
        <f>Portfolio!C16</f>
        <v>7.0000000000000007E-2</v>
      </c>
      <c r="C16" s="68">
        <f>Portfolio!D16</f>
        <v>0.03</v>
      </c>
      <c r="D16" s="69">
        <f>Portfolio!E16</f>
        <v>0.02</v>
      </c>
      <c r="E16" s="68">
        <f>Portfolio!I16</f>
        <v>-0.05</v>
      </c>
      <c r="F16" s="70">
        <f>Portfolio!J16</f>
        <v>-150</v>
      </c>
      <c r="H16" s="73" t="s">
        <v>35</v>
      </c>
      <c r="I16" s="74">
        <f>0</f>
        <v>0</v>
      </c>
      <c r="J16" s="74">
        <f>MIN(Portfolio!E6:E16)</f>
        <v>0</v>
      </c>
      <c r="K16" s="412" t="str">
        <f>IF(J16&gt;=I16-0.000001,"MET","NOT MET")</f>
        <v>MET</v>
      </c>
    </row>
    <row r="17" spans="1:11" x14ac:dyDescent="0.2">
      <c r="A17" s="75" t="s">
        <v>36</v>
      </c>
      <c r="B17" s="69">
        <f>SUM(B6:B16)</f>
        <v>1</v>
      </c>
      <c r="C17" s="69">
        <f>SUM(C6:C16)</f>
        <v>1.0000000000000002</v>
      </c>
      <c r="D17" s="69">
        <f>SUM(D6:D16)</f>
        <v>1</v>
      </c>
      <c r="E17" s="69">
        <f>SUM(E6:E16)</f>
        <v>-5.5511151231257827E-17</v>
      </c>
      <c r="F17" s="76">
        <f>SUM(F6:F16)</f>
        <v>0</v>
      </c>
    </row>
    <row r="18" spans="1:11" x14ac:dyDescent="0.2">
      <c r="A18" s="67" t="s">
        <v>37</v>
      </c>
      <c r="B18" s="77"/>
      <c r="C18" s="77"/>
      <c r="D18" s="68">
        <f>SUMPRODUCT(ABS(Portfolio!I6:I16))/2</f>
        <v>0.24030000000000001</v>
      </c>
      <c r="E18" s="77"/>
      <c r="F18" s="78"/>
    </row>
    <row r="19" spans="1:11" x14ac:dyDescent="0.2">
      <c r="A19" s="79" t="s">
        <v>38</v>
      </c>
      <c r="B19" s="80"/>
      <c r="C19" s="80"/>
      <c r="D19" s="81">
        <f>(SUMPRODUCT(Portfolio!E6:E16,Inputs!$D$5:$D$15)-SUMPRODUCT(Portfolio!C6:C16,Inputs!$D$5:$D$15))*Inputs!$B$22</f>
        <v>3.0847499999999997</v>
      </c>
      <c r="E19" s="80"/>
      <c r="F19" s="82"/>
    </row>
    <row r="22" spans="1:11" x14ac:dyDescent="0.2">
      <c r="A22" s="83" t="s">
        <v>39</v>
      </c>
      <c r="B22" s="84"/>
      <c r="C22" s="84"/>
      <c r="D22" s="84"/>
      <c r="E22" s="85"/>
      <c r="H22" s="86" t="s">
        <v>40</v>
      </c>
      <c r="I22" s="87"/>
      <c r="J22" s="87"/>
      <c r="K22" s="88"/>
    </row>
    <row r="23" spans="1:11" ht="28" x14ac:dyDescent="0.2">
      <c r="A23" s="89" t="s">
        <v>41</v>
      </c>
      <c r="B23" s="90" t="s">
        <v>6</v>
      </c>
      <c r="C23" s="90" t="s">
        <v>7</v>
      </c>
      <c r="D23" s="90" t="s">
        <v>8</v>
      </c>
      <c r="E23" s="91" t="s">
        <v>9</v>
      </c>
      <c r="H23" s="92" t="s">
        <v>42</v>
      </c>
      <c r="I23" s="93" t="s">
        <v>6</v>
      </c>
      <c r="J23" s="93" t="s">
        <v>7</v>
      </c>
      <c r="K23" s="94" t="s">
        <v>8</v>
      </c>
    </row>
    <row r="24" spans="1:11" x14ac:dyDescent="0.2">
      <c r="A24" s="95" t="s">
        <v>43</v>
      </c>
      <c r="B24" s="72">
        <f>Risk!N56</f>
        <v>7.1036033622111125E-2</v>
      </c>
      <c r="C24" s="72">
        <f>Risk!N57</f>
        <v>6.7685257170379112E-2</v>
      </c>
      <c r="D24" s="96">
        <f>Risk!N58</f>
        <v>7.1373051138514956E-2</v>
      </c>
      <c r="E24" s="97">
        <f t="shared" ref="E24:E30" si="0">D24-B24</f>
        <v>3.3701751640383137E-4</v>
      </c>
      <c r="H24" s="98" t="s">
        <v>44</v>
      </c>
      <c r="I24" s="68">
        <f>Stress!B26</f>
        <v>-0.24167170700493548</v>
      </c>
      <c r="J24" s="68">
        <f>Stress!B27</f>
        <v>-0.19300088608551058</v>
      </c>
      <c r="K24" s="99">
        <f>Stress!B28</f>
        <v>-0.24131526738452802</v>
      </c>
    </row>
    <row r="25" spans="1:11" x14ac:dyDescent="0.2">
      <c r="A25" s="95" t="s">
        <v>45</v>
      </c>
      <c r="B25" s="72">
        <f>Risk!M56</f>
        <v>8.3833964159733848E-2</v>
      </c>
      <c r="C25" s="72">
        <f>Risk!M57</f>
        <v>7.0134112008392299E-2</v>
      </c>
      <c r="D25" s="96">
        <f>Risk!M58</f>
        <v>7.875064259614814E-2</v>
      </c>
      <c r="E25" s="97">
        <f t="shared" si="0"/>
        <v>-5.0833215635857076E-3</v>
      </c>
      <c r="H25" s="98" t="s">
        <v>46</v>
      </c>
      <c r="I25" s="68">
        <f>Stress!C26</f>
        <v>-0.12092702523817271</v>
      </c>
      <c r="J25" s="68">
        <f>Stress!C27</f>
        <v>-9.1806484538445088E-2</v>
      </c>
      <c r="K25" s="99">
        <f>Stress!C28</f>
        <v>-0.11048429005790601</v>
      </c>
    </row>
    <row r="26" spans="1:11" x14ac:dyDescent="0.2">
      <c r="A26" s="95" t="s">
        <v>47</v>
      </c>
      <c r="B26" s="72">
        <f>Risk!O56</f>
        <v>2.1585026414092778E-2</v>
      </c>
      <c r="C26" s="72">
        <f>Risk!O57</f>
        <v>0</v>
      </c>
      <c r="D26" s="96">
        <f>Risk!O58</f>
        <v>1.0997193071421192E-2</v>
      </c>
      <c r="E26" s="97">
        <f t="shared" si="0"/>
        <v>-1.0587833342671585E-2</v>
      </c>
      <c r="H26" s="98" t="s">
        <v>48</v>
      </c>
      <c r="I26" s="68">
        <f>Stress!D26</f>
        <v>-7.2754437481492379E-2</v>
      </c>
      <c r="J26" s="68">
        <f>Stress!D27</f>
        <v>-7.2610797933692253E-2</v>
      </c>
      <c r="K26" s="99">
        <f>Stress!D28</f>
        <v>-7.2174037325547016E-2</v>
      </c>
    </row>
    <row r="27" spans="1:11" x14ac:dyDescent="0.2">
      <c r="A27" s="95" t="s">
        <v>49</v>
      </c>
      <c r="B27" s="72">
        <f>Bootstrap!B12</f>
        <v>1.5627426944787529E-2</v>
      </c>
      <c r="C27" s="72">
        <f>Bootstrap!C12</f>
        <v>0</v>
      </c>
      <c r="D27" s="96">
        <f>Bootstrap!D12</f>
        <v>1.405107452298854E-2</v>
      </c>
      <c r="E27" s="97">
        <f t="shared" si="0"/>
        <v>-1.5763524217989894E-3</v>
      </c>
      <c r="H27" s="100" t="s">
        <v>50</v>
      </c>
      <c r="I27" s="101">
        <f>Stress!E26</f>
        <v>-8.2609308004662318E-2</v>
      </c>
      <c r="J27" s="101">
        <f>Stress!E27</f>
        <v>-7.3910247008008134E-2</v>
      </c>
      <c r="K27" s="102">
        <f>Stress!E28</f>
        <v>-7.8202714049658631E-2</v>
      </c>
    </row>
    <row r="28" spans="1:11" x14ac:dyDescent="0.2">
      <c r="A28" s="95" t="s">
        <v>51</v>
      </c>
      <c r="B28" s="68">
        <f>Bootstrap!B6</f>
        <v>7.3999999999999996E-2</v>
      </c>
      <c r="C28" s="68">
        <f>Bootstrap!C6</f>
        <v>6.2E-2</v>
      </c>
      <c r="D28" s="69">
        <f>Bootstrap!D6</f>
        <v>7.3999999999999996E-2</v>
      </c>
      <c r="E28" s="103">
        <f t="shared" si="0"/>
        <v>0</v>
      </c>
    </row>
    <row r="29" spans="1:11" x14ac:dyDescent="0.2">
      <c r="A29" s="95" t="s">
        <v>52</v>
      </c>
      <c r="B29" s="68">
        <f>Bootstrap!B9</f>
        <v>0.40339614555805581</v>
      </c>
      <c r="C29" s="68">
        <f>Bootstrap!C9</f>
        <v>0.38418584063235506</v>
      </c>
      <c r="D29" s="69">
        <f>Bootstrap!D9</f>
        <v>0.40425217167352989</v>
      </c>
      <c r="E29" s="103">
        <f t="shared" si="0"/>
        <v>8.5602611547408447E-4</v>
      </c>
      <c r="H29" s="104" t="s">
        <v>53</v>
      </c>
      <c r="I29" s="105"/>
      <c r="J29" s="105"/>
      <c r="K29" s="106"/>
    </row>
    <row r="30" spans="1:11" x14ac:dyDescent="0.2">
      <c r="A30" s="107" t="s">
        <v>54</v>
      </c>
      <c r="B30" s="108">
        <f>SUMPRODUCT(Portfolio!C6:C16,Inputs!$D$5:$D$15)</f>
        <v>1.1200000000000001E-3</v>
      </c>
      <c r="C30" s="108">
        <f>SUMPRODUCT(Portfolio!D6:D16,Inputs!$D$5:$D$15)</f>
        <v>3.3799999999999993E-3</v>
      </c>
      <c r="D30" s="109">
        <f>SUMPRODUCT(Portfolio!E6:E16,Inputs!$D$5:$D$15)</f>
        <v>2.14825E-3</v>
      </c>
      <c r="E30" s="110">
        <f t="shared" si="0"/>
        <v>1.0282499999999999E-3</v>
      </c>
      <c r="H30" s="111" t="s">
        <v>55</v>
      </c>
      <c r="I30" s="112" t="s">
        <v>56</v>
      </c>
      <c r="J30" s="112" t="s">
        <v>57</v>
      </c>
      <c r="K30" s="113" t="s">
        <v>58</v>
      </c>
    </row>
    <row r="31" spans="1:11" x14ac:dyDescent="0.2">
      <c r="H31" s="114" t="s">
        <v>59</v>
      </c>
      <c r="I31" s="115">
        <f>Oil!C13</f>
        <v>-0.22998126837037369</v>
      </c>
      <c r="J31" s="116">
        <f>Oil!E13</f>
        <v>-1.5542332582841563</v>
      </c>
      <c r="K31" s="117">
        <f>Oil!F13</f>
        <v>0.18583320154964442</v>
      </c>
    </row>
    <row r="32" spans="1:11" x14ac:dyDescent="0.2">
      <c r="H32" s="114" t="s">
        <v>60</v>
      </c>
      <c r="I32" s="115">
        <f>Oil!C16</f>
        <v>8.7571807846546904E-2</v>
      </c>
      <c r="J32" s="116">
        <f>Oil!E16</f>
        <v>0.57873507370381094</v>
      </c>
      <c r="K32" s="117">
        <f>Oil!F16</f>
        <v>4.4450856881119619E-2</v>
      </c>
    </row>
    <row r="33" spans="8:11" x14ac:dyDescent="0.2">
      <c r="H33" s="114" t="s">
        <v>61</v>
      </c>
      <c r="I33" s="115">
        <f>Oil!C19</f>
        <v>2.6328844741709476</v>
      </c>
      <c r="J33" s="116">
        <f>Oil!E19</f>
        <v>1.4633797940211923</v>
      </c>
      <c r="K33" s="117">
        <f>Oil!F19</f>
        <v>0.16829169077054396</v>
      </c>
    </row>
    <row r="34" spans="8:11" x14ac:dyDescent="0.2">
      <c r="H34" s="118" t="s">
        <v>62</v>
      </c>
      <c r="I34" s="119"/>
      <c r="J34" s="119"/>
      <c r="K34" s="120">
        <f>Oil!B51</f>
        <v>0.10656934306569343</v>
      </c>
    </row>
    <row r="36" spans="8:11" x14ac:dyDescent="0.2">
      <c r="H36" s="121" t="s">
        <v>63</v>
      </c>
      <c r="I36" s="122"/>
      <c r="J36" s="122"/>
      <c r="K36" s="123"/>
    </row>
    <row r="37" spans="8:11" x14ac:dyDescent="0.2">
      <c r="H37" s="124" t="s">
        <v>64</v>
      </c>
      <c r="I37" s="125" t="s">
        <v>65</v>
      </c>
      <c r="J37" s="125" t="s">
        <v>66</v>
      </c>
      <c r="K37" s="126" t="s">
        <v>6</v>
      </c>
    </row>
    <row r="38" spans="8:11" x14ac:dyDescent="0.2">
      <c r="H38" s="127" t="s">
        <v>67</v>
      </c>
      <c r="I38" s="72">
        <f>Validation!B47</f>
        <v>9.0015266979247777E-2</v>
      </c>
      <c r="J38" s="72">
        <f>Validation!C47</f>
        <v>6.9929433986701595E-2</v>
      </c>
      <c r="K38" s="128">
        <f>Validation!D47</f>
        <v>7.8948233532036394E-2</v>
      </c>
    </row>
    <row r="39" spans="8:11" x14ac:dyDescent="0.2">
      <c r="H39" s="127" t="s">
        <v>68</v>
      </c>
      <c r="I39" s="72">
        <f>Validation!B49</f>
        <v>8.1380343155955367E-2</v>
      </c>
      <c r="J39" s="72">
        <f>Validation!C49</f>
        <v>6.6488181432846724E-2</v>
      </c>
      <c r="K39" s="128">
        <f>Validation!D49</f>
        <v>8.5331791083848724E-2</v>
      </c>
    </row>
    <row r="40" spans="8:11" x14ac:dyDescent="0.2">
      <c r="H40" s="127" t="s">
        <v>69</v>
      </c>
      <c r="I40" s="116">
        <f>Validation!B50</f>
        <v>1.1061057681551507</v>
      </c>
      <c r="J40" s="116">
        <f>Validation!C50</f>
        <v>1.051757357167763</v>
      </c>
      <c r="K40" s="129">
        <f>Validation!D50</f>
        <v>0.925191332904993</v>
      </c>
    </row>
    <row r="41" spans="8:11" x14ac:dyDescent="0.2">
      <c r="H41" s="130" t="s">
        <v>70</v>
      </c>
      <c r="I41" s="131"/>
      <c r="J41" s="131"/>
      <c r="K41" s="132" t="e">
        <f>MAX(Validation!E58:E60)</f>
        <v>#VALUE!</v>
      </c>
    </row>
    <row r="43" spans="8:11" x14ac:dyDescent="0.2">
      <c r="H43" s="121" t="s">
        <v>71</v>
      </c>
      <c r="I43" s="122"/>
      <c r="J43" s="122"/>
      <c r="K43" s="123"/>
    </row>
    <row r="44" spans="8:11" x14ac:dyDescent="0.2">
      <c r="H44" s="124" t="s">
        <v>64</v>
      </c>
      <c r="I44" s="125" t="s">
        <v>6</v>
      </c>
      <c r="J44" s="125" t="s">
        <v>7</v>
      </c>
      <c r="K44" s="126" t="s">
        <v>8</v>
      </c>
    </row>
    <row r="45" spans="8:11" x14ac:dyDescent="0.2">
      <c r="H45" s="127" t="s">
        <v>72</v>
      </c>
      <c r="I45" s="68">
        <f>'Track record'!M13</f>
        <v>0.73770491803278693</v>
      </c>
      <c r="J45" s="68">
        <f>'Track record'!N13</f>
        <v>0.78688524590163933</v>
      </c>
      <c r="K45" s="133">
        <f>'Track record'!O13</f>
        <v>0.78688524590163933</v>
      </c>
    </row>
    <row r="46" spans="8:11" x14ac:dyDescent="0.2">
      <c r="H46" s="127" t="s">
        <v>73</v>
      </c>
      <c r="I46" s="68">
        <f>'Track record'!M14</f>
        <v>6.5573770491803282E-2</v>
      </c>
      <c r="J46" s="68">
        <f>'Track record'!N14</f>
        <v>1.6393442622950821E-2</v>
      </c>
      <c r="K46" s="133">
        <f>'Track record'!O14</f>
        <v>8.1967213114754092E-2</v>
      </c>
    </row>
    <row r="47" spans="8:11" x14ac:dyDescent="0.2">
      <c r="H47" s="130" t="s">
        <v>74</v>
      </c>
      <c r="I47" s="134">
        <f>'Track record'!M16</f>
        <v>2.0263130315189906E-2</v>
      </c>
      <c r="J47" s="134">
        <v>0</v>
      </c>
      <c r="K47" s="135">
        <f>'Track record'!O16</f>
        <v>1.1703947828151791E-2</v>
      </c>
    </row>
    <row r="49" spans="8:11" x14ac:dyDescent="0.2">
      <c r="H49" s="136" t="s">
        <v>75</v>
      </c>
      <c r="I49" s="137"/>
      <c r="J49" s="137"/>
      <c r="K49" s="138"/>
    </row>
    <row r="50" spans="8:11" x14ac:dyDescent="0.2">
      <c r="H50" s="139" t="s">
        <v>64</v>
      </c>
      <c r="I50" s="140" t="s">
        <v>76</v>
      </c>
      <c r="J50" s="140"/>
      <c r="K50" s="141"/>
    </row>
    <row r="51" spans="8:11" x14ac:dyDescent="0.2">
      <c r="H51" s="142" t="s">
        <v>77</v>
      </c>
      <c r="I51" s="77"/>
      <c r="J51" s="77"/>
      <c r="K51" s="143" t="str">
        <f>COUNTIF(Methods!M22:M26,"MET")&amp;" of 5"</f>
        <v>5 of 5</v>
      </c>
    </row>
    <row r="52" spans="8:11" x14ac:dyDescent="0.2">
      <c r="H52" s="142" t="s">
        <v>78</v>
      </c>
      <c r="I52" s="77"/>
      <c r="J52" s="77"/>
      <c r="K52" s="144">
        <f>Methods!D33</f>
        <v>3.7499999999999992E-2</v>
      </c>
    </row>
    <row r="53" spans="8:11" x14ac:dyDescent="0.2">
      <c r="H53" s="142" t="s">
        <v>79</v>
      </c>
      <c r="I53" s="77"/>
      <c r="J53" s="77"/>
      <c r="K53" s="145">
        <f>Portfolio!D58</f>
        <v>1.4354874224652703E-3</v>
      </c>
    </row>
    <row r="54" spans="8:11" x14ac:dyDescent="0.2">
      <c r="H54" s="146" t="s">
        <v>80</v>
      </c>
      <c r="I54" s="147"/>
      <c r="J54" s="147"/>
      <c r="K54" s="148">
        <f>Validation!H79</f>
        <v>2.5864736485328573E-3</v>
      </c>
    </row>
  </sheetData>
  <conditionalFormatting sqref="B2">
    <cfRule type="cellIs" dxfId="33" priority="1" operator="equal">
      <formula>"ALL CHECKS PASS"</formula>
    </cfRule>
  </conditionalFormatting>
  <conditionalFormatting sqref="K6:K16">
    <cfRule type="cellIs" dxfId="32" priority="2" operator="equal">
      <formula>"MET"</formula>
    </cfRule>
    <cfRule type="cellIs" dxfId="31" priority="3" operator="equal">
      <formula>"PASS"</formula>
    </cfRule>
    <cfRule type="cellIs" dxfId="30" priority="4" operator="equal">
      <formula>"INFO"</formula>
    </cfRule>
    <cfRule type="cellIs" dxfId="29" priority="5" operator="equal">
      <formula>"NOT MET"</formula>
    </cfRule>
    <cfRule type="cellIs" dxfId="28" priority="6" operator="equal">
      <formula>"FAIL"</formula>
    </cfRule>
    <cfRule type="cellIs" dxfId="27" priority="7" operator="equal">
      <formula>"MAX FEASIBLE"</formula>
    </cfRule>
  </conditionalFormatting>
  <pageMargins left="0.75" right="0.75" top="1" bottom="1" header="0.5" footer="0.5"/>
  <pageSetup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03864"/>
    <pageSetUpPr fitToPage="1"/>
  </sheetPr>
  <dimension ref="A1:AE344"/>
  <sheetViews>
    <sheetView showGridLines="0" tabSelected="1" workbookViewId="0">
      <pane ySplit="2" topLeftCell="A3" activePane="bottomLeft" state="frozen"/>
      <selection pane="bottomLeft" activeCell="J7" sqref="J7"/>
    </sheetView>
  </sheetViews>
  <sheetFormatPr baseColWidth="10" defaultColWidth="8.83203125" defaultRowHeight="15" x14ac:dyDescent="0.2"/>
  <cols>
    <col min="1" max="5" width="9.5" customWidth="1"/>
    <col min="6" max="6" width="23.1640625" bestFit="1" customWidth="1"/>
    <col min="7" max="12" width="9.5" customWidth="1"/>
    <col min="13" max="13" width="3" customWidth="1"/>
    <col min="14" max="14" width="16" customWidth="1"/>
    <col min="15" max="19" width="11" customWidth="1"/>
    <col min="20" max="21" width="3" customWidth="1"/>
    <col min="22" max="22" width="12" customWidth="1"/>
    <col min="23" max="26" width="11" customWidth="1"/>
    <col min="27" max="27" width="3" customWidth="1"/>
    <col min="28" max="28" width="12" customWidth="1"/>
    <col min="29" max="31" width="11" customWidth="1"/>
  </cols>
  <sheetData>
    <row r="1" spans="1:6" ht="19" x14ac:dyDescent="0.2">
      <c r="A1" s="53" t="s">
        <v>81</v>
      </c>
    </row>
    <row r="3" spans="1:6" x14ac:dyDescent="0.2">
      <c r="A3" s="55" t="s">
        <v>82</v>
      </c>
      <c r="B3" s="56"/>
      <c r="C3" s="56"/>
      <c r="D3" s="56"/>
      <c r="E3" s="56"/>
      <c r="F3" s="57"/>
    </row>
    <row r="4" spans="1:6" ht="28" x14ac:dyDescent="0.2">
      <c r="A4" s="61" t="s">
        <v>83</v>
      </c>
      <c r="B4" s="62" t="s">
        <v>84</v>
      </c>
      <c r="C4" s="62"/>
      <c r="D4" s="62"/>
      <c r="E4" s="62"/>
      <c r="F4" s="63" t="s">
        <v>85</v>
      </c>
    </row>
    <row r="5" spans="1:6" x14ac:dyDescent="0.2">
      <c r="A5" s="75" t="s">
        <v>86</v>
      </c>
      <c r="B5" s="149" t="s">
        <v>87</v>
      </c>
      <c r="C5" s="77"/>
      <c r="D5" s="77"/>
      <c r="E5" s="77"/>
      <c r="F5" s="422" t="s">
        <v>88</v>
      </c>
    </row>
    <row r="6" spans="1:6" x14ac:dyDescent="0.2">
      <c r="A6" s="75" t="s">
        <v>89</v>
      </c>
      <c r="B6" s="149" t="s">
        <v>90</v>
      </c>
      <c r="C6" s="77"/>
      <c r="D6" s="77"/>
      <c r="E6" s="77"/>
      <c r="F6" s="422" t="s">
        <v>91</v>
      </c>
    </row>
    <row r="7" spans="1:6" x14ac:dyDescent="0.2">
      <c r="A7" s="75" t="s">
        <v>92</v>
      </c>
      <c r="B7" s="149" t="s">
        <v>93</v>
      </c>
      <c r="C7" s="77"/>
      <c r="D7" s="77"/>
      <c r="E7" s="77"/>
      <c r="F7" s="422" t="s">
        <v>94</v>
      </c>
    </row>
    <row r="8" spans="1:6" x14ac:dyDescent="0.2">
      <c r="A8" s="75" t="s">
        <v>95</v>
      </c>
      <c r="B8" s="149" t="s">
        <v>96</v>
      </c>
      <c r="C8" s="77"/>
      <c r="D8" s="77"/>
      <c r="E8" s="77"/>
      <c r="F8" s="422" t="s">
        <v>97</v>
      </c>
    </row>
    <row r="9" spans="1:6" x14ac:dyDescent="0.2">
      <c r="A9" s="75" t="s">
        <v>98</v>
      </c>
      <c r="B9" s="149" t="s">
        <v>99</v>
      </c>
      <c r="C9" s="77"/>
      <c r="D9" s="77"/>
      <c r="E9" s="77"/>
      <c r="F9" s="422" t="s">
        <v>100</v>
      </c>
    </row>
    <row r="10" spans="1:6" x14ac:dyDescent="0.2">
      <c r="A10" s="75" t="s">
        <v>101</v>
      </c>
      <c r="B10" s="149" t="s">
        <v>102</v>
      </c>
      <c r="C10" s="77"/>
      <c r="D10" s="77"/>
      <c r="E10" s="77"/>
      <c r="F10" s="422" t="s">
        <v>103</v>
      </c>
    </row>
    <row r="11" spans="1:6" x14ac:dyDescent="0.2">
      <c r="A11" s="75" t="s">
        <v>104</v>
      </c>
      <c r="B11" s="149" t="s">
        <v>105</v>
      </c>
      <c r="C11" s="77"/>
      <c r="D11" s="77"/>
      <c r="E11" s="77"/>
      <c r="F11" s="422" t="s">
        <v>91</v>
      </c>
    </row>
    <row r="12" spans="1:6" x14ac:dyDescent="0.2">
      <c r="A12" s="75" t="s">
        <v>106</v>
      </c>
      <c r="B12" s="149" t="s">
        <v>107</v>
      </c>
      <c r="C12" s="77"/>
      <c r="D12" s="77"/>
      <c r="E12" s="77"/>
      <c r="F12" s="422" t="s">
        <v>108</v>
      </c>
    </row>
    <row r="13" spans="1:6" x14ac:dyDescent="0.2">
      <c r="A13" s="75" t="s">
        <v>109</v>
      </c>
      <c r="B13" s="149" t="s">
        <v>110</v>
      </c>
      <c r="C13" s="77"/>
      <c r="D13" s="77"/>
      <c r="E13" s="77"/>
      <c r="F13" s="422" t="s">
        <v>108</v>
      </c>
    </row>
    <row r="14" spans="1:6" x14ac:dyDescent="0.2">
      <c r="A14" s="75" t="s">
        <v>111</v>
      </c>
      <c r="B14" s="149" t="s">
        <v>112</v>
      </c>
      <c r="C14" s="77"/>
      <c r="D14" s="77"/>
      <c r="E14" s="77"/>
      <c r="F14" s="422" t="s">
        <v>97</v>
      </c>
    </row>
    <row r="15" spans="1:6" x14ac:dyDescent="0.2">
      <c r="A15" s="75" t="s">
        <v>113</v>
      </c>
      <c r="B15" s="149" t="s">
        <v>114</v>
      </c>
      <c r="C15" s="77"/>
      <c r="D15" s="77"/>
      <c r="E15" s="77"/>
      <c r="F15" s="422" t="s">
        <v>115</v>
      </c>
    </row>
    <row r="16" spans="1:6" x14ac:dyDescent="0.2">
      <c r="A16" s="75" t="s">
        <v>116</v>
      </c>
      <c r="B16" s="149" t="s">
        <v>117</v>
      </c>
      <c r="C16" s="77"/>
      <c r="D16" s="77"/>
      <c r="E16" s="77"/>
      <c r="F16" s="422" t="s">
        <v>118</v>
      </c>
    </row>
    <row r="17" spans="1:18" x14ac:dyDescent="0.2">
      <c r="A17" s="150" t="s">
        <v>119</v>
      </c>
      <c r="B17" s="151" t="s">
        <v>120</v>
      </c>
      <c r="C17" s="80"/>
      <c r="D17" s="80"/>
      <c r="E17" s="80"/>
      <c r="F17" s="423" t="s">
        <v>121</v>
      </c>
    </row>
    <row r="20" spans="1:18" x14ac:dyDescent="0.2">
      <c r="A20" s="152" t="s">
        <v>122</v>
      </c>
      <c r="B20" s="153"/>
      <c r="C20" s="153"/>
      <c r="D20" s="153"/>
      <c r="E20" s="153"/>
      <c r="F20" s="153"/>
      <c r="G20" s="153"/>
      <c r="H20" s="153"/>
      <c r="I20" s="153"/>
      <c r="J20" s="153"/>
      <c r="K20" s="153"/>
      <c r="L20" s="154"/>
      <c r="N20" s="155" t="s">
        <v>123</v>
      </c>
    </row>
    <row r="21" spans="1:18" ht="28" x14ac:dyDescent="0.2">
      <c r="N21" s="156" t="s">
        <v>124</v>
      </c>
      <c r="O21" s="157" t="s">
        <v>125</v>
      </c>
      <c r="P21" s="157" t="s">
        <v>126</v>
      </c>
      <c r="Q21" s="157" t="s">
        <v>127</v>
      </c>
      <c r="R21" s="157" t="s">
        <v>128</v>
      </c>
    </row>
    <row r="22" spans="1:18" x14ac:dyDescent="0.2">
      <c r="N22" s="158" t="s">
        <v>129</v>
      </c>
      <c r="O22" s="159">
        <f>Validation!B125</f>
        <v>4.9433100365275109E-2</v>
      </c>
      <c r="P22" s="159">
        <f>Validation!B124</f>
        <v>6.2369554009411896E-2</v>
      </c>
      <c r="Q22" s="159">
        <f>Validation!B143</f>
        <v>6.0281372248438686E-2</v>
      </c>
      <c r="R22" s="159">
        <f>Validation!B142</f>
        <v>6.4978580460059138E-2</v>
      </c>
    </row>
    <row r="23" spans="1:18" x14ac:dyDescent="0.2">
      <c r="N23" s="158" t="s">
        <v>130</v>
      </c>
      <c r="O23" s="159">
        <f>Validation!C125</f>
        <v>5.2676263056367745E-2</v>
      </c>
      <c r="P23" s="159">
        <f>Validation!C124</f>
        <v>6.3528968913292364E-2</v>
      </c>
      <c r="Q23" s="159">
        <f>Validation!C143</f>
        <v>6.0923936055562414E-2</v>
      </c>
      <c r="R23" s="159">
        <f>Validation!C142</f>
        <v>6.568853482043277E-2</v>
      </c>
    </row>
    <row r="24" spans="1:18" x14ac:dyDescent="0.2">
      <c r="N24" s="158" t="s">
        <v>131</v>
      </c>
      <c r="O24" s="159">
        <f>Validation!D125</f>
        <v>5.610028856457016E-2</v>
      </c>
      <c r="P24" s="159">
        <f>Validation!D124</f>
        <v>6.4690287865627916E-2</v>
      </c>
      <c r="Q24" s="159">
        <f>Validation!D143</f>
        <v>6.2220178311382678E-2</v>
      </c>
      <c r="R24" s="159">
        <f>Validation!D142</f>
        <v>6.6400049192998259E-2</v>
      </c>
    </row>
    <row r="25" spans="1:18" x14ac:dyDescent="0.2">
      <c r="N25" s="158" t="s">
        <v>132</v>
      </c>
      <c r="O25" s="159">
        <f>Validation!E125</f>
        <v>5.9637711122052697E-2</v>
      </c>
      <c r="P25" s="159">
        <f>Validation!E124</f>
        <v>6.5848632214347474E-2</v>
      </c>
      <c r="Q25" s="159">
        <f>Validation!E143</f>
        <v>6.4037807446289466E-2</v>
      </c>
      <c r="R25" s="159">
        <f>Validation!E142</f>
        <v>6.7110267702114326E-2</v>
      </c>
    </row>
    <row r="26" spans="1:18" x14ac:dyDescent="0.2">
      <c r="N26" s="158" t="s">
        <v>133</v>
      </c>
      <c r="O26" s="159">
        <f>Validation!F125</f>
        <v>6.3204876467283011E-2</v>
      </c>
      <c r="P26" s="159">
        <f>Validation!F124</f>
        <v>6.7009140440661072E-2</v>
      </c>
      <c r="Q26" s="159">
        <f>Validation!F143</f>
        <v>6.607109237478577E-2</v>
      </c>
      <c r="R26" s="159">
        <f>Validation!F142</f>
        <v>6.7819562397975236E-2</v>
      </c>
    </row>
    <row r="27" spans="1:18" x14ac:dyDescent="0.2">
      <c r="N27" s="158" t="s">
        <v>134</v>
      </c>
      <c r="O27" s="159">
        <f>Validation!G125</f>
        <v>6.6799937243324184E-2</v>
      </c>
      <c r="P27" s="159">
        <f>Validation!G124</f>
        <v>6.8168636402828262E-2</v>
      </c>
      <c r="Q27" s="159">
        <f>Validation!G143</f>
        <v>6.8238969633792598E-2</v>
      </c>
      <c r="R27" s="159">
        <f>Validation!G142</f>
        <v>6.8533368900636132E-2</v>
      </c>
    </row>
    <row r="28" spans="1:18" x14ac:dyDescent="0.2">
      <c r="N28" s="158" t="s">
        <v>135</v>
      </c>
      <c r="O28" s="159">
        <f>Validation!H125</f>
        <v>7.0451556349092406E-2</v>
      </c>
      <c r="P28" s="159">
        <f>Validation!H124</f>
        <v>6.9330399838180734E-2</v>
      </c>
      <c r="Q28" s="159">
        <f>Validation!H143</f>
        <v>7.0487667882380409E-2</v>
      </c>
      <c r="R28" s="159">
        <f>Validation!H142</f>
        <v>6.924526134591806E-2</v>
      </c>
    </row>
    <row r="29" spans="1:18" x14ac:dyDescent="0.2">
      <c r="N29" s="158" t="s">
        <v>136</v>
      </c>
      <c r="O29" s="159">
        <f>Validation!I125</f>
        <v>7.4469911952620982E-2</v>
      </c>
      <c r="P29" s="159">
        <f>Validation!I124</f>
        <v>7.0489157194444957E-2</v>
      </c>
      <c r="Q29" s="159">
        <f>Validation!I143</f>
        <v>7.2813397900805363E-2</v>
      </c>
      <c r="R29" s="159">
        <f>Validation!I142</f>
        <v>6.9954397104518604E-2</v>
      </c>
    </row>
    <row r="30" spans="1:18" x14ac:dyDescent="0.2">
      <c r="N30" s="158" t="s">
        <v>137</v>
      </c>
      <c r="O30" s="159">
        <f>Validation!J125</f>
        <v>7.9018483234754827E-2</v>
      </c>
      <c r="P30" s="159">
        <f>Validation!J124</f>
        <v>7.1648332788718225E-2</v>
      </c>
      <c r="Q30" s="159">
        <f>Validation!J143</f>
        <v>7.5320167072069941E-2</v>
      </c>
      <c r="R30" s="159">
        <f>Validation!J142</f>
        <v>7.0662222914585959E-2</v>
      </c>
    </row>
    <row r="31" spans="1:18" x14ac:dyDescent="0.2">
      <c r="N31" s="158" t="s">
        <v>138</v>
      </c>
      <c r="O31" s="159">
        <f>Validation!K125</f>
        <v>8.8695807575308039E-2</v>
      </c>
      <c r="P31" s="159">
        <f>Validation!K124</f>
        <v>7.2808538560980227E-2</v>
      </c>
      <c r="Q31" s="159">
        <f>Validation!K143</f>
        <v>7.8750520975673324E-2</v>
      </c>
      <c r="R31" s="159">
        <f>Validation!K142</f>
        <v>7.1373064296758701E-2</v>
      </c>
    </row>
    <row r="32" spans="1:18" ht="28" x14ac:dyDescent="0.2">
      <c r="N32" s="156" t="s">
        <v>91</v>
      </c>
      <c r="O32" s="157" t="s">
        <v>139</v>
      </c>
      <c r="P32" s="157" t="s">
        <v>140</v>
      </c>
    </row>
    <row r="33" spans="1:17" x14ac:dyDescent="0.2">
      <c r="N33" s="158" t="s">
        <v>141</v>
      </c>
      <c r="O33" s="159">
        <f>Risk!M56</f>
        <v>8.3833964159733848E-2</v>
      </c>
      <c r="P33" s="159">
        <f>Risk!N56</f>
        <v>7.1036033622111125E-2</v>
      </c>
    </row>
    <row r="34" spans="1:17" x14ac:dyDescent="0.2">
      <c r="N34" s="158" t="s">
        <v>7</v>
      </c>
      <c r="O34" s="159">
        <f>Risk!M57</f>
        <v>7.0134112008392299E-2</v>
      </c>
      <c r="P34" s="159">
        <f>Risk!N57</f>
        <v>6.7685257170379112E-2</v>
      </c>
    </row>
    <row r="35" spans="1:17" x14ac:dyDescent="0.2">
      <c r="N35" s="158" t="s">
        <v>8</v>
      </c>
      <c r="O35" s="159">
        <f>Risk!M58</f>
        <v>7.875064259614814E-2</v>
      </c>
      <c r="P35" s="159">
        <f>Risk!N58</f>
        <v>7.1373051138514956E-2</v>
      </c>
    </row>
    <row r="36" spans="1:17" x14ac:dyDescent="0.2">
      <c r="N36" s="158" t="s">
        <v>142</v>
      </c>
      <c r="O36" s="159">
        <f>Methods!C23</f>
        <v>7.7717269946306719E-2</v>
      </c>
      <c r="P36" s="159">
        <f>Methods!B23</f>
        <v>7.1087442684535956E-2</v>
      </c>
    </row>
    <row r="37" spans="1:17" x14ac:dyDescent="0.2">
      <c r="N37" s="158" t="s">
        <v>143</v>
      </c>
      <c r="O37" s="159">
        <f>Methods!C24</f>
        <v>7.5055184078804668E-2</v>
      </c>
      <c r="P37" s="159">
        <f>Methods!B24</f>
        <v>6.9908335383927295E-2</v>
      </c>
    </row>
    <row r="38" spans="1:17" x14ac:dyDescent="0.2">
      <c r="N38" s="158" t="s">
        <v>144</v>
      </c>
      <c r="O38" s="159">
        <f>Methods!C25</f>
        <v>6.0281231664845364E-2</v>
      </c>
      <c r="P38" s="159">
        <f>Methods!B25</f>
        <v>6.4978593618302882E-2</v>
      </c>
    </row>
    <row r="39" spans="1:17" x14ac:dyDescent="0.2">
      <c r="N39" s="158" t="s">
        <v>145</v>
      </c>
      <c r="O39" s="159">
        <f>Methods!C26</f>
        <v>6.6508937513354086E-2</v>
      </c>
      <c r="P39" s="159">
        <f>Methods!B26</f>
        <v>6.7165833569283032E-2</v>
      </c>
    </row>
    <row r="46" spans="1:17" x14ac:dyDescent="0.2">
      <c r="A46" s="152" t="s">
        <v>146</v>
      </c>
      <c r="B46" s="153"/>
      <c r="C46" s="153"/>
      <c r="D46" s="153"/>
      <c r="E46" s="153"/>
      <c r="F46" s="153"/>
      <c r="G46" s="153"/>
      <c r="H46" s="153"/>
      <c r="I46" s="153"/>
      <c r="J46" s="153"/>
      <c r="K46" s="153"/>
      <c r="L46" s="154"/>
      <c r="N46" s="155" t="s">
        <v>147</v>
      </c>
    </row>
    <row r="47" spans="1:17" ht="28" x14ac:dyDescent="0.2">
      <c r="N47" s="156" t="s">
        <v>5</v>
      </c>
      <c r="O47" s="157" t="s">
        <v>141</v>
      </c>
      <c r="P47" s="157" t="s">
        <v>7</v>
      </c>
      <c r="Q47" s="157" t="s">
        <v>8</v>
      </c>
    </row>
    <row r="48" spans="1:17" x14ac:dyDescent="0.2">
      <c r="N48" s="158" t="s">
        <v>14</v>
      </c>
      <c r="O48" s="160">
        <f>Summary!B6</f>
        <v>0.4</v>
      </c>
      <c r="P48" s="160">
        <f>Summary!C6</f>
        <v>0.25</v>
      </c>
      <c r="Q48" s="160">
        <f>Summary!D6</f>
        <v>0.2697</v>
      </c>
    </row>
    <row r="49" spans="14:17" x14ac:dyDescent="0.2">
      <c r="N49" s="158" t="s">
        <v>16</v>
      </c>
      <c r="O49" s="160">
        <f>Summary!B7</f>
        <v>0.2</v>
      </c>
      <c r="P49" s="160">
        <f>Summary!C7</f>
        <v>0.24</v>
      </c>
      <c r="Q49" s="160">
        <f>Summary!D7</f>
        <v>0.2732</v>
      </c>
    </row>
    <row r="50" spans="14:17" x14ac:dyDescent="0.2">
      <c r="N50" s="158" t="s">
        <v>18</v>
      </c>
      <c r="O50" s="160">
        <f>Summary!B8</f>
        <v>0</v>
      </c>
      <c r="P50" s="160">
        <f>Summary!C8</f>
        <v>0.03</v>
      </c>
      <c r="Q50" s="160">
        <f>Summary!D8</f>
        <v>7.7100000000000002E-2</v>
      </c>
    </row>
    <row r="51" spans="14:17" x14ac:dyDescent="0.2">
      <c r="N51" s="158" t="s">
        <v>20</v>
      </c>
      <c r="O51" s="160">
        <f>Summary!B9</f>
        <v>0.1</v>
      </c>
      <c r="P51" s="160">
        <f>Summary!C9</f>
        <v>7.0000000000000007E-2</v>
      </c>
      <c r="Q51" s="160">
        <f>Summary!D9</f>
        <v>7.5399999999999995E-2</v>
      </c>
    </row>
    <row r="52" spans="14:17" x14ac:dyDescent="0.2">
      <c r="N52" s="158" t="s">
        <v>22</v>
      </c>
      <c r="O52" s="160">
        <f>Summary!B10</f>
        <v>0</v>
      </c>
      <c r="P52" s="160">
        <f>Summary!C10</f>
        <v>0.02</v>
      </c>
      <c r="Q52" s="160">
        <f>Summary!D10</f>
        <v>0.03</v>
      </c>
    </row>
    <row r="53" spans="14:17" x14ac:dyDescent="0.2">
      <c r="N53" s="158" t="s">
        <v>24</v>
      </c>
      <c r="O53" s="160">
        <f>Summary!B11</f>
        <v>0</v>
      </c>
      <c r="P53" s="160">
        <f>Summary!C11</f>
        <v>0.05</v>
      </c>
      <c r="Q53" s="160">
        <f>Summary!D11</f>
        <v>0.05</v>
      </c>
    </row>
    <row r="54" spans="14:17" x14ac:dyDescent="0.2">
      <c r="N54" s="158" t="s">
        <v>26</v>
      </c>
      <c r="O54" s="160">
        <f>Summary!B12</f>
        <v>0</v>
      </c>
      <c r="P54" s="160">
        <f>Summary!C12</f>
        <v>0.03</v>
      </c>
      <c r="Q54" s="160">
        <f>Summary!D12</f>
        <v>0</v>
      </c>
    </row>
    <row r="55" spans="14:17" x14ac:dyDescent="0.2">
      <c r="N55" s="158" t="s">
        <v>28</v>
      </c>
      <c r="O55" s="160">
        <f>Summary!B13</f>
        <v>0</v>
      </c>
      <c r="P55" s="160">
        <f>Summary!C13</f>
        <v>0.03</v>
      </c>
      <c r="Q55" s="160">
        <f>Summary!D13</f>
        <v>0.01</v>
      </c>
    </row>
    <row r="56" spans="14:17" x14ac:dyDescent="0.2">
      <c r="N56" s="158" t="s">
        <v>30</v>
      </c>
      <c r="O56" s="160">
        <f>Summary!B14</f>
        <v>0.15</v>
      </c>
      <c r="P56" s="160">
        <f>Summary!C14</f>
        <v>0.14000000000000001</v>
      </c>
      <c r="Q56" s="160">
        <f>Summary!D14</f>
        <v>0.13089999999999999</v>
      </c>
    </row>
    <row r="57" spans="14:17" x14ac:dyDescent="0.2">
      <c r="N57" s="158" t="s">
        <v>32</v>
      </c>
      <c r="O57" s="160">
        <f>Summary!B15</f>
        <v>0.08</v>
      </c>
      <c r="P57" s="160">
        <f>Summary!C15</f>
        <v>0.11</v>
      </c>
      <c r="Q57" s="160">
        <f>Summary!D15</f>
        <v>6.3700000000000007E-2</v>
      </c>
    </row>
    <row r="58" spans="14:17" x14ac:dyDescent="0.2">
      <c r="N58" s="158" t="s">
        <v>34</v>
      </c>
      <c r="O58" s="160">
        <f>Summary!B16</f>
        <v>7.0000000000000007E-2</v>
      </c>
      <c r="P58" s="160">
        <f>Summary!C16</f>
        <v>0.03</v>
      </c>
      <c r="Q58" s="160">
        <f>Summary!D16</f>
        <v>0.02</v>
      </c>
    </row>
    <row r="72" spans="1:26" x14ac:dyDescent="0.2">
      <c r="A72" s="152" t="s">
        <v>148</v>
      </c>
      <c r="B72" s="153"/>
      <c r="C72" s="153"/>
      <c r="D72" s="153"/>
      <c r="E72" s="153"/>
      <c r="F72" s="153"/>
      <c r="G72" s="153"/>
      <c r="H72" s="153"/>
      <c r="I72" s="153"/>
      <c r="J72" s="153"/>
      <c r="K72" s="153"/>
      <c r="L72" s="154"/>
      <c r="V72" s="155" t="s">
        <v>149</v>
      </c>
    </row>
    <row r="73" spans="1:26" ht="28" x14ac:dyDescent="0.2">
      <c r="V73" s="156" t="s">
        <v>150</v>
      </c>
      <c r="W73" s="157" t="s">
        <v>141</v>
      </c>
      <c r="X73" s="157" t="s">
        <v>7</v>
      </c>
      <c r="Y73" s="157" t="s">
        <v>8</v>
      </c>
      <c r="Z73" s="157" t="s">
        <v>151</v>
      </c>
    </row>
    <row r="74" spans="1:26" x14ac:dyDescent="0.2">
      <c r="V74" s="161">
        <f>'Quarterly returns'!A5</f>
        <v>38807</v>
      </c>
      <c r="W74" s="162">
        <v>1</v>
      </c>
      <c r="X74" s="162">
        <v>1</v>
      </c>
      <c r="Y74" s="162">
        <v>1</v>
      </c>
      <c r="Z74" s="162">
        <v>1</v>
      </c>
    </row>
    <row r="75" spans="1:26" x14ac:dyDescent="0.2">
      <c r="V75" s="161">
        <f>'Quarterly returns'!A6</f>
        <v>38898</v>
      </c>
      <c r="W75" s="162">
        <f>W74*(1+'Quarterly returns'!Z6)</f>
        <v>0.9814906464278631</v>
      </c>
      <c r="X75" s="162">
        <f>X74*(1+'Quarterly returns'!AA6)</f>
        <v>0.98692794617755608</v>
      </c>
      <c r="Y75" s="162">
        <f>Y74*(1+'Quarterly returns'!AB6)</f>
        <v>0.97823153804561169</v>
      </c>
      <c r="Z75" s="162">
        <f>Z74*(1+INDEX('RBA 5Y yield'!$B$5:$B$661,MATCH(V74,'RBA 5Y yield'!$A$5:$A$661,1))+Inputs!$B$24)^0.25</f>
        <v>1.0224749018441073</v>
      </c>
    </row>
    <row r="76" spans="1:26" x14ac:dyDescent="0.2">
      <c r="V76" s="161">
        <f>'Quarterly returns'!A7</f>
        <v>38989</v>
      </c>
      <c r="W76" s="162">
        <f>W75*(1+'Quarterly returns'!Z7)</f>
        <v>1.0180658859198881</v>
      </c>
      <c r="X76" s="162">
        <f>X75*(1+'Quarterly returns'!AA7)</f>
        <v>1.0183373615151012</v>
      </c>
      <c r="Y76" s="162">
        <f>Y75*(1+'Quarterly returns'!AB7)</f>
        <v>1.0090353041245983</v>
      </c>
      <c r="Z76" s="162">
        <f>Z75*(1+INDEX('RBA 5Y yield'!$B$5:$B$661,MATCH(V75,'RBA 5Y yield'!$A$5:$A$661,1))+Inputs!$B$24)^0.25</f>
        <v>1.0465310227806142</v>
      </c>
    </row>
    <row r="77" spans="1:26" x14ac:dyDescent="0.2">
      <c r="V77" s="161">
        <f>'Quarterly returns'!A8</f>
        <v>39080</v>
      </c>
      <c r="W77" s="162">
        <f>W76*(1+'Quarterly returns'!Z8)</f>
        <v>1.0745820616313253</v>
      </c>
      <c r="X77" s="162">
        <f>X76*(1+'Quarterly returns'!AA8)</f>
        <v>1.0613560584624167</v>
      </c>
      <c r="Y77" s="162">
        <f>Y76*(1+'Quarterly returns'!AB8)</f>
        <v>1.054891789992509</v>
      </c>
      <c r="Z77" s="162">
        <f>Z76*(1+INDEX('RBA 5Y yield'!$B$5:$B$661,MATCH(V76,'RBA 5Y yield'!$A$5:$A$661,1))+Inputs!$B$24)^0.25</f>
        <v>1.0713772880549304</v>
      </c>
    </row>
    <row r="78" spans="1:26" x14ac:dyDescent="0.2">
      <c r="V78" s="161">
        <f>'Quarterly returns'!A9</f>
        <v>39171</v>
      </c>
      <c r="W78" s="162">
        <f>W77*(1+'Quarterly returns'!Z9)</f>
        <v>1.1120478905179378</v>
      </c>
      <c r="X78" s="162">
        <f>X77*(1+'Quarterly returns'!AA9)</f>
        <v>1.0875778146760162</v>
      </c>
      <c r="Y78" s="162">
        <f>Y77*(1+'Quarterly returns'!AB9)</f>
        <v>1.0801701419930319</v>
      </c>
      <c r="Z78" s="162">
        <f>Z77*(1+INDEX('RBA 5Y yield'!$B$5:$B$661,MATCH(V77,'RBA 5Y yield'!$A$5:$A$661,1))+Inputs!$B$24)^0.25</f>
        <v>1.0967023361129962</v>
      </c>
    </row>
    <row r="79" spans="1:26" x14ac:dyDescent="0.2">
      <c r="V79" s="161">
        <f>'Quarterly returns'!A10</f>
        <v>39262</v>
      </c>
      <c r="W79" s="162">
        <f>W78*(1+'Quarterly returns'!Z10)</f>
        <v>1.1302954224633119</v>
      </c>
      <c r="X79" s="162">
        <f>X78*(1+'Quarterly returns'!AA10)</f>
        <v>1.1113933683911632</v>
      </c>
      <c r="Y79" s="162">
        <f>Y78*(1+'Quarterly returns'!AB10)</f>
        <v>1.1046183706612271</v>
      </c>
      <c r="Z79" s="162">
        <f>Z78*(1+INDEX('RBA 5Y yield'!$B$5:$B$661,MATCH(V78,'RBA 5Y yield'!$A$5:$A$661,1))+Inputs!$B$24)^0.25</f>
        <v>1.1230585232939283</v>
      </c>
    </row>
    <row r="80" spans="1:26" x14ac:dyDescent="0.2">
      <c r="V80" s="161">
        <f>'Quarterly returns'!A11</f>
        <v>39353</v>
      </c>
      <c r="W80" s="162">
        <f>W79*(1+'Quarterly returns'!Z11)</f>
        <v>1.1473411347511986</v>
      </c>
      <c r="X80" s="162">
        <f>X79*(1+'Quarterly returns'!AA11)</f>
        <v>1.1236587596146892</v>
      </c>
      <c r="Y80" s="162">
        <f>Y79*(1+'Quarterly returns'!AB11)</f>
        <v>1.1188356112658975</v>
      </c>
      <c r="Z80" s="162">
        <f>Z79*(1+INDEX('RBA 5Y yield'!$B$5:$B$661,MATCH(V79,'RBA 5Y yield'!$A$5:$A$661,1))+Inputs!$B$24)^0.25</f>
        <v>1.1503269820310817</v>
      </c>
    </row>
    <row r="81" spans="22:26" x14ac:dyDescent="0.2">
      <c r="V81" s="161">
        <f>'Quarterly returns'!A12</f>
        <v>39447</v>
      </c>
      <c r="W81" s="162">
        <f>W80*(1+'Quarterly returns'!Z12)</f>
        <v>1.1257385628753849</v>
      </c>
      <c r="X81" s="162">
        <f>X80*(1+'Quarterly returns'!AA12)</f>
        <v>1.1176063811003163</v>
      </c>
      <c r="Y81" s="162">
        <f>Y80*(1+'Quarterly returns'!AB12)</f>
        <v>1.1108583283692961</v>
      </c>
      <c r="Z81" s="162">
        <f>Z80*(1+INDEX('RBA 5Y yield'!$B$5:$B$661,MATCH(V80,'RBA 5Y yield'!$A$5:$A$661,1))+Inputs!$B$24)^0.25</f>
        <v>1.1784177999690399</v>
      </c>
    </row>
    <row r="82" spans="22:26" x14ac:dyDescent="0.2">
      <c r="V82" s="161">
        <f>'Quarterly returns'!A13</f>
        <v>39538</v>
      </c>
      <c r="W82" s="162">
        <f>W81*(1+'Quarterly returns'!Z13)</f>
        <v>1.0244560975129431</v>
      </c>
      <c r="X82" s="162">
        <f>X81*(1+'Quarterly returns'!AA13)</f>
        <v>1.0303180995387966</v>
      </c>
      <c r="Y82" s="162">
        <f>Y81*(1+'Quarterly returns'!AB13)</f>
        <v>1.0062939454828423</v>
      </c>
      <c r="Z82" s="162">
        <f>Z81*(1+INDEX('RBA 5Y yield'!$B$5:$B$661,MATCH(V81,'RBA 5Y yield'!$A$5:$A$661,1))+Inputs!$B$24)^0.25</f>
        <v>1.2081036330799255</v>
      </c>
    </row>
    <row r="83" spans="22:26" x14ac:dyDescent="0.2">
      <c r="V83" s="161">
        <f>'Quarterly returns'!A14</f>
        <v>39629</v>
      </c>
      <c r="W83" s="162">
        <f>W82*(1+'Quarterly returns'!Z14)</f>
        <v>0.99802061605357018</v>
      </c>
      <c r="X83" s="162">
        <f>X82*(1+'Quarterly returns'!AA14)</f>
        <v>1.0076440464056002</v>
      </c>
      <c r="Y83" s="162">
        <f>Y82*(1+'Quarterly returns'!AB14)</f>
        <v>0.97949432518307367</v>
      </c>
      <c r="Z83" s="162">
        <f>Z82*(1+INDEX('RBA 5Y yield'!$B$5:$B$661,MATCH(V82,'RBA 5Y yield'!$A$5:$A$661,1))+Inputs!$B$24)^0.25</f>
        <v>1.2375174055336904</v>
      </c>
    </row>
    <row r="84" spans="22:26" x14ac:dyDescent="0.2">
      <c r="V84" s="161">
        <f>'Quarterly returns'!A15</f>
        <v>39721</v>
      </c>
      <c r="W84" s="162">
        <f>W83*(1+'Quarterly returns'!Z15)</f>
        <v>0.99952576199987875</v>
      </c>
      <c r="X84" s="162">
        <f>X83*(1+'Quarterly returns'!AA15)</f>
        <v>1.016957807024772</v>
      </c>
      <c r="Y84" s="162">
        <f>Y83*(1+'Quarterly returns'!AB15)</f>
        <v>0.98512080892638365</v>
      </c>
      <c r="Z84" s="162">
        <f>Z83*(1+INDEX('RBA 5Y yield'!$B$5:$B$661,MATCH(V83,'RBA 5Y yield'!$A$5:$A$661,1))+Inputs!$B$24)^0.25</f>
        <v>1.2693421661443853</v>
      </c>
    </row>
    <row r="85" spans="22:26" x14ac:dyDescent="0.2">
      <c r="V85" s="161">
        <f>'Quarterly returns'!A16</f>
        <v>39813</v>
      </c>
      <c r="W85" s="162">
        <f>W84*(1+'Quarterly returns'!Z16)</f>
        <v>0.88805351666313104</v>
      </c>
      <c r="X85" s="162">
        <f>X84*(1+'Quarterly returns'!AA16)</f>
        <v>0.9244983505202875</v>
      </c>
      <c r="Y85" s="162">
        <f>Y84*(1+'Quarterly returns'!AB16)</f>
        <v>0.87569223838653187</v>
      </c>
      <c r="Z85" s="162">
        <f>Z84*(1+INDEX('RBA 5Y yield'!$B$5:$B$661,MATCH(V84,'RBA 5Y yield'!$A$5:$A$661,1))+Inputs!$B$24)^0.25</f>
        <v>1.2985788431172955</v>
      </c>
    </row>
    <row r="86" spans="22:26" x14ac:dyDescent="0.2">
      <c r="V86" s="161">
        <f>'Quarterly returns'!A17</f>
        <v>39903</v>
      </c>
      <c r="W86" s="162">
        <f>W85*(1+'Quarterly returns'!Z17)</f>
        <v>0.84551521923728068</v>
      </c>
      <c r="X86" s="162">
        <f>X85*(1+'Quarterly returns'!AA17)</f>
        <v>0.88577355852564243</v>
      </c>
      <c r="Y86" s="162">
        <f>Y85*(1+'Quarterly returns'!AB17)</f>
        <v>0.83500260648656355</v>
      </c>
      <c r="Z86" s="162">
        <f>Z85*(1+INDEX('RBA 5Y yield'!$B$5:$B$661,MATCH(V85,'RBA 5Y yield'!$A$5:$A$661,1))+Inputs!$B$24)^0.25</f>
        <v>1.3229533358933108</v>
      </c>
    </row>
    <row r="87" spans="22:26" x14ac:dyDescent="0.2">
      <c r="V87" s="161">
        <f>'Quarterly returns'!A18</f>
        <v>39994</v>
      </c>
      <c r="W87" s="162">
        <f>W86*(1+'Quarterly returns'!Z18)</f>
        <v>0.89387423476305417</v>
      </c>
      <c r="X87" s="162">
        <f>X86*(1+'Quarterly returns'!AA18)</f>
        <v>0.92694960726685305</v>
      </c>
      <c r="Y87" s="162">
        <f>Y86*(1+'Quarterly returns'!AB18)</f>
        <v>0.87827258636015915</v>
      </c>
      <c r="Z87" s="162">
        <f>Z86*(1+INDEX('RBA 5Y yield'!$B$5:$B$661,MATCH(V86,'RBA 5Y yield'!$A$5:$A$661,1))+Inputs!$B$24)^0.25</f>
        <v>1.3478056720835543</v>
      </c>
    </row>
    <row r="88" spans="22:26" x14ac:dyDescent="0.2">
      <c r="V88" s="161">
        <f>'Quarterly returns'!A19</f>
        <v>40086</v>
      </c>
      <c r="W88" s="162">
        <f>W87*(1+'Quarterly returns'!Z19)</f>
        <v>1.0028227412212816</v>
      </c>
      <c r="X88" s="162">
        <f>X87*(1+'Quarterly returns'!AA19)</f>
        <v>1.0125918561486131</v>
      </c>
      <c r="Y88" s="162">
        <f>Y87*(1+'Quarterly returns'!AB19)</f>
        <v>0.9638401286779491</v>
      </c>
      <c r="Z88" s="162">
        <f>Z87*(1+INDEX('RBA 5Y yield'!$B$5:$B$661,MATCH(V87,'RBA 5Y yield'!$A$5:$A$661,1))+Inputs!$B$24)^0.25</f>
        <v>1.3774808096895637</v>
      </c>
    </row>
    <row r="89" spans="22:26" x14ac:dyDescent="0.2">
      <c r="V89" s="161">
        <f>'Quarterly returns'!A20</f>
        <v>40178</v>
      </c>
      <c r="W89" s="162">
        <f>W88*(1+'Quarterly returns'!Z20)</f>
        <v>1.0289196399524059</v>
      </c>
      <c r="X89" s="162">
        <f>X88*(1+'Quarterly returns'!AA20)</f>
        <v>1.0411779971513622</v>
      </c>
      <c r="Y89" s="162">
        <f>Y88*(1+'Quarterly returns'!AB20)</f>
        <v>0.99491040776883299</v>
      </c>
      <c r="Z89" s="162">
        <f>Z88*(1+INDEX('RBA 5Y yield'!$B$5:$B$661,MATCH(V88,'RBA 5Y yield'!$A$5:$A$661,1))+Inputs!$B$24)^0.25</f>
        <v>1.4079299489190313</v>
      </c>
    </row>
    <row r="90" spans="22:26" x14ac:dyDescent="0.2">
      <c r="V90" s="161">
        <f>'Quarterly returns'!A21</f>
        <v>40268</v>
      </c>
      <c r="W90" s="162">
        <f>W89*(1+'Quarterly returns'!Z21)</f>
        <v>1.0493321067138781</v>
      </c>
      <c r="X90" s="162">
        <f>X89*(1+'Quarterly returns'!AA21)</f>
        <v>1.0554484252142964</v>
      </c>
      <c r="Y90" s="162">
        <f>Y89*(1+'Quarterly returns'!AB21)</f>
        <v>1.0107592095773636</v>
      </c>
      <c r="Z90" s="162">
        <f>Z89*(1+INDEX('RBA 5Y yield'!$B$5:$B$661,MATCH(V89,'RBA 5Y yield'!$A$5:$A$661,1))+Inputs!$B$24)^0.25</f>
        <v>1.439086775261291</v>
      </c>
    </row>
    <row r="91" spans="22:26" x14ac:dyDescent="0.2">
      <c r="V91" s="161">
        <f>'Quarterly returns'!A22</f>
        <v>40359</v>
      </c>
      <c r="W91" s="162">
        <f>W90*(1+'Quarterly returns'!Z22)</f>
        <v>1.0085481647425629</v>
      </c>
      <c r="X91" s="162">
        <f>X90*(1+'Quarterly returns'!AA22)</f>
        <v>1.03069161639327</v>
      </c>
      <c r="Y91" s="162">
        <f>Y90*(1+'Quarterly returns'!AB22)</f>
        <v>0.98249922319665894</v>
      </c>
      <c r="Z91" s="162">
        <f>Z90*(1+INDEX('RBA 5Y yield'!$B$5:$B$661,MATCH(V90,'RBA 5Y yield'!$A$5:$A$661,1))+Inputs!$B$24)^0.25</f>
        <v>1.4715727921086528</v>
      </c>
    </row>
    <row r="92" spans="22:26" x14ac:dyDescent="0.2">
      <c r="V92" s="161">
        <f>'Quarterly returns'!A23</f>
        <v>40451</v>
      </c>
      <c r="W92" s="162">
        <f>W91*(1+'Quarterly returns'!Z23)</f>
        <v>1.0387949316507508</v>
      </c>
      <c r="X92" s="162">
        <f>X91*(1+'Quarterly returns'!AA23)</f>
        <v>1.0471258231789486</v>
      </c>
      <c r="Y92" s="162">
        <f>Y91*(1+'Quarterly returns'!AB23)</f>
        <v>0.99085933237232604</v>
      </c>
      <c r="Z92" s="162">
        <f>Z91*(1+INDEX('RBA 5Y yield'!$B$5:$B$661,MATCH(V91,'RBA 5Y yield'!$A$5:$A$661,1))+Inputs!$B$24)^0.25</f>
        <v>1.5035261230780361</v>
      </c>
    </row>
    <row r="93" spans="22:26" x14ac:dyDescent="0.2">
      <c r="V93" s="161">
        <f>'Quarterly returns'!A24</f>
        <v>40543</v>
      </c>
      <c r="W93" s="162">
        <f>W92*(1+'Quarterly returns'!Z24)</f>
        <v>1.0663222462581128</v>
      </c>
      <c r="X93" s="162">
        <f>X92*(1+'Quarterly returns'!AA24)</f>
        <v>1.0717159044730893</v>
      </c>
      <c r="Y93" s="162">
        <f>Y92*(1+'Quarterly returns'!AB24)</f>
        <v>1.015314771143615</v>
      </c>
      <c r="Z93" s="162">
        <f>Z92*(1+INDEX('RBA 5Y yield'!$B$5:$B$661,MATCH(V92,'RBA 5Y yield'!$A$5:$A$661,1))+Inputs!$B$24)^0.25</f>
        <v>1.5355914528210832</v>
      </c>
    </row>
    <row r="94" spans="22:26" x14ac:dyDescent="0.2">
      <c r="V94" s="161">
        <f>'Quarterly returns'!A25</f>
        <v>40633</v>
      </c>
      <c r="W94" s="162">
        <f>W93*(1+'Quarterly returns'!Z25)</f>
        <v>1.0939126052505208</v>
      </c>
      <c r="X94" s="162">
        <f>X93*(1+'Quarterly returns'!AA25)</f>
        <v>1.0958525860475041</v>
      </c>
      <c r="Y94" s="162">
        <f>Y93*(1+'Quarterly returns'!AB25)</f>
        <v>1.039286100009716</v>
      </c>
      <c r="Z94" s="162">
        <f>Z93*(1+INDEX('RBA 5Y yield'!$B$5:$B$661,MATCH(V93,'RBA 5Y yield'!$A$5:$A$661,1))+Inputs!$B$24)^0.25</f>
        <v>1.5702200668013575</v>
      </c>
    </row>
    <row r="95" spans="22:26" x14ac:dyDescent="0.2">
      <c r="V95" s="161">
        <f>'Quarterly returns'!A26</f>
        <v>40724</v>
      </c>
      <c r="W95" s="162">
        <f>W94*(1+'Quarterly returns'!Z26)</f>
        <v>1.0717046414270954</v>
      </c>
      <c r="X95" s="162">
        <f>X94*(1+'Quarterly returns'!AA26)</f>
        <v>1.0782253497458489</v>
      </c>
      <c r="Y95" s="162">
        <f>Y94*(1+'Quarterly returns'!AB26)</f>
        <v>1.0123883981507988</v>
      </c>
      <c r="Z95" s="162">
        <f>Z94*(1+INDEX('RBA 5Y yield'!$B$5:$B$661,MATCH(V94,'RBA 5Y yield'!$A$5:$A$661,1))+Inputs!$B$24)^0.25</f>
        <v>1.6051796287521405</v>
      </c>
    </row>
    <row r="96" spans="22:26" x14ac:dyDescent="0.2">
      <c r="V96" s="161">
        <f>'Quarterly returns'!A27</f>
        <v>40816</v>
      </c>
      <c r="W96" s="162">
        <f>W95*(1+'Quarterly returns'!Z27)</f>
        <v>1.01719404817985</v>
      </c>
      <c r="X96" s="162">
        <f>X95*(1+'Quarterly returns'!AA27)</f>
        <v>1.03597230143326</v>
      </c>
      <c r="Y96" s="162">
        <f>Y95*(1+'Quarterly returns'!AB27)</f>
        <v>0.96276649996914265</v>
      </c>
      <c r="Z96" s="162">
        <f>Z95*(1+INDEX('RBA 5Y yield'!$B$5:$B$661,MATCH(V95,'RBA 5Y yield'!$A$5:$A$661,1))+Inputs!$B$24)^0.25</f>
        <v>1.6397047446850141</v>
      </c>
    </row>
    <row r="97" spans="1:26" x14ac:dyDescent="0.2">
      <c r="V97" s="161">
        <f>'Quarterly returns'!A28</f>
        <v>40907</v>
      </c>
      <c r="W97" s="162">
        <f>W96*(1+'Quarterly returns'!Z28)</f>
        <v>1.0384036848308811</v>
      </c>
      <c r="X97" s="162">
        <f>X96*(1+'Quarterly returns'!AA28)</f>
        <v>1.0584282276451373</v>
      </c>
      <c r="Y97" s="162">
        <f>Y96*(1+'Quarterly returns'!AB28)</f>
        <v>0.98149358170311718</v>
      </c>
      <c r="Z97" s="162">
        <f>Z96*(1+INDEX('RBA 5Y yield'!$B$5:$B$661,MATCH(V96,'RBA 5Y yield'!$A$5:$A$661,1))+Inputs!$B$24)^0.25</f>
        <v>1.6707357018879143</v>
      </c>
    </row>
    <row r="98" spans="1:26" x14ac:dyDescent="0.2">
      <c r="A98" s="152" t="s">
        <v>152</v>
      </c>
      <c r="B98" s="153"/>
      <c r="C98" s="153"/>
      <c r="D98" s="153"/>
      <c r="E98" s="153"/>
      <c r="F98" s="153"/>
      <c r="G98" s="153"/>
      <c r="H98" s="153"/>
      <c r="I98" s="153"/>
      <c r="J98" s="153"/>
      <c r="K98" s="153"/>
      <c r="L98" s="154"/>
      <c r="N98" s="155" t="s">
        <v>153</v>
      </c>
      <c r="V98" s="161">
        <f>'Quarterly returns'!A29</f>
        <v>40998</v>
      </c>
      <c r="W98" s="162">
        <f>W97*(1+'Quarterly returns'!Z29)</f>
        <v>1.1106982248546928</v>
      </c>
      <c r="X98" s="162">
        <f>X97*(1+'Quarterly returns'!AA29)</f>
        <v>1.1261732796906057</v>
      </c>
      <c r="Y98" s="162">
        <f>Y97*(1+'Quarterly returns'!AB29)</f>
        <v>1.0528048613123995</v>
      </c>
      <c r="Z98" s="162">
        <f>Z97*(1+INDEX('RBA 5Y yield'!$B$5:$B$661,MATCH(V97,'RBA 5Y yield'!$A$5:$A$661,1))+Inputs!$B$24)^0.25</f>
        <v>1.7015043689978078</v>
      </c>
    </row>
    <row r="99" spans="1:26" ht="28" x14ac:dyDescent="0.2">
      <c r="N99" s="156" t="s">
        <v>154</v>
      </c>
      <c r="O99" s="157" t="s">
        <v>141</v>
      </c>
      <c r="P99" s="157" t="s">
        <v>7</v>
      </c>
      <c r="Q99" s="157" t="s">
        <v>8</v>
      </c>
      <c r="R99" s="157" t="s">
        <v>151</v>
      </c>
      <c r="V99" s="161">
        <f>'Quarterly returns'!A30</f>
        <v>41089</v>
      </c>
      <c r="W99" s="162">
        <f>W98*(1+'Quarterly returns'!Z30)</f>
        <v>1.0952232420279413</v>
      </c>
      <c r="X99" s="162">
        <f>X98*(1+'Quarterly returns'!AA30)</f>
        <v>1.1131160390285584</v>
      </c>
      <c r="Y99" s="162">
        <f>Y98*(1+'Quarterly returns'!AB30)</f>
        <v>1.0334451402058442</v>
      </c>
      <c r="Z99" s="162">
        <f>Z98*(1+INDEX('RBA 5Y yield'!$B$5:$B$661,MATCH(V98,'RBA 5Y yield'!$A$5:$A$661,1))+Inputs!$B$24)^0.25</f>
        <v>1.7330309368795653</v>
      </c>
    </row>
    <row r="100" spans="1:26" x14ac:dyDescent="0.2">
      <c r="N100" s="158" t="s">
        <v>155</v>
      </c>
      <c r="O100" s="159">
        <f>'Track record'!M5</f>
        <v>7.0238277460718646E-2</v>
      </c>
      <c r="P100" s="159">
        <f>'Track record'!N5</f>
        <v>7.5762595366314356E-2</v>
      </c>
      <c r="Q100" s="159">
        <f>'Track record'!O5</f>
        <v>8.4806041869762261E-2</v>
      </c>
      <c r="R100" s="159">
        <f>'Track record'!P5</f>
        <v>4.7080000000000004E-2</v>
      </c>
      <c r="V100" s="161">
        <f>'Quarterly returns'!A31</f>
        <v>41180</v>
      </c>
      <c r="W100" s="162">
        <f>W99*(1+'Quarterly returns'!Z31)</f>
        <v>1.1482522682252356</v>
      </c>
      <c r="X100" s="162">
        <f>X99*(1+'Quarterly returns'!AA31)</f>
        <v>1.1587431370071277</v>
      </c>
      <c r="Y100" s="162">
        <f>Y99*(1+'Quarterly returns'!AB31)</f>
        <v>1.0805688693942839</v>
      </c>
      <c r="Z100" s="162">
        <f>Z99*(1+INDEX('RBA 5Y yield'!$B$5:$B$661,MATCH(V99,'RBA 5Y yield'!$A$5:$A$661,1))+Inputs!$B$24)^0.25</f>
        <v>1.7615634326476917</v>
      </c>
    </row>
    <row r="101" spans="1:26" x14ac:dyDescent="0.2">
      <c r="N101" s="158" t="s">
        <v>156</v>
      </c>
      <c r="O101" s="159">
        <f>'Track record'!M6</f>
        <v>7.8948233532036394E-2</v>
      </c>
      <c r="P101" s="159">
        <f>'Track record'!N6</f>
        <v>8.2621317917636494E-2</v>
      </c>
      <c r="Q101" s="159">
        <f>'Track record'!O6</f>
        <v>9.0714535876666114E-2</v>
      </c>
      <c r="R101" s="159">
        <f>'Track record'!P6</f>
        <v>6.1340000000000006E-2</v>
      </c>
      <c r="V101" s="161">
        <f>'Quarterly returns'!A32</f>
        <v>41274</v>
      </c>
      <c r="W101" s="162">
        <f>W100*(1+'Quarterly returns'!Z32)</f>
        <v>1.1949499456893664</v>
      </c>
      <c r="X101" s="162">
        <f>X100*(1+'Quarterly returns'!AA32)</f>
        <v>1.1990838207115919</v>
      </c>
      <c r="Y101" s="162">
        <f>Y100*(1+'Quarterly returns'!AB32)</f>
        <v>1.1228866844089105</v>
      </c>
      <c r="Z101" s="162">
        <f>Z100*(1+INDEX('RBA 5Y yield'!$B$5:$B$661,MATCH(V100,'RBA 5Y yield'!$A$5:$A$661,1))+Inputs!$B$24)^0.25</f>
        <v>1.7908486702188888</v>
      </c>
    </row>
    <row r="102" spans="1:26" x14ac:dyDescent="0.2">
      <c r="N102" s="158" t="s">
        <v>157</v>
      </c>
      <c r="O102" s="159">
        <f>'Track record'!M7</f>
        <v>8.3517285924374463E-2</v>
      </c>
      <c r="P102" s="159">
        <f>'Track record'!N7</f>
        <v>8.662187276334854E-2</v>
      </c>
      <c r="Q102" s="159">
        <f>'Track record'!O7</f>
        <v>9.2163514233834176E-2</v>
      </c>
      <c r="R102" s="159">
        <f>'Track record'!P7</f>
        <v>9.2075000000000004E-2</v>
      </c>
      <c r="V102" s="161">
        <f>'Quarterly returns'!A33</f>
        <v>41362</v>
      </c>
      <c r="W102" s="162">
        <f>W101*(1+'Quarterly returns'!Z33)</f>
        <v>1.268528021192862</v>
      </c>
      <c r="X102" s="162">
        <f>X101*(1+'Quarterly returns'!AA33)</f>
        <v>1.2612455190657981</v>
      </c>
      <c r="Y102" s="162">
        <f>Y101*(1+'Quarterly returns'!AB33)</f>
        <v>1.1835736387799165</v>
      </c>
      <c r="Z102" s="162">
        <f>Z101*(1+INDEX('RBA 5Y yield'!$B$5:$B$661,MATCH(V101,'RBA 5Y yield'!$A$5:$A$661,1))+Inputs!$B$24)^0.25</f>
        <v>1.8206527193889659</v>
      </c>
    </row>
    <row r="103" spans="1:26" x14ac:dyDescent="0.2">
      <c r="N103" s="158" t="s">
        <v>158</v>
      </c>
      <c r="O103" s="159">
        <f>'Track record'!M8</f>
        <v>6.6782823780299871E-2</v>
      </c>
      <c r="P103" s="159">
        <f>'Track record'!N8</f>
        <v>6.9169198887697236E-2</v>
      </c>
      <c r="Q103" s="159">
        <f>'Track record'!O8</f>
        <v>7.0415782824255757E-2</v>
      </c>
      <c r="R103" s="159">
        <f>'Track record'!P8</f>
        <v>9.2976000000000003E-2</v>
      </c>
      <c r="V103" s="161">
        <f>'Quarterly returns'!A34</f>
        <v>41453</v>
      </c>
      <c r="W103" s="162">
        <f>W102*(1+'Quarterly returns'!Z34)</f>
        <v>1.3072155227868172</v>
      </c>
      <c r="X103" s="162">
        <f>X102*(1+'Quarterly returns'!AA34)</f>
        <v>1.3202338526675155</v>
      </c>
      <c r="Y103" s="162">
        <f>Y102*(1+'Quarterly returns'!AB34)</f>
        <v>1.2504494708327301</v>
      </c>
      <c r="Z103" s="162">
        <f>Z102*(1+INDEX('RBA 5Y yield'!$B$5:$B$661,MATCH(V102,'RBA 5Y yield'!$A$5:$A$661,1))+Inputs!$B$24)^0.25</f>
        <v>1.8517968917797871</v>
      </c>
    </row>
    <row r="104" spans="1:26" x14ac:dyDescent="0.2">
      <c r="V104" s="161">
        <f>'Quarterly returns'!A35</f>
        <v>41547</v>
      </c>
      <c r="W104" s="162">
        <f>W103*(1+'Quarterly returns'!Z35)</f>
        <v>1.3749949578187977</v>
      </c>
      <c r="X104" s="162">
        <f>X103*(1+'Quarterly returns'!AA35)</f>
        <v>1.376522507577902</v>
      </c>
      <c r="Y104" s="162">
        <f>Y103*(1+'Quarterly returns'!AB35)</f>
        <v>1.3078159639501077</v>
      </c>
      <c r="Z104" s="162">
        <f>Z103*(1+INDEX('RBA 5Y yield'!$B$5:$B$661,MATCH(V103,'RBA 5Y yield'!$A$5:$A$661,1))+Inputs!$B$24)^0.25</f>
        <v>1.8824500258887504</v>
      </c>
    </row>
    <row r="105" spans="1:26" x14ac:dyDescent="0.2">
      <c r="V105" s="161">
        <f>'Quarterly returns'!A36</f>
        <v>41639</v>
      </c>
      <c r="W105" s="162">
        <f>W104*(1+'Quarterly returns'!Z36)</f>
        <v>1.4394491309092932</v>
      </c>
      <c r="X105" s="162">
        <f>X104*(1+'Quarterly returns'!AA36)</f>
        <v>1.4546503005425995</v>
      </c>
      <c r="Y105" s="162">
        <f>Y104*(1+'Quarterly returns'!AB36)</f>
        <v>1.3895435446296749</v>
      </c>
      <c r="Z105" s="162">
        <f>Z104*(1+INDEX('RBA 5Y yield'!$B$5:$B$661,MATCH(V104,'RBA 5Y yield'!$A$5:$A$661,1))+Inputs!$B$24)^0.25</f>
        <v>1.9160407863234248</v>
      </c>
    </row>
    <row r="106" spans="1:26" x14ac:dyDescent="0.2">
      <c r="V106" s="161">
        <f>'Quarterly returns'!A37</f>
        <v>41729</v>
      </c>
      <c r="W106" s="162">
        <f>W105*(1+'Quarterly returns'!Z37)</f>
        <v>1.4566785115752732</v>
      </c>
      <c r="X106" s="162">
        <f>X105*(1+'Quarterly returns'!AA37)</f>
        <v>1.4623972699799306</v>
      </c>
      <c r="Y106" s="162">
        <f>Y105*(1+'Quarterly returns'!AB37)</f>
        <v>1.3908957612994903</v>
      </c>
      <c r="Z106" s="162">
        <f>Z105*(1+INDEX('RBA 5Y yield'!$B$5:$B$661,MATCH(V105,'RBA 5Y yield'!$A$5:$A$661,1))+Inputs!$B$24)^0.25</f>
        <v>1.9508212110815448</v>
      </c>
    </row>
    <row r="107" spans="1:26" x14ac:dyDescent="0.2">
      <c r="V107" s="161">
        <f>'Quarterly returns'!A38</f>
        <v>41820</v>
      </c>
      <c r="W107" s="162">
        <f>W106*(1+'Quarterly returns'!Z38)</f>
        <v>1.4864219033509085</v>
      </c>
      <c r="X107" s="162">
        <f>X106*(1+'Quarterly returns'!AA38)</f>
        <v>1.4972875088162423</v>
      </c>
      <c r="Y107" s="162">
        <f>Y106*(1+'Quarterly returns'!AB38)</f>
        <v>1.4242614707568402</v>
      </c>
      <c r="Z107" s="162">
        <f>Z106*(1+INDEX('RBA 5Y yield'!$B$5:$B$661,MATCH(V106,'RBA 5Y yield'!$A$5:$A$661,1))+Inputs!$B$24)^0.25</f>
        <v>1.9860018968559507</v>
      </c>
    </row>
    <row r="108" spans="1:26" x14ac:dyDescent="0.2">
      <c r="V108" s="161">
        <f>'Quarterly returns'!A39</f>
        <v>41912</v>
      </c>
      <c r="W108" s="162">
        <f>W107*(1+'Quarterly returns'!Z39)</f>
        <v>1.5253085757073503</v>
      </c>
      <c r="X108" s="162">
        <f>X107*(1+'Quarterly returns'!AA39)</f>
        <v>1.5466593560810495</v>
      </c>
      <c r="Y108" s="162">
        <f>Y107*(1+'Quarterly returns'!AB39)</f>
        <v>1.4761863400316728</v>
      </c>
      <c r="Z108" s="162">
        <f>Z107*(1+INDEX('RBA 5Y yield'!$B$5:$B$661,MATCH(V107,'RBA 5Y yield'!$A$5:$A$661,1))+Inputs!$B$24)^0.25</f>
        <v>2.0204368125632843</v>
      </c>
    </row>
    <row r="109" spans="1:26" x14ac:dyDescent="0.2">
      <c r="V109" s="161">
        <f>'Quarterly returns'!A40</f>
        <v>42004</v>
      </c>
      <c r="W109" s="162">
        <f>W108*(1+'Quarterly returns'!Z40)</f>
        <v>1.6168843437644567</v>
      </c>
      <c r="X109" s="162">
        <f>X108*(1+'Quarterly returns'!AA40)</f>
        <v>1.6339846916852658</v>
      </c>
      <c r="Y109" s="162">
        <f>Y108*(1+'Quarterly returns'!AB40)</f>
        <v>1.563294566180784</v>
      </c>
      <c r="Z109" s="162">
        <f>Z108*(1+INDEX('RBA 5Y yield'!$B$5:$B$661,MATCH(V108,'RBA 5Y yield'!$A$5:$A$661,1))+Inputs!$B$24)^0.25</f>
        <v>2.0550993043010668</v>
      </c>
    </row>
    <row r="110" spans="1:26" x14ac:dyDescent="0.2">
      <c r="V110" s="161">
        <f>'Quarterly returns'!A41</f>
        <v>42094</v>
      </c>
      <c r="W110" s="162">
        <f>W109*(1+'Quarterly returns'!Z41)</f>
        <v>1.7555198152732323</v>
      </c>
      <c r="X110" s="162">
        <f>X109*(1+'Quarterly returns'!AA41)</f>
        <v>1.7614218544755318</v>
      </c>
      <c r="Y110" s="162">
        <f>Y109*(1+'Quarterly returns'!AB41)</f>
        <v>1.6998069044841924</v>
      </c>
      <c r="Z110" s="162">
        <f>Z109*(1+INDEX('RBA 5Y yield'!$B$5:$B$661,MATCH(V109,'RBA 5Y yield'!$A$5:$A$661,1))+Inputs!$B$24)^0.25</f>
        <v>2.0873915850538918</v>
      </c>
    </row>
    <row r="111" spans="1:26" x14ac:dyDescent="0.2">
      <c r="V111" s="161">
        <f>'Quarterly returns'!A42</f>
        <v>42185</v>
      </c>
      <c r="W111" s="162">
        <f>W110*(1+'Quarterly returns'!Z42)</f>
        <v>1.6856710752986879</v>
      </c>
      <c r="X111" s="162">
        <f>X110*(1+'Quarterly returns'!AA42)</f>
        <v>1.7245972499388422</v>
      </c>
      <c r="Y111" s="162">
        <f>Y110*(1+'Quarterly returns'!AB42)</f>
        <v>1.6624935704928019</v>
      </c>
      <c r="Z111" s="162">
        <f>Z110*(1+INDEX('RBA 5Y yield'!$B$5:$B$661,MATCH(V110,'RBA 5Y yield'!$A$5:$A$661,1))+Inputs!$B$24)^0.25</f>
        <v>2.1179117421626956</v>
      </c>
    </row>
    <row r="112" spans="1:26" x14ac:dyDescent="0.2">
      <c r="V112" s="161">
        <f>'Quarterly returns'!A43</f>
        <v>42277</v>
      </c>
      <c r="W112" s="162">
        <f>W111*(1+'Quarterly returns'!Z43)</f>
        <v>1.677062012146908</v>
      </c>
      <c r="X112" s="162">
        <f>X111*(1+'Quarterly returns'!AA43)</f>
        <v>1.7205212402961012</v>
      </c>
      <c r="Y112" s="162">
        <f>Y111*(1+'Quarterly returns'!AB43)</f>
        <v>1.6499257169566708</v>
      </c>
      <c r="Z112" s="162">
        <f>Z111*(1+INDEX('RBA 5Y yield'!$B$5:$B$661,MATCH(V111,'RBA 5Y yield'!$A$5:$A$661,1))+Inputs!$B$24)^0.25</f>
        <v>2.1504478594715279</v>
      </c>
    </row>
    <row r="113" spans="1:26" x14ac:dyDescent="0.2">
      <c r="V113" s="161">
        <f>'Quarterly returns'!A44</f>
        <v>42369</v>
      </c>
      <c r="W113" s="162">
        <f>W112*(1+'Quarterly returns'!Z44)</f>
        <v>1.7342118113817244</v>
      </c>
      <c r="X113" s="162">
        <f>X112*(1+'Quarterly returns'!AA44)</f>
        <v>1.7574522404244064</v>
      </c>
      <c r="Y113" s="162">
        <f>Y112*(1+'Quarterly returns'!AB44)</f>
        <v>1.6801611161421628</v>
      </c>
      <c r="Z113" s="162">
        <f>Z112*(1+INDEX('RBA 5Y yield'!$B$5:$B$661,MATCH(V112,'RBA 5Y yield'!$A$5:$A$661,1))+Inputs!$B$24)^0.25</f>
        <v>2.1825227845690423</v>
      </c>
    </row>
    <row r="114" spans="1:26" x14ac:dyDescent="0.2">
      <c r="V114" s="161">
        <f>'Quarterly returns'!A45</f>
        <v>42460</v>
      </c>
      <c r="W114" s="162">
        <f>W113*(1+'Quarterly returns'!Z45)</f>
        <v>1.7041750673357701</v>
      </c>
      <c r="X114" s="162">
        <f>X113*(1+'Quarterly returns'!AA45)</f>
        <v>1.7225150805739571</v>
      </c>
      <c r="Y114" s="162">
        <f>Y113*(1+'Quarterly returns'!AB45)</f>
        <v>1.6365868952291405</v>
      </c>
      <c r="Z114" s="162">
        <f>Z113*(1+INDEX('RBA 5Y yield'!$B$5:$B$661,MATCH(V113,'RBA 5Y yield'!$A$5:$A$661,1))+Inputs!$B$24)^0.25</f>
        <v>2.2160306300163337</v>
      </c>
    </row>
    <row r="115" spans="1:26" x14ac:dyDescent="0.2">
      <c r="V115" s="161">
        <f>'Quarterly returns'!A46</f>
        <v>42551</v>
      </c>
      <c r="W115" s="162">
        <f>W114*(1+'Quarterly returns'!Z46)</f>
        <v>1.7738937745205561</v>
      </c>
      <c r="X115" s="162">
        <f>X114*(1+'Quarterly returns'!AA46)</f>
        <v>1.7976806807996788</v>
      </c>
      <c r="Y115" s="162">
        <f>Y114*(1+'Quarterly returns'!AB46)</f>
        <v>1.7149564309244363</v>
      </c>
      <c r="Z115" s="162">
        <f>Z114*(1+INDEX('RBA 5Y yield'!$B$5:$B$661,MATCH(V114,'RBA 5Y yield'!$A$5:$A$661,1))+Inputs!$B$24)^0.25</f>
        <v>2.249258612078247</v>
      </c>
    </row>
    <row r="116" spans="1:26" x14ac:dyDescent="0.2">
      <c r="V116" s="161">
        <f>'Quarterly returns'!A47</f>
        <v>42643</v>
      </c>
      <c r="W116" s="162">
        <f>W115*(1+'Quarterly returns'!Z47)</f>
        <v>1.817865938730189</v>
      </c>
      <c r="X116" s="162">
        <f>X115*(1+'Quarterly returns'!AA47)</f>
        <v>1.8332934097475881</v>
      </c>
      <c r="Y116" s="162">
        <f>Y115*(1+'Quarterly returns'!AB47)</f>
        <v>1.7525563261896497</v>
      </c>
      <c r="Z116" s="162">
        <f>Z115*(1+INDEX('RBA 5Y yield'!$B$5:$B$661,MATCH(V115,'RBA 5Y yield'!$A$5:$A$661,1))+Inputs!$B$24)^0.25</f>
        <v>2.2807606296740612</v>
      </c>
    </row>
    <row r="117" spans="1:26" x14ac:dyDescent="0.2">
      <c r="V117" s="161">
        <f>'Quarterly returns'!A48</f>
        <v>42734</v>
      </c>
      <c r="W117" s="162">
        <f>W116*(1+'Quarterly returns'!Z48)</f>
        <v>1.8846880043556649</v>
      </c>
      <c r="X117" s="162">
        <f>X116*(1+'Quarterly returns'!AA48)</f>
        <v>1.9121918806707481</v>
      </c>
      <c r="Y117" s="162">
        <f>Y116*(1+'Quarterly returns'!AB48)</f>
        <v>1.8413502879748114</v>
      </c>
      <c r="Z117" s="162">
        <f>Z116*(1+INDEX('RBA 5Y yield'!$B$5:$B$661,MATCH(V116,'RBA 5Y yield'!$A$5:$A$661,1))+Inputs!$B$24)^0.25</f>
        <v>2.3125616450247142</v>
      </c>
    </row>
    <row r="118" spans="1:26" x14ac:dyDescent="0.2">
      <c r="V118" s="161">
        <f>'Quarterly returns'!A49</f>
        <v>42825</v>
      </c>
      <c r="W118" s="162">
        <f>W117*(1+'Quarterly returns'!Z49)</f>
        <v>1.9160557129812774</v>
      </c>
      <c r="X118" s="162">
        <f>X117*(1+'Quarterly returns'!AA49)</f>
        <v>1.9324267810956566</v>
      </c>
      <c r="Y118" s="162">
        <f>Y117*(1+'Quarterly returns'!AB49)</f>
        <v>1.8595703535316028</v>
      </c>
      <c r="Z118" s="162">
        <f>Z117*(1+INDEX('RBA 5Y yield'!$B$5:$B$661,MATCH(V117,'RBA 5Y yield'!$A$5:$A$661,1))+Inputs!$B$24)^0.25</f>
        <v>2.3465843608597274</v>
      </c>
    </row>
    <row r="119" spans="1:26" x14ac:dyDescent="0.2">
      <c r="V119" s="161">
        <f>'Quarterly returns'!A50</f>
        <v>42916</v>
      </c>
      <c r="W119" s="162">
        <f>W118*(1+'Quarterly returns'!Z50)</f>
        <v>1.9196370539522807</v>
      </c>
      <c r="X119" s="162">
        <f>X118*(1+'Quarterly returns'!AA50)</f>
        <v>1.9478283169450941</v>
      </c>
      <c r="Y119" s="162">
        <f>Y118*(1+'Quarterly returns'!AB50)</f>
        <v>1.8762981657022602</v>
      </c>
      <c r="Z119" s="162">
        <f>Z118*(1+INDEX('RBA 5Y yield'!$B$5:$B$661,MATCH(V118,'RBA 5Y yield'!$A$5:$A$661,1))+Inputs!$B$24)^0.25</f>
        <v>2.3826670531245484</v>
      </c>
    </row>
    <row r="120" spans="1:26" x14ac:dyDescent="0.2">
      <c r="V120" s="161">
        <f>'Quarterly returns'!A51</f>
        <v>43007</v>
      </c>
      <c r="W120" s="162">
        <f>W119*(1+'Quarterly returns'!Z51)</f>
        <v>1.9330838129819823</v>
      </c>
      <c r="X120" s="162">
        <f>X119*(1+'Quarterly returns'!AA51)</f>
        <v>1.9648563691936372</v>
      </c>
      <c r="Y120" s="162">
        <f>Y119*(1+'Quarterly returns'!AB51)</f>
        <v>1.8964578785630473</v>
      </c>
      <c r="Z120" s="162">
        <f>Z119*(1+INDEX('RBA 5Y yield'!$B$5:$B$661,MATCH(V119,'RBA 5Y yield'!$A$5:$A$661,1))+Inputs!$B$24)^0.25</f>
        <v>2.4175558140775522</v>
      </c>
    </row>
    <row r="121" spans="1:26" x14ac:dyDescent="0.2">
      <c r="V121" s="161">
        <f>'Quarterly returns'!A52</f>
        <v>43098</v>
      </c>
      <c r="W121" s="162">
        <f>W120*(1+'Quarterly returns'!Z52)</f>
        <v>2.0313476764903027</v>
      </c>
      <c r="X121" s="162">
        <f>X120*(1+'Quarterly returns'!AA52)</f>
        <v>2.0593006716074891</v>
      </c>
      <c r="Y121" s="162">
        <f>Y120*(1+'Quarterly returns'!AB52)</f>
        <v>1.9971787451938501</v>
      </c>
      <c r="Z121" s="162">
        <f>Z120*(1+INDEX('RBA 5Y yield'!$B$5:$B$661,MATCH(V120,'RBA 5Y yield'!$A$5:$A$661,1))+Inputs!$B$24)^0.25</f>
        <v>2.4541060424683909</v>
      </c>
    </row>
    <row r="122" spans="1:26" x14ac:dyDescent="0.2">
      <c r="V122" s="161">
        <f>'Quarterly returns'!A53</f>
        <v>43189</v>
      </c>
      <c r="W122" s="162">
        <f>W121*(1+'Quarterly returns'!Z53)</f>
        <v>1.9946586011548622</v>
      </c>
      <c r="X122" s="162">
        <f>X121*(1+'Quarterly returns'!AA53)</f>
        <v>2.0386642233028196</v>
      </c>
      <c r="Y122" s="162">
        <f>Y121*(1+'Quarterly returns'!AB53)</f>
        <v>1.9756767015608003</v>
      </c>
      <c r="Z122" s="162">
        <f>Z121*(1+INDEX('RBA 5Y yield'!$B$5:$B$661,MATCH(V121,'RBA 5Y yield'!$A$5:$A$661,1))+Inputs!$B$24)^0.25</f>
        <v>2.4911267448264156</v>
      </c>
    </row>
    <row r="123" spans="1:26" x14ac:dyDescent="0.2">
      <c r="V123" s="161">
        <f>'Quarterly returns'!A54</f>
        <v>43280</v>
      </c>
      <c r="W123" s="162">
        <f>W122*(1+'Quarterly returns'!Z54)</f>
        <v>2.1178759795192583</v>
      </c>
      <c r="X123" s="162">
        <f>X122*(1+'Quarterly returns'!AA54)</f>
        <v>2.1462961646095535</v>
      </c>
      <c r="Y123" s="162">
        <f>Y122*(1+'Quarterly returns'!AB54)</f>
        <v>2.0891901138588325</v>
      </c>
      <c r="Z123" s="162">
        <f>Z122*(1+INDEX('RBA 5Y yield'!$B$5:$B$661,MATCH(V122,'RBA 5Y yield'!$A$5:$A$661,1))+Inputs!$B$24)^0.25</f>
        <v>2.5301515590165824</v>
      </c>
    </row>
    <row r="124" spans="1:26" x14ac:dyDescent="0.2">
      <c r="A124" s="152" t="s">
        <v>159</v>
      </c>
      <c r="B124" s="153"/>
      <c r="C124" s="153"/>
      <c r="D124" s="153"/>
      <c r="E124" s="153"/>
      <c r="F124" s="153"/>
      <c r="G124" s="153"/>
      <c r="H124" s="153"/>
      <c r="I124" s="153"/>
      <c r="J124" s="153"/>
      <c r="K124" s="153"/>
      <c r="L124" s="154"/>
      <c r="N124" s="155" t="s">
        <v>160</v>
      </c>
      <c r="V124" s="161">
        <f>'Quarterly returns'!A55</f>
        <v>43371</v>
      </c>
      <c r="W124" s="162">
        <f>W123*(1+'Quarterly returns'!Z55)</f>
        <v>2.1743275305396401</v>
      </c>
      <c r="X124" s="162">
        <f>X123*(1+'Quarterly returns'!AA55)</f>
        <v>2.203790805241777</v>
      </c>
      <c r="Y124" s="162">
        <f>Y123*(1+'Quarterly returns'!AB55)</f>
        <v>2.1528883314010292</v>
      </c>
      <c r="Z124" s="162">
        <f>Z123*(1+INDEX('RBA 5Y yield'!$B$5:$B$661,MATCH(V123,'RBA 5Y yield'!$A$5:$A$661,1))+Inputs!$B$24)^0.25</f>
        <v>2.5697877175013502</v>
      </c>
    </row>
    <row r="125" spans="1:26" ht="28" x14ac:dyDescent="0.2">
      <c r="N125" s="156" t="s">
        <v>42</v>
      </c>
      <c r="O125" s="157" t="s">
        <v>141</v>
      </c>
      <c r="P125" s="157" t="s">
        <v>7</v>
      </c>
      <c r="Q125" s="157" t="s">
        <v>8</v>
      </c>
      <c r="V125" s="161">
        <f>'Quarterly returns'!A56</f>
        <v>43465</v>
      </c>
      <c r="W125" s="162">
        <f>W124*(1+'Quarterly returns'!Z56)</f>
        <v>2.0550631796911669</v>
      </c>
      <c r="X125" s="162">
        <f>X124*(1+'Quarterly returns'!AA56)</f>
        <v>2.088359620772581</v>
      </c>
      <c r="Y125" s="162">
        <f>Y124*(1+'Quarterly returns'!AB56)</f>
        <v>2.0170762214264912</v>
      </c>
      <c r="Z125" s="162">
        <f>Z124*(1+INDEX('RBA 5Y yield'!$B$5:$B$661,MATCH(V124,'RBA 5Y yield'!$A$5:$A$661,1))+Inputs!$B$24)^0.25</f>
        <v>2.6089649376451201</v>
      </c>
    </row>
    <row r="126" spans="1:26" x14ac:dyDescent="0.2">
      <c r="N126" s="158" t="s">
        <v>161</v>
      </c>
      <c r="O126" s="160">
        <f>Stress!B26</f>
        <v>-0.24167170700493548</v>
      </c>
      <c r="P126" s="160">
        <f>Stress!B27</f>
        <v>-0.19300088608551058</v>
      </c>
      <c r="Q126" s="160">
        <f>Stress!B28</f>
        <v>-0.24131526738452802</v>
      </c>
      <c r="V126" s="161">
        <f>'Quarterly returns'!A57</f>
        <v>43553</v>
      </c>
      <c r="W126" s="162">
        <f>W125*(1+'Quarterly returns'!Z57)</f>
        <v>2.2376319231718025</v>
      </c>
      <c r="X126" s="162">
        <f>X125*(1+'Quarterly returns'!AA57)</f>
        <v>2.2506097740588813</v>
      </c>
      <c r="Y126" s="162">
        <f>Y125*(1+'Quarterly returns'!AB57)</f>
        <v>2.19405904117199</v>
      </c>
      <c r="Z126" s="162">
        <f>Z125*(1+INDEX('RBA 5Y yield'!$B$5:$B$661,MATCH(V125,'RBA 5Y yield'!$A$5:$A$661,1))+Inputs!$B$24)^0.25</f>
        <v>2.64785390061214</v>
      </c>
    </row>
    <row r="127" spans="1:26" x14ac:dyDescent="0.2">
      <c r="N127" s="158" t="s">
        <v>162</v>
      </c>
      <c r="O127" s="160">
        <f>Stress!C26</f>
        <v>-0.12092702523817271</v>
      </c>
      <c r="P127" s="160">
        <f>Stress!C27</f>
        <v>-9.1806484538445088E-2</v>
      </c>
      <c r="Q127" s="160">
        <f>Stress!C28</f>
        <v>-0.11048429005790601</v>
      </c>
      <c r="V127" s="161">
        <f>'Quarterly returns'!A58</f>
        <v>43644</v>
      </c>
      <c r="W127" s="162">
        <f>W126*(1+'Quarterly returns'!Z58)</f>
        <v>2.3520052594925875</v>
      </c>
      <c r="X127" s="162">
        <f>X126*(1+'Quarterly returns'!AA58)</f>
        <v>2.3512320520041134</v>
      </c>
      <c r="Y127" s="162">
        <f>Y126*(1+'Quarterly returns'!AB58)</f>
        <v>2.2956166771708317</v>
      </c>
      <c r="Z127" s="162">
        <f>Z126*(1+INDEX('RBA 5Y yield'!$B$5:$B$661,MATCH(V126,'RBA 5Y yield'!$A$5:$A$661,1))+Inputs!$B$24)^0.25</f>
        <v>2.6850781187424513</v>
      </c>
    </row>
    <row r="128" spans="1:26" x14ac:dyDescent="0.2">
      <c r="N128" s="158" t="s">
        <v>163</v>
      </c>
      <c r="O128" s="160">
        <f>Stress!D26</f>
        <v>-7.2754437481492379E-2</v>
      </c>
      <c r="P128" s="160">
        <f>Stress!D27</f>
        <v>-7.2610797933692253E-2</v>
      </c>
      <c r="Q128" s="160">
        <f>Stress!D28</f>
        <v>-7.2174037325547016E-2</v>
      </c>
      <c r="V128" s="161">
        <f>'Quarterly returns'!A59</f>
        <v>43738</v>
      </c>
      <c r="W128" s="162">
        <f>W127*(1+'Quarterly returns'!Z59)</f>
        <v>2.444061866252238</v>
      </c>
      <c r="X128" s="162">
        <f>X127*(1+'Quarterly returns'!AA59)</f>
        <v>2.4456430989232167</v>
      </c>
      <c r="Y128" s="162">
        <f>Y127*(1+'Quarterly returns'!AB59)</f>
        <v>2.3917530211071041</v>
      </c>
      <c r="Z128" s="162">
        <f>Z127*(1+INDEX('RBA 5Y yield'!$B$5:$B$661,MATCH(V127,'RBA 5Y yield'!$A$5:$A$661,1))+Inputs!$B$24)^0.25</f>
        <v>2.7199112793630387</v>
      </c>
    </row>
    <row r="129" spans="14:26" x14ac:dyDescent="0.2">
      <c r="N129" s="158" t="s">
        <v>164</v>
      </c>
      <c r="O129" s="160">
        <f>Stress!E26</f>
        <v>-8.2609308004662318E-2</v>
      </c>
      <c r="P129" s="160">
        <f>Stress!E27</f>
        <v>-7.3910247008008134E-2</v>
      </c>
      <c r="Q129" s="160">
        <f>Stress!E28</f>
        <v>-7.8202714049658631E-2</v>
      </c>
      <c r="V129" s="161">
        <f>'Quarterly returns'!A60</f>
        <v>43830</v>
      </c>
      <c r="W129" s="162">
        <f>W128*(1+'Quarterly returns'!Z60)</f>
        <v>2.4515950048107804</v>
      </c>
      <c r="X129" s="162">
        <f>X128*(1+'Quarterly returns'!AA60)</f>
        <v>2.4731689305764442</v>
      </c>
      <c r="Y129" s="162">
        <f>Y128*(1+'Quarterly returns'!AB60)</f>
        <v>2.4266778308667609</v>
      </c>
      <c r="Z129" s="162">
        <f>Z128*(1+INDEX('RBA 5Y yield'!$B$5:$B$661,MATCH(V128,'RBA 5Y yield'!$A$5:$A$661,1))+Inputs!$B$24)^0.25</f>
        <v>2.7520442858763365</v>
      </c>
    </row>
    <row r="130" spans="14:26" x14ac:dyDescent="0.2">
      <c r="V130" s="161">
        <f>'Quarterly returns'!A61</f>
        <v>43921</v>
      </c>
      <c r="W130" s="162">
        <f>W129*(1+'Quarterly returns'!Z61)</f>
        <v>2.155130913790249</v>
      </c>
      <c r="X130" s="162">
        <f>X129*(1+'Quarterly returns'!AA61)</f>
        <v>2.246115985390515</v>
      </c>
      <c r="Y130" s="162">
        <f>Y129*(1+'Quarterly returns'!AB61)</f>
        <v>2.1585680535241876</v>
      </c>
      <c r="Z130" s="162">
        <f>Z129*(1+INDEX('RBA 5Y yield'!$B$5:$B$661,MATCH(V129,'RBA 5Y yield'!$A$5:$A$661,1))+Inputs!$B$24)^0.25</f>
        <v>2.7849818967572455</v>
      </c>
    </row>
    <row r="131" spans="14:26" x14ac:dyDescent="0.2">
      <c r="V131" s="161">
        <f>'Quarterly returns'!A62</f>
        <v>44012</v>
      </c>
      <c r="W131" s="162">
        <f>W130*(1+'Quarterly returns'!Z62)</f>
        <v>2.3312770302243089</v>
      </c>
      <c r="X131" s="162">
        <f>X130*(1+'Quarterly returns'!AA62)</f>
        <v>2.3672701898388335</v>
      </c>
      <c r="Y131" s="162">
        <f>Y130*(1+'Quarterly returns'!AB62)</f>
        <v>2.2923699284090984</v>
      </c>
      <c r="Z131" s="162">
        <f>Z130*(1+INDEX('RBA 5Y yield'!$B$5:$B$661,MATCH(V130,'RBA 5Y yield'!$A$5:$A$661,1))+Inputs!$B$24)^0.25</f>
        <v>2.8157976949851653</v>
      </c>
    </row>
    <row r="132" spans="14:26" x14ac:dyDescent="0.2">
      <c r="V132" s="161">
        <f>'Quarterly returns'!A63</f>
        <v>44104</v>
      </c>
      <c r="W132" s="162">
        <f>W131*(1+'Quarterly returns'!Z63)</f>
        <v>2.3529437590099125</v>
      </c>
      <c r="X132" s="162">
        <f>X131*(1+'Quarterly returns'!AA63)</f>
        <v>2.409836921721356</v>
      </c>
      <c r="Y132" s="162">
        <f>Y131*(1+'Quarterly returns'!AB63)</f>
        <v>2.3318076839399198</v>
      </c>
      <c r="Z132" s="162">
        <f>Z131*(1+INDEX('RBA 5Y yield'!$B$5:$B$661,MATCH(V131,'RBA 5Y yield'!$A$5:$A$661,1))+Inputs!$B$24)^0.25</f>
        <v>2.8462935827391256</v>
      </c>
    </row>
    <row r="133" spans="14:26" x14ac:dyDescent="0.2">
      <c r="V133" s="161">
        <f>'Quarterly returns'!A64</f>
        <v>44196</v>
      </c>
      <c r="W133" s="162">
        <f>W132*(1+'Quarterly returns'!Z64)</f>
        <v>2.5168490729131028</v>
      </c>
      <c r="X133" s="162">
        <f>X132*(1+'Quarterly returns'!AA64)</f>
        <v>2.5496759633578803</v>
      </c>
      <c r="Y133" s="162">
        <f>Y132*(1+'Quarterly returns'!AB64)</f>
        <v>2.4847650531591396</v>
      </c>
      <c r="Z133" s="162">
        <f>Z132*(1+INDEX('RBA 5Y yield'!$B$5:$B$661,MATCH(V132,'RBA 5Y yield'!$A$5:$A$661,1))+Inputs!$B$24)^0.25</f>
        <v>2.8770508525670682</v>
      </c>
    </row>
    <row r="134" spans="14:26" x14ac:dyDescent="0.2">
      <c r="V134" s="161">
        <f>'Quarterly returns'!A65</f>
        <v>44286</v>
      </c>
      <c r="W134" s="162">
        <f>W133*(1+'Quarterly returns'!Z65)</f>
        <v>2.594883666025726</v>
      </c>
      <c r="X134" s="162">
        <f>X133*(1+'Quarterly returns'!AA65)</f>
        <v>2.6445183204727796</v>
      </c>
      <c r="Y134" s="162">
        <f>Y133*(1+'Quarterly returns'!AB65)</f>
        <v>2.5959098265118983</v>
      </c>
      <c r="Z134" s="162">
        <f>Z133*(1+INDEX('RBA 5Y yield'!$B$5:$B$661,MATCH(V133,'RBA 5Y yield'!$A$5:$A$661,1))+Inputs!$B$24)^0.25</f>
        <v>2.9077922050381231</v>
      </c>
    </row>
    <row r="135" spans="14:26" x14ac:dyDescent="0.2">
      <c r="V135" s="161">
        <f>'Quarterly returns'!A66</f>
        <v>44377</v>
      </c>
      <c r="W135" s="162">
        <f>W134*(1+'Quarterly returns'!Z66)</f>
        <v>2.7720575761155533</v>
      </c>
      <c r="X135" s="162">
        <f>X134*(1+'Quarterly returns'!AA66)</f>
        <v>2.8297057033859132</v>
      </c>
      <c r="Y135" s="162">
        <f>Y134*(1+'Quarterly returns'!AB66)</f>
        <v>2.7917973295986402</v>
      </c>
      <c r="Z135" s="162">
        <f>Z134*(1+INDEX('RBA 5Y yield'!$B$5:$B$661,MATCH(V134,'RBA 5Y yield'!$A$5:$A$661,1))+Inputs!$B$24)^0.25</f>
        <v>2.9414287574992399</v>
      </c>
    </row>
    <row r="136" spans="14:26" x14ac:dyDescent="0.2">
      <c r="V136" s="161">
        <f>'Quarterly returns'!A67</f>
        <v>44469</v>
      </c>
      <c r="W136" s="162">
        <f>W135*(1+'Quarterly returns'!Z67)</f>
        <v>2.8351341264332897</v>
      </c>
      <c r="X136" s="162">
        <f>X135*(1+'Quarterly returns'!AA67)</f>
        <v>2.9059907320015648</v>
      </c>
      <c r="Y136" s="162">
        <f>Y135*(1+'Quarterly returns'!AB67)</f>
        <v>2.8623154916265214</v>
      </c>
      <c r="Z136" s="162">
        <f>Z135*(1+INDEX('RBA 5Y yield'!$B$5:$B$661,MATCH(V135,'RBA 5Y yield'!$A$5:$A$661,1))+Inputs!$B$24)^0.25</f>
        <v>2.9756248939523728</v>
      </c>
    </row>
    <row r="137" spans="14:26" x14ac:dyDescent="0.2">
      <c r="V137" s="161">
        <f>'Quarterly returns'!A68</f>
        <v>44561</v>
      </c>
      <c r="W137" s="162">
        <f>W136*(1+'Quarterly returns'!Z68)</f>
        <v>2.9338208703746336</v>
      </c>
      <c r="X137" s="162">
        <f>X136*(1+'Quarterly returns'!AA68)</f>
        <v>3.0055677364823312</v>
      </c>
      <c r="Y137" s="162">
        <f>Y136*(1+'Quarterly returns'!AB68)</f>
        <v>2.9668667530982105</v>
      </c>
      <c r="Z137" s="162">
        <f>Z136*(1+INDEX('RBA 5Y yield'!$B$5:$B$661,MATCH(V136,'RBA 5Y yield'!$A$5:$A$661,1))+Inputs!$B$24)^0.25</f>
        <v>3.0097298491892372</v>
      </c>
    </row>
    <row r="138" spans="14:26" x14ac:dyDescent="0.2">
      <c r="V138" s="161">
        <f>'Quarterly returns'!A69</f>
        <v>44651</v>
      </c>
      <c r="W138" s="162">
        <f>W137*(1+'Quarterly returns'!Z69)</f>
        <v>2.850166833545468</v>
      </c>
      <c r="X138" s="162">
        <f>X137*(1+'Quarterly returns'!AA69)</f>
        <v>2.9113318834771329</v>
      </c>
      <c r="Y138" s="162">
        <f>Y137*(1+'Quarterly returns'!AB69)</f>
        <v>2.8751324637441478</v>
      </c>
      <c r="Z138" s="162">
        <f>Z137*(1+INDEX('RBA 5Y yield'!$B$5:$B$661,MATCH(V137,'RBA 5Y yield'!$A$5:$A$661,1))+Inputs!$B$24)^0.25</f>
        <v>3.0490135299045478</v>
      </c>
    </row>
    <row r="139" spans="14:26" x14ac:dyDescent="0.2">
      <c r="V139" s="161">
        <f>'Quarterly returns'!A70</f>
        <v>44742</v>
      </c>
      <c r="W139" s="162">
        <f>W138*(1+'Quarterly returns'!Z70)</f>
        <v>2.6167815527988947</v>
      </c>
      <c r="X139" s="162">
        <f>X138*(1+'Quarterly returns'!AA70)</f>
        <v>2.7186334843084348</v>
      </c>
      <c r="Y139" s="162">
        <f>Y138*(1+'Quarterly returns'!AB70)</f>
        <v>2.685475152293217</v>
      </c>
      <c r="Z139" s="162">
        <f>Z138*(1+INDEX('RBA 5Y yield'!$B$5:$B$661,MATCH(V138,'RBA 5Y yield'!$A$5:$A$661,1))+Inputs!$B$24)^0.25</f>
        <v>3.0952854323130823</v>
      </c>
    </row>
    <row r="140" spans="14:26" x14ac:dyDescent="0.2">
      <c r="V140" s="161">
        <f>'Quarterly returns'!A71</f>
        <v>44834</v>
      </c>
      <c r="W140" s="162">
        <f>W139*(1+'Quarterly returns'!Z71)</f>
        <v>2.6204909660589069</v>
      </c>
      <c r="X140" s="162">
        <f>X139*(1+'Quarterly returns'!AA71)</f>
        <v>2.7054960742785874</v>
      </c>
      <c r="Y140" s="162">
        <f>Y139*(1+'Quarterly returns'!AB71)</f>
        <v>2.6748317172981975</v>
      </c>
      <c r="Z140" s="162">
        <f>Z139*(1+INDEX('RBA 5Y yield'!$B$5:$B$661,MATCH(V139,'RBA 5Y yield'!$A$5:$A$661,1))+Inputs!$B$24)^0.25</f>
        <v>3.1517210313274973</v>
      </c>
    </row>
    <row r="141" spans="14:26" x14ac:dyDescent="0.2">
      <c r="V141" s="161">
        <f>'Quarterly returns'!A72</f>
        <v>44925</v>
      </c>
      <c r="W141" s="162">
        <f>W140*(1+'Quarterly returns'!Z72)</f>
        <v>2.7239310745460781</v>
      </c>
      <c r="X141" s="162">
        <f>X140*(1+'Quarterly returns'!AA72)</f>
        <v>2.7910344749006035</v>
      </c>
      <c r="Y141" s="162">
        <f>Y140*(1+'Quarterly returns'!AB72)</f>
        <v>2.7562043552780682</v>
      </c>
      <c r="Z141" s="162">
        <f>Z140*(1+INDEX('RBA 5Y yield'!$B$5:$B$661,MATCH(V140,'RBA 5Y yield'!$A$5:$A$661,1))+Inputs!$B$24)^0.25</f>
        <v>3.2092527771379986</v>
      </c>
    </row>
    <row r="142" spans="14:26" x14ac:dyDescent="0.2">
      <c r="V142" s="161">
        <f>'Quarterly returns'!A73</f>
        <v>45016</v>
      </c>
      <c r="W142" s="162">
        <f>W141*(1+'Quarterly returns'!Z73)</f>
        <v>2.8468443099005922</v>
      </c>
      <c r="X142" s="162">
        <f>X141*(1+'Quarterly returns'!AA73)</f>
        <v>2.922457586085708</v>
      </c>
      <c r="Y142" s="162">
        <f>Y141*(1+'Quarterly returns'!AB73)</f>
        <v>2.8924745612883074</v>
      </c>
      <c r="Z142" s="162">
        <f>Z141*(1+INDEX('RBA 5Y yield'!$B$5:$B$661,MATCH(V141,'RBA 5Y yield'!$A$5:$A$661,1))+Inputs!$B$24)^0.25</f>
        <v>3.2672037843128723</v>
      </c>
    </row>
    <row r="143" spans="14:26" x14ac:dyDescent="0.2">
      <c r="V143" s="161">
        <f>'Quarterly returns'!A74</f>
        <v>45107</v>
      </c>
      <c r="W143" s="162">
        <f>W142*(1+'Quarterly returns'!Z74)</f>
        <v>2.8975567906991628</v>
      </c>
      <c r="X143" s="162">
        <f>X142*(1+'Quarterly returns'!AA74)</f>
        <v>2.991550711738411</v>
      </c>
      <c r="Y143" s="162">
        <f>Y142*(1+'Quarterly returns'!AB74)</f>
        <v>2.9731207347590765</v>
      </c>
      <c r="Z143" s="162">
        <f>Z142*(1+INDEX('RBA 5Y yield'!$B$5:$B$661,MATCH(V142,'RBA 5Y yield'!$A$5:$A$661,1))+Inputs!$B$24)^0.25</f>
        <v>3.3245124078354196</v>
      </c>
    </row>
    <row r="144" spans="14:26" x14ac:dyDescent="0.2">
      <c r="V144" s="161">
        <f>'Quarterly returns'!A75</f>
        <v>45198</v>
      </c>
      <c r="W144" s="162">
        <f>W143*(1+'Quarterly returns'!Z75)</f>
        <v>2.880128148633029</v>
      </c>
      <c r="X144" s="162">
        <f>X143*(1+'Quarterly returns'!AA75)</f>
        <v>3.0059165230686258</v>
      </c>
      <c r="Y144" s="162">
        <f>Y143*(1+'Quarterly returns'!AB75)</f>
        <v>2.989941478181771</v>
      </c>
      <c r="Z144" s="162">
        <f>Z143*(1+INDEX('RBA 5Y yield'!$B$5:$B$661,MATCH(V143,'RBA 5Y yield'!$A$5:$A$661,1))+Inputs!$B$24)^0.25</f>
        <v>3.3873689554643938</v>
      </c>
    </row>
    <row r="145" spans="1:26" x14ac:dyDescent="0.2">
      <c r="V145" s="161">
        <f>'Quarterly returns'!A76</f>
        <v>45289</v>
      </c>
      <c r="W145" s="162">
        <f>W144*(1+'Quarterly returns'!Z76)</f>
        <v>3.059261562119115</v>
      </c>
      <c r="X145" s="162">
        <f>X144*(1+'Quarterly returns'!AA76)</f>
        <v>3.148594696987487</v>
      </c>
      <c r="Y145" s="162">
        <f>Y144*(1+'Quarterly returns'!AB76)</f>
        <v>3.1207843884329933</v>
      </c>
      <c r="Z145" s="162">
        <f>Z144*(1+INDEX('RBA 5Y yield'!$B$5:$B$661,MATCH(V144,'RBA 5Y yield'!$A$5:$A$661,1))+Inputs!$B$24)^0.25</f>
        <v>3.4520382062607688</v>
      </c>
    </row>
    <row r="146" spans="1:26" x14ac:dyDescent="0.2">
      <c r="V146" s="161">
        <f>'Quarterly returns'!A77</f>
        <v>45380</v>
      </c>
      <c r="W146" s="162">
        <f>W145*(1+'Quarterly returns'!Z77)</f>
        <v>3.2386790223774584</v>
      </c>
      <c r="X146" s="162">
        <f>X145*(1+'Quarterly returns'!AA77)</f>
        <v>3.359114281029445</v>
      </c>
      <c r="Y146" s="162">
        <f>Y145*(1+'Quarterly returns'!AB77)</f>
        <v>3.3522907725012856</v>
      </c>
      <c r="Z146" s="162">
        <f>Z145*(1+INDEX('RBA 5Y yield'!$B$5:$B$661,MATCH(V145,'RBA 5Y yield'!$A$5:$A$661,1))+Inputs!$B$24)^0.25</f>
        <v>3.5211585344230194</v>
      </c>
    </row>
    <row r="147" spans="1:26" x14ac:dyDescent="0.2">
      <c r="V147" s="161">
        <f>'Quarterly returns'!A78</f>
        <v>45471</v>
      </c>
      <c r="W147" s="162">
        <f>W146*(1+'Quarterly returns'!Z78)</f>
        <v>3.214560352558693</v>
      </c>
      <c r="X147" s="162">
        <f>X146*(1+'Quarterly returns'!AA78)</f>
        <v>3.3411586136386324</v>
      </c>
      <c r="Y147" s="162">
        <f>Y146*(1+'Quarterly returns'!AB78)</f>
        <v>3.3430611724643913</v>
      </c>
      <c r="Z147" s="162">
        <f>Z146*(1+INDEX('RBA 5Y yield'!$B$5:$B$661,MATCH(V146,'RBA 5Y yield'!$A$5:$A$661,1))+Inputs!$B$24)^0.25</f>
        <v>3.5877247479480063</v>
      </c>
    </row>
    <row r="148" spans="1:26" x14ac:dyDescent="0.2">
      <c r="V148" s="161">
        <f>'Quarterly returns'!A79</f>
        <v>45565</v>
      </c>
      <c r="W148" s="162">
        <f>W147*(1+'Quarterly returns'!Z79)</f>
        <v>3.3820693471737524</v>
      </c>
      <c r="X148" s="162">
        <f>X147*(1+'Quarterly returns'!AA79)</f>
        <v>3.4810274321111785</v>
      </c>
      <c r="Y148" s="162">
        <f>Y147*(1+'Quarterly returns'!AB79)</f>
        <v>3.4747589900485796</v>
      </c>
      <c r="Z148" s="162">
        <f>Z147*(1+INDEX('RBA 5Y yield'!$B$5:$B$661,MATCH(V147,'RBA 5Y yield'!$A$5:$A$661,1))+Inputs!$B$24)^0.25</f>
        <v>3.6575911643862731</v>
      </c>
    </row>
    <row r="149" spans="1:26" x14ac:dyDescent="0.2">
      <c r="V149" s="161">
        <f>'Quarterly returns'!A80</f>
        <v>45657</v>
      </c>
      <c r="W149" s="162">
        <f>W148*(1+'Quarterly returns'!Z80)</f>
        <v>3.4785346017399248</v>
      </c>
      <c r="X149" s="162">
        <f>X148*(1+'Quarterly returns'!AA80)</f>
        <v>3.6206114456307832</v>
      </c>
      <c r="Y149" s="162">
        <f>Y148*(1+'Quarterly returns'!AB80)</f>
        <v>3.6474730458230651</v>
      </c>
      <c r="Z149" s="162">
        <f>Z148*(1+INDEX('RBA 5Y yield'!$B$5:$B$661,MATCH(V148,'RBA 5Y yield'!$A$5:$A$661,1))+Inputs!$B$24)^0.25</f>
        <v>3.7248333627083241</v>
      </c>
    </row>
    <row r="150" spans="1:26" x14ac:dyDescent="0.2">
      <c r="A150" s="152" t="s">
        <v>165</v>
      </c>
      <c r="B150" s="153"/>
      <c r="C150" s="153"/>
      <c r="D150" s="153"/>
      <c r="E150" s="153"/>
      <c r="F150" s="153"/>
      <c r="G150" s="153"/>
      <c r="H150" s="153"/>
      <c r="I150" s="153"/>
      <c r="J150" s="153"/>
      <c r="K150" s="153"/>
      <c r="L150" s="154"/>
      <c r="N150" s="155" t="s">
        <v>166</v>
      </c>
      <c r="V150" s="161">
        <f>'Quarterly returns'!A81</f>
        <v>45747</v>
      </c>
      <c r="W150" s="162">
        <f>W149*(1+'Quarterly returns'!Z81)</f>
        <v>3.4234793604652376</v>
      </c>
      <c r="X150" s="162">
        <f>X149*(1+'Quarterly returns'!AA81)</f>
        <v>3.5738068969686156</v>
      </c>
      <c r="Y150" s="162">
        <f>Y149*(1+'Quarterly returns'!AB81)</f>
        <v>3.6013357245551294</v>
      </c>
      <c r="Z150" s="162">
        <f>Z149*(1+INDEX('RBA 5Y yield'!$B$5:$B$661,MATCH(V149,'RBA 5Y yield'!$A$5:$A$661,1))+Inputs!$B$24)^0.25</f>
        <v>3.796613752898268</v>
      </c>
    </row>
    <row r="151" spans="1:26" ht="28" x14ac:dyDescent="0.2">
      <c r="N151" s="156" t="s">
        <v>167</v>
      </c>
      <c r="O151" s="157" t="s">
        <v>141</v>
      </c>
      <c r="P151" s="157" t="s">
        <v>8</v>
      </c>
      <c r="Q151" s="157" t="s">
        <v>168</v>
      </c>
      <c r="R151" s="157" t="s">
        <v>169</v>
      </c>
      <c r="V151" s="161">
        <f>'Quarterly returns'!A82</f>
        <v>45838</v>
      </c>
      <c r="W151" s="162">
        <f>W150*(1+'Quarterly returns'!Z82)</f>
        <v>3.5901196316540442</v>
      </c>
      <c r="X151" s="162">
        <f>X150*(1+'Quarterly returns'!AA82)</f>
        <v>3.7223426635941812</v>
      </c>
      <c r="Y151" s="162">
        <f>Y150*(1+'Quarterly returns'!AB82)</f>
        <v>3.7470739263062338</v>
      </c>
      <c r="Z151" s="162">
        <f>Z150*(1+INDEX('RBA 5Y yield'!$B$5:$B$661,MATCH(V150,'RBA 5Y yield'!$A$5:$A$661,1))+Inputs!$B$24)^0.25</f>
        <v>3.8695174443860028</v>
      </c>
    </row>
    <row r="152" spans="1:26" x14ac:dyDescent="0.2">
      <c r="N152" s="158" t="str">
        <f t="shared" ref="N152:N166" si="0">TEXT(Q152,"0%")&amp;" to "&amp;TEXT(R152,"0%")</f>
        <v>-30% to -20%</v>
      </c>
      <c r="O152" s="163">
        <f>COUNTIFS(Bootstrap!G$102:G$1101,"&gt;="&amp;$Q152,Bootstrap!G$102:G$1101,"&lt;"&amp;$R152)</f>
        <v>11</v>
      </c>
      <c r="P152" s="163">
        <f>COUNTIFS(Bootstrap!I$102:I$1101,"&gt;="&amp;$Q152,Bootstrap!I$102:I$1101,"&lt;"&amp;$R152)</f>
        <v>13</v>
      </c>
      <c r="Q152" s="160">
        <v>-0.3</v>
      </c>
      <c r="R152" s="160">
        <v>-0.2</v>
      </c>
      <c r="V152" s="161">
        <f>'Quarterly returns'!A83</f>
        <v>45930</v>
      </c>
      <c r="W152" s="162">
        <f>W151*(1+'Quarterly returns'!Z83)</f>
        <v>3.7298040178763641</v>
      </c>
      <c r="X152" s="162">
        <f>X151*(1+'Quarterly returns'!AA83)</f>
        <v>3.8705015719378677</v>
      </c>
      <c r="Y152" s="162">
        <f>Y151*(1+'Quarterly returns'!AB83)</f>
        <v>3.9238652995790355</v>
      </c>
      <c r="Z152" s="162">
        <f>Z151*(1+INDEX('RBA 5Y yield'!$B$5:$B$661,MATCH(V151,'RBA 5Y yield'!$A$5:$A$661,1))+Inputs!$B$24)^0.25</f>
        <v>3.9403259800462536</v>
      </c>
    </row>
    <row r="153" spans="1:26" x14ac:dyDescent="0.2">
      <c r="N153" s="158" t="str">
        <f t="shared" si="0"/>
        <v>-20% to -10%</v>
      </c>
      <c r="O153" s="163">
        <f>COUNTIFS(Bootstrap!G$102:G$1101,"&gt;="&amp;$Q153,Bootstrap!G$102:G$1101,"&lt;"&amp;$R153)</f>
        <v>16</v>
      </c>
      <c r="P153" s="163">
        <f>COUNTIFS(Bootstrap!I$102:I$1101,"&gt;="&amp;$Q153,Bootstrap!I$102:I$1101,"&lt;"&amp;$R153)</f>
        <v>15</v>
      </c>
      <c r="Q153" s="160">
        <v>-0.2</v>
      </c>
      <c r="R153" s="160">
        <v>-9.9999999999999978E-2</v>
      </c>
      <c r="V153" s="161">
        <f>'Quarterly returns'!A84</f>
        <v>46022</v>
      </c>
      <c r="W153" s="162">
        <f>W152*(1+'Quarterly returns'!Z84)</f>
        <v>3.7328156057843298</v>
      </c>
      <c r="X153" s="162">
        <f>X152*(1+'Quarterly returns'!AA84)</f>
        <v>3.8983583030367326</v>
      </c>
      <c r="Y153" s="162">
        <f>Y152*(1+'Quarterly returns'!AB84)</f>
        <v>3.9642722758791726</v>
      </c>
      <c r="Z153" s="162">
        <f>Z152*(1+INDEX('RBA 5Y yield'!$B$5:$B$661,MATCH(V152,'RBA 5Y yield'!$A$5:$A$661,1))+Inputs!$B$24)^0.25</f>
        <v>4.013651817509972</v>
      </c>
    </row>
    <row r="154" spans="1:26" x14ac:dyDescent="0.2">
      <c r="N154" s="158" t="str">
        <f t="shared" si="0"/>
        <v>-10% to 0%</v>
      </c>
      <c r="O154" s="163">
        <f>COUNTIFS(Bootstrap!G$102:G$1101,"&gt;="&amp;$Q154,Bootstrap!G$102:G$1101,"&lt;"&amp;$R154)</f>
        <v>43</v>
      </c>
      <c r="P154" s="163">
        <f>COUNTIFS(Bootstrap!I$102:I$1101,"&gt;="&amp;$Q154,Bootstrap!I$102:I$1101,"&lt;"&amp;$R154)</f>
        <v>42</v>
      </c>
      <c r="Q154" s="160">
        <v>-9.9999999999999978E-2</v>
      </c>
      <c r="R154" s="160">
        <v>2.775557561562891E-17</v>
      </c>
      <c r="V154" s="161">
        <f>'Quarterly returns'!A85</f>
        <v>46112</v>
      </c>
      <c r="W154" s="162">
        <f>W153*(1+'Quarterly returns'!Z85)</f>
        <v>3.6435127228555046</v>
      </c>
      <c r="X154" s="162">
        <f>X153*(1+'Quarterly returns'!AA85)</f>
        <v>3.8100333594448439</v>
      </c>
      <c r="Y154" s="162">
        <f>Y153*(1+'Quarterly returns'!AB85)</f>
        <v>3.8998695407326074</v>
      </c>
      <c r="Z154" s="162">
        <f>Z153*(1+INDEX('RBA 5Y yield'!$B$5:$B$661,MATCH(V153,'RBA 5Y yield'!$A$5:$A$661,1))+Inputs!$B$24)^0.25</f>
        <v>4.0940268169159992</v>
      </c>
    </row>
    <row r="155" spans="1:26" x14ac:dyDescent="0.2">
      <c r="N155" s="158" t="str">
        <f t="shared" si="0"/>
        <v>0% to 10%</v>
      </c>
      <c r="O155" s="163">
        <f>COUNTIFS(Bootstrap!G$102:G$1101,"&gt;="&amp;$Q155,Bootstrap!G$102:G$1101,"&lt;"&amp;$R155)</f>
        <v>67</v>
      </c>
      <c r="P155" s="163">
        <f>COUNTIFS(Bootstrap!I$102:I$1101,"&gt;="&amp;$Q155,Bootstrap!I$102:I$1101,"&lt;"&amp;$R155)</f>
        <v>65</v>
      </c>
      <c r="Q155" s="160">
        <v>5.5511151231257827E-17</v>
      </c>
      <c r="R155" s="160">
        <v>0.1000000000000001</v>
      </c>
    </row>
    <row r="156" spans="1:26" x14ac:dyDescent="0.2">
      <c r="N156" s="158" t="str">
        <f t="shared" si="0"/>
        <v>10% to 20%</v>
      </c>
      <c r="O156" s="163">
        <f>COUNTIFS(Bootstrap!G$102:G$1101,"&gt;="&amp;$Q156,Bootstrap!G$102:G$1101,"&lt;"&amp;$R156)</f>
        <v>99</v>
      </c>
      <c r="P156" s="163">
        <f>COUNTIFS(Bootstrap!I$102:I$1101,"&gt;="&amp;$Q156,Bootstrap!I$102:I$1101,"&lt;"&amp;$R156)</f>
        <v>107</v>
      </c>
      <c r="Q156" s="160">
        <v>0.1</v>
      </c>
      <c r="R156" s="160">
        <v>0.2</v>
      </c>
    </row>
    <row r="157" spans="1:26" x14ac:dyDescent="0.2">
      <c r="N157" s="158" t="str">
        <f t="shared" si="0"/>
        <v>20% to 30%</v>
      </c>
      <c r="O157" s="163">
        <f>COUNTIFS(Bootstrap!G$102:G$1101,"&gt;="&amp;$Q157,Bootstrap!G$102:G$1101,"&lt;"&amp;$R157)</f>
        <v>131</v>
      </c>
      <c r="P157" s="163">
        <f>COUNTIFS(Bootstrap!I$102:I$1101,"&gt;="&amp;$Q157,Bootstrap!I$102:I$1101,"&lt;"&amp;$R157)</f>
        <v>127</v>
      </c>
      <c r="Q157" s="160">
        <v>0.2</v>
      </c>
      <c r="R157" s="160">
        <v>0.3</v>
      </c>
    </row>
    <row r="158" spans="1:26" x14ac:dyDescent="0.2">
      <c r="N158" s="158" t="str">
        <f t="shared" si="0"/>
        <v>30% to 40%</v>
      </c>
      <c r="O158" s="163">
        <f>COUNTIFS(Bootstrap!G$102:G$1101,"&gt;="&amp;$Q158,Bootstrap!G$102:G$1101,"&lt;"&amp;$R158)</f>
        <v>121</v>
      </c>
      <c r="P158" s="163">
        <f>COUNTIFS(Bootstrap!I$102:I$1101,"&gt;="&amp;$Q158,Bootstrap!I$102:I$1101,"&lt;"&amp;$R158)</f>
        <v>122</v>
      </c>
      <c r="Q158" s="160">
        <v>0.3000000000000001</v>
      </c>
      <c r="R158" s="160">
        <v>0.40000000000000008</v>
      </c>
    </row>
    <row r="159" spans="1:26" x14ac:dyDescent="0.2">
      <c r="N159" s="158" t="str">
        <f t="shared" si="0"/>
        <v>40% to 50%</v>
      </c>
      <c r="O159" s="163">
        <f>COUNTIFS(Bootstrap!G$102:G$1101,"&gt;="&amp;$Q159,Bootstrap!G$102:G$1101,"&lt;"&amp;$R159)</f>
        <v>147</v>
      </c>
      <c r="P159" s="163">
        <f>COUNTIFS(Bootstrap!I$102:I$1101,"&gt;="&amp;$Q159,Bootstrap!I$102:I$1101,"&lt;"&amp;$R159)</f>
        <v>132</v>
      </c>
      <c r="Q159" s="160">
        <v>0.40000000000000008</v>
      </c>
      <c r="R159" s="160">
        <v>0.50000000000000011</v>
      </c>
    </row>
    <row r="160" spans="1:26" x14ac:dyDescent="0.2">
      <c r="N160" s="158" t="str">
        <f t="shared" si="0"/>
        <v>50% to 60%</v>
      </c>
      <c r="O160" s="163">
        <f>COUNTIFS(Bootstrap!G$102:G$1101,"&gt;="&amp;$Q160,Bootstrap!G$102:G$1101,"&lt;"&amp;$R160)</f>
        <v>118</v>
      </c>
      <c r="P160" s="163">
        <f>COUNTIFS(Bootstrap!I$102:I$1101,"&gt;="&amp;$Q160,Bootstrap!I$102:I$1101,"&lt;"&amp;$R160)</f>
        <v>126</v>
      </c>
      <c r="Q160" s="160">
        <v>0.5</v>
      </c>
      <c r="R160" s="160">
        <v>0.6</v>
      </c>
    </row>
    <row r="161" spans="1:18" x14ac:dyDescent="0.2">
      <c r="N161" s="158" t="str">
        <f t="shared" si="0"/>
        <v>60% to 70%</v>
      </c>
      <c r="O161" s="163">
        <f>COUNTIFS(Bootstrap!G$102:G$1101,"&gt;="&amp;$Q161,Bootstrap!G$102:G$1101,"&lt;"&amp;$R161)</f>
        <v>87</v>
      </c>
      <c r="P161" s="163">
        <f>COUNTIFS(Bootstrap!I$102:I$1101,"&gt;="&amp;$Q161,Bootstrap!I$102:I$1101,"&lt;"&amp;$R161)</f>
        <v>83</v>
      </c>
      <c r="Q161" s="160">
        <v>0.60000000000000009</v>
      </c>
      <c r="R161" s="160">
        <v>0.70000000000000007</v>
      </c>
    </row>
    <row r="162" spans="1:18" x14ac:dyDescent="0.2">
      <c r="N162" s="158" t="str">
        <f t="shared" si="0"/>
        <v>70% to 80%</v>
      </c>
      <c r="O162" s="163">
        <f>COUNTIFS(Bootstrap!G$102:G$1101,"&gt;="&amp;$Q162,Bootstrap!G$102:G$1101,"&lt;"&amp;$R162)</f>
        <v>74</v>
      </c>
      <c r="P162" s="163">
        <f>COUNTIFS(Bootstrap!I$102:I$1101,"&gt;="&amp;$Q162,Bootstrap!I$102:I$1101,"&lt;"&amp;$R162)</f>
        <v>73</v>
      </c>
      <c r="Q162" s="160">
        <v>0.7</v>
      </c>
      <c r="R162" s="160">
        <v>0.79999999999999993</v>
      </c>
    </row>
    <row r="163" spans="1:18" x14ac:dyDescent="0.2">
      <c r="N163" s="158" t="str">
        <f t="shared" si="0"/>
        <v>80% to 90%</v>
      </c>
      <c r="O163" s="163">
        <f>COUNTIFS(Bootstrap!G$102:G$1101,"&gt;="&amp;$Q163,Bootstrap!G$102:G$1101,"&lt;"&amp;$R163)</f>
        <v>43</v>
      </c>
      <c r="P163" s="163">
        <f>COUNTIFS(Bootstrap!I$102:I$1101,"&gt;="&amp;$Q163,Bootstrap!I$102:I$1101,"&lt;"&amp;$R163)</f>
        <v>44</v>
      </c>
      <c r="Q163" s="160">
        <v>0.8</v>
      </c>
      <c r="R163" s="160">
        <v>0.9</v>
      </c>
    </row>
    <row r="164" spans="1:18" x14ac:dyDescent="0.2">
      <c r="N164" s="158" t="str">
        <f t="shared" si="0"/>
        <v>90% to 100%</v>
      </c>
      <c r="O164" s="163">
        <f>COUNTIFS(Bootstrap!G$102:G$1101,"&gt;="&amp;$Q164,Bootstrap!G$102:G$1101,"&lt;"&amp;$R164)</f>
        <v>20</v>
      </c>
      <c r="P164" s="163">
        <f>COUNTIFS(Bootstrap!I$102:I$1101,"&gt;="&amp;$Q164,Bootstrap!I$102:I$1101,"&lt;"&amp;$R164)</f>
        <v>26</v>
      </c>
      <c r="Q164" s="160">
        <v>0.90000000000000013</v>
      </c>
      <c r="R164" s="160">
        <v>1</v>
      </c>
    </row>
    <row r="165" spans="1:18" x14ac:dyDescent="0.2">
      <c r="N165" s="158" t="str">
        <f t="shared" si="0"/>
        <v>100% to 110%</v>
      </c>
      <c r="O165" s="163">
        <f>COUNTIFS(Bootstrap!G$102:G$1101,"&gt;="&amp;$Q165,Bootstrap!G$102:G$1101,"&lt;"&amp;$R165)</f>
        <v>13</v>
      </c>
      <c r="P165" s="163">
        <f>COUNTIFS(Bootstrap!I$102:I$1101,"&gt;="&amp;$Q165,Bootstrap!I$102:I$1101,"&lt;"&amp;$R165)</f>
        <v>9</v>
      </c>
      <c r="Q165" s="160">
        <v>1</v>
      </c>
      <c r="R165" s="160">
        <v>1.1000000000000001</v>
      </c>
    </row>
    <row r="166" spans="1:18" x14ac:dyDescent="0.2">
      <c r="N166" s="158" t="str">
        <f t="shared" si="0"/>
        <v>110% to 120%</v>
      </c>
      <c r="O166" s="163">
        <f>COUNTIFS(Bootstrap!G$102:G$1101,"&gt;="&amp;$Q166,Bootstrap!G$102:G$1101,"&lt;"&amp;$R166)</f>
        <v>3</v>
      </c>
      <c r="P166" s="163">
        <f>COUNTIFS(Bootstrap!I$102:I$1101,"&gt;="&amp;$Q166,Bootstrap!I$102:I$1101,"&lt;"&amp;$R166)</f>
        <v>7</v>
      </c>
      <c r="Q166" s="160">
        <v>1.1000000000000001</v>
      </c>
      <c r="R166" s="160">
        <v>1.2</v>
      </c>
    </row>
    <row r="176" spans="1:18" x14ac:dyDescent="0.2">
      <c r="A176" s="152" t="s">
        <v>170</v>
      </c>
      <c r="B176" s="153"/>
      <c r="C176" s="153"/>
      <c r="D176" s="153"/>
      <c r="E176" s="153"/>
      <c r="F176" s="153"/>
      <c r="G176" s="153"/>
      <c r="H176" s="153"/>
      <c r="I176" s="153"/>
      <c r="J176" s="153"/>
      <c r="K176" s="153"/>
      <c r="L176" s="154"/>
      <c r="N176" s="155" t="s">
        <v>171</v>
      </c>
    </row>
    <row r="177" spans="14:16" ht="28" x14ac:dyDescent="0.2">
      <c r="N177" s="156" t="s">
        <v>172</v>
      </c>
      <c r="O177" s="157" t="s">
        <v>140</v>
      </c>
      <c r="P177" s="157" t="s">
        <v>173</v>
      </c>
    </row>
    <row r="178" spans="14:16" x14ac:dyDescent="0.2">
      <c r="N178" s="158" t="str">
        <f>Portfolio!B42</f>
        <v>Base (recommended)</v>
      </c>
      <c r="O178" s="159">
        <f>Portfolio!B55</f>
        <v>7.1373051138514956E-2</v>
      </c>
      <c r="P178" s="159">
        <f>Inputs!$B$25</f>
        <v>8.9880000000000002E-2</v>
      </c>
    </row>
    <row r="179" spans="14:16" x14ac:dyDescent="0.2">
      <c r="N179" s="158" t="str">
        <f>Portfolio!C42</f>
        <v>TE limit 1.5%</v>
      </c>
      <c r="O179" s="159">
        <f>Portfolio!C55</f>
        <v>7.2308153066702532E-2</v>
      </c>
      <c r="P179" s="159">
        <f>Inputs!$B$25</f>
        <v>8.9880000000000002E-2</v>
      </c>
    </row>
    <row r="180" spans="14:16" x14ac:dyDescent="0.2">
      <c r="N180" s="158" t="str">
        <f>Portfolio!D42</f>
        <v>No TE limit</v>
      </c>
      <c r="O180" s="159">
        <f>Portfolio!D55</f>
        <v>7.2808538560980227E-2</v>
      </c>
      <c r="P180" s="159">
        <f>Inputs!$B$25</f>
        <v>8.9880000000000002E-2</v>
      </c>
    </row>
    <row r="181" spans="14:16" x14ac:dyDescent="0.2">
      <c r="N181" s="158" t="str">
        <f>Portfolio!E42</f>
        <v>Equity max 72%</v>
      </c>
      <c r="O181" s="159">
        <f>Portfolio!E55</f>
        <v>7.1380892226549392E-2</v>
      </c>
      <c r="P181" s="159">
        <f>Inputs!$B$25</f>
        <v>8.9880000000000002E-2</v>
      </c>
    </row>
    <row r="182" spans="14:16" x14ac:dyDescent="0.2">
      <c r="N182" s="158" t="str">
        <f>Portfolio!F42</f>
        <v>Alternatives optimised</v>
      </c>
      <c r="O182" s="159">
        <f>Portfolio!F55</f>
        <v>7.1766692218464517E-2</v>
      </c>
      <c r="P182" s="159">
        <f>Inputs!$B$25</f>
        <v>8.9880000000000002E-2</v>
      </c>
    </row>
    <row r="183" spans="14:16" x14ac:dyDescent="0.2">
      <c r="N183" s="158" t="str">
        <f>Portfolio!G42</f>
        <v>Long-only only</v>
      </c>
      <c r="O183" s="159">
        <f>Portfolio!G55</f>
        <v>8.1926451796201755E-2</v>
      </c>
      <c r="P183" s="159">
        <f>Inputs!$B$25</f>
        <v>8.9880000000000002E-2</v>
      </c>
    </row>
    <row r="202" spans="1:17" x14ac:dyDescent="0.2">
      <c r="A202" s="152" t="s">
        <v>174</v>
      </c>
      <c r="B202" s="153"/>
      <c r="C202" s="153"/>
      <c r="D202" s="153"/>
      <c r="E202" s="153"/>
      <c r="F202" s="153"/>
      <c r="G202" s="153"/>
      <c r="H202" s="153"/>
      <c r="I202" s="153"/>
      <c r="J202" s="153"/>
      <c r="K202" s="153"/>
      <c r="L202" s="154"/>
      <c r="N202" s="155" t="s">
        <v>175</v>
      </c>
    </row>
    <row r="203" spans="1:17" ht="28" x14ac:dyDescent="0.2">
      <c r="N203" s="156" t="s">
        <v>176</v>
      </c>
      <c r="O203" s="157" t="s">
        <v>141</v>
      </c>
      <c r="P203" s="157" t="s">
        <v>7</v>
      </c>
      <c r="Q203" s="157" t="s">
        <v>8</v>
      </c>
    </row>
    <row r="204" spans="1:17" x14ac:dyDescent="0.2">
      <c r="N204" s="158" t="s">
        <v>177</v>
      </c>
      <c r="O204" s="160">
        <f>Oil!D43</f>
        <v>-6.1563913719371872E-2</v>
      </c>
      <c r="P204" s="160">
        <f>Oil!D44</f>
        <v>-5.1764015692218189E-2</v>
      </c>
      <c r="Q204" s="160">
        <f>Oil!D45</f>
        <v>-5.9562692217399758E-2</v>
      </c>
    </row>
    <row r="205" spans="1:17" x14ac:dyDescent="0.2">
      <c r="N205" s="158" t="s">
        <v>178</v>
      </c>
      <c r="O205" s="160">
        <f>Oil!E43</f>
        <v>-0.10365470228995276</v>
      </c>
      <c r="P205" s="160">
        <f>Oil!E44</f>
        <v>-9.60564783237981E-2</v>
      </c>
      <c r="Q205" s="160">
        <f>Oil!E45</f>
        <v>-9.6842735881917455E-2</v>
      </c>
    </row>
    <row r="206" spans="1:17" x14ac:dyDescent="0.2">
      <c r="N206" s="158" t="s">
        <v>179</v>
      </c>
      <c r="O206" s="160">
        <f>Oil!F43</f>
        <v>-8.2609308004662318E-2</v>
      </c>
      <c r="P206" s="160">
        <f>Oil!F44</f>
        <v>-7.3910247008008134E-2</v>
      </c>
      <c r="Q206" s="160">
        <f>Oil!F45</f>
        <v>-7.8202714049658631E-2</v>
      </c>
    </row>
    <row r="207" spans="1:17" x14ac:dyDescent="0.2">
      <c r="N207" s="158" t="s">
        <v>180</v>
      </c>
      <c r="Q207" s="160">
        <f>Oil!D60</f>
        <v>-6.9801346163105904E-2</v>
      </c>
    </row>
    <row r="228" spans="1:18" x14ac:dyDescent="0.2">
      <c r="A228" s="152" t="s">
        <v>181</v>
      </c>
      <c r="B228" s="153"/>
      <c r="C228" s="153"/>
      <c r="D228" s="153"/>
      <c r="E228" s="153"/>
      <c r="F228" s="153"/>
      <c r="G228" s="153"/>
      <c r="H228" s="153"/>
      <c r="I228" s="153"/>
      <c r="J228" s="153"/>
      <c r="K228" s="153"/>
      <c r="L228" s="154"/>
      <c r="N228" s="155" t="s">
        <v>182</v>
      </c>
    </row>
    <row r="229" spans="1:18" ht="28" x14ac:dyDescent="0.2">
      <c r="N229" s="156" t="s">
        <v>154</v>
      </c>
      <c r="O229" s="157" t="s">
        <v>59</v>
      </c>
      <c r="P229" s="157" t="s">
        <v>60</v>
      </c>
      <c r="Q229" s="157" t="s">
        <v>183</v>
      </c>
      <c r="R229" s="157" t="s">
        <v>184</v>
      </c>
    </row>
    <row r="230" spans="1:18" x14ac:dyDescent="0.2">
      <c r="N230" s="158" t="s">
        <v>185</v>
      </c>
      <c r="O230" s="164">
        <f>Oil!C11</f>
        <v>3.3291576486848377E-2</v>
      </c>
      <c r="P230" s="164">
        <f>Oil!C14</f>
        <v>6.7087054081970979E-2</v>
      </c>
      <c r="Q230" s="162">
        <f>Oil!E11</f>
        <v>1.705586346111106</v>
      </c>
      <c r="R230" s="162">
        <f>Oil!E14</f>
        <v>3.0035220689834494</v>
      </c>
    </row>
    <row r="231" spans="1:18" x14ac:dyDescent="0.2">
      <c r="N231" s="158" t="s">
        <v>186</v>
      </c>
      <c r="O231" s="164">
        <f>Oil!C12</f>
        <v>2.030193864590087E-2</v>
      </c>
      <c r="P231" s="164">
        <f>Oil!C15</f>
        <v>0.10082179247598959</v>
      </c>
      <c r="Q231" s="162">
        <f>Oil!E12</f>
        <v>0.30888508888654537</v>
      </c>
      <c r="R231" s="162">
        <f>Oil!E15</f>
        <v>1.475823808344662</v>
      </c>
    </row>
    <row r="232" spans="1:18" x14ac:dyDescent="0.2">
      <c r="N232" s="158" t="s">
        <v>187</v>
      </c>
      <c r="O232" s="164">
        <f>Oil!C13</f>
        <v>-0.22998126837037369</v>
      </c>
      <c r="P232" s="164">
        <f>Oil!C16</f>
        <v>8.7571807846546904E-2</v>
      </c>
      <c r="Q232" s="162">
        <f>Oil!E13</f>
        <v>-1.5542332582841563</v>
      </c>
      <c r="R232" s="162">
        <f>Oil!E16</f>
        <v>0.57873507370381094</v>
      </c>
    </row>
    <row r="254" spans="1:31" x14ac:dyDescent="0.2">
      <c r="A254" s="152" t="s">
        <v>188</v>
      </c>
      <c r="B254" s="153"/>
      <c r="C254" s="153"/>
      <c r="D254" s="153"/>
      <c r="E254" s="153"/>
      <c r="F254" s="153"/>
      <c r="G254" s="153"/>
      <c r="H254" s="153"/>
      <c r="I254" s="153"/>
      <c r="J254" s="153"/>
      <c r="K254" s="153"/>
      <c r="L254" s="154"/>
      <c r="AB254" s="155" t="s">
        <v>189</v>
      </c>
    </row>
    <row r="255" spans="1:31" ht="28" x14ac:dyDescent="0.2">
      <c r="AB255" s="156" t="s">
        <v>190</v>
      </c>
      <c r="AC255" s="157" t="s">
        <v>141</v>
      </c>
      <c r="AD255" s="157" t="s">
        <v>8</v>
      </c>
      <c r="AE255" s="157" t="s">
        <v>151</v>
      </c>
    </row>
    <row r="256" spans="1:31" x14ac:dyDescent="0.2">
      <c r="AB256" s="161">
        <f>'Track record'!A5</f>
        <v>40633</v>
      </c>
      <c r="AC256" s="159">
        <f>'Track record'!D5</f>
        <v>1.8114271752995181E-2</v>
      </c>
      <c r="AD256" s="159">
        <f>'Track record'!F5</f>
        <v>7.7365809044231959E-3</v>
      </c>
      <c r="AE256" s="159">
        <f>'Track record'!C5</f>
        <v>9.2976000000000003E-2</v>
      </c>
    </row>
    <row r="257" spans="28:31" x14ac:dyDescent="0.2">
      <c r="AB257" s="161">
        <f>'Track record'!A6</f>
        <v>40724</v>
      </c>
      <c r="AC257" s="159">
        <f>'Track record'!D6</f>
        <v>1.7742215628443914E-2</v>
      </c>
      <c r="AD257" s="159">
        <f>'Track record'!F6</f>
        <v>6.887848940477781E-3</v>
      </c>
      <c r="AE257" s="159">
        <f>'Track record'!C6</f>
        <v>9.7483E-2</v>
      </c>
    </row>
    <row r="258" spans="28:31" x14ac:dyDescent="0.2">
      <c r="AB258" s="161">
        <f>'Track record'!A7</f>
        <v>40816</v>
      </c>
      <c r="AC258" s="159">
        <f>'Track record'!D7</f>
        <v>-1.7133204260566526E-4</v>
      </c>
      <c r="AD258" s="159">
        <f>'Track record'!F7</f>
        <v>-9.3438915999903838E-3</v>
      </c>
      <c r="AE258" s="159">
        <f>'Track record'!C7</f>
        <v>9.8402000000000003E-2</v>
      </c>
    </row>
    <row r="259" spans="28:31" x14ac:dyDescent="0.2">
      <c r="AB259" s="161">
        <f>'Track record'!A8</f>
        <v>40907</v>
      </c>
      <c r="AC259" s="159">
        <f>'Track record'!D8</f>
        <v>-6.8260341798290769E-3</v>
      </c>
      <c r="AD259" s="159">
        <f>'Track record'!F8</f>
        <v>-1.4320077705457068E-2</v>
      </c>
      <c r="AE259" s="159">
        <f>'Track record'!C8</f>
        <v>9.7957000000000002E-2</v>
      </c>
    </row>
    <row r="260" spans="28:31" x14ac:dyDescent="0.2">
      <c r="AB260" s="161">
        <f>'Track record'!A9</f>
        <v>40998</v>
      </c>
      <c r="AC260" s="159">
        <f>'Track record'!D9</f>
        <v>-2.4285309561700164E-4</v>
      </c>
      <c r="AD260" s="159">
        <f>'Track record'!F9</f>
        <v>-5.118986806856296E-3</v>
      </c>
      <c r="AE260" s="159">
        <f>'Track record'!C9</f>
        <v>9.9650000000000002E-2</v>
      </c>
    </row>
    <row r="261" spans="28:31" x14ac:dyDescent="0.2">
      <c r="AB261" s="161">
        <f>'Track record'!A10</f>
        <v>41089</v>
      </c>
      <c r="AC261" s="159">
        <f>'Track record'!D10</f>
        <v>-6.2843340276597104E-3</v>
      </c>
      <c r="AD261" s="159">
        <f>'Track record'!F10</f>
        <v>-1.3232054808203109E-2</v>
      </c>
      <c r="AE261" s="159">
        <f>'Track record'!C10</f>
        <v>0.100717</v>
      </c>
    </row>
    <row r="262" spans="28:31" x14ac:dyDescent="0.2">
      <c r="AB262" s="161">
        <f>'Track record'!A11</f>
        <v>41180</v>
      </c>
      <c r="AC262" s="159">
        <f>'Track record'!D11</f>
        <v>1.5877478150949642E-4</v>
      </c>
      <c r="AD262" s="159">
        <f>'Track record'!F11</f>
        <v>-6.9360097427967338E-3</v>
      </c>
      <c r="AE262" s="159">
        <f>'Track record'!C11</f>
        <v>0.101316</v>
      </c>
    </row>
    <row r="263" spans="28:31" x14ac:dyDescent="0.2">
      <c r="AB263" s="161">
        <f>'Track record'!A12</f>
        <v>41274</v>
      </c>
      <c r="AC263" s="159">
        <f>'Track record'!D12</f>
        <v>1.2004477733330132E-2</v>
      </c>
      <c r="AD263" s="159">
        <f>'Track record'!F12</f>
        <v>2.1562776306336406E-3</v>
      </c>
      <c r="AE263" s="159">
        <f>'Track record'!C12</f>
        <v>0.10463700000000001</v>
      </c>
    </row>
    <row r="264" spans="28:31" x14ac:dyDescent="0.2">
      <c r="AB264" s="161">
        <f>'Track record'!A13</f>
        <v>41362</v>
      </c>
      <c r="AC264" s="159">
        <f>'Track record'!D13</f>
        <v>4.3665536642239378E-2</v>
      </c>
      <c r="AD264" s="159">
        <f>'Track record'!F13</f>
        <v>3.2985165650823101E-2</v>
      </c>
      <c r="AE264" s="159">
        <f>'Track record'!C13</f>
        <v>0.10100300000000001</v>
      </c>
    </row>
    <row r="265" spans="28:31" x14ac:dyDescent="0.2">
      <c r="AB265" s="161">
        <f>'Track record'!A14</f>
        <v>41453</v>
      </c>
      <c r="AC265" s="159">
        <f>'Track record'!D14</f>
        <v>5.545941129034615E-2</v>
      </c>
      <c r="AD265" s="159">
        <f>'Track record'!F14</f>
        <v>5.0056927860339107E-2</v>
      </c>
      <c r="AE265" s="159">
        <f>'Track record'!C14</f>
        <v>0.106903</v>
      </c>
    </row>
    <row r="266" spans="28:31" x14ac:dyDescent="0.2">
      <c r="AB266" s="161">
        <f>'Track record'!A15</f>
        <v>41547</v>
      </c>
      <c r="AC266" s="159">
        <f>'Track record'!D15</f>
        <v>6.5863088733740804E-2</v>
      </c>
      <c r="AD266" s="159">
        <f>'Track record'!F15</f>
        <v>5.8306414138397544E-2</v>
      </c>
      <c r="AE266" s="159">
        <f>'Track record'!C15</f>
        <v>9.5364000000000004E-2</v>
      </c>
    </row>
    <row r="267" spans="28:31" x14ac:dyDescent="0.2">
      <c r="AB267" s="161">
        <f>'Track record'!A16</f>
        <v>41639</v>
      </c>
      <c r="AC267" s="159">
        <f>'Track record'!D16</f>
        <v>0.10141614102078655</v>
      </c>
      <c r="AD267" s="159">
        <f>'Track record'!F16</f>
        <v>9.6741133590983353E-2</v>
      </c>
      <c r="AE267" s="159">
        <f>'Track record'!C16</f>
        <v>7.7220999999999998E-2</v>
      </c>
    </row>
    <row r="268" spans="28:31" x14ac:dyDescent="0.2">
      <c r="AB268" s="161">
        <f>'Track record'!A17</f>
        <v>41729</v>
      </c>
      <c r="AC268" s="159">
        <f>'Track record'!D17</f>
        <v>0.1149321962104759</v>
      </c>
      <c r="AD268" s="159">
        <f>'Track record'!F17</f>
        <v>0.10744291872471234</v>
      </c>
      <c r="AE268" s="159">
        <f>'Track record'!C17</f>
        <v>7.7285999999999994E-2</v>
      </c>
    </row>
    <row r="269" spans="28:31" x14ac:dyDescent="0.2">
      <c r="AB269" s="161">
        <f>'Track record'!A18</f>
        <v>41820</v>
      </c>
      <c r="AC269" s="159">
        <f>'Track record'!D18</f>
        <v>0.10706503746936424</v>
      </c>
      <c r="AD269" s="159">
        <f>'Track record'!F18</f>
        <v>0.10151922082351428</v>
      </c>
      <c r="AE269" s="159">
        <f>'Track record'!C18</f>
        <v>9.1020999999999991E-2</v>
      </c>
    </row>
    <row r="270" spans="28:31" x14ac:dyDescent="0.2">
      <c r="AB270" s="161">
        <f>'Track record'!A19</f>
        <v>41912</v>
      </c>
      <c r="AC270" s="159">
        <f>'Track record'!D19</f>
        <v>8.7493594566552035E-2</v>
      </c>
      <c r="AD270" s="159">
        <f>'Track record'!F19</f>
        <v>8.8998384978232536E-2</v>
      </c>
      <c r="AE270" s="159">
        <f>'Track record'!C19</f>
        <v>9.1395000000000004E-2</v>
      </c>
    </row>
    <row r="271" spans="28:31" x14ac:dyDescent="0.2">
      <c r="AB271" s="161">
        <f>'Track record'!A20</f>
        <v>42004</v>
      </c>
      <c r="AC271" s="159">
        <f>'Track record'!D20</f>
        <v>9.4610222667861787E-2</v>
      </c>
      <c r="AD271" s="159">
        <f>'Track record'!F20</f>
        <v>9.458972950680522E-2</v>
      </c>
      <c r="AE271" s="159">
        <f>'Track record'!C20</f>
        <v>9.1499999999999998E-2</v>
      </c>
    </row>
    <row r="272" spans="28:31" x14ac:dyDescent="0.2">
      <c r="AB272" s="161">
        <f>'Track record'!A21</f>
        <v>42094</v>
      </c>
      <c r="AC272" s="159">
        <f>'Track record'!D21</f>
        <v>0.10840520087598837</v>
      </c>
      <c r="AD272" s="159">
        <f>'Track record'!F21</f>
        <v>0.10955893841312636</v>
      </c>
      <c r="AE272" s="159">
        <f>'Track record'!C21</f>
        <v>9.3400000000000011E-2</v>
      </c>
    </row>
    <row r="273" spans="1:31" x14ac:dyDescent="0.2">
      <c r="AB273" s="161">
        <f>'Track record'!A22</f>
        <v>42185</v>
      </c>
      <c r="AC273" s="159">
        <f>'Track record'!D22</f>
        <v>0.10819258073006832</v>
      </c>
      <c r="AD273" s="159">
        <f>'Track record'!F22</f>
        <v>0.11092707607759134</v>
      </c>
      <c r="AE273" s="159">
        <f>'Track record'!C22</f>
        <v>8.9724999999999999E-2</v>
      </c>
    </row>
    <row r="274" spans="1:31" x14ac:dyDescent="0.2">
      <c r="AB274" s="161">
        <f>'Track record'!A23</f>
        <v>42277</v>
      </c>
      <c r="AC274" s="159">
        <f>'Track record'!D23</f>
        <v>0.10053500273119576</v>
      </c>
      <c r="AD274" s="159">
        <f>'Track record'!F23</f>
        <v>0.10736419605564218</v>
      </c>
      <c r="AE274" s="159">
        <f>'Track record'!C23</f>
        <v>8.8075000000000001E-2</v>
      </c>
    </row>
    <row r="275" spans="1:31" x14ac:dyDescent="0.2">
      <c r="AB275" s="161">
        <f>'Track record'!A24</f>
        <v>42369</v>
      </c>
      <c r="AC275" s="159">
        <f>'Track record'!D24</f>
        <v>0.10215514921867719</v>
      </c>
      <c r="AD275" s="159">
        <f>'Track record'!F24</f>
        <v>0.1059870581087039</v>
      </c>
      <c r="AE275" s="159">
        <f>'Track record'!C24</f>
        <v>9.3299999999999994E-2</v>
      </c>
    </row>
    <row r="276" spans="1:31" x14ac:dyDescent="0.2">
      <c r="AB276" s="161">
        <f>'Track record'!A25</f>
        <v>42460</v>
      </c>
      <c r="AC276" s="159">
        <f>'Track record'!D25</f>
        <v>9.2713518729043987E-2</v>
      </c>
      <c r="AD276" s="159">
        <f>'Track record'!F25</f>
        <v>9.5067248265514825E-2</v>
      </c>
      <c r="AE276" s="159">
        <f>'Track record'!C25</f>
        <v>9.2075000000000004E-2</v>
      </c>
    </row>
    <row r="277" spans="1:31" x14ac:dyDescent="0.2">
      <c r="AB277" s="161">
        <f>'Track record'!A26</f>
        <v>42551</v>
      </c>
      <c r="AC277" s="159">
        <f>'Track record'!D26</f>
        <v>0.10603914952928783</v>
      </c>
      <c r="AD277" s="159">
        <f>'Track record'!F26</f>
        <v>0.11117173663665803</v>
      </c>
      <c r="AE277" s="159">
        <f>'Track record'!C26</f>
        <v>8.8849999999999998E-2</v>
      </c>
    </row>
    <row r="278" spans="1:31" x14ac:dyDescent="0.2">
      <c r="AB278" s="161">
        <f>'Track record'!A27</f>
        <v>42643</v>
      </c>
      <c r="AC278" s="159">
        <f>'Track record'!D27</f>
        <v>0.12313408742454346</v>
      </c>
      <c r="AD278" s="159">
        <f>'Track record'!F27</f>
        <v>0.12727584957147298</v>
      </c>
      <c r="AE278" s="159">
        <f>'Track record'!C27</f>
        <v>7.7875E-2</v>
      </c>
    </row>
    <row r="279" spans="1:31" x14ac:dyDescent="0.2">
      <c r="AB279" s="161">
        <f>'Track record'!A28</f>
        <v>42734</v>
      </c>
      <c r="AC279" s="159">
        <f>'Track record'!D28</f>
        <v>0.12661271698621945</v>
      </c>
      <c r="AD279" s="159">
        <f>'Track record'!F28</f>
        <v>0.13409592518783287</v>
      </c>
      <c r="AE279" s="159">
        <f>'Track record'!C28</f>
        <v>7.5725000000000001E-2</v>
      </c>
    </row>
    <row r="280" spans="1:31" x14ac:dyDescent="0.2">
      <c r="A280" s="152" t="s">
        <v>191</v>
      </c>
      <c r="B280" s="153"/>
      <c r="C280" s="153"/>
      <c r="D280" s="153"/>
      <c r="E280" s="153"/>
      <c r="F280" s="153"/>
      <c r="G280" s="153"/>
      <c r="H280" s="153"/>
      <c r="I280" s="153"/>
      <c r="J280" s="153"/>
      <c r="K280" s="153"/>
      <c r="L280" s="154"/>
      <c r="N280" s="155" t="s">
        <v>192</v>
      </c>
      <c r="AB280" s="161">
        <f>'Track record'!A29</f>
        <v>42825</v>
      </c>
      <c r="AC280" s="159">
        <f>'Track record'!D29</f>
        <v>0.11522478064253128</v>
      </c>
      <c r="AD280" s="159">
        <f>'Track record'!F29</f>
        <v>0.12050280079113285</v>
      </c>
      <c r="AE280" s="159">
        <f>'Track record'!C29</f>
        <v>7.6200000000000004E-2</v>
      </c>
    </row>
    <row r="281" spans="1:31" ht="28" x14ac:dyDescent="0.2">
      <c r="N281" s="156" t="s">
        <v>91</v>
      </c>
      <c r="O281" s="157" t="s">
        <v>140</v>
      </c>
      <c r="P281" s="157" t="s">
        <v>139</v>
      </c>
      <c r="Q281" s="157" t="s">
        <v>193</v>
      </c>
      <c r="AB281" s="161">
        <f>'Track record'!A30</f>
        <v>42916</v>
      </c>
      <c r="AC281" s="159">
        <f>'Track record'!D30</f>
        <v>0.11877639481204039</v>
      </c>
      <c r="AD281" s="159">
        <f>'Track record'!F30</f>
        <v>0.12668596744168226</v>
      </c>
      <c r="AE281" s="159">
        <f>'Track record'!C30</f>
        <v>6.7500000000000004E-2</v>
      </c>
    </row>
    <row r="282" spans="1:31" x14ac:dyDescent="0.2">
      <c r="N282" s="158" t="str">
        <f>Methods!A22</f>
        <v>Robust MVO</v>
      </c>
      <c r="O282" s="159">
        <f>Methods!B22</f>
        <v>7.1373051138514956E-2</v>
      </c>
      <c r="P282" s="159">
        <f>Methods!C22</f>
        <v>7.875064259614814E-2</v>
      </c>
      <c r="Q282" s="159">
        <f>Methods!E22</f>
        <v>1.0997193071421192E-2</v>
      </c>
      <c r="AB282" s="161">
        <f>'Track record'!A31</f>
        <v>43007</v>
      </c>
      <c r="AC282" s="159">
        <f>'Track record'!D31</f>
        <v>0.10979477155771566</v>
      </c>
      <c r="AD282" s="159">
        <f>'Track record'!F31</f>
        <v>0.11907231027613996</v>
      </c>
      <c r="AE282" s="159">
        <f>'Track record'!C31</f>
        <v>6.8174999999999999E-2</v>
      </c>
    </row>
    <row r="283" spans="1:31" x14ac:dyDescent="0.2">
      <c r="N283" s="158" t="str">
        <f>Methods!A23</f>
        <v>Sample MVO</v>
      </c>
      <c r="O283" s="159">
        <f>Methods!B23</f>
        <v>7.1087442684535956E-2</v>
      </c>
      <c r="P283" s="159">
        <f>Methods!C23</f>
        <v>7.7717269946306719E-2</v>
      </c>
      <c r="Q283" s="159">
        <f>Methods!E23</f>
        <v>1.0237182534916716E-2</v>
      </c>
      <c r="AB283" s="161">
        <f>'Track record'!A32</f>
        <v>43098</v>
      </c>
      <c r="AC283" s="159">
        <f>'Track record'!D32</f>
        <v>0.1119542256026127</v>
      </c>
      <c r="AD283" s="159">
        <f>'Track record'!F32</f>
        <v>0.12206031034902853</v>
      </c>
      <c r="AE283" s="159">
        <f>'Track record'!C32</f>
        <v>6.8250000000000005E-2</v>
      </c>
    </row>
    <row r="284" spans="1:31" x14ac:dyDescent="0.2">
      <c r="N284" s="158" t="str">
        <f>Methods!A24</f>
        <v>Resampled MVO</v>
      </c>
      <c r="O284" s="159">
        <f>Methods!B24</f>
        <v>6.9908335383927295E-2</v>
      </c>
      <c r="P284" s="159">
        <f>Methods!C24</f>
        <v>7.5055184078804668E-2</v>
      </c>
      <c r="Q284" s="159">
        <f>Methods!E24</f>
        <v>7.1514980578707716E-3</v>
      </c>
      <c r="AB284" s="161">
        <f>'Track record'!A33</f>
        <v>43189</v>
      </c>
      <c r="AC284" s="159">
        <f>'Track record'!D33</f>
        <v>9.4746843867708153E-2</v>
      </c>
      <c r="AD284" s="159">
        <f>'Track record'!F33</f>
        <v>0.10790907294472318</v>
      </c>
      <c r="AE284" s="159">
        <f>'Track record'!C33</f>
        <v>7.0199999999999999E-2</v>
      </c>
    </row>
    <row r="285" spans="1:31" x14ac:dyDescent="0.2">
      <c r="N285" s="158" t="str">
        <f>Methods!A25</f>
        <v>Minimum variance</v>
      </c>
      <c r="O285" s="159">
        <f>Methods!B25</f>
        <v>6.4978593618302882E-2</v>
      </c>
      <c r="P285" s="159">
        <f>Methods!C25</f>
        <v>6.0281231664845364E-2</v>
      </c>
      <c r="Q285" s="159">
        <f>Methods!E25</f>
        <v>1.1001412029090087E-2</v>
      </c>
      <c r="AB285" s="161">
        <f>'Track record'!A34</f>
        <v>43280</v>
      </c>
      <c r="AC285" s="159">
        <f>'Track record'!D34</f>
        <v>0.10131274633564491</v>
      </c>
      <c r="AD285" s="159">
        <f>'Track record'!F34</f>
        <v>0.10810869582615723</v>
      </c>
      <c r="AE285" s="159">
        <f>'Track record'!C34</f>
        <v>6.7875000000000005E-2</v>
      </c>
    </row>
    <row r="286" spans="1:31" x14ac:dyDescent="0.2">
      <c r="N286" s="158" t="str">
        <f>Methods!A26</f>
        <v>Risk parity</v>
      </c>
      <c r="O286" s="159">
        <f>Methods!B26</f>
        <v>6.7165833569283032E-2</v>
      </c>
      <c r="P286" s="159">
        <f>Methods!C26</f>
        <v>6.6508937513354086E-2</v>
      </c>
      <c r="Q286" s="159">
        <f>Methods!E26</f>
        <v>1.0999556058268955E-2</v>
      </c>
      <c r="AB286" s="161">
        <f>'Track record'!A35</f>
        <v>43371</v>
      </c>
      <c r="AC286" s="159">
        <f>'Track record'!D35</f>
        <v>9.5985407662285915E-2</v>
      </c>
      <c r="AD286" s="159">
        <f>'Track record'!F35</f>
        <v>0.1048287676362345</v>
      </c>
      <c r="AE286" s="159">
        <f>'Track record'!C35</f>
        <v>7.331E-2</v>
      </c>
    </row>
    <row r="287" spans="1:31" x14ac:dyDescent="0.2">
      <c r="N287" s="158" t="str">
        <f>Methods!A27</f>
        <v>Current fund</v>
      </c>
      <c r="O287" s="159">
        <f>Methods!B27</f>
        <v>7.1036033622111125E-2</v>
      </c>
      <c r="P287" s="159">
        <f>Methods!C27</f>
        <v>8.3833964159733848E-2</v>
      </c>
      <c r="Q287" s="159">
        <f>Methods!E27</f>
        <v>2.1585026414092778E-2</v>
      </c>
      <c r="AB287" s="161">
        <f>'Track record'!A36</f>
        <v>43465</v>
      </c>
      <c r="AC287" s="159">
        <f>'Track record'!D36</f>
        <v>7.3805863909190306E-2</v>
      </c>
      <c r="AD287" s="159">
        <f>'Track record'!F36</f>
        <v>7.738277970545826E-2</v>
      </c>
      <c r="AE287" s="159">
        <f>'Track record'!C36</f>
        <v>7.461000000000001E-2</v>
      </c>
    </row>
    <row r="288" spans="1:31" x14ac:dyDescent="0.2">
      <c r="N288" s="158" t="str">
        <f>Methods!A28</f>
        <v>Benchmark</v>
      </c>
      <c r="O288" s="159">
        <f>Methods!B28</f>
        <v>6.7685257170379112E-2</v>
      </c>
      <c r="P288" s="159">
        <f>Methods!C28</f>
        <v>7.0134112008392299E-2</v>
      </c>
      <c r="Q288" s="159">
        <f>Methods!E28</f>
        <v>0</v>
      </c>
      <c r="AB288" s="161">
        <f>'Track record'!A37</f>
        <v>43553</v>
      </c>
      <c r="AC288" s="159">
        <f>'Track record'!D37</f>
        <v>8.9644891467909327E-2</v>
      </c>
      <c r="AD288" s="159">
        <f>'Track record'!F37</f>
        <v>9.5445423404353136E-2</v>
      </c>
      <c r="AE288" s="159">
        <f>'Track record'!C37</f>
        <v>7.4110000000000009E-2</v>
      </c>
    </row>
    <row r="289" spans="28:31" x14ac:dyDescent="0.2">
      <c r="AB289" s="161">
        <f>'Track record'!A38</f>
        <v>43644</v>
      </c>
      <c r="AC289" s="159">
        <f>'Track record'!D38</f>
        <v>9.6122868218283752E-2</v>
      </c>
      <c r="AD289" s="159">
        <f>'Track record'!F38</f>
        <v>0.10017539793991204</v>
      </c>
      <c r="AE289" s="159">
        <f>'Track record'!C38</f>
        <v>7.1179999999999993E-2</v>
      </c>
    </row>
    <row r="290" spans="28:31" x14ac:dyDescent="0.2">
      <c r="AB290" s="161">
        <f>'Track record'!A39</f>
        <v>43738</v>
      </c>
      <c r="AC290" s="159">
        <f>'Track record'!D39</f>
        <v>9.8881587610582411E-2</v>
      </c>
      <c r="AD290" s="159">
        <f>'Track record'!F39</f>
        <v>0.10132381321018435</v>
      </c>
      <c r="AE290" s="159">
        <f>'Track record'!C39</f>
        <v>7.041E-2</v>
      </c>
    </row>
    <row r="291" spans="28:31" x14ac:dyDescent="0.2">
      <c r="AB291" s="161">
        <f>'Track record'!A40</f>
        <v>43830</v>
      </c>
      <c r="AC291" s="159">
        <f>'Track record'!D40</f>
        <v>8.6810822280062094E-2</v>
      </c>
      <c r="AD291" s="159">
        <f>'Track record'!F40</f>
        <v>9.1928649264119144E-2</v>
      </c>
      <c r="AE291" s="159">
        <f>'Track record'!C40</f>
        <v>6.4350000000000004E-2</v>
      </c>
    </row>
    <row r="292" spans="28:31" x14ac:dyDescent="0.2">
      <c r="AB292" s="161">
        <f>'Track record'!A41</f>
        <v>43921</v>
      </c>
      <c r="AC292" s="159">
        <f>'Track record'!D41</f>
        <v>4.1870122755690797E-2</v>
      </c>
      <c r="AD292" s="159">
        <f>'Track record'!F41</f>
        <v>4.8946241719497463E-2</v>
      </c>
      <c r="AE292" s="159">
        <f>'Track record'!C41</f>
        <v>5.978E-2</v>
      </c>
    </row>
    <row r="293" spans="28:31" x14ac:dyDescent="0.2">
      <c r="AB293" s="161">
        <f>'Track record'!A42</f>
        <v>44012</v>
      </c>
      <c r="AC293" s="159">
        <f>'Track record'!D42</f>
        <v>6.6999485426270988E-2</v>
      </c>
      <c r="AD293" s="159">
        <f>'Track record'!F42</f>
        <v>6.6362700129976915E-2</v>
      </c>
      <c r="AE293" s="159">
        <f>'Track record'!C42</f>
        <v>6.2880000000000005E-2</v>
      </c>
    </row>
    <row r="294" spans="28:31" x14ac:dyDescent="0.2">
      <c r="AB294" s="161">
        <f>'Track record'!A43</f>
        <v>44104</v>
      </c>
      <c r="AC294" s="159">
        <f>'Track record'!D43</f>
        <v>7.0070730425939587E-2</v>
      </c>
      <c r="AD294" s="159">
        <f>'Track record'!F43</f>
        <v>7.1631984839683804E-2</v>
      </c>
      <c r="AE294" s="159">
        <f>'Track record'!C43</f>
        <v>6.1010000000000002E-2</v>
      </c>
    </row>
    <row r="295" spans="28:31" x14ac:dyDescent="0.2">
      <c r="AB295" s="161">
        <f>'Track record'!A44</f>
        <v>44196</v>
      </c>
      <c r="AC295" s="159">
        <f>'Track record'!D44</f>
        <v>7.7335588953850953E-2</v>
      </c>
      <c r="AD295" s="159">
        <f>'Track record'!F44</f>
        <v>8.1401282098907846E-2</v>
      </c>
      <c r="AE295" s="159">
        <f>'Track record'!C44</f>
        <v>6.2840000000000007E-2</v>
      </c>
    </row>
    <row r="296" spans="28:31" x14ac:dyDescent="0.2">
      <c r="AB296" s="161">
        <f>'Track record'!A45</f>
        <v>44286</v>
      </c>
      <c r="AC296" s="159">
        <f>'Track record'!D45</f>
        <v>8.7729074130998175E-2</v>
      </c>
      <c r="AD296" s="159">
        <f>'Track record'!F45</f>
        <v>9.6655211029399002E-2</v>
      </c>
      <c r="AE296" s="159">
        <f>'Track record'!C45</f>
        <v>6.1340000000000006E-2</v>
      </c>
    </row>
    <row r="297" spans="28:31" x14ac:dyDescent="0.2">
      <c r="AB297" s="161">
        <f>'Track record'!A46</f>
        <v>44377</v>
      </c>
      <c r="AC297" s="159">
        <f>'Track record'!D46</f>
        <v>9.3389571485528178E-2</v>
      </c>
      <c r="AD297" s="159">
        <f>'Track record'!F46</f>
        <v>0.10236688674004046</v>
      </c>
      <c r="AE297" s="159">
        <f>'Track record'!C46</f>
        <v>5.7209999999999997E-2</v>
      </c>
    </row>
    <row r="298" spans="28:31" x14ac:dyDescent="0.2">
      <c r="AB298" s="161">
        <f>'Track record'!A47</f>
        <v>44469</v>
      </c>
      <c r="AC298" s="159">
        <f>'Track record'!D47</f>
        <v>9.2955176778384274E-2</v>
      </c>
      <c r="AD298" s="159">
        <f>'Track record'!F47</f>
        <v>0.10308531560273781</v>
      </c>
      <c r="AE298" s="159">
        <f>'Track record'!C47</f>
        <v>5.6950000000000001E-2</v>
      </c>
    </row>
    <row r="299" spans="28:31" x14ac:dyDescent="0.2">
      <c r="AB299" s="161">
        <f>'Track record'!A48</f>
        <v>44561</v>
      </c>
      <c r="AC299" s="159">
        <f>'Track record'!D48</f>
        <v>9.2543721109386246E-2</v>
      </c>
      <c r="AD299" s="159">
        <f>'Track record'!F48</f>
        <v>0.10010040752127281</v>
      </c>
      <c r="AE299" s="159">
        <f>'Track record'!C48</f>
        <v>6.0160000000000005E-2</v>
      </c>
    </row>
    <row r="300" spans="28:31" x14ac:dyDescent="0.2">
      <c r="AB300" s="161">
        <f>'Track record'!A49</f>
        <v>44651</v>
      </c>
      <c r="AC300" s="159">
        <f>'Track record'!D49</f>
        <v>8.2660843151380892E-2</v>
      </c>
      <c r="AD300" s="159">
        <f>'Track record'!F49</f>
        <v>9.1061042058271369E-2</v>
      </c>
      <c r="AE300" s="159">
        <f>'Track record'!C49</f>
        <v>6.2939999999999996E-2</v>
      </c>
    </row>
    <row r="301" spans="28:31" x14ac:dyDescent="0.2">
      <c r="AB301" s="161">
        <f>'Track record'!A50</f>
        <v>44742</v>
      </c>
      <c r="AC301" s="159">
        <f>'Track record'!D50</f>
        <v>6.392170510471118E-2</v>
      </c>
      <c r="AD301" s="159">
        <f>'Track record'!F50</f>
        <v>7.4345222413177758E-2</v>
      </c>
      <c r="AE301" s="159">
        <f>'Track record'!C50</f>
        <v>5.987E-2</v>
      </c>
    </row>
    <row r="302" spans="28:31" x14ac:dyDescent="0.2">
      <c r="AB302" s="161">
        <f>'Track record'!A51</f>
        <v>44834</v>
      </c>
      <c r="AC302" s="159">
        <f>'Track record'!D51</f>
        <v>6.2738456951444865E-2</v>
      </c>
      <c r="AD302" s="159">
        <f>'Track record'!F51</f>
        <v>7.1200218560005801E-2</v>
      </c>
      <c r="AE302" s="159">
        <f>'Track record'!C51</f>
        <v>6.1859999999999998E-2</v>
      </c>
    </row>
    <row r="303" spans="28:31" x14ac:dyDescent="0.2">
      <c r="AB303" s="161">
        <f>'Track record'!A52</f>
        <v>44925</v>
      </c>
      <c r="AC303" s="159">
        <f>'Track record'!D52</f>
        <v>6.0430890950906813E-2</v>
      </c>
      <c r="AD303" s="159">
        <f>'Track record'!F52</f>
        <v>6.6544292174297803E-2</v>
      </c>
      <c r="AE303" s="159">
        <f>'Track record'!C52</f>
        <v>6.1719999999999997E-2</v>
      </c>
    </row>
    <row r="304" spans="28:31" x14ac:dyDescent="0.2">
      <c r="AB304" s="161">
        <f>'Track record'!A53</f>
        <v>45016</v>
      </c>
      <c r="AC304" s="159">
        <f>'Track record'!D53</f>
        <v>7.3739743823662884E-2</v>
      </c>
      <c r="AD304" s="159">
        <f>'Track record'!F53</f>
        <v>7.9221861015975836E-2</v>
      </c>
      <c r="AE304" s="159">
        <f>'Track record'!C53</f>
        <v>6.4149999999999999E-2</v>
      </c>
    </row>
    <row r="305" spans="1:31" x14ac:dyDescent="0.2">
      <c r="AB305" s="161">
        <f>'Track record'!A54</f>
        <v>45107</v>
      </c>
      <c r="AC305" s="159">
        <f>'Track record'!D54</f>
        <v>6.4697627690645021E-2</v>
      </c>
      <c r="AD305" s="159">
        <f>'Track record'!F54</f>
        <v>7.3116609206263616E-2</v>
      </c>
      <c r="AE305" s="159">
        <f>'Track record'!C54</f>
        <v>6.4149999999999999E-2</v>
      </c>
    </row>
    <row r="306" spans="1:31" x14ac:dyDescent="0.2">
      <c r="A306" s="152" t="s">
        <v>194</v>
      </c>
      <c r="B306" s="153"/>
      <c r="C306" s="153"/>
      <c r="D306" s="153"/>
      <c r="E306" s="153"/>
      <c r="F306" s="153"/>
      <c r="G306" s="153"/>
      <c r="H306" s="153"/>
      <c r="I306" s="153"/>
      <c r="J306" s="153"/>
      <c r="K306" s="153"/>
      <c r="L306" s="154"/>
      <c r="N306" s="155" t="s">
        <v>195</v>
      </c>
      <c r="AB306" s="161">
        <f>'Track record'!A55</f>
        <v>45198</v>
      </c>
      <c r="AC306" s="159">
        <f>'Track record'!D55</f>
        <v>5.7833629179004031E-2</v>
      </c>
      <c r="AD306" s="159">
        <f>'Track record'!F55</f>
        <v>6.7894222290911577E-2</v>
      </c>
      <c r="AE306" s="159">
        <f>'Track record'!C55</f>
        <v>6.2390000000000001E-2</v>
      </c>
    </row>
    <row r="307" spans="1:31" ht="28" x14ac:dyDescent="0.2">
      <c r="N307" s="156" t="s">
        <v>5</v>
      </c>
      <c r="O307" s="157" t="s">
        <v>196</v>
      </c>
      <c r="P307" s="157" t="s">
        <v>197</v>
      </c>
      <c r="AB307" s="161">
        <f>'Track record'!A56</f>
        <v>45289</v>
      </c>
      <c r="AC307" s="159">
        <f>'Track record'!D56</f>
        <v>8.2825030647579068E-2</v>
      </c>
      <c r="AD307" s="159">
        <f>'Track record'!F56</f>
        <v>9.1209883802036984E-2</v>
      </c>
      <c r="AE307" s="159">
        <f>'Track record'!C56</f>
        <v>6.0969999999999996E-2</v>
      </c>
    </row>
    <row r="308" spans="1:31" x14ac:dyDescent="0.2">
      <c r="N308" s="158" t="s">
        <v>14</v>
      </c>
      <c r="O308" s="159">
        <f>Forecast!G6</f>
        <v>8.2659384356717505E-2</v>
      </c>
      <c r="P308" s="159">
        <f>Forecast!B25</f>
        <v>6.950124987418338E-2</v>
      </c>
      <c r="AB308" s="161">
        <f>'Track record'!A57</f>
        <v>45380</v>
      </c>
      <c r="AC308" s="159">
        <f>'Track record'!D57</f>
        <v>7.6752408317629639E-2</v>
      </c>
      <c r="AD308" s="159">
        <f>'Track record'!F57</f>
        <v>8.8475540501889327E-2</v>
      </c>
      <c r="AE308" s="159">
        <f>'Track record'!C57</f>
        <v>5.7430000000000002E-2</v>
      </c>
    </row>
    <row r="309" spans="1:31" x14ac:dyDescent="0.2">
      <c r="N309" s="158" t="s">
        <v>16</v>
      </c>
      <c r="O309" s="159">
        <f>Forecast!G7</f>
        <v>8.2159384356717505E-2</v>
      </c>
      <c r="P309" s="159">
        <f>Forecast!B26</f>
        <v>8.8450812806027956E-2</v>
      </c>
      <c r="AB309" s="161">
        <f>'Track record'!A58</f>
        <v>45471</v>
      </c>
      <c r="AC309" s="159">
        <f>'Track record'!D58</f>
        <v>6.4477923894174394E-2</v>
      </c>
      <c r="AD309" s="159">
        <f>'Track record'!F58</f>
        <v>7.8075038190473123E-2</v>
      </c>
      <c r="AE309" s="159">
        <f>'Track record'!C58</f>
        <v>5.2909999999999999E-2</v>
      </c>
    </row>
    <row r="310" spans="1:31" x14ac:dyDescent="0.2">
      <c r="N310" s="158" t="s">
        <v>18</v>
      </c>
      <c r="O310" s="159">
        <f>Forecast!G8</f>
        <v>7.8765261100419232E-2</v>
      </c>
      <c r="P310" s="159">
        <f>Forecast!B27</f>
        <v>7.9988927529070608E-2</v>
      </c>
      <c r="AB310" s="161">
        <f>'Track record'!A59</f>
        <v>45565</v>
      </c>
      <c r="AC310" s="159">
        <f>'Track record'!D59</f>
        <v>6.7121973380403599E-2</v>
      </c>
      <c r="AD310" s="159">
        <f>'Track record'!F59</f>
        <v>7.7560520034213543E-2</v>
      </c>
      <c r="AE310" s="159">
        <f>'Track record'!C59</f>
        <v>4.8100000000000004E-2</v>
      </c>
    </row>
    <row r="311" spans="1:31" x14ac:dyDescent="0.2">
      <c r="N311" s="158" t="s">
        <v>20</v>
      </c>
      <c r="O311" s="159">
        <f>Forecast!G9</f>
        <v>7.3233091332700284E-2</v>
      </c>
      <c r="P311" s="159">
        <f>Forecast!B28</f>
        <v>5.3753445740167161E-2</v>
      </c>
      <c r="AB311" s="161">
        <f>'Track record'!A60</f>
        <v>45657</v>
      </c>
      <c r="AC311" s="159">
        <f>'Track record'!D60</f>
        <v>7.2480785142654325E-2</v>
      </c>
      <c r="AD311" s="159">
        <f>'Track record'!F60</f>
        <v>8.491569931675258E-2</v>
      </c>
      <c r="AE311" s="159">
        <f>'Track record'!C60</f>
        <v>4.8739999999999999E-2</v>
      </c>
    </row>
    <row r="312" spans="1:31" x14ac:dyDescent="0.2">
      <c r="N312" s="158" t="s">
        <v>22</v>
      </c>
      <c r="O312" s="159">
        <f>Forecast!G10</f>
        <v>5.0257982430074385E-2</v>
      </c>
      <c r="P312" s="159">
        <f>Forecast!B29</f>
        <v>-6.7382599487993966E-3</v>
      </c>
      <c r="AB312" s="161">
        <f>'Track record'!A61</f>
        <v>45747</v>
      </c>
      <c r="AC312" s="159">
        <f>'Track record'!D61</f>
        <v>9.6980257193159058E-2</v>
      </c>
      <c r="AD312" s="159">
        <f>'Track record'!F61</f>
        <v>0.10779543908333244</v>
      </c>
      <c r="AE312" s="159">
        <f>'Track record'!C61</f>
        <v>4.4999999999999998E-2</v>
      </c>
    </row>
    <row r="313" spans="1:31" x14ac:dyDescent="0.2">
      <c r="N313" s="158" t="s">
        <v>24</v>
      </c>
      <c r="O313" s="159">
        <f>Forecast!G11</f>
        <v>5.4405261181730516E-2</v>
      </c>
      <c r="P313" s="159">
        <f>Forecast!B30</f>
        <v>6.0608487419002488E-2</v>
      </c>
      <c r="AB313" s="161">
        <f>'Track record'!A62</f>
        <v>45838</v>
      </c>
      <c r="AC313" s="159">
        <f>'Track record'!D62</f>
        <v>9.0192041178368765E-2</v>
      </c>
      <c r="AD313" s="159">
        <f>'Track record'!F62</f>
        <v>0.1032692447282364</v>
      </c>
      <c r="AE313" s="159">
        <f>'Track record'!C62</f>
        <v>4.403E-2</v>
      </c>
    </row>
    <row r="314" spans="1:31" x14ac:dyDescent="0.2">
      <c r="N314" s="158" t="s">
        <v>26</v>
      </c>
      <c r="O314" s="159">
        <f>Forecast!G12</f>
        <v>3.3246946826272439E-2</v>
      </c>
      <c r="P314" s="159">
        <f>Forecast!B31</f>
        <v>7.6551345490687206E-2</v>
      </c>
      <c r="AB314" s="161">
        <f>'Track record'!A63</f>
        <v>45930</v>
      </c>
      <c r="AC314" s="159">
        <f>'Track record'!D63</f>
        <v>9.6515798076960646E-2</v>
      </c>
      <c r="AD314" s="159">
        <f>'Track record'!F63</f>
        <v>0.10969664302351156</v>
      </c>
      <c r="AE314" s="159">
        <f>'Track record'!C63</f>
        <v>4.3930000000000004E-2</v>
      </c>
    </row>
    <row r="315" spans="1:31" x14ac:dyDescent="0.2">
      <c r="N315" s="158" t="s">
        <v>28</v>
      </c>
      <c r="O315" s="159">
        <f>Forecast!G13</f>
        <v>5.8677020230353594E-2</v>
      </c>
      <c r="P315" s="159">
        <f>Forecast!B32</f>
        <v>0.10687219699712047</v>
      </c>
      <c r="AB315" s="161">
        <f>'Track record'!A64</f>
        <v>46022</v>
      </c>
      <c r="AC315" s="159">
        <f>'Track record'!D64</f>
        <v>8.2021456186899933E-2</v>
      </c>
      <c r="AD315" s="159">
        <f>'Track record'!F64</f>
        <v>9.7932469973212921E-2</v>
      </c>
      <c r="AE315" s="159">
        <f>'Track record'!C64</f>
        <v>4.3430000000000003E-2</v>
      </c>
    </row>
    <row r="316" spans="1:31" x14ac:dyDescent="0.2">
      <c r="N316" s="158" t="s">
        <v>30</v>
      </c>
      <c r="O316" s="159">
        <f>Forecast!G14</f>
        <v>4.7855337072321653E-2</v>
      </c>
      <c r="P316" s="159">
        <f>Forecast!B33</f>
        <v>3.9606304840795525E-2</v>
      </c>
      <c r="AB316" s="161">
        <f>'Track record'!A65</f>
        <v>46112</v>
      </c>
      <c r="AC316" s="159">
        <f>'Track record'!D65</f>
        <v>7.0238277460718646E-2</v>
      </c>
      <c r="AD316" s="159">
        <f>'Track record'!F65</f>
        <v>8.4806041869762261E-2</v>
      </c>
      <c r="AE316" s="159">
        <f>'Track record'!C65</f>
        <v>4.7080000000000004E-2</v>
      </c>
    </row>
    <row r="317" spans="1:31" x14ac:dyDescent="0.2">
      <c r="N317" s="158" t="s">
        <v>32</v>
      </c>
      <c r="O317" s="159">
        <f>Forecast!G15</f>
        <v>4.7723754634965566E-2</v>
      </c>
      <c r="P317" s="159">
        <f>Forecast!B34</f>
        <v>4.3020942898742698E-2</v>
      </c>
    </row>
    <row r="318" spans="1:31" x14ac:dyDescent="0.2">
      <c r="N318" s="158" t="s">
        <v>34</v>
      </c>
      <c r="O318" s="159">
        <f>Forecast!G16</f>
        <v>4.6012756330930112E-2</v>
      </c>
      <c r="P318" s="159">
        <f>Forecast!B35</f>
        <v>3.3059149449572667E-2</v>
      </c>
    </row>
    <row r="332" spans="1:16" x14ac:dyDescent="0.2">
      <c r="A332" s="152" t="s">
        <v>198</v>
      </c>
      <c r="B332" s="153"/>
      <c r="C332" s="153"/>
      <c r="D332" s="153"/>
      <c r="E332" s="153"/>
      <c r="F332" s="153"/>
      <c r="G332" s="153"/>
      <c r="H332" s="153"/>
      <c r="I332" s="153"/>
      <c r="J332" s="153"/>
      <c r="K332" s="153"/>
      <c r="L332" s="154"/>
      <c r="N332" s="155" t="s">
        <v>199</v>
      </c>
    </row>
    <row r="333" spans="1:16" ht="28" x14ac:dyDescent="0.2">
      <c r="N333" s="156" t="s">
        <v>5</v>
      </c>
      <c r="O333" s="157" t="s">
        <v>200</v>
      </c>
      <c r="P333" s="157" t="s">
        <v>201</v>
      </c>
    </row>
    <row r="334" spans="1:16" x14ac:dyDescent="0.2">
      <c r="N334" s="158" t="s">
        <v>14</v>
      </c>
      <c r="O334" s="159">
        <f>Validation!G68-Validation!$B$66</f>
        <v>1.3030000000000003E-3</v>
      </c>
      <c r="P334" s="159">
        <f>Validation!F68-Validation!$B$66</f>
        <v>-1.3030000000000003E-3</v>
      </c>
    </row>
    <row r="335" spans="1:16" x14ac:dyDescent="0.2">
      <c r="N335" s="158" t="s">
        <v>16</v>
      </c>
      <c r="O335" s="159">
        <f>Validation!G69-Validation!$B$66</f>
        <v>-7.319999999999999E-4</v>
      </c>
      <c r="P335" s="159">
        <f>Validation!F69-Validation!$B$66</f>
        <v>7.3200000000000001E-4</v>
      </c>
    </row>
    <row r="336" spans="1:16" x14ac:dyDescent="0.2">
      <c r="N336" s="158" t="s">
        <v>18</v>
      </c>
      <c r="O336" s="159">
        <f>Validation!G70-Validation!$B$66</f>
        <v>-7.7099999999999998E-4</v>
      </c>
      <c r="P336" s="159">
        <f>Validation!F70-Validation!$B$66</f>
        <v>7.7099999999999998E-4</v>
      </c>
    </row>
    <row r="337" spans="14:16" x14ac:dyDescent="0.2">
      <c r="N337" s="158" t="s">
        <v>20</v>
      </c>
      <c r="O337" s="159">
        <f>Validation!G71-Validation!$B$66</f>
        <v>2.4600000000000012E-4</v>
      </c>
      <c r="P337" s="159">
        <f>Validation!F71-Validation!$B$66</f>
        <v>-2.4600000000000012E-4</v>
      </c>
    </row>
    <row r="338" spans="14:16" x14ac:dyDescent="0.2">
      <c r="N338" s="158" t="s">
        <v>22</v>
      </c>
      <c r="O338" s="159">
        <f>Validation!G72-Validation!$B$66</f>
        <v>-2.9999999999999997E-4</v>
      </c>
      <c r="P338" s="159">
        <f>Validation!F72-Validation!$B$66</f>
        <v>2.9999999999999992E-4</v>
      </c>
    </row>
    <row r="339" spans="14:16" x14ac:dyDescent="0.2">
      <c r="N339" s="158" t="s">
        <v>24</v>
      </c>
      <c r="O339" s="159">
        <f>Validation!G73-Validation!$B$66</f>
        <v>-5.0000000000000001E-4</v>
      </c>
      <c r="P339" s="159">
        <f>Validation!F73-Validation!$B$66</f>
        <v>5.0000000000000001E-4</v>
      </c>
    </row>
    <row r="340" spans="14:16" x14ac:dyDescent="0.2">
      <c r="N340" s="158" t="s">
        <v>26</v>
      </c>
      <c r="O340" s="159">
        <f>Validation!G74-Validation!$B$66</f>
        <v>0</v>
      </c>
      <c r="P340" s="159">
        <f>Validation!F74-Validation!$B$66</f>
        <v>0</v>
      </c>
    </row>
    <row r="341" spans="14:16" x14ac:dyDescent="0.2">
      <c r="N341" s="158" t="s">
        <v>28</v>
      </c>
      <c r="O341" s="159">
        <f>Validation!G75-Validation!$B$66</f>
        <v>-9.9999999999999991E-5</v>
      </c>
      <c r="P341" s="159">
        <f>Validation!F75-Validation!$B$66</f>
        <v>9.9999999999999991E-5</v>
      </c>
    </row>
    <row r="342" spans="14:16" x14ac:dyDescent="0.2">
      <c r="N342" s="158" t="s">
        <v>30</v>
      </c>
      <c r="O342" s="159">
        <f>Validation!G76-Validation!$B$66</f>
        <v>1.9100000000000009E-4</v>
      </c>
      <c r="P342" s="159">
        <f>Validation!F76-Validation!$B$66</f>
        <v>-1.9100000000000006E-4</v>
      </c>
    </row>
    <row r="343" spans="14:16" x14ac:dyDescent="0.2">
      <c r="N343" s="158" t="s">
        <v>32</v>
      </c>
      <c r="O343" s="159">
        <f>Validation!G77-Validation!$B$66</f>
        <v>1.6299999999999995E-4</v>
      </c>
      <c r="P343" s="159">
        <f>Validation!F77-Validation!$B$66</f>
        <v>-1.6299999999999995E-4</v>
      </c>
    </row>
    <row r="344" spans="14:16" x14ac:dyDescent="0.2">
      <c r="N344" s="158" t="s">
        <v>34</v>
      </c>
      <c r="O344" s="159">
        <f>Validation!G78-Validation!$B$66</f>
        <v>5.0000000000000001E-4</v>
      </c>
      <c r="P344" s="159">
        <f>Validation!F78-Validation!$B$66</f>
        <v>-5.0000000000000001E-4</v>
      </c>
    </row>
  </sheetData>
  <pageMargins left="0.75" right="0.75" top="1" bottom="1" header="0.5" footer="0.5"/>
  <pageSetup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9"/>
    <pageSetUpPr fitToPage="1"/>
  </sheetPr>
  <dimension ref="A1:J49"/>
  <sheetViews>
    <sheetView showGridLines="0" topLeftCell="A19" workbookViewId="0">
      <selection activeCell="C38" sqref="C38:C49"/>
    </sheetView>
  </sheetViews>
  <sheetFormatPr baseColWidth="10" defaultColWidth="8.83203125" defaultRowHeight="15" x14ac:dyDescent="0.2"/>
  <cols>
    <col min="1" max="1" width="40" customWidth="1"/>
    <col min="2" max="2" width="13" customWidth="1"/>
    <col min="3" max="3" width="24" customWidth="1"/>
    <col min="4" max="6" width="12" customWidth="1"/>
    <col min="7" max="8" width="11" customWidth="1"/>
    <col min="9" max="9" width="3" customWidth="1"/>
    <col min="10" max="10" width="30" customWidth="1"/>
  </cols>
  <sheetData>
    <row r="1" spans="1:10" ht="19" x14ac:dyDescent="0.2">
      <c r="A1" s="53" t="s">
        <v>202</v>
      </c>
    </row>
    <row r="3" spans="1:10" x14ac:dyDescent="0.2">
      <c r="A3" s="165" t="s">
        <v>203</v>
      </c>
      <c r="B3" s="166"/>
      <c r="C3" s="166"/>
      <c r="D3" s="166"/>
      <c r="E3" s="166"/>
      <c r="F3" s="166"/>
      <c r="G3" s="166"/>
      <c r="H3" s="167"/>
    </row>
    <row r="4" spans="1:10" x14ac:dyDescent="0.2">
      <c r="A4" s="168" t="s">
        <v>5</v>
      </c>
      <c r="B4" s="169" t="s">
        <v>141</v>
      </c>
      <c r="C4" s="169" t="s">
        <v>7</v>
      </c>
      <c r="D4" s="169" t="s">
        <v>204</v>
      </c>
      <c r="E4" s="169" t="s">
        <v>205</v>
      </c>
      <c r="F4" s="169" t="s">
        <v>206</v>
      </c>
      <c r="G4" s="169" t="s">
        <v>207</v>
      </c>
      <c r="H4" s="170" t="s">
        <v>208</v>
      </c>
      <c r="J4" s="171" t="s">
        <v>209</v>
      </c>
    </row>
    <row r="5" spans="1:10" x14ac:dyDescent="0.2">
      <c r="A5" s="172" t="s">
        <v>14</v>
      </c>
      <c r="B5" s="68">
        <f>N('Fund balance sheet'!C7)</f>
        <v>0.4</v>
      </c>
      <c r="C5" s="68">
        <f>N('Fund balance sheet'!D7)</f>
        <v>0.25</v>
      </c>
      <c r="D5" s="72">
        <f>'Fee schedule'!B6</f>
        <v>1E-3</v>
      </c>
      <c r="E5" s="173">
        <v>0.15</v>
      </c>
      <c r="F5" s="173">
        <v>0.35</v>
      </c>
      <c r="G5" s="174">
        <v>1</v>
      </c>
      <c r="H5" s="175">
        <v>0</v>
      </c>
      <c r="J5" s="158" t="s">
        <v>210</v>
      </c>
    </row>
    <row r="6" spans="1:10" x14ac:dyDescent="0.2">
      <c r="A6" s="172" t="s">
        <v>16</v>
      </c>
      <c r="B6" s="68">
        <f>N('Fund balance sheet'!C8)</f>
        <v>0.2</v>
      </c>
      <c r="C6" s="68">
        <f>N('Fund balance sheet'!D8)</f>
        <v>0.24</v>
      </c>
      <c r="D6" s="72">
        <f>'Fee schedule'!B7</f>
        <v>1.5E-3</v>
      </c>
      <c r="E6" s="173">
        <v>0.15</v>
      </c>
      <c r="F6" s="173">
        <v>0.35</v>
      </c>
      <c r="G6" s="174">
        <v>1</v>
      </c>
      <c r="H6" s="175">
        <v>0</v>
      </c>
      <c r="J6" s="176" t="s">
        <v>211</v>
      </c>
    </row>
    <row r="7" spans="1:10" x14ac:dyDescent="0.2">
      <c r="A7" s="172" t="s">
        <v>18</v>
      </c>
      <c r="B7" s="68">
        <f>N('Fund balance sheet'!C9)</f>
        <v>0</v>
      </c>
      <c r="C7" s="68">
        <f>N('Fund balance sheet'!D9)</f>
        <v>0.03</v>
      </c>
      <c r="D7" s="72">
        <f>'Fee schedule'!B8</f>
        <v>2E-3</v>
      </c>
      <c r="E7" s="173">
        <v>0</v>
      </c>
      <c r="F7" s="173">
        <v>0.08</v>
      </c>
      <c r="G7" s="174">
        <v>1</v>
      </c>
      <c r="H7" s="175">
        <v>0</v>
      </c>
    </row>
    <row r="8" spans="1:10" x14ac:dyDescent="0.2">
      <c r="A8" s="172" t="s">
        <v>20</v>
      </c>
      <c r="B8" s="68">
        <f>N('Fund balance sheet'!C19)</f>
        <v>0.1</v>
      </c>
      <c r="C8" s="68">
        <f>N('Fund balance sheet'!D19)</f>
        <v>7.0000000000000007E-2</v>
      </c>
      <c r="D8" s="72">
        <f>'Fee schedule'!B9</f>
        <v>1.5E-3</v>
      </c>
      <c r="E8" s="173">
        <v>0</v>
      </c>
      <c r="F8" s="173">
        <v>0.12</v>
      </c>
      <c r="G8" s="174">
        <v>0</v>
      </c>
      <c r="H8" s="175">
        <v>0</v>
      </c>
    </row>
    <row r="9" spans="1:10" x14ac:dyDescent="0.2">
      <c r="A9" s="172" t="s">
        <v>22</v>
      </c>
      <c r="B9" s="68">
        <f>N('Fund balance sheet'!C26)</f>
        <v>0</v>
      </c>
      <c r="C9" s="68">
        <f>N('Fund balance sheet'!D26)</f>
        <v>0.02</v>
      </c>
      <c r="D9" s="72">
        <f>'Fee schedule'!B17</f>
        <v>2.5000000000000001E-3</v>
      </c>
      <c r="E9" s="173">
        <v>0</v>
      </c>
      <c r="F9" s="173">
        <v>0.08</v>
      </c>
      <c r="G9" s="174">
        <v>0</v>
      </c>
      <c r="H9" s="175">
        <v>0</v>
      </c>
    </row>
    <row r="10" spans="1:10" x14ac:dyDescent="0.2">
      <c r="A10" s="172" t="s">
        <v>24</v>
      </c>
      <c r="B10" s="68">
        <f>N('Fund balance sheet'!C20)</f>
        <v>0</v>
      </c>
      <c r="C10" s="68">
        <f>N('Fund balance sheet'!D20)</f>
        <v>0.05</v>
      </c>
      <c r="D10" s="72">
        <f>'Fee schedule'!B14</f>
        <v>1.2E-2</v>
      </c>
      <c r="E10" s="173">
        <v>0</v>
      </c>
      <c r="F10" s="173">
        <v>0.1</v>
      </c>
      <c r="G10" s="174">
        <v>0</v>
      </c>
      <c r="H10" s="175">
        <v>1</v>
      </c>
    </row>
    <row r="11" spans="1:10" x14ac:dyDescent="0.2">
      <c r="A11" s="172" t="s">
        <v>26</v>
      </c>
      <c r="B11" s="68">
        <f>N('Fund balance sheet'!C24)</f>
        <v>0</v>
      </c>
      <c r="C11" s="68">
        <f>N('Fund balance sheet'!D24)</f>
        <v>0.03</v>
      </c>
      <c r="D11" s="72">
        <f>'Fee schedule'!B15</f>
        <v>2.5000000000000001E-2</v>
      </c>
      <c r="E11" s="173">
        <v>0</v>
      </c>
      <c r="F11" s="173">
        <v>0.08</v>
      </c>
      <c r="G11" s="174">
        <v>0</v>
      </c>
      <c r="H11" s="175">
        <v>1</v>
      </c>
    </row>
    <row r="12" spans="1:10" x14ac:dyDescent="0.2">
      <c r="A12" s="172" t="s">
        <v>28</v>
      </c>
      <c r="B12" s="68">
        <f>N('Fund balance sheet'!C25)</f>
        <v>0</v>
      </c>
      <c r="C12" s="68">
        <f>N('Fund balance sheet'!D25)</f>
        <v>0.03</v>
      </c>
      <c r="D12" s="72">
        <f>'Fee schedule'!B16</f>
        <v>0.03</v>
      </c>
      <c r="E12" s="173">
        <v>0</v>
      </c>
      <c r="F12" s="173">
        <v>0.08</v>
      </c>
      <c r="G12" s="174">
        <v>0</v>
      </c>
      <c r="H12" s="175">
        <v>1</v>
      </c>
    </row>
    <row r="13" spans="1:10" x14ac:dyDescent="0.2">
      <c r="A13" s="172" t="s">
        <v>30</v>
      </c>
      <c r="B13" s="68">
        <f>N('Fund balance sheet'!C13)</f>
        <v>0.15</v>
      </c>
      <c r="C13" s="68">
        <f>N('Fund balance sheet'!D13)</f>
        <v>0.14000000000000001</v>
      </c>
      <c r="D13" s="72">
        <f>'Fee schedule'!B10</f>
        <v>1E-3</v>
      </c>
      <c r="E13" s="173">
        <v>0.05</v>
      </c>
      <c r="F13" s="173">
        <v>0.25</v>
      </c>
      <c r="G13" s="174">
        <v>0</v>
      </c>
      <c r="H13" s="175">
        <v>0</v>
      </c>
    </row>
    <row r="14" spans="1:10" x14ac:dyDescent="0.2">
      <c r="A14" s="172" t="s">
        <v>32</v>
      </c>
      <c r="B14" s="68">
        <f>N('Fund balance sheet'!C14)</f>
        <v>0.08</v>
      </c>
      <c r="C14" s="68">
        <f>N('Fund balance sheet'!D14)</f>
        <v>0.11</v>
      </c>
      <c r="D14" s="72">
        <f>'Fee schedule'!B11</f>
        <v>1.5E-3</v>
      </c>
      <c r="E14" s="173">
        <v>0.05</v>
      </c>
      <c r="F14" s="173">
        <v>0.2</v>
      </c>
      <c r="G14" s="174">
        <v>0</v>
      </c>
      <c r="H14" s="175">
        <v>0</v>
      </c>
    </row>
    <row r="15" spans="1:10" x14ac:dyDescent="0.2">
      <c r="A15" s="172" t="s">
        <v>34</v>
      </c>
      <c r="B15" s="68">
        <f>N('Fund balance sheet'!C15)</f>
        <v>7.0000000000000007E-2</v>
      </c>
      <c r="C15" s="68">
        <f>N('Fund balance sheet'!D15)</f>
        <v>0.03</v>
      </c>
      <c r="D15" s="72">
        <f>'Fee schedule'!B5</f>
        <v>0</v>
      </c>
      <c r="E15" s="173">
        <v>0.02</v>
      </c>
      <c r="F15" s="173">
        <v>0.1</v>
      </c>
      <c r="G15" s="174">
        <v>0</v>
      </c>
      <c r="H15" s="175">
        <v>0</v>
      </c>
    </row>
    <row r="16" spans="1:10" x14ac:dyDescent="0.2">
      <c r="A16" s="177" t="s">
        <v>36</v>
      </c>
      <c r="B16" s="178">
        <f>SUM(B5:B15)</f>
        <v>1</v>
      </c>
      <c r="C16" s="178">
        <f>SUM(C5:C15)</f>
        <v>1.0000000000000002</v>
      </c>
      <c r="D16" s="179"/>
      <c r="E16" s="179"/>
      <c r="F16" s="179"/>
      <c r="G16" s="179"/>
      <c r="H16" s="180"/>
    </row>
    <row r="20" spans="1:3" x14ac:dyDescent="0.2">
      <c r="A20" s="181" t="s">
        <v>212</v>
      </c>
      <c r="B20" s="182"/>
      <c r="C20" s="183"/>
    </row>
    <row r="21" spans="1:3" x14ac:dyDescent="0.2">
      <c r="A21" s="184" t="s">
        <v>213</v>
      </c>
      <c r="B21" s="185" t="s">
        <v>76</v>
      </c>
      <c r="C21" s="186" t="s">
        <v>214</v>
      </c>
    </row>
    <row r="22" spans="1:3" x14ac:dyDescent="0.2">
      <c r="A22" s="187" t="s">
        <v>215</v>
      </c>
      <c r="B22" s="188">
        <f>'Fund balance sheet'!B29</f>
        <v>3000</v>
      </c>
      <c r="C22" s="416" t="s">
        <v>216</v>
      </c>
    </row>
    <row r="23" spans="1:3" x14ac:dyDescent="0.2">
      <c r="A23" s="187" t="s">
        <v>217</v>
      </c>
      <c r="B23" s="189">
        <v>4.9880000000000001E-2</v>
      </c>
      <c r="C23" s="416" t="s">
        <v>218</v>
      </c>
    </row>
    <row r="24" spans="1:3" x14ac:dyDescent="0.2">
      <c r="A24" s="187" t="s">
        <v>219</v>
      </c>
      <c r="B24" s="189">
        <v>0.04</v>
      </c>
      <c r="C24" s="416" t="s">
        <v>220</v>
      </c>
    </row>
    <row r="25" spans="1:3" x14ac:dyDescent="0.2">
      <c r="A25" s="187" t="s">
        <v>221</v>
      </c>
      <c r="B25" s="72">
        <f>B23+B24</f>
        <v>8.9880000000000002E-2</v>
      </c>
      <c r="C25" s="416" t="s">
        <v>222</v>
      </c>
    </row>
    <row r="26" spans="1:3" x14ac:dyDescent="0.2">
      <c r="A26" s="187" t="s">
        <v>223</v>
      </c>
      <c r="B26" s="189">
        <v>4.5999999999999999E-2</v>
      </c>
      <c r="C26" s="416" t="s">
        <v>224</v>
      </c>
    </row>
    <row r="27" spans="1:3" x14ac:dyDescent="0.2">
      <c r="A27" s="187" t="s">
        <v>225</v>
      </c>
      <c r="B27" s="189">
        <v>1.4999999999999999E-2</v>
      </c>
      <c r="C27" s="416" t="s">
        <v>220</v>
      </c>
    </row>
    <row r="28" spans="1:3" x14ac:dyDescent="0.2">
      <c r="A28" s="187" t="s">
        <v>226</v>
      </c>
      <c r="B28" s="173">
        <v>0.25</v>
      </c>
      <c r="C28" s="416" t="s">
        <v>220</v>
      </c>
    </row>
    <row r="29" spans="1:3" x14ac:dyDescent="0.2">
      <c r="A29" s="187" t="s">
        <v>227</v>
      </c>
      <c r="B29" s="173">
        <v>0.1</v>
      </c>
      <c r="C29" s="416" t="s">
        <v>220</v>
      </c>
    </row>
    <row r="30" spans="1:3" x14ac:dyDescent="0.2">
      <c r="A30" s="187" t="s">
        <v>228</v>
      </c>
      <c r="B30" s="68">
        <f>SUMPRODUCT(C5:C15,G5:G15)</f>
        <v>0.52</v>
      </c>
      <c r="C30" s="416" t="s">
        <v>222</v>
      </c>
    </row>
    <row r="31" spans="1:3" x14ac:dyDescent="0.2">
      <c r="A31" s="187" t="s">
        <v>229</v>
      </c>
      <c r="B31" s="68">
        <f>B30-B29</f>
        <v>0.42000000000000004</v>
      </c>
      <c r="C31" s="416" t="s">
        <v>222</v>
      </c>
    </row>
    <row r="32" spans="1:3" x14ac:dyDescent="0.2">
      <c r="A32" s="187" t="s">
        <v>230</v>
      </c>
      <c r="B32" s="68">
        <f>B30+B29</f>
        <v>0.62</v>
      </c>
      <c r="C32" s="416" t="s">
        <v>222</v>
      </c>
    </row>
    <row r="33" spans="1:3" x14ac:dyDescent="0.2">
      <c r="A33" s="187" t="s">
        <v>231</v>
      </c>
      <c r="B33" s="173">
        <v>0.3</v>
      </c>
      <c r="C33" s="416" t="s">
        <v>220</v>
      </c>
    </row>
    <row r="34" spans="1:3" x14ac:dyDescent="0.2">
      <c r="A34" s="190" t="s">
        <v>232</v>
      </c>
      <c r="B34" s="191">
        <v>0.02</v>
      </c>
      <c r="C34" s="417" t="s">
        <v>220</v>
      </c>
    </row>
    <row r="36" spans="1:3" x14ac:dyDescent="0.2">
      <c r="A36" s="136" t="s">
        <v>233</v>
      </c>
      <c r="B36" s="137"/>
      <c r="C36" s="138"/>
    </row>
    <row r="37" spans="1:3" x14ac:dyDescent="0.2">
      <c r="A37" s="139" t="s">
        <v>213</v>
      </c>
      <c r="B37" s="140" t="s">
        <v>76</v>
      </c>
      <c r="C37" s="141" t="s">
        <v>214</v>
      </c>
    </row>
    <row r="38" spans="1:3" x14ac:dyDescent="0.2">
      <c r="A38" s="142" t="s">
        <v>234</v>
      </c>
      <c r="B38" s="173">
        <v>0.35</v>
      </c>
      <c r="C38" s="418" t="s">
        <v>235</v>
      </c>
    </row>
    <row r="39" spans="1:3" x14ac:dyDescent="0.2">
      <c r="A39" s="142" t="s">
        <v>236</v>
      </c>
      <c r="B39" s="192">
        <v>0.65</v>
      </c>
      <c r="C39" s="418" t="s">
        <v>237</v>
      </c>
    </row>
    <row r="40" spans="1:3" x14ac:dyDescent="0.2">
      <c r="A40" s="142" t="s">
        <v>238</v>
      </c>
      <c r="B40" s="192">
        <v>0.24</v>
      </c>
      <c r="C40" s="418" t="s">
        <v>237</v>
      </c>
    </row>
    <row r="41" spans="1:3" x14ac:dyDescent="0.2">
      <c r="A41" s="142" t="s">
        <v>239</v>
      </c>
      <c r="B41" s="193">
        <v>4</v>
      </c>
      <c r="C41" s="418" t="s">
        <v>240</v>
      </c>
    </row>
    <row r="42" spans="1:3" x14ac:dyDescent="0.2">
      <c r="A42" s="142" t="s">
        <v>241</v>
      </c>
      <c r="B42" s="173">
        <v>0.65</v>
      </c>
      <c r="C42" s="418" t="s">
        <v>242</v>
      </c>
    </row>
    <row r="43" spans="1:3" x14ac:dyDescent="0.2">
      <c r="A43" s="142" t="s">
        <v>243</v>
      </c>
      <c r="B43" s="173">
        <v>0.2</v>
      </c>
      <c r="C43" s="418" t="s">
        <v>242</v>
      </c>
    </row>
    <row r="44" spans="1:3" x14ac:dyDescent="0.2">
      <c r="A44" s="142" t="s">
        <v>244</v>
      </c>
      <c r="B44" s="189">
        <v>0.04</v>
      </c>
      <c r="C44" s="418" t="s">
        <v>242</v>
      </c>
    </row>
    <row r="45" spans="1:3" x14ac:dyDescent="0.2">
      <c r="A45" s="142" t="s">
        <v>245</v>
      </c>
      <c r="B45" s="189">
        <v>1.0999999999999999E-2</v>
      </c>
      <c r="C45" s="418" t="s">
        <v>246</v>
      </c>
    </row>
    <row r="46" spans="1:3" x14ac:dyDescent="0.2">
      <c r="A46" s="142" t="s">
        <v>247</v>
      </c>
      <c r="B46" s="174">
        <v>1</v>
      </c>
      <c r="C46" s="418" t="s">
        <v>248</v>
      </c>
    </row>
    <row r="47" spans="1:3" x14ac:dyDescent="0.2">
      <c r="A47" s="142" t="s">
        <v>249</v>
      </c>
      <c r="B47" s="173">
        <v>0.02</v>
      </c>
      <c r="C47" s="418" t="s">
        <v>242</v>
      </c>
    </row>
    <row r="48" spans="1:3" x14ac:dyDescent="0.2">
      <c r="A48" s="142" t="s">
        <v>250</v>
      </c>
      <c r="B48" s="174">
        <v>20261016</v>
      </c>
      <c r="C48" s="418" t="s">
        <v>251</v>
      </c>
    </row>
    <row r="49" spans="1:3" x14ac:dyDescent="0.2">
      <c r="A49" s="146" t="s">
        <v>252</v>
      </c>
      <c r="B49" s="194">
        <v>1</v>
      </c>
      <c r="C49" s="419" t="s">
        <v>253</v>
      </c>
    </row>
  </sheetData>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75623"/>
    <pageSetUpPr fitToPage="1"/>
  </sheetPr>
  <dimension ref="A1:L113"/>
  <sheetViews>
    <sheetView showGridLines="0" workbookViewId="0">
      <pane xSplit="1" ySplit="5" topLeftCell="B6" activePane="bottomRight" state="frozen"/>
      <selection pane="topRight"/>
      <selection pane="bottomLeft"/>
      <selection pane="bottomRight"/>
    </sheetView>
  </sheetViews>
  <sheetFormatPr baseColWidth="10" defaultColWidth="8.83203125" defaultRowHeight="15" x14ac:dyDescent="0.2"/>
  <cols>
    <col min="1" max="1" width="44" customWidth="1"/>
    <col min="2" max="3" width="13" customWidth="1"/>
    <col min="4" max="4" width="12" customWidth="1"/>
    <col min="5" max="5" width="13" customWidth="1"/>
    <col min="6" max="6" width="10" customWidth="1"/>
    <col min="7" max="7" width="13" customWidth="1"/>
    <col min="8" max="9" width="12" customWidth="1"/>
    <col min="10" max="10" width="3" customWidth="1"/>
    <col min="11" max="11" width="40" customWidth="1"/>
    <col min="12" max="12" width="10" customWidth="1"/>
  </cols>
  <sheetData>
    <row r="1" spans="1:9" ht="19" x14ac:dyDescent="0.2">
      <c r="A1" s="53" t="s">
        <v>118</v>
      </c>
    </row>
    <row r="3" spans="1:9" x14ac:dyDescent="0.2">
      <c r="A3" s="58" t="s">
        <v>254</v>
      </c>
      <c r="B3" s="59"/>
      <c r="C3" s="59"/>
      <c r="D3" s="59"/>
      <c r="E3" s="59"/>
      <c r="F3" s="59"/>
      <c r="G3" s="59"/>
      <c r="H3" s="59"/>
      <c r="I3" s="60"/>
    </row>
    <row r="4" spans="1:9" x14ac:dyDescent="0.2">
      <c r="A4" s="195"/>
      <c r="B4" s="77"/>
      <c r="C4" s="77"/>
      <c r="D4" s="77"/>
      <c r="E4" s="77"/>
      <c r="F4" s="77"/>
      <c r="G4" s="77"/>
      <c r="H4" s="77"/>
      <c r="I4" s="196"/>
    </row>
    <row r="5" spans="1:9" ht="42" customHeight="1" x14ac:dyDescent="0.2">
      <c r="A5" s="64" t="s">
        <v>5</v>
      </c>
      <c r="B5" s="65" t="s">
        <v>255</v>
      </c>
      <c r="C5" s="65" t="s">
        <v>256</v>
      </c>
      <c r="D5" s="65" t="s">
        <v>257</v>
      </c>
      <c r="E5" s="65" t="s">
        <v>258</v>
      </c>
      <c r="F5" s="65" t="s">
        <v>259</v>
      </c>
      <c r="G5" s="65" t="s">
        <v>260</v>
      </c>
      <c r="H5" s="65" t="s">
        <v>139</v>
      </c>
      <c r="I5" s="66" t="s">
        <v>261</v>
      </c>
    </row>
    <row r="6" spans="1:9" x14ac:dyDescent="0.2">
      <c r="A6" s="71" t="s">
        <v>14</v>
      </c>
      <c r="B6" s="72">
        <f>D59</f>
        <v>8.4754476131143133E-2</v>
      </c>
      <c r="C6" s="72">
        <f>Inputs!$B$23+Inputs!$B$41*SUMPRODUCT(MMULT(Risk!$B$41:$L$41,Inputs!$C$5:$C$15))</f>
        <v>8.5434421238701291E-2</v>
      </c>
      <c r="D6" s="68">
        <f>Inputs!$B$42-(Inputs!$B$42-Inputs!$B$43)*MIN(1,I6/Inputs!$B$44)</f>
        <v>0.49408803259451062</v>
      </c>
      <c r="E6" s="72">
        <f>IF(Inputs!$B$46=1,AVERAGE((D6*B6+(1-D6)*C6),(D7*B7+(1-D7)*C7)),(D6*B6+(1-D6)*C6))</f>
        <v>8.3659384356717506E-2</v>
      </c>
      <c r="F6" s="72">
        <f>Inputs!D5</f>
        <v>1E-3</v>
      </c>
      <c r="G6" s="96">
        <f t="shared" ref="G6:G16" si="0">E6-F6</f>
        <v>8.2659384356717505E-2</v>
      </c>
      <c r="H6" s="68">
        <f>Risk!M41</f>
        <v>0.1538153169756149</v>
      </c>
      <c r="I6" s="197">
        <f>STDEV(B56:B58)</f>
        <v>1.3858841547154617E-2</v>
      </c>
    </row>
    <row r="7" spans="1:9" x14ac:dyDescent="0.2">
      <c r="A7" s="71" t="s">
        <v>16</v>
      </c>
      <c r="B7" s="72">
        <f>D65</f>
        <v>8.8623855283577566E-2</v>
      </c>
      <c r="C7" s="72">
        <f>Inputs!$B$23+Inputs!$B$41*SUMPRODUCT(MMULT(Risk!$B$42:$L$42,Inputs!$C$5:$C$15))</f>
        <v>7.7973431900461243E-2</v>
      </c>
      <c r="D7" s="68">
        <f>Inputs!$B$42-(Inputs!$B$42-Inputs!$B$43)*MIN(1,I7/Inputs!$B$44)</f>
        <v>0.39875112584449202</v>
      </c>
      <c r="E7" s="72">
        <f>IF(Inputs!$B$46=1,AVERAGE((D6*B6+(1-D6)*C6),(D7*B7+(1-D7)*C7)),(D7*B7+(1-D7)*C7))</f>
        <v>8.3659384356717506E-2</v>
      </c>
      <c r="F7" s="72">
        <f>Inputs!D6</f>
        <v>1.5E-3</v>
      </c>
      <c r="G7" s="96">
        <f t="shared" si="0"/>
        <v>8.2159384356717505E-2</v>
      </c>
      <c r="H7" s="68">
        <f>Risk!M42</f>
        <v>0.12748314895451243</v>
      </c>
      <c r="I7" s="197">
        <f>STDEV(B62:B64)</f>
        <v>2.2333233258267374E-2</v>
      </c>
    </row>
    <row r="8" spans="1:9" x14ac:dyDescent="0.2">
      <c r="A8" s="71" t="s">
        <v>18</v>
      </c>
      <c r="B8" s="72">
        <f>D70</f>
        <v>0.10011391370270402</v>
      </c>
      <c r="C8" s="72">
        <f>Inputs!$B$23+Inputs!$B$41*SUMPRODUCT(MMULT(Risk!$B$43:$L$43,Inputs!$C$5:$C$15))</f>
        <v>6.6679499128377326E-2</v>
      </c>
      <c r="D8" s="68">
        <f>Inputs!$B$42-(Inputs!$B$42-Inputs!$B$43)*MIN(1,I8/Inputs!$B$44)</f>
        <v>0.42129530758579387</v>
      </c>
      <c r="E8" s="72">
        <f t="shared" ref="E8:E16" si="1">(D8*B8+(1-D8)*C8)</f>
        <v>8.0765261100419233E-2</v>
      </c>
      <c r="F8" s="72">
        <f>Inputs!D7</f>
        <v>2E-3</v>
      </c>
      <c r="G8" s="96">
        <f t="shared" si="0"/>
        <v>7.8765261100419232E-2</v>
      </c>
      <c r="H8" s="68">
        <f>Risk!M43</f>
        <v>0.10499060452104625</v>
      </c>
      <c r="I8" s="197">
        <f>STDEV(B68:B69)</f>
        <v>2.032930599237388E-2</v>
      </c>
    </row>
    <row r="9" spans="1:9" x14ac:dyDescent="0.2">
      <c r="A9" s="71" t="s">
        <v>20</v>
      </c>
      <c r="B9" s="72">
        <f>D76</f>
        <v>7.1009811525522354E-2</v>
      </c>
      <c r="C9" s="72">
        <f>Inputs!$B$23+Inputs!$B$41*SUMPRODUCT(MMULT(Risk!$B$44:$L$44,Inputs!$C$5:$C$15))</f>
        <v>7.862403018870015E-2</v>
      </c>
      <c r="D9" s="68">
        <f>Inputs!$B$42-(Inputs!$B$42-Inputs!$B$43)*MIN(1,I9/Inputs!$B$44)</f>
        <v>0.51100960297034281</v>
      </c>
      <c r="E9" s="72">
        <f t="shared" si="1"/>
        <v>7.4733091332700285E-2</v>
      </c>
      <c r="F9" s="72">
        <f>Inputs!D8</f>
        <v>1.5E-3</v>
      </c>
      <c r="G9" s="96">
        <f t="shared" si="0"/>
        <v>7.3233091332700284E-2</v>
      </c>
      <c r="H9" s="68">
        <f>Risk!M44</f>
        <v>0.1676625455396184</v>
      </c>
      <c r="I9" s="197">
        <f>STDEV(B73:B75)</f>
        <v>1.2354701958191751E-2</v>
      </c>
    </row>
    <row r="10" spans="1:9" x14ac:dyDescent="0.2">
      <c r="A10" s="71" t="s">
        <v>22</v>
      </c>
      <c r="B10" s="72">
        <f>D81</f>
        <v>2.3213975370645068E-2</v>
      </c>
      <c r="C10" s="72">
        <f>Inputs!$B$23+Inputs!$B$41*SUMPRODUCT(MMULT(Risk!$B$45:$L$45,Inputs!$C$5:$C$15))</f>
        <v>6.6007581451099501E-2</v>
      </c>
      <c r="D10" s="68">
        <f>Inputs!$B$42-(Inputs!$B$42-Inputs!$B$43)*MIN(1,I10/Inputs!$B$44)</f>
        <v>0.30961632436666148</v>
      </c>
      <c r="E10" s="72">
        <f t="shared" si="1"/>
        <v>5.2757982430074388E-2</v>
      </c>
      <c r="F10" s="72">
        <f>Inputs!D9</f>
        <v>2.5000000000000001E-3</v>
      </c>
      <c r="G10" s="96">
        <f t="shared" si="0"/>
        <v>5.0257982430074385E-2</v>
      </c>
      <c r="H10" s="68">
        <f>Risk!M45</f>
        <v>0.2458803519466253</v>
      </c>
      <c r="I10" s="197">
        <f>STDEV(B79:B80)</f>
        <v>3.0256326722963425E-2</v>
      </c>
    </row>
    <row r="11" spans="1:9" x14ac:dyDescent="0.2">
      <c r="A11" s="71" t="s">
        <v>24</v>
      </c>
      <c r="B11" s="72">
        <f>D87</f>
        <v>7.3981617291605434E-2</v>
      </c>
      <c r="C11" s="72">
        <f>Inputs!$B$23+Inputs!$B$41*SUMPRODUCT(MMULT(Risk!$B$46:$L$46,Inputs!$C$5:$C$15))</f>
        <v>5.7809543759845136E-2</v>
      </c>
      <c r="D11" s="68">
        <f>Inputs!$B$42-(Inputs!$B$42-Inputs!$B$43)*MIN(1,I11/Inputs!$B$44)</f>
        <v>0.53151609810605105</v>
      </c>
      <c r="E11" s="72">
        <f t="shared" si="1"/>
        <v>6.6405261181730513E-2</v>
      </c>
      <c r="F11" s="72">
        <f>Inputs!D10</f>
        <v>1.2E-2</v>
      </c>
      <c r="G11" s="96">
        <f t="shared" si="0"/>
        <v>5.4405261181730516E-2</v>
      </c>
      <c r="H11" s="68">
        <f>Risk!M46</f>
        <v>9.5333549151478028E-2</v>
      </c>
      <c r="I11" s="197">
        <f>STDEV(B84:B86)</f>
        <v>1.0531902390573238E-2</v>
      </c>
    </row>
    <row r="12" spans="1:9" x14ac:dyDescent="0.2">
      <c r="A12" s="71" t="s">
        <v>26</v>
      </c>
      <c r="B12" s="72">
        <f>D92</f>
        <v>6.58680871072682E-2</v>
      </c>
      <c r="C12" s="72">
        <f>Inputs!$B$23+Inputs!$B$41*SUMPRODUCT(MMULT(Risk!$B$47:$L$47,Inputs!$C$5:$C$15))</f>
        <v>4.9701287315171268E-2</v>
      </c>
      <c r="D12" s="68">
        <f>Inputs!$B$42-(Inputs!$B$42-Inputs!$B$43)*MIN(1,I12/Inputs!$B$44)</f>
        <v>0.52859314279865577</v>
      </c>
      <c r="E12" s="72">
        <f t="shared" si="1"/>
        <v>5.824694682627244E-2</v>
      </c>
      <c r="F12" s="72">
        <f>Inputs!D11</f>
        <v>2.5000000000000001E-2</v>
      </c>
      <c r="G12" s="96">
        <f t="shared" si="0"/>
        <v>3.3246946826272439E-2</v>
      </c>
      <c r="H12" s="68">
        <f>Risk!M47</f>
        <v>7.1939396992131671E-2</v>
      </c>
      <c r="I12" s="197">
        <f>STDEV(B90:B91)</f>
        <v>1.079172064011949E-2</v>
      </c>
    </row>
    <row r="13" spans="1:9" x14ac:dyDescent="0.2">
      <c r="A13" s="71" t="s">
        <v>28</v>
      </c>
      <c r="B13" s="72">
        <f>D97</f>
        <v>0.10270696597631815</v>
      </c>
      <c r="C13" s="72">
        <f>Inputs!$B$23+Inputs!$B$41*SUMPRODUCT(MMULT(Risk!$B$48:$L$48,Inputs!$C$5:$C$15))</f>
        <v>6.7396811117691247E-2</v>
      </c>
      <c r="D13" s="68">
        <f>Inputs!$B$42-(Inputs!$B$42-Inputs!$B$43)*MIN(1,I13/Inputs!$B$44)</f>
        <v>0.60266541446399824</v>
      </c>
      <c r="E13" s="72">
        <f t="shared" si="1"/>
        <v>8.8677020230353593E-2</v>
      </c>
      <c r="F13" s="72">
        <f>Inputs!D12</f>
        <v>0.03</v>
      </c>
      <c r="G13" s="96">
        <f t="shared" si="0"/>
        <v>5.8677020230353594E-2</v>
      </c>
      <c r="H13" s="68">
        <f>Risk!M48</f>
        <v>0.1272460590104332</v>
      </c>
      <c r="I13" s="197">
        <f>STDEV(B95:B96)</f>
        <v>4.2075187143112711E-3</v>
      </c>
    </row>
    <row r="14" spans="1:9" x14ac:dyDescent="0.2">
      <c r="A14" s="71" t="s">
        <v>30</v>
      </c>
      <c r="B14" s="72">
        <f>D102</f>
        <v>4.731157621019888E-2</v>
      </c>
      <c r="C14" s="72">
        <f>Inputs!$B$23+Inputs!$B$41*SUMPRODUCT(MMULT(Risk!$B$49:$L$49,Inputs!$C$5:$C$15))</f>
        <v>5.0887358534635538E-2</v>
      </c>
      <c r="D14" s="68">
        <f>Inputs!$B$42-(Inputs!$B$42-Inputs!$B$43)*MIN(1,I14/Inputs!$B$44)</f>
        <v>0.56827325545718599</v>
      </c>
      <c r="E14" s="72">
        <f t="shared" si="1"/>
        <v>4.8855337072321654E-2</v>
      </c>
      <c r="F14" s="72">
        <f>Inputs!D13</f>
        <v>1E-3</v>
      </c>
      <c r="G14" s="96">
        <f t="shared" si="0"/>
        <v>4.7855337072321653E-2</v>
      </c>
      <c r="H14" s="68">
        <f>Risk!M49</f>
        <v>4.2489011297327468E-2</v>
      </c>
      <c r="I14" s="197">
        <f>STDEV(B100:B101)</f>
        <v>7.2645995149167994E-3</v>
      </c>
    </row>
    <row r="15" spans="1:9" x14ac:dyDescent="0.2">
      <c r="A15" s="71" t="s">
        <v>32</v>
      </c>
      <c r="B15" s="72">
        <f>D108</f>
        <v>4.7902908138142054E-2</v>
      </c>
      <c r="C15" s="72">
        <f>Inputs!$B$23+Inputs!$B$41*SUMPRODUCT(MMULT(Risk!$B$50:$L$50,Inputs!$C$5:$C$15))</f>
        <v>5.1289317905549477E-2</v>
      </c>
      <c r="D15" s="68">
        <f>Inputs!$B$42-(Inputs!$B$42-Inputs!$B$43)*MIN(1,I15/Inputs!$B$44)</f>
        <v>0.60995668346576648</v>
      </c>
      <c r="E15" s="72">
        <f t="shared" si="1"/>
        <v>4.9223754634965568E-2</v>
      </c>
      <c r="F15" s="72">
        <f>Inputs!D14</f>
        <v>1.5E-3</v>
      </c>
      <c r="G15" s="96">
        <f t="shared" si="0"/>
        <v>4.7723754634965566E-2</v>
      </c>
      <c r="H15" s="68">
        <f>Risk!M50</f>
        <v>4.0530807581235798E-2</v>
      </c>
      <c r="I15" s="197">
        <f>STDEV(B105:B107)</f>
        <v>3.5594059141540952E-3</v>
      </c>
    </row>
    <row r="16" spans="1:9" x14ac:dyDescent="0.2">
      <c r="A16" s="71" t="s">
        <v>34</v>
      </c>
      <c r="B16" s="72">
        <f>D113</f>
        <v>4.2582356876218842E-2</v>
      </c>
      <c r="C16" s="72">
        <f>Inputs!$B$23+Inputs!$B$41*SUMPRODUCT(MMULT(Risk!$B$51:$L$51,Inputs!$C$5:$C$15))</f>
        <v>4.964172271723246E-2</v>
      </c>
      <c r="D16" s="68">
        <f>Inputs!$B$42-(Inputs!$B$42-Inputs!$B$43)*MIN(1,I16/Inputs!$B$44)</f>
        <v>0.5140640771468058</v>
      </c>
      <c r="E16" s="72">
        <f t="shared" si="1"/>
        <v>4.6012756330930112E-2</v>
      </c>
      <c r="F16" s="72">
        <f>Inputs!D15</f>
        <v>0</v>
      </c>
      <c r="G16" s="96">
        <f t="shared" si="0"/>
        <v>4.6012756330930112E-2</v>
      </c>
      <c r="H16" s="68">
        <f>Risk!M51</f>
        <v>9.8119766670163814E-3</v>
      </c>
      <c r="I16" s="197">
        <f>STDEV(B111:B112)</f>
        <v>1.2083193142506153E-2</v>
      </c>
    </row>
    <row r="17" spans="1:12" x14ac:dyDescent="0.2">
      <c r="A17" s="195"/>
      <c r="B17" s="77"/>
      <c r="C17" s="77"/>
      <c r="D17" s="77"/>
      <c r="E17" s="77"/>
      <c r="F17" s="77"/>
      <c r="G17" s="77"/>
      <c r="H17" s="77"/>
      <c r="I17" s="196"/>
    </row>
    <row r="18" spans="1:12" x14ac:dyDescent="0.2">
      <c r="A18" s="198" t="s">
        <v>262</v>
      </c>
      <c r="B18" s="77"/>
      <c r="C18" s="77"/>
      <c r="D18" s="77"/>
      <c r="E18" s="77"/>
      <c r="F18" s="77"/>
      <c r="G18" s="96">
        <f>MAX(G6:G16)</f>
        <v>8.2659384356717505E-2</v>
      </c>
      <c r="H18" s="77"/>
      <c r="I18" s="196"/>
    </row>
    <row r="19" spans="1:12" x14ac:dyDescent="0.2">
      <c r="A19" s="198" t="s">
        <v>263</v>
      </c>
      <c r="B19" s="77"/>
      <c r="C19" s="77"/>
      <c r="D19" s="77"/>
      <c r="E19" s="77"/>
      <c r="F19" s="77"/>
      <c r="G19" s="96">
        <f>Inputs!$B$25</f>
        <v>8.9880000000000002E-2</v>
      </c>
      <c r="H19" s="77"/>
      <c r="I19" s="196"/>
    </row>
    <row r="20" spans="1:12" x14ac:dyDescent="0.2">
      <c r="A20" s="199" t="s">
        <v>264</v>
      </c>
      <c r="B20" s="200"/>
      <c r="C20" s="200"/>
      <c r="D20" s="200"/>
      <c r="E20" s="200"/>
      <c r="F20" s="200"/>
      <c r="G20" s="201" t="str">
        <f>IF(G18&gt;=G19,"YES","NO")</f>
        <v>NO</v>
      </c>
      <c r="H20" s="200"/>
      <c r="I20" s="202"/>
    </row>
    <row r="23" spans="1:12" x14ac:dyDescent="0.2">
      <c r="A23" s="203" t="s">
        <v>265</v>
      </c>
      <c r="B23" s="204"/>
      <c r="C23" s="204"/>
      <c r="D23" s="204"/>
      <c r="E23" s="204"/>
      <c r="F23" s="204"/>
      <c r="G23" s="204"/>
      <c r="H23" s="205"/>
      <c r="K23" s="181" t="s">
        <v>266</v>
      </c>
      <c r="L23" s="183"/>
    </row>
    <row r="24" spans="1:12" ht="42" customHeight="1" x14ac:dyDescent="0.2">
      <c r="A24" s="206" t="s">
        <v>5</v>
      </c>
      <c r="B24" s="207" t="s">
        <v>267</v>
      </c>
      <c r="C24" s="207" t="s">
        <v>268</v>
      </c>
      <c r="D24" s="207" t="s">
        <v>269</v>
      </c>
      <c r="E24" s="207" t="s">
        <v>270</v>
      </c>
      <c r="F24" s="207" t="s">
        <v>271</v>
      </c>
      <c r="G24" s="207" t="s">
        <v>272</v>
      </c>
      <c r="H24" s="208" t="s">
        <v>273</v>
      </c>
      <c r="K24" s="187" t="s">
        <v>274</v>
      </c>
      <c r="L24" s="209">
        <v>0.5</v>
      </c>
    </row>
    <row r="25" spans="1:12" x14ac:dyDescent="0.2">
      <c r="A25" s="210" t="s">
        <v>14</v>
      </c>
      <c r="B25" s="72">
        <f>EXP(SUMPRODUCT(LN(1+'Quarterly returns'!N$6:N$85))*4/80)-1</f>
        <v>6.950124987418338E-2</v>
      </c>
      <c r="C25" s="72">
        <f>EXP(SUMPRODUCT(LN(1+'Quarterly returns'!N$46:N$85))*4/40)-1</f>
        <v>9.4599768076517599E-2</v>
      </c>
      <c r="D25" s="72">
        <f>EXP(SUMPRODUCT(LN(1+'Quarterly returns'!N$66:N$85))*4/20)-1</f>
        <v>8.3642200361163432E-2</v>
      </c>
      <c r="E25" s="72">
        <f t="shared" ref="E25:E35" si="2">B25-B$35</f>
        <v>3.6442100424610713E-2</v>
      </c>
      <c r="F25" s="72">
        <f t="shared" ref="F25:F35" si="3">C25-C$35</f>
        <v>7.2734217128879175E-2</v>
      </c>
      <c r="G25" s="72">
        <f t="shared" ref="G25:G35" si="4">D25-D$35</f>
        <v>5.4730415980069225E-2</v>
      </c>
      <c r="H25" s="211">
        <f t="shared" ref="H25:H35" si="5">$L$24*E25+$L$25*F25+$L$26*G25</f>
        <v>5.0987398546982955E-2</v>
      </c>
      <c r="K25" s="187" t="s">
        <v>275</v>
      </c>
      <c r="L25" s="209">
        <v>0.3</v>
      </c>
    </row>
    <row r="26" spans="1:12" x14ac:dyDescent="0.2">
      <c r="A26" s="210" t="s">
        <v>16</v>
      </c>
      <c r="B26" s="72">
        <f>EXP(SUMPRODUCT(LN(1+'Quarterly returns'!O$6:O$85))*4/80)-1</f>
        <v>8.8450812806027956E-2</v>
      </c>
      <c r="C26" s="72">
        <f>EXP(SUMPRODUCT(LN(1+'Quarterly returns'!O$46:O$85))*4/40)-1</f>
        <v>0.14009823939865873</v>
      </c>
      <c r="D26" s="72">
        <f>EXP(SUMPRODUCT(LN(1+'Quarterly returns'!O$66:O$85))*4/20)-1</f>
        <v>0.13819307408824022</v>
      </c>
      <c r="E26" s="72">
        <f t="shared" si="2"/>
        <v>5.539166335645529E-2</v>
      </c>
      <c r="F26" s="72">
        <f t="shared" si="3"/>
        <v>0.11823268845102031</v>
      </c>
      <c r="G26" s="72">
        <f t="shared" si="4"/>
        <v>0.10928128970714601</v>
      </c>
      <c r="H26" s="211">
        <f t="shared" si="5"/>
        <v>8.5021896154962945E-2</v>
      </c>
      <c r="K26" s="187" t="s">
        <v>276</v>
      </c>
      <c r="L26" s="209">
        <v>0.2</v>
      </c>
    </row>
    <row r="27" spans="1:12" x14ac:dyDescent="0.2">
      <c r="A27" s="210" t="s">
        <v>18</v>
      </c>
      <c r="B27" s="72">
        <f>EXP(SUMPRODUCT(LN(1+'Quarterly returns'!P$6:P$85))*4/80)-1</f>
        <v>7.9988927529070608E-2</v>
      </c>
      <c r="C27" s="72">
        <f>EXP(SUMPRODUCT(LN(1+'Quarterly returns'!P$46:P$85))*4/40)-1</f>
        <v>0.11222714357898123</v>
      </c>
      <c r="D27" s="72">
        <f>EXP(SUMPRODUCT(LN(1+'Quarterly returns'!P$66:P$85))*4/20)-1</f>
        <v>8.9739489120926885E-2</v>
      </c>
      <c r="E27" s="72">
        <f t="shared" si="2"/>
        <v>4.6929778079497941E-2</v>
      </c>
      <c r="F27" s="72">
        <f t="shared" si="3"/>
        <v>9.0361592631342802E-2</v>
      </c>
      <c r="G27" s="72">
        <f t="shared" si="4"/>
        <v>6.0827704739832678E-2</v>
      </c>
      <c r="H27" s="211">
        <f t="shared" si="5"/>
        <v>6.2738907777118352E-2</v>
      </c>
      <c r="K27" s="187" t="s">
        <v>277</v>
      </c>
      <c r="L27" s="212">
        <v>2.5000000000000001E-2</v>
      </c>
    </row>
    <row r="28" spans="1:12" x14ac:dyDescent="0.2">
      <c r="A28" s="210" t="s">
        <v>20</v>
      </c>
      <c r="B28" s="72">
        <f>EXP(SUMPRODUCT(LN(1+'Quarterly returns'!Q$6:Q$85))*4/80)-1</f>
        <v>5.3753445740167161E-2</v>
      </c>
      <c r="C28" s="72">
        <f>EXP(SUMPRODUCT(LN(1+'Quarterly returns'!Q$46:Q$85))*4/40)-1</f>
        <v>5.9762084679665151E-2</v>
      </c>
      <c r="D28" s="72">
        <f>EXP(SUMPRODUCT(LN(1+'Quarterly returns'!Q$66:Q$85))*4/20)-1</f>
        <v>7.0428794007771911E-2</v>
      </c>
      <c r="E28" s="72">
        <f t="shared" si="2"/>
        <v>2.0694296290594494E-2</v>
      </c>
      <c r="F28" s="72">
        <f t="shared" si="3"/>
        <v>3.7896533732026727E-2</v>
      </c>
      <c r="G28" s="72">
        <f t="shared" si="4"/>
        <v>4.1517009626677703E-2</v>
      </c>
      <c r="H28" s="211">
        <f t="shared" si="5"/>
        <v>3.0019510190240802E-2</v>
      </c>
      <c r="K28" s="187" t="s">
        <v>278</v>
      </c>
      <c r="L28" s="212">
        <v>6.5000000000000002E-2</v>
      </c>
    </row>
    <row r="29" spans="1:12" x14ac:dyDescent="0.2">
      <c r="A29" s="210" t="s">
        <v>22</v>
      </c>
      <c r="B29" s="72">
        <f>EXP(SUMPRODUCT(LN(1+'Quarterly returns'!R$6:R$85))*4/80)-1</f>
        <v>-6.7382599487993966E-3</v>
      </c>
      <c r="C29" s="72">
        <f>EXP(SUMPRODUCT(LN(1+'Quarterly returns'!R$46:R$85))*4/40)-1</f>
        <v>0.11272719889626215</v>
      </c>
      <c r="D29" s="72">
        <f>EXP(SUMPRODUCT(LN(1+'Quarterly returns'!R$66:R$85))*4/20)-1</f>
        <v>0.22123503791396293</v>
      </c>
      <c r="E29" s="72">
        <f t="shared" si="2"/>
        <v>-3.9797409398372063E-2</v>
      </c>
      <c r="F29" s="72">
        <f t="shared" si="3"/>
        <v>9.0861647948623725E-2</v>
      </c>
      <c r="G29" s="72">
        <f t="shared" si="4"/>
        <v>0.19232325353286872</v>
      </c>
      <c r="H29" s="211">
        <f t="shared" si="5"/>
        <v>4.5824440391974836E-2</v>
      </c>
      <c r="K29" s="187" t="s">
        <v>279</v>
      </c>
      <c r="L29" s="212">
        <v>1.4999999999999999E-2</v>
      </c>
    </row>
    <row r="30" spans="1:12" x14ac:dyDescent="0.2">
      <c r="A30" s="210" t="s">
        <v>24</v>
      </c>
      <c r="B30" s="72">
        <f>EXP(SUMPRODUCT(LN(1+'Quarterly returns'!S$6:S$85))*4/80)-1</f>
        <v>6.0608487419002488E-2</v>
      </c>
      <c r="C30" s="72">
        <f>EXP(SUMPRODUCT(LN(1+'Quarterly returns'!S$46:S$85))*4/40)-1</f>
        <v>5.6636212792367635E-2</v>
      </c>
      <c r="D30" s="72">
        <f>EXP(SUMPRODUCT(LN(1+'Quarterly returns'!S$66:S$85))*4/20)-1</f>
        <v>4.6465511437971507E-2</v>
      </c>
      <c r="E30" s="72">
        <f t="shared" si="2"/>
        <v>2.7549337969429821E-2</v>
      </c>
      <c r="F30" s="72">
        <f t="shared" si="3"/>
        <v>3.4770661844729212E-2</v>
      </c>
      <c r="G30" s="72">
        <f t="shared" si="4"/>
        <v>1.75537270568773E-2</v>
      </c>
      <c r="H30" s="211">
        <f t="shared" si="5"/>
        <v>2.7716612949509136E-2</v>
      </c>
      <c r="K30" s="187" t="s">
        <v>280</v>
      </c>
      <c r="L30" s="212">
        <v>4.4999999999999998E-2</v>
      </c>
    </row>
    <row r="31" spans="1:12" x14ac:dyDescent="0.2">
      <c r="A31" s="210" t="s">
        <v>26</v>
      </c>
      <c r="B31" s="72">
        <f>EXP(SUMPRODUCT(LN(1+'Quarterly returns'!T$6:T$85))*4/80)-1</f>
        <v>7.6551345490687206E-2</v>
      </c>
      <c r="C31" s="72">
        <f>EXP(SUMPRODUCT(LN(1+'Quarterly returns'!T$46:T$85))*4/40)-1</f>
        <v>7.5066369117431586E-2</v>
      </c>
      <c r="D31" s="72">
        <f>EXP(SUMPRODUCT(LN(1+'Quarterly returns'!T$66:T$85))*4/20)-1</f>
        <v>8.3698847646477503E-2</v>
      </c>
      <c r="E31" s="72">
        <f t="shared" si="2"/>
        <v>4.3492196041114539E-2</v>
      </c>
      <c r="F31" s="72">
        <f t="shared" si="3"/>
        <v>5.3200818169793163E-2</v>
      </c>
      <c r="G31" s="72">
        <f t="shared" si="4"/>
        <v>5.4787063265383296E-2</v>
      </c>
      <c r="H31" s="211">
        <f t="shared" si="5"/>
        <v>4.8663756124571883E-2</v>
      </c>
      <c r="K31" s="187" t="s">
        <v>281</v>
      </c>
      <c r="L31" s="209">
        <v>0.25</v>
      </c>
    </row>
    <row r="32" spans="1:12" x14ac:dyDescent="0.2">
      <c r="A32" s="210" t="s">
        <v>28</v>
      </c>
      <c r="B32" s="72">
        <f>EXP(SUMPRODUCT(LN(1+'Quarterly returns'!U$6:U$85))*4/80)-1</f>
        <v>0.10687219699712047</v>
      </c>
      <c r="C32" s="72">
        <f>EXP(SUMPRODUCT(LN(1+'Quarterly returns'!U$46:U$85))*4/40)-1</f>
        <v>0.10920514070665743</v>
      </c>
      <c r="D32" s="72">
        <f>EXP(SUMPRODUCT(LN(1+'Quarterly returns'!U$66:U$85))*4/20)-1</f>
        <v>0.10226787651675617</v>
      </c>
      <c r="E32" s="72">
        <f t="shared" si="2"/>
        <v>7.3813047547547805E-2</v>
      </c>
      <c r="F32" s="72">
        <f t="shared" si="3"/>
        <v>8.733958975901901E-2</v>
      </c>
      <c r="G32" s="72">
        <f t="shared" si="4"/>
        <v>7.3356092135661966E-2</v>
      </c>
      <c r="H32" s="211">
        <f t="shared" si="5"/>
        <v>7.7779619128612004E-2</v>
      </c>
      <c r="K32" s="187" t="s">
        <v>282</v>
      </c>
      <c r="L32" s="209">
        <v>0.7</v>
      </c>
    </row>
    <row r="33" spans="1:12" x14ac:dyDescent="0.2">
      <c r="A33" s="210" t="s">
        <v>30</v>
      </c>
      <c r="B33" s="72">
        <f>EXP(SUMPRODUCT(LN(1+'Quarterly returns'!V$6:V$85))*4/80)-1</f>
        <v>3.9606304840795525E-2</v>
      </c>
      <c r="C33" s="72">
        <f>EXP(SUMPRODUCT(LN(1+'Quarterly returns'!V$46:V$85))*4/40)-1</f>
        <v>1.6560819040300379E-2</v>
      </c>
      <c r="D33" s="72">
        <f>EXP(SUMPRODUCT(LN(1+'Quarterly returns'!V$66:V$85))*4/20)-1</f>
        <v>-8.9782439988239648E-4</v>
      </c>
      <c r="E33" s="72">
        <f t="shared" si="2"/>
        <v>6.5471553912228586E-3</v>
      </c>
      <c r="F33" s="72">
        <f t="shared" si="3"/>
        <v>-5.304731907338045E-3</v>
      </c>
      <c r="G33" s="72">
        <f t="shared" si="4"/>
        <v>-2.9809608780976604E-2</v>
      </c>
      <c r="H33" s="211">
        <f t="shared" si="5"/>
        <v>-4.2797636327853049E-3</v>
      </c>
      <c r="K33" s="187" t="s">
        <v>283</v>
      </c>
      <c r="L33" s="212">
        <v>-0.01</v>
      </c>
    </row>
    <row r="34" spans="1:12" x14ac:dyDescent="0.2">
      <c r="A34" s="210" t="s">
        <v>32</v>
      </c>
      <c r="B34" s="72">
        <f>EXP(SUMPRODUCT(LN(1+'Quarterly returns'!W$6:W$85))*4/80)-1</f>
        <v>4.3020942898742698E-2</v>
      </c>
      <c r="C34" s="72">
        <f>EXP(SUMPRODUCT(LN(1+'Quarterly returns'!W$46:W$85))*4/40)-1</f>
        <v>9.398137366494419E-3</v>
      </c>
      <c r="D34" s="72">
        <f>EXP(SUMPRODUCT(LN(1+'Quarterly returns'!W$66:W$85))*4/20)-1</f>
        <v>-1.1384459008348613E-2</v>
      </c>
      <c r="E34" s="72">
        <f t="shared" si="2"/>
        <v>9.9617934491700311E-3</v>
      </c>
      <c r="F34" s="72">
        <f t="shared" si="3"/>
        <v>-1.2467413581144005E-2</v>
      </c>
      <c r="G34" s="72">
        <f t="shared" si="4"/>
        <v>-4.0296243389442821E-2</v>
      </c>
      <c r="H34" s="211">
        <f t="shared" si="5"/>
        <v>-6.8185760276467501E-3</v>
      </c>
      <c r="K34" s="187" t="s">
        <v>284</v>
      </c>
      <c r="L34" s="212">
        <v>0.01</v>
      </c>
    </row>
    <row r="35" spans="1:12" x14ac:dyDescent="0.2">
      <c r="A35" s="213" t="s">
        <v>34</v>
      </c>
      <c r="B35" s="214">
        <f>EXP(SUMPRODUCT(LN(1+'Quarterly returns'!X$6:X$85))*4/80)-1</f>
        <v>3.3059149449572667E-2</v>
      </c>
      <c r="C35" s="214">
        <f>EXP(SUMPRODUCT(LN(1+'Quarterly returns'!X$46:X$85))*4/40)-1</f>
        <v>2.1865550947638424E-2</v>
      </c>
      <c r="D35" s="214">
        <f>EXP(SUMPRODUCT(LN(1+'Quarterly returns'!X$66:X$85))*4/20)-1</f>
        <v>2.8911784381094208E-2</v>
      </c>
      <c r="E35" s="214">
        <f t="shared" si="2"/>
        <v>0</v>
      </c>
      <c r="F35" s="214">
        <f t="shared" si="3"/>
        <v>0</v>
      </c>
      <c r="G35" s="214">
        <f t="shared" si="4"/>
        <v>0</v>
      </c>
      <c r="H35" s="215">
        <f t="shared" si="5"/>
        <v>0</v>
      </c>
      <c r="K35" s="187" t="s">
        <v>285</v>
      </c>
      <c r="L35" s="212">
        <v>0.01</v>
      </c>
    </row>
    <row r="36" spans="1:12" x14ac:dyDescent="0.2">
      <c r="K36" s="187" t="s">
        <v>286</v>
      </c>
      <c r="L36" s="212">
        <v>0</v>
      </c>
    </row>
    <row r="37" spans="1:12" x14ac:dyDescent="0.2">
      <c r="K37" s="187" t="s">
        <v>287</v>
      </c>
      <c r="L37" s="209">
        <v>0.45</v>
      </c>
    </row>
    <row r="38" spans="1:12" x14ac:dyDescent="0.2">
      <c r="A38" s="165" t="s">
        <v>288</v>
      </c>
      <c r="B38" s="166"/>
      <c r="C38" s="166"/>
      <c r="D38" s="167"/>
      <c r="K38" s="187" t="s">
        <v>289</v>
      </c>
      <c r="L38" s="209">
        <v>0.35</v>
      </c>
    </row>
    <row r="39" spans="1:12" ht="28" x14ac:dyDescent="0.2">
      <c r="A39" s="168" t="s">
        <v>290</v>
      </c>
      <c r="B39" s="169" t="s">
        <v>60</v>
      </c>
      <c r="C39" s="169" t="s">
        <v>291</v>
      </c>
      <c r="D39" s="170" t="s">
        <v>214</v>
      </c>
      <c r="K39" s="187" t="s">
        <v>292</v>
      </c>
      <c r="L39" s="209">
        <v>0.2</v>
      </c>
    </row>
    <row r="40" spans="1:12" x14ac:dyDescent="0.2">
      <c r="A40" s="172" t="s">
        <v>293</v>
      </c>
      <c r="B40" s="216">
        <v>46265</v>
      </c>
      <c r="C40" s="216">
        <v>46265</v>
      </c>
      <c r="D40" s="217"/>
      <c r="K40" s="187" t="s">
        <v>294</v>
      </c>
      <c r="L40" s="209">
        <v>0.8</v>
      </c>
    </row>
    <row r="41" spans="1:12" x14ac:dyDescent="0.2">
      <c r="A41" s="172" t="s">
        <v>295</v>
      </c>
      <c r="B41" s="189">
        <v>3.4299999999999997E-2</v>
      </c>
      <c r="C41" s="189">
        <v>1.4999999999999999E-2</v>
      </c>
      <c r="D41" s="218" t="s">
        <v>296</v>
      </c>
      <c r="K41" s="187" t="s">
        <v>297</v>
      </c>
      <c r="L41" s="209">
        <v>0.2</v>
      </c>
    </row>
    <row r="42" spans="1:12" x14ac:dyDescent="0.2">
      <c r="A42" s="172" t="s">
        <v>298</v>
      </c>
      <c r="B42" s="193">
        <v>20.39</v>
      </c>
      <c r="C42" s="193">
        <v>23.2</v>
      </c>
      <c r="D42" s="217"/>
      <c r="K42" s="187" t="s">
        <v>299</v>
      </c>
      <c r="L42" s="209">
        <v>0.65</v>
      </c>
    </row>
    <row r="43" spans="1:12" x14ac:dyDescent="0.2">
      <c r="A43" s="172" t="s">
        <v>300</v>
      </c>
      <c r="B43" s="193">
        <v>18.82</v>
      </c>
      <c r="C43" s="193">
        <v>18.55</v>
      </c>
      <c r="D43" s="217"/>
      <c r="K43" s="187" t="s">
        <v>301</v>
      </c>
      <c r="L43" s="209">
        <v>0.35</v>
      </c>
    </row>
    <row r="44" spans="1:12" x14ac:dyDescent="0.2">
      <c r="A44" s="172" t="s">
        <v>302</v>
      </c>
      <c r="B44" s="189">
        <v>2.5000000000000001E-2</v>
      </c>
      <c r="C44" s="189">
        <v>0.02</v>
      </c>
      <c r="D44" s="218" t="s">
        <v>303</v>
      </c>
      <c r="K44" s="187" t="s">
        <v>304</v>
      </c>
      <c r="L44" s="209">
        <v>0.8</v>
      </c>
    </row>
    <row r="45" spans="1:12" x14ac:dyDescent="0.2">
      <c r="A45" s="172" t="s">
        <v>305</v>
      </c>
      <c r="B45" s="189">
        <v>0.02</v>
      </c>
      <c r="C45" s="189">
        <v>0.02</v>
      </c>
      <c r="D45" s="217"/>
      <c r="K45" s="187" t="s">
        <v>306</v>
      </c>
      <c r="L45" s="209">
        <v>0.2</v>
      </c>
    </row>
    <row r="46" spans="1:12" x14ac:dyDescent="0.2">
      <c r="A46" s="172" t="s">
        <v>307</v>
      </c>
      <c r="B46" s="72">
        <f>B41*B42/B43</f>
        <v>3.7161370882040377E-2</v>
      </c>
      <c r="C46" s="72">
        <f>C41*C42/C43</f>
        <v>1.8760107816711589E-2</v>
      </c>
      <c r="D46" s="217"/>
      <c r="K46" s="187" t="s">
        <v>308</v>
      </c>
      <c r="L46" s="209">
        <v>0.75</v>
      </c>
    </row>
    <row r="47" spans="1:12" x14ac:dyDescent="0.2">
      <c r="A47" s="172" t="s">
        <v>309</v>
      </c>
      <c r="B47" s="72">
        <f>B44+B45</f>
        <v>4.4999999999999998E-2</v>
      </c>
      <c r="C47" s="72">
        <f>C44+C45</f>
        <v>0.04</v>
      </c>
      <c r="D47" s="217"/>
      <c r="K47" s="190" t="s">
        <v>310</v>
      </c>
      <c r="L47" s="219">
        <v>0.25</v>
      </c>
    </row>
    <row r="48" spans="1:12" x14ac:dyDescent="0.2">
      <c r="A48" s="172" t="s">
        <v>311</v>
      </c>
      <c r="B48" s="72">
        <f>B46+B47</f>
        <v>8.2161370882040369E-2</v>
      </c>
      <c r="C48" s="72">
        <f>C46+C47</f>
        <v>5.8760107816711593E-2</v>
      </c>
      <c r="D48" s="217"/>
    </row>
    <row r="49" spans="1:4" x14ac:dyDescent="0.2">
      <c r="A49" s="172" t="s">
        <v>312</v>
      </c>
      <c r="B49" s="72">
        <f>1/B43+B44</f>
        <v>7.8134962805526037E-2</v>
      </c>
      <c r="C49" s="72">
        <f>1/C43+C44</f>
        <v>7.3908355795148248E-2</v>
      </c>
      <c r="D49" s="217"/>
    </row>
    <row r="50" spans="1:4" x14ac:dyDescent="0.2">
      <c r="A50" s="177" t="s">
        <v>313</v>
      </c>
      <c r="B50" s="220">
        <f>AVERAGE(B48:B49)</f>
        <v>8.0148166843783203E-2</v>
      </c>
      <c r="C50" s="220">
        <f>AVERAGE(C48:C49)</f>
        <v>6.6334231805929927E-2</v>
      </c>
      <c r="D50" s="180"/>
    </row>
    <row r="53" spans="1:4" x14ac:dyDescent="0.2">
      <c r="A53" s="121" t="s">
        <v>314</v>
      </c>
      <c r="B53" s="122"/>
      <c r="C53" s="122"/>
      <c r="D53" s="123"/>
    </row>
    <row r="54" spans="1:4" x14ac:dyDescent="0.2">
      <c r="A54" s="124" t="s">
        <v>2</v>
      </c>
      <c r="B54" s="125" t="s">
        <v>176</v>
      </c>
      <c r="C54" s="125" t="s">
        <v>315</v>
      </c>
      <c r="D54" s="126" t="s">
        <v>316</v>
      </c>
    </row>
    <row r="55" spans="1:4" x14ac:dyDescent="0.2">
      <c r="A55" s="221" t="s">
        <v>14</v>
      </c>
      <c r="B55" s="77"/>
      <c r="C55" s="77"/>
      <c r="D55" s="222"/>
    </row>
    <row r="56" spans="1:4" x14ac:dyDescent="0.2">
      <c r="A56" s="127" t="s">
        <v>317</v>
      </c>
      <c r="B56" s="72">
        <f>Inputs!$B$26+MIN(MAX(H25,$L$27),$L$28)</f>
        <v>9.6987398546982961E-2</v>
      </c>
      <c r="C56" s="173">
        <v>0.4</v>
      </c>
      <c r="D56" s="128">
        <f>B56*C56</f>
        <v>3.8794959418793185E-2</v>
      </c>
    </row>
    <row r="57" spans="1:4" x14ac:dyDescent="0.2">
      <c r="A57" s="127" t="s">
        <v>318</v>
      </c>
      <c r="B57" s="72">
        <f>$B$50</f>
        <v>8.0148166843783203E-2</v>
      </c>
      <c r="C57" s="173">
        <v>0.4</v>
      </c>
      <c r="D57" s="128">
        <f>B57*C57</f>
        <v>3.2059266737513283E-2</v>
      </c>
    </row>
    <row r="58" spans="1:4" x14ac:dyDescent="0.2">
      <c r="A58" s="127" t="s">
        <v>319</v>
      </c>
      <c r="B58" s="72">
        <f>B25</f>
        <v>6.950124987418338E-2</v>
      </c>
      <c r="C58" s="173">
        <v>0.2</v>
      </c>
      <c r="D58" s="128">
        <f>B58*C58</f>
        <v>1.3900249974836677E-2</v>
      </c>
    </row>
    <row r="59" spans="1:4" x14ac:dyDescent="0.2">
      <c r="A59" s="223" t="s">
        <v>320</v>
      </c>
      <c r="B59" s="224"/>
      <c r="C59" s="225">
        <f>SUM(C56:C58)</f>
        <v>1</v>
      </c>
      <c r="D59" s="226">
        <f>SUM(D56:D58)</f>
        <v>8.4754476131143133E-2</v>
      </c>
    </row>
    <row r="60" spans="1:4" x14ac:dyDescent="0.2">
      <c r="A60" s="227"/>
      <c r="B60" s="77"/>
      <c r="C60" s="77"/>
      <c r="D60" s="222"/>
    </row>
    <row r="61" spans="1:4" x14ac:dyDescent="0.2">
      <c r="A61" s="221" t="s">
        <v>16</v>
      </c>
      <c r="B61" s="77"/>
      <c r="C61" s="77"/>
      <c r="D61" s="222"/>
    </row>
    <row r="62" spans="1:4" x14ac:dyDescent="0.2">
      <c r="A62" s="127" t="s">
        <v>317</v>
      </c>
      <c r="B62" s="72">
        <f>Inputs!$B$26+MIN(MAX(H26,$L$27),$L$28)</f>
        <v>0.111</v>
      </c>
      <c r="C62" s="173">
        <v>0.4</v>
      </c>
      <c r="D62" s="128">
        <f>B62*C62</f>
        <v>4.4400000000000002E-2</v>
      </c>
    </row>
    <row r="63" spans="1:4" x14ac:dyDescent="0.2">
      <c r="A63" s="127" t="s">
        <v>318</v>
      </c>
      <c r="B63" s="72">
        <f>$C$50</f>
        <v>6.6334231805929927E-2</v>
      </c>
      <c r="C63" s="173">
        <v>0.4</v>
      </c>
      <c r="D63" s="128">
        <f>B63*C63</f>
        <v>2.6533692722371972E-2</v>
      </c>
    </row>
    <row r="64" spans="1:4" x14ac:dyDescent="0.2">
      <c r="A64" s="127" t="s">
        <v>319</v>
      </c>
      <c r="B64" s="72">
        <f>B26</f>
        <v>8.8450812806027956E-2</v>
      </c>
      <c r="C64" s="173">
        <v>0.2</v>
      </c>
      <c r="D64" s="128">
        <f>B64*C64</f>
        <v>1.7690162561205591E-2</v>
      </c>
    </row>
    <row r="65" spans="1:4" x14ac:dyDescent="0.2">
      <c r="A65" s="223" t="s">
        <v>320</v>
      </c>
      <c r="B65" s="224"/>
      <c r="C65" s="225">
        <f>SUM(C62:C64)</f>
        <v>1</v>
      </c>
      <c r="D65" s="226">
        <f>SUM(D62:D64)</f>
        <v>8.8623855283577566E-2</v>
      </c>
    </row>
    <row r="66" spans="1:4" x14ac:dyDescent="0.2">
      <c r="A66" s="227"/>
      <c r="B66" s="77"/>
      <c r="C66" s="77"/>
      <c r="D66" s="222"/>
    </row>
    <row r="67" spans="1:4" x14ac:dyDescent="0.2">
      <c r="A67" s="221" t="s">
        <v>18</v>
      </c>
      <c r="B67" s="77"/>
      <c r="C67" s="77"/>
      <c r="D67" s="222"/>
    </row>
    <row r="68" spans="1:4" x14ac:dyDescent="0.2">
      <c r="A68" s="127" t="s">
        <v>317</v>
      </c>
      <c r="B68" s="72">
        <f>Inputs!$B$26+MIN(MAX(H27,$L$27),$L$28)</f>
        <v>0.10873890777711835</v>
      </c>
      <c r="C68" s="173">
        <v>0.7</v>
      </c>
      <c r="D68" s="128">
        <f>B68*C68</f>
        <v>7.6117235443982842E-2</v>
      </c>
    </row>
    <row r="69" spans="1:4" x14ac:dyDescent="0.2">
      <c r="A69" s="127" t="s">
        <v>319</v>
      </c>
      <c r="B69" s="72">
        <f>B27</f>
        <v>7.9988927529070608E-2</v>
      </c>
      <c r="C69" s="173">
        <v>0.3</v>
      </c>
      <c r="D69" s="128">
        <f>B69*C69</f>
        <v>2.399667825872118E-2</v>
      </c>
    </row>
    <row r="70" spans="1:4" x14ac:dyDescent="0.2">
      <c r="A70" s="223" t="s">
        <v>320</v>
      </c>
      <c r="B70" s="224"/>
      <c r="C70" s="225">
        <f>SUM(C68:C69)</f>
        <v>1</v>
      </c>
      <c r="D70" s="226">
        <f>SUM(D68:D69)</f>
        <v>0.10011391370270402</v>
      </c>
    </row>
    <row r="71" spans="1:4" x14ac:dyDescent="0.2">
      <c r="A71" s="227"/>
      <c r="B71" s="77"/>
      <c r="C71" s="77"/>
      <c r="D71" s="222"/>
    </row>
    <row r="72" spans="1:4" x14ac:dyDescent="0.2">
      <c r="A72" s="221" t="s">
        <v>20</v>
      </c>
      <c r="B72" s="77"/>
      <c r="C72" s="77"/>
      <c r="D72" s="222"/>
    </row>
    <row r="73" spans="1:4" x14ac:dyDescent="0.2">
      <c r="A73" s="127" t="s">
        <v>321</v>
      </c>
      <c r="B73" s="72">
        <f>Inputs!$B$26+MIN(MAX(H28,$L$29),$L$30)</f>
        <v>7.6019510190240808E-2</v>
      </c>
      <c r="C73" s="173">
        <v>0.5</v>
      </c>
      <c r="D73" s="128">
        <f>B73*C73</f>
        <v>3.8009755095120404E-2</v>
      </c>
    </row>
    <row r="74" spans="1:4" x14ac:dyDescent="0.2">
      <c r="A74" s="127" t="s">
        <v>322</v>
      </c>
      <c r="B74" s="72">
        <f>$L$42*$B$7+$L$43*$B$14</f>
        <v>7.4164557607895032E-2</v>
      </c>
      <c r="C74" s="173">
        <v>0.3</v>
      </c>
      <c r="D74" s="128">
        <f>B74*C74</f>
        <v>2.224936728236851E-2</v>
      </c>
    </row>
    <row r="75" spans="1:4" x14ac:dyDescent="0.2">
      <c r="A75" s="127" t="s">
        <v>319</v>
      </c>
      <c r="B75" s="72">
        <f>B28</f>
        <v>5.3753445740167161E-2</v>
      </c>
      <c r="C75" s="173">
        <v>0.2</v>
      </c>
      <c r="D75" s="128">
        <f>B75*C75</f>
        <v>1.0750689148033434E-2</v>
      </c>
    </row>
    <row r="76" spans="1:4" x14ac:dyDescent="0.2">
      <c r="A76" s="223" t="s">
        <v>320</v>
      </c>
      <c r="B76" s="224"/>
      <c r="C76" s="225">
        <f>SUM(C73:C75)</f>
        <v>1</v>
      </c>
      <c r="D76" s="226">
        <f>SUM(D73:D75)</f>
        <v>7.1009811525522354E-2</v>
      </c>
    </row>
    <row r="77" spans="1:4" x14ac:dyDescent="0.2">
      <c r="A77" s="227"/>
      <c r="B77" s="77"/>
      <c r="C77" s="77"/>
      <c r="D77" s="222"/>
    </row>
    <row r="78" spans="1:4" x14ac:dyDescent="0.2">
      <c r="A78" s="221" t="s">
        <v>22</v>
      </c>
      <c r="B78" s="77"/>
      <c r="C78" s="77"/>
      <c r="D78" s="222"/>
    </row>
    <row r="79" spans="1:4" x14ac:dyDescent="0.2">
      <c r="A79" s="127" t="s">
        <v>323</v>
      </c>
      <c r="B79" s="72">
        <f>Inputs!$B$26+$L$31*E29</f>
        <v>3.6050647650406983E-2</v>
      </c>
      <c r="C79" s="173">
        <v>0.7</v>
      </c>
      <c r="D79" s="128">
        <f>B79*C79</f>
        <v>2.5235453355284886E-2</v>
      </c>
    </row>
    <row r="80" spans="1:4" x14ac:dyDescent="0.2">
      <c r="A80" s="127" t="s">
        <v>319</v>
      </c>
      <c r="B80" s="72">
        <f>B29</f>
        <v>-6.7382599487993966E-3</v>
      </c>
      <c r="C80" s="173">
        <v>0.3</v>
      </c>
      <c r="D80" s="128">
        <f>B80*C80</f>
        <v>-2.0214779846398187E-3</v>
      </c>
    </row>
    <row r="81" spans="1:4" x14ac:dyDescent="0.2">
      <c r="A81" s="223" t="s">
        <v>320</v>
      </c>
      <c r="B81" s="224"/>
      <c r="C81" s="225">
        <f>SUM(C79:C80)</f>
        <v>1</v>
      </c>
      <c r="D81" s="226">
        <f>SUM(D79:D80)</f>
        <v>2.3213975370645068E-2</v>
      </c>
    </row>
    <row r="82" spans="1:4" x14ac:dyDescent="0.2">
      <c r="A82" s="227"/>
      <c r="B82" s="77"/>
      <c r="C82" s="77"/>
      <c r="D82" s="222"/>
    </row>
    <row r="83" spans="1:4" x14ac:dyDescent="0.2">
      <c r="A83" s="221" t="s">
        <v>24</v>
      </c>
      <c r="B83" s="77"/>
      <c r="C83" s="77"/>
      <c r="D83" s="222"/>
    </row>
    <row r="84" spans="1:4" x14ac:dyDescent="0.2">
      <c r="A84" s="127" t="s">
        <v>324</v>
      </c>
      <c r="B84" s="72">
        <f>$B$9+$L$35</f>
        <v>8.1009811525522349E-2</v>
      </c>
      <c r="C84" s="173">
        <v>0.6</v>
      </c>
      <c r="D84" s="128">
        <f>B84*C84</f>
        <v>4.8605886915313409E-2</v>
      </c>
    </row>
    <row r="85" spans="1:4" x14ac:dyDescent="0.2">
      <c r="A85" s="127" t="s">
        <v>325</v>
      </c>
      <c r="B85" s="72">
        <f>$L$44*$B$9+$L$45*$B$14</f>
        <v>6.6270164462457662E-2</v>
      </c>
      <c r="C85" s="173">
        <v>0.2</v>
      </c>
      <c r="D85" s="128">
        <f>B85*C85</f>
        <v>1.3254032892491533E-2</v>
      </c>
    </row>
    <row r="86" spans="1:4" x14ac:dyDescent="0.2">
      <c r="A86" s="127" t="s">
        <v>326</v>
      </c>
      <c r="B86" s="72">
        <f>B30</f>
        <v>6.0608487419002488E-2</v>
      </c>
      <c r="C86" s="173">
        <v>0.2</v>
      </c>
      <c r="D86" s="128">
        <f>B86*C86</f>
        <v>1.2121697483800499E-2</v>
      </c>
    </row>
    <row r="87" spans="1:4" x14ac:dyDescent="0.2">
      <c r="A87" s="223" t="s">
        <v>320</v>
      </c>
      <c r="B87" s="224"/>
      <c r="C87" s="225">
        <f>SUM(C84:C86)</f>
        <v>1</v>
      </c>
      <c r="D87" s="226">
        <f>SUM(D84:D86)</f>
        <v>7.3981617291605434E-2</v>
      </c>
    </row>
    <row r="88" spans="1:4" x14ac:dyDescent="0.2">
      <c r="A88" s="227"/>
      <c r="B88" s="77"/>
      <c r="C88" s="77"/>
      <c r="D88" s="222"/>
    </row>
    <row r="89" spans="1:4" x14ac:dyDescent="0.2">
      <c r="A89" s="221" t="s">
        <v>26</v>
      </c>
      <c r="B89" s="77"/>
      <c r="C89" s="77"/>
      <c r="D89" s="222"/>
    </row>
    <row r="90" spans="1:4" x14ac:dyDescent="0.2">
      <c r="A90" s="127" t="s">
        <v>327</v>
      </c>
      <c r="B90" s="72">
        <f>$L$37*$B$7+$L$38*$B$15+$L$39*$B$10+$L$36</f>
        <v>6.1289547800088634E-2</v>
      </c>
      <c r="C90" s="173">
        <v>0.7</v>
      </c>
      <c r="D90" s="128">
        <f>B90*C90</f>
        <v>4.2902683460062041E-2</v>
      </c>
    </row>
    <row r="91" spans="1:4" x14ac:dyDescent="0.2">
      <c r="A91" s="127" t="s">
        <v>319</v>
      </c>
      <c r="B91" s="72">
        <f>B31</f>
        <v>7.6551345490687206E-2</v>
      </c>
      <c r="C91" s="173">
        <v>0.3</v>
      </c>
      <c r="D91" s="128">
        <f>B91*C91</f>
        <v>2.2965403647206162E-2</v>
      </c>
    </row>
    <row r="92" spans="1:4" x14ac:dyDescent="0.2">
      <c r="A92" s="223" t="s">
        <v>320</v>
      </c>
      <c r="B92" s="224"/>
      <c r="C92" s="225">
        <f>SUM(C90:C91)</f>
        <v>1</v>
      </c>
      <c r="D92" s="226">
        <f>SUM(D90:D91)</f>
        <v>6.58680871072682E-2</v>
      </c>
    </row>
    <row r="93" spans="1:4" x14ac:dyDescent="0.2">
      <c r="A93" s="227"/>
      <c r="B93" s="77"/>
      <c r="C93" s="77"/>
      <c r="D93" s="222"/>
    </row>
    <row r="94" spans="1:4" x14ac:dyDescent="0.2">
      <c r="A94" s="221" t="s">
        <v>28</v>
      </c>
      <c r="B94" s="77"/>
      <c r="C94" s="77"/>
      <c r="D94" s="222"/>
    </row>
    <row r="95" spans="1:4" x14ac:dyDescent="0.2">
      <c r="A95" s="127" t="s">
        <v>328</v>
      </c>
      <c r="B95" s="72">
        <f>$L$40*$B$7+$L$41*$B$8+$L$35</f>
        <v>0.10092186696740287</v>
      </c>
      <c r="C95" s="173">
        <v>0.7</v>
      </c>
      <c r="D95" s="128">
        <f>B95*C95</f>
        <v>7.0645306877181999E-2</v>
      </c>
    </row>
    <row r="96" spans="1:4" x14ac:dyDescent="0.2">
      <c r="A96" s="127" t="s">
        <v>326</v>
      </c>
      <c r="B96" s="72">
        <f>B32</f>
        <v>0.10687219699712047</v>
      </c>
      <c r="C96" s="173">
        <v>0.3</v>
      </c>
      <c r="D96" s="128">
        <f>B96*C96</f>
        <v>3.2061659099136143E-2</v>
      </c>
    </row>
    <row r="97" spans="1:4" x14ac:dyDescent="0.2">
      <c r="A97" s="223" t="s">
        <v>320</v>
      </c>
      <c r="B97" s="224"/>
      <c r="C97" s="225">
        <f>SUM(C95:C96)</f>
        <v>1</v>
      </c>
      <c r="D97" s="226">
        <f>SUM(D95:D96)</f>
        <v>0.10270696597631815</v>
      </c>
    </row>
    <row r="98" spans="1:4" x14ac:dyDescent="0.2">
      <c r="A98" s="227"/>
      <c r="B98" s="77"/>
      <c r="C98" s="77"/>
      <c r="D98" s="222"/>
    </row>
    <row r="99" spans="1:4" x14ac:dyDescent="0.2">
      <c r="A99" s="221" t="s">
        <v>30</v>
      </c>
      <c r="B99" s="77"/>
      <c r="C99" s="77"/>
      <c r="D99" s="222"/>
    </row>
    <row r="100" spans="1:4" x14ac:dyDescent="0.2">
      <c r="A100" s="127" t="s">
        <v>329</v>
      </c>
      <c r="B100" s="72">
        <f>Inputs!$B$23</f>
        <v>4.9880000000000001E-2</v>
      </c>
      <c r="C100" s="173">
        <v>0.75</v>
      </c>
      <c r="D100" s="128">
        <f>B100*C100</f>
        <v>3.7409999999999999E-2</v>
      </c>
    </row>
    <row r="101" spans="1:4" x14ac:dyDescent="0.2">
      <c r="A101" s="127" t="s">
        <v>319</v>
      </c>
      <c r="B101" s="72">
        <f>B33</f>
        <v>3.9606304840795525E-2</v>
      </c>
      <c r="C101" s="173">
        <v>0.25</v>
      </c>
      <c r="D101" s="128">
        <f>B101*C101</f>
        <v>9.9015762101988813E-3</v>
      </c>
    </row>
    <row r="102" spans="1:4" x14ac:dyDescent="0.2">
      <c r="A102" s="223" t="s">
        <v>320</v>
      </c>
      <c r="B102" s="224"/>
      <c r="C102" s="225">
        <f>SUM(C100:C101)</f>
        <v>1</v>
      </c>
      <c r="D102" s="226">
        <f>SUM(D100:D101)</f>
        <v>4.731157621019888E-2</v>
      </c>
    </row>
    <row r="103" spans="1:4" x14ac:dyDescent="0.2">
      <c r="A103" s="227"/>
      <c r="B103" s="77"/>
      <c r="C103" s="77"/>
      <c r="D103" s="222"/>
    </row>
    <row r="104" spans="1:4" x14ac:dyDescent="0.2">
      <c r="A104" s="221" t="s">
        <v>32</v>
      </c>
      <c r="B104" s="77"/>
      <c r="C104" s="77"/>
      <c r="D104" s="222"/>
    </row>
    <row r="105" spans="1:4" x14ac:dyDescent="0.2">
      <c r="A105" s="127" t="s">
        <v>330</v>
      </c>
      <c r="B105" s="72">
        <f>Inputs!$B$23+MIN(MAX($L$32*(B34-B33)+(1-$L$32)*(C34-C33),$L$33),$L$34)</f>
        <v>5.0121442138421235E-2</v>
      </c>
      <c r="C105" s="173">
        <v>0.6</v>
      </c>
      <c r="D105" s="128">
        <f>B105*C105</f>
        <v>3.0072865283052738E-2</v>
      </c>
    </row>
    <row r="106" spans="1:4" x14ac:dyDescent="0.2">
      <c r="A106" s="127" t="s">
        <v>331</v>
      </c>
      <c r="B106" s="72">
        <f>$L$46*$B$14+$L$47*$B$16</f>
        <v>4.6129271376703869E-2</v>
      </c>
      <c r="C106" s="173">
        <v>0.2</v>
      </c>
      <c r="D106" s="128">
        <f>B106*C106</f>
        <v>9.2258542753407748E-3</v>
      </c>
    </row>
    <row r="107" spans="1:4" x14ac:dyDescent="0.2">
      <c r="A107" s="127" t="s">
        <v>319</v>
      </c>
      <c r="B107" s="72">
        <f>B34</f>
        <v>4.3020942898742698E-2</v>
      </c>
      <c r="C107" s="173">
        <v>0.2</v>
      </c>
      <c r="D107" s="128">
        <f>B107*C107</f>
        <v>8.6041885797485396E-3</v>
      </c>
    </row>
    <row r="108" spans="1:4" x14ac:dyDescent="0.2">
      <c r="A108" s="223" t="s">
        <v>320</v>
      </c>
      <c r="B108" s="224"/>
      <c r="C108" s="225">
        <f>SUM(C105:C107)</f>
        <v>1</v>
      </c>
      <c r="D108" s="226">
        <f>SUM(D105:D107)</f>
        <v>4.7902908138142054E-2</v>
      </c>
    </row>
    <row r="109" spans="1:4" x14ac:dyDescent="0.2">
      <c r="A109" s="227"/>
      <c r="B109" s="77"/>
      <c r="C109" s="77"/>
      <c r="D109" s="222"/>
    </row>
    <row r="110" spans="1:4" x14ac:dyDescent="0.2">
      <c r="A110" s="221" t="s">
        <v>34</v>
      </c>
      <c r="B110" s="77"/>
      <c r="C110" s="77"/>
      <c r="D110" s="222"/>
    </row>
    <row r="111" spans="1:4" x14ac:dyDescent="0.2">
      <c r="A111" s="127" t="s">
        <v>332</v>
      </c>
      <c r="B111" s="72">
        <f>Inputs!$B$26</f>
        <v>4.5999999999999999E-2</v>
      </c>
      <c r="C111" s="173">
        <v>0.8</v>
      </c>
      <c r="D111" s="128">
        <f>B111*C111</f>
        <v>3.6799999999999999E-2</v>
      </c>
    </row>
    <row r="112" spans="1:4" x14ac:dyDescent="0.2">
      <c r="A112" s="127" t="s">
        <v>333</v>
      </c>
      <c r="B112" s="72">
        <f>D35</f>
        <v>2.8911784381094208E-2</v>
      </c>
      <c r="C112" s="173">
        <v>0.2</v>
      </c>
      <c r="D112" s="128">
        <f>B112*C112</f>
        <v>5.7823568762188421E-3</v>
      </c>
    </row>
    <row r="113" spans="1:4" x14ac:dyDescent="0.2">
      <c r="A113" s="228" t="s">
        <v>320</v>
      </c>
      <c r="B113" s="229"/>
      <c r="C113" s="230">
        <f>SUM(C111:C112)</f>
        <v>1</v>
      </c>
      <c r="D113" s="231">
        <f>SUM(D111:D112)</f>
        <v>4.2582356876218842E-2</v>
      </c>
    </row>
  </sheetData>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B2C83"/>
    <pageSetUpPr fitToPage="1"/>
  </sheetPr>
  <dimension ref="A1:P72"/>
  <sheetViews>
    <sheetView showGridLines="0" workbookViewId="0"/>
  </sheetViews>
  <sheetFormatPr baseColWidth="10" defaultColWidth="8.83203125" defaultRowHeight="15" x14ac:dyDescent="0.2"/>
  <cols>
    <col min="1" max="1" width="30" customWidth="1"/>
    <col min="2" max="13" width="11" customWidth="1"/>
    <col min="14" max="15" width="12" customWidth="1"/>
    <col min="16" max="16" width="13" customWidth="1"/>
  </cols>
  <sheetData>
    <row r="1" spans="1:13" ht="19" x14ac:dyDescent="0.2">
      <c r="A1" s="53" t="s">
        <v>334</v>
      </c>
    </row>
    <row r="3" spans="1:13" x14ac:dyDescent="0.2">
      <c r="A3" s="136" t="s">
        <v>335</v>
      </c>
      <c r="B3" s="137"/>
      <c r="C3" s="137"/>
      <c r="D3" s="137"/>
      <c r="E3" s="137"/>
      <c r="F3" s="137"/>
      <c r="G3" s="137"/>
      <c r="H3" s="137"/>
      <c r="I3" s="137"/>
      <c r="J3" s="137"/>
      <c r="K3" s="137"/>
      <c r="L3" s="137"/>
      <c r="M3" s="138"/>
    </row>
    <row r="4" spans="1:13" ht="42" customHeight="1" x14ac:dyDescent="0.2">
      <c r="A4" s="139" t="s">
        <v>5</v>
      </c>
      <c r="B4" s="140" t="s">
        <v>14</v>
      </c>
      <c r="C4" s="140" t="s">
        <v>16</v>
      </c>
      <c r="D4" s="140" t="s">
        <v>18</v>
      </c>
      <c r="E4" s="140" t="s">
        <v>20</v>
      </c>
      <c r="F4" s="140" t="s">
        <v>22</v>
      </c>
      <c r="G4" s="140" t="s">
        <v>24</v>
      </c>
      <c r="H4" s="140" t="s">
        <v>26</v>
      </c>
      <c r="I4" s="140" t="s">
        <v>28</v>
      </c>
      <c r="J4" s="140" t="s">
        <v>30</v>
      </c>
      <c r="K4" s="140" t="s">
        <v>32</v>
      </c>
      <c r="L4" s="140" t="s">
        <v>34</v>
      </c>
      <c r="M4" s="141" t="s">
        <v>336</v>
      </c>
    </row>
    <row r="5" spans="1:13" x14ac:dyDescent="0.2">
      <c r="A5" s="142" t="s">
        <v>14</v>
      </c>
      <c r="B5" s="232">
        <f>_xlfn.COVARIANCE.S('Quarterly returns'!$N$6:$N$85,'Quarterly returns'!$N$6:$N$85)*4</f>
        <v>2.3659151736308882E-2</v>
      </c>
      <c r="C5" s="232">
        <f>_xlfn.COVARIANCE.S('Quarterly returns'!$N$6:$N$85,'Quarterly returns'!$O$6:$O$85)*4</f>
        <v>1.0201112855949428E-2</v>
      </c>
      <c r="D5" s="232">
        <f>_xlfn.COVARIANCE.S('Quarterly returns'!$N$6:$N$85,'Quarterly returns'!$P$6:$P$85)*4</f>
        <v>9.3962403925702334E-3</v>
      </c>
      <c r="E5" s="232">
        <f>_xlfn.COVARIANCE.S('Quarterly returns'!$N$6:$N$85,'Quarterly returns'!$Q$6:$Q$85)*4</f>
        <v>1.1218764807148169E-2</v>
      </c>
      <c r="F5" s="232">
        <f>_xlfn.COVARIANCE.S('Quarterly returns'!$N$6:$N$85,'Quarterly returns'!$R$6:$R$85)*4</f>
        <v>9.3552336236995617E-3</v>
      </c>
      <c r="G5" s="232">
        <f>_xlfn.COVARIANCE.S('Quarterly returns'!$N$6:$N$85,'Quarterly returns'!$S$6:$S$85)*4</f>
        <v>3.1641050455514176E-3</v>
      </c>
      <c r="H5" s="232">
        <f>_xlfn.COVARIANCE.S('Quarterly returns'!$N$6:$N$85,'Quarterly returns'!$T$6:$T$85)*4</f>
        <v>-2.0963988771701978E-3</v>
      </c>
      <c r="I5" s="232">
        <f>_xlfn.COVARIANCE.S('Quarterly returns'!$N$6:$N$85,'Quarterly returns'!$U$6:$U$85)*4</f>
        <v>1.0511053560254353E-2</v>
      </c>
      <c r="J5" s="232">
        <f>_xlfn.COVARIANCE.S('Quarterly returns'!$N$6:$N$85,'Quarterly returns'!$V$6:$V$85)*4</f>
        <v>-1.0678113635728716E-3</v>
      </c>
      <c r="K5" s="232">
        <f>_xlfn.COVARIANCE.S('Quarterly returns'!$N$6:$N$85,'Quarterly returns'!$W$6:$W$85)*4</f>
        <v>1.741255534420385E-4</v>
      </c>
      <c r="L5" s="232">
        <f>_xlfn.COVARIANCE.S('Quarterly returns'!$N$6:$N$85,'Quarterly returns'!$X$6:$X$85)*4</f>
        <v>-2.8218900879929757E-4</v>
      </c>
      <c r="M5" s="144">
        <f>SQRT(B5)</f>
        <v>0.1538153169756149</v>
      </c>
    </row>
    <row r="6" spans="1:13" x14ac:dyDescent="0.2">
      <c r="A6" s="142" t="s">
        <v>16</v>
      </c>
      <c r="B6" s="232">
        <f>_xlfn.COVARIANCE.S('Quarterly returns'!$O$6:$O$85,'Quarterly returns'!$N$6:$N$85)*4</f>
        <v>1.0201112855949428E-2</v>
      </c>
      <c r="C6" s="232">
        <f>_xlfn.COVARIANCE.S('Quarterly returns'!$O$6:$O$85,'Quarterly returns'!$O$6:$O$85)*4</f>
        <v>1.6251953267358402E-2</v>
      </c>
      <c r="D6" s="232">
        <f>_xlfn.COVARIANCE.S('Quarterly returns'!$O$6:$O$85,'Quarterly returns'!$P$6:$P$85)*4</f>
        <v>9.1897283560526382E-3</v>
      </c>
      <c r="E6" s="232">
        <f>_xlfn.COVARIANCE.S('Quarterly returns'!$O$6:$O$85,'Quarterly returns'!$Q$6:$Q$85)*4</f>
        <v>1.4691054845528828E-2</v>
      </c>
      <c r="F6" s="232">
        <f>_xlfn.COVARIANCE.S('Quarterly returns'!$O$6:$O$85,'Quarterly returns'!$R$6:$R$85)*4</f>
        <v>6.0217523451886537E-3</v>
      </c>
      <c r="G6" s="232">
        <f>_xlfn.COVARIANCE.S('Quarterly returns'!$O$6:$O$85,'Quarterly returns'!$S$6:$S$85)*4</f>
        <v>3.4416563905015842E-3</v>
      </c>
      <c r="H6" s="232">
        <f>_xlfn.COVARIANCE.S('Quarterly returns'!$O$6:$O$85,'Quarterly returns'!$T$6:$T$85)*4</f>
        <v>-2.5929381129253479E-4</v>
      </c>
      <c r="I6" s="232">
        <f>_xlfn.COVARIANCE.S('Quarterly returns'!$O$6:$O$85,'Quarterly returns'!$U$6:$U$85)*4</f>
        <v>7.4619821361171642E-3</v>
      </c>
      <c r="J6" s="232">
        <f>_xlfn.COVARIANCE.S('Quarterly returns'!$O$6:$O$85,'Quarterly returns'!$V$6:$V$85)*4</f>
        <v>-2.1924072947272013E-4</v>
      </c>
      <c r="K6" s="232">
        <f>_xlfn.COVARIANCE.S('Quarterly returns'!$O$6:$O$85,'Quarterly returns'!$W$6:$W$85)*4</f>
        <v>-6.373919246548315E-4</v>
      </c>
      <c r="L6" s="232">
        <f>_xlfn.COVARIANCE.S('Quarterly returns'!$O$6:$O$85,'Quarterly returns'!$X$6:$X$85)*4</f>
        <v>-3.3337704683112843E-4</v>
      </c>
      <c r="M6" s="144">
        <f>SQRT(C6)</f>
        <v>0.12748314895451243</v>
      </c>
    </row>
    <row r="7" spans="1:13" x14ac:dyDescent="0.2">
      <c r="A7" s="142" t="s">
        <v>18</v>
      </c>
      <c r="B7" s="232">
        <f>_xlfn.COVARIANCE.S('Quarterly returns'!$P$6:$P$85,'Quarterly returns'!$N$6:$N$85)*4</f>
        <v>9.3962403925702334E-3</v>
      </c>
      <c r="C7" s="232">
        <f>_xlfn.COVARIANCE.S('Quarterly returns'!$P$6:$P$85,'Quarterly returns'!$O$6:$O$85)*4</f>
        <v>9.1897283560526382E-3</v>
      </c>
      <c r="D7" s="232">
        <f>_xlfn.COVARIANCE.S('Quarterly returns'!$P$6:$P$85,'Quarterly returns'!$P$6:$P$85)*4</f>
        <v>1.1023027037694736E-2</v>
      </c>
      <c r="E7" s="232">
        <f>_xlfn.COVARIANCE.S('Quarterly returns'!$P$6:$P$85,'Quarterly returns'!$Q$6:$Q$85)*4</f>
        <v>6.7816259442484437E-3</v>
      </c>
      <c r="F7" s="232">
        <f>_xlfn.COVARIANCE.S('Quarterly returns'!$P$6:$P$85,'Quarterly returns'!$R$6:$R$85)*4</f>
        <v>5.1228004072871834E-3</v>
      </c>
      <c r="G7" s="232">
        <f>_xlfn.COVARIANCE.S('Quarterly returns'!$P$6:$P$85,'Quarterly returns'!$S$6:$S$85)*4</f>
        <v>4.1754167467616086E-3</v>
      </c>
      <c r="H7" s="232">
        <f>_xlfn.COVARIANCE.S('Quarterly returns'!$P$6:$P$85,'Quarterly returns'!$T$6:$T$85)*4</f>
        <v>-6.2837012986484726E-5</v>
      </c>
      <c r="I7" s="232">
        <f>_xlfn.COVARIANCE.S('Quarterly returns'!$P$6:$P$85,'Quarterly returns'!$U$6:$U$85)*4</f>
        <v>4.0455747567093858E-3</v>
      </c>
      <c r="J7" s="232">
        <f>_xlfn.COVARIANCE.S('Quarterly returns'!$P$6:$P$85,'Quarterly returns'!$V$6:$V$85)*4</f>
        <v>-5.5660690895927381E-4</v>
      </c>
      <c r="K7" s="232">
        <f>_xlfn.COVARIANCE.S('Quarterly returns'!$P$6:$P$85,'Quarterly returns'!$W$6:$W$85)*4</f>
        <v>-3.2363921289570581E-4</v>
      </c>
      <c r="L7" s="232">
        <f>_xlfn.COVARIANCE.S('Quarterly returns'!$P$6:$P$85,'Quarterly returns'!$X$6:$X$85)*4</f>
        <v>-1.8014153152304653E-4</v>
      </c>
      <c r="M7" s="144">
        <f>SQRT(D7)</f>
        <v>0.10499060452104625</v>
      </c>
    </row>
    <row r="8" spans="1:13" x14ac:dyDescent="0.2">
      <c r="A8" s="142" t="s">
        <v>20</v>
      </c>
      <c r="B8" s="232">
        <f>_xlfn.COVARIANCE.S('Quarterly returns'!$Q$6:$Q$85,'Quarterly returns'!$N$6:$N$85)*4</f>
        <v>1.1218764807148169E-2</v>
      </c>
      <c r="C8" s="232">
        <f>_xlfn.COVARIANCE.S('Quarterly returns'!$Q$6:$Q$85,'Quarterly returns'!$O$6:$O$85)*4</f>
        <v>1.4691054845528828E-2</v>
      </c>
      <c r="D8" s="232">
        <f>_xlfn.COVARIANCE.S('Quarterly returns'!$Q$6:$Q$85,'Quarterly returns'!$P$6:$P$85)*4</f>
        <v>6.7816259442484437E-3</v>
      </c>
      <c r="E8" s="232">
        <f>_xlfn.COVARIANCE.S('Quarterly returns'!$Q$6:$Q$85,'Quarterly returns'!$Q$6:$Q$85)*4</f>
        <v>2.8110729176824611E-2</v>
      </c>
      <c r="F8" s="232">
        <f>_xlfn.COVARIANCE.S('Quarterly returns'!$Q$6:$Q$85,'Quarterly returns'!$R$6:$R$85)*4</f>
        <v>3.289633692296878E-3</v>
      </c>
      <c r="G8" s="232">
        <f>_xlfn.COVARIANCE.S('Quarterly returns'!$Q$6:$Q$85,'Quarterly returns'!$S$6:$S$85)*4</f>
        <v>1.6672375266454942E-3</v>
      </c>
      <c r="H8" s="232">
        <f>_xlfn.COVARIANCE.S('Quarterly returns'!$Q$6:$Q$85,'Quarterly returns'!$T$6:$T$85)*4</f>
        <v>-1.9657818571774499E-3</v>
      </c>
      <c r="I8" s="232">
        <f>_xlfn.COVARIANCE.S('Quarterly returns'!$Q$6:$Q$85,'Quarterly returns'!$U$6:$U$85)*4</f>
        <v>7.6223740481518422E-3</v>
      </c>
      <c r="J8" s="232">
        <f>_xlfn.COVARIANCE.S('Quarterly returns'!$Q$6:$Q$85,'Quarterly returns'!$V$6:$V$85)*4</f>
        <v>1.1424275569427143E-3</v>
      </c>
      <c r="K8" s="232">
        <f>_xlfn.COVARIANCE.S('Quarterly returns'!$Q$6:$Q$85,'Quarterly returns'!$W$6:$W$85)*4</f>
        <v>1.1450281787333553E-3</v>
      </c>
      <c r="L8" s="232">
        <f>_xlfn.COVARIANCE.S('Quarterly returns'!$Q$6:$Q$85,'Quarterly returns'!$X$6:$X$85)*4</f>
        <v>-2.9733142062002434E-4</v>
      </c>
      <c r="M8" s="144">
        <f>SQRT(E8)</f>
        <v>0.1676625455396184</v>
      </c>
    </row>
    <row r="9" spans="1:13" x14ac:dyDescent="0.2">
      <c r="A9" s="142" t="s">
        <v>22</v>
      </c>
      <c r="B9" s="232">
        <f>_xlfn.COVARIANCE.S('Quarterly returns'!$R$6:$R$85,'Quarterly returns'!$N$6:$N$85)*4</f>
        <v>9.3552336236995617E-3</v>
      </c>
      <c r="C9" s="232">
        <f>_xlfn.COVARIANCE.S('Quarterly returns'!$R$6:$R$85,'Quarterly returns'!$O$6:$O$85)*4</f>
        <v>6.0217523451886537E-3</v>
      </c>
      <c r="D9" s="232">
        <f>_xlfn.COVARIANCE.S('Quarterly returns'!$R$6:$R$85,'Quarterly returns'!$P$6:$P$85)*4</f>
        <v>5.1228004072871834E-3</v>
      </c>
      <c r="E9" s="232">
        <f>_xlfn.COVARIANCE.S('Quarterly returns'!$R$6:$R$85,'Quarterly returns'!$Q$6:$Q$85)*4</f>
        <v>3.289633692296878E-3</v>
      </c>
      <c r="F9" s="232">
        <f>_xlfn.COVARIANCE.S('Quarterly returns'!$R$6:$R$85,'Quarterly returns'!$R$6:$R$85)*4</f>
        <v>6.0457147473396332E-2</v>
      </c>
      <c r="G9" s="232">
        <f>_xlfn.COVARIANCE.S('Quarterly returns'!$R$6:$R$85,'Quarterly returns'!$S$6:$S$85)*4</f>
        <v>4.8364770847033542E-3</v>
      </c>
      <c r="H9" s="232">
        <f>_xlfn.COVARIANCE.S('Quarterly returns'!$R$6:$R$85,'Quarterly returns'!$T$6:$T$85)*4</f>
        <v>-2.9536532250958435E-3</v>
      </c>
      <c r="I9" s="232">
        <f>_xlfn.COVARIANCE.S('Quarterly returns'!$R$6:$R$85,'Quarterly returns'!$U$6:$U$85)*4</f>
        <v>-2.8250151888683969E-4</v>
      </c>
      <c r="J9" s="232">
        <f>_xlfn.COVARIANCE.S('Quarterly returns'!$R$6:$R$85,'Quarterly returns'!$V$6:$V$85)*4</f>
        <v>-5.4720198064653058E-3</v>
      </c>
      <c r="K9" s="232">
        <f>_xlfn.COVARIANCE.S('Quarterly returns'!$R$6:$R$85,'Quarterly returns'!$W$6:$W$85)*4</f>
        <v>-5.4841286597032525E-3</v>
      </c>
      <c r="L9" s="232">
        <f>_xlfn.COVARIANCE.S('Quarterly returns'!$R$6:$R$85,'Quarterly returns'!$X$6:$X$85)*4</f>
        <v>-3.0530150042376656E-4</v>
      </c>
      <c r="M9" s="144">
        <f>SQRT(F9)</f>
        <v>0.2458803519466253</v>
      </c>
    </row>
    <row r="10" spans="1:13" x14ac:dyDescent="0.2">
      <c r="A10" s="142" t="s">
        <v>24</v>
      </c>
      <c r="B10" s="232">
        <f>_xlfn.COVARIANCE.S('Quarterly returns'!$S$6:$S$85,'Quarterly returns'!$N$6:$N$85)*4</f>
        <v>3.1641050455514176E-3</v>
      </c>
      <c r="C10" s="232">
        <f>_xlfn.COVARIANCE.S('Quarterly returns'!$S$6:$S$85,'Quarterly returns'!$O$6:$O$85)*4</f>
        <v>3.4416563905015842E-3</v>
      </c>
      <c r="D10" s="232">
        <f>_xlfn.COVARIANCE.S('Quarterly returns'!$S$6:$S$85,'Quarterly returns'!$P$6:$P$85)*4</f>
        <v>4.1754167467616086E-3</v>
      </c>
      <c r="E10" s="232">
        <f>_xlfn.COVARIANCE.S('Quarterly returns'!$S$6:$S$85,'Quarterly returns'!$Q$6:$Q$85)*4</f>
        <v>1.6672375266454942E-3</v>
      </c>
      <c r="F10" s="232">
        <f>_xlfn.COVARIANCE.S('Quarterly returns'!$S$6:$S$85,'Quarterly returns'!$R$6:$R$85)*4</f>
        <v>4.8364770847033542E-3</v>
      </c>
      <c r="G10" s="232">
        <f>_xlfn.COVARIANCE.S('Quarterly returns'!$S$6:$S$85,'Quarterly returns'!$S$6:$S$85)*4</f>
        <v>9.0884855938172769E-3</v>
      </c>
      <c r="H10" s="232">
        <f>_xlfn.COVARIANCE.S('Quarterly returns'!$S$6:$S$85,'Quarterly returns'!$T$6:$T$85)*4</f>
        <v>4.0800259697183235E-4</v>
      </c>
      <c r="I10" s="232">
        <f>_xlfn.COVARIANCE.S('Quarterly returns'!$S$6:$S$85,'Quarterly returns'!$U$6:$U$85)*4</f>
        <v>2.3270626598389126E-3</v>
      </c>
      <c r="J10" s="232">
        <f>_xlfn.COVARIANCE.S('Quarterly returns'!$S$6:$S$85,'Quarterly returns'!$V$6:$V$85)*4</f>
        <v>-1.1143498679733166E-3</v>
      </c>
      <c r="K10" s="232">
        <f>_xlfn.COVARIANCE.S('Quarterly returns'!$S$6:$S$85,'Quarterly returns'!$W$6:$W$85)*4</f>
        <v>-6.7265871063951709E-4</v>
      </c>
      <c r="L10" s="232">
        <f>_xlfn.COVARIANCE.S('Quarterly returns'!$S$6:$S$85,'Quarterly returns'!$X$6:$X$85)*4</f>
        <v>-1.3132647829804E-4</v>
      </c>
      <c r="M10" s="144">
        <f>SQRT(G10)</f>
        <v>9.5333549151478028E-2</v>
      </c>
    </row>
    <row r="11" spans="1:13" x14ac:dyDescent="0.2">
      <c r="A11" s="142" t="s">
        <v>26</v>
      </c>
      <c r="B11" s="232">
        <f>_xlfn.COVARIANCE.S('Quarterly returns'!$T$6:$T$85,'Quarterly returns'!$N$6:$N$85)*4</f>
        <v>-2.0963988771701978E-3</v>
      </c>
      <c r="C11" s="232">
        <f>_xlfn.COVARIANCE.S('Quarterly returns'!$T$6:$T$85,'Quarterly returns'!$O$6:$O$85)*4</f>
        <v>-2.5929381129253479E-4</v>
      </c>
      <c r="D11" s="232">
        <f>_xlfn.COVARIANCE.S('Quarterly returns'!$T$6:$T$85,'Quarterly returns'!$P$6:$P$85)*4</f>
        <v>-6.2837012986484726E-5</v>
      </c>
      <c r="E11" s="232">
        <f>_xlfn.COVARIANCE.S('Quarterly returns'!$T$6:$T$85,'Quarterly returns'!$Q$6:$Q$85)*4</f>
        <v>-1.9657818571774499E-3</v>
      </c>
      <c r="F11" s="232">
        <f>_xlfn.COVARIANCE.S('Quarterly returns'!$T$6:$T$85,'Quarterly returns'!$R$6:$R$85)*4</f>
        <v>-2.9536532250958435E-3</v>
      </c>
      <c r="G11" s="232">
        <f>_xlfn.COVARIANCE.S('Quarterly returns'!$T$6:$T$85,'Quarterly returns'!$S$6:$S$85)*4</f>
        <v>4.0800259697183235E-4</v>
      </c>
      <c r="H11" s="232">
        <f>_xlfn.COVARIANCE.S('Quarterly returns'!$T$6:$T$85,'Quarterly returns'!$T$6:$T$85)*4</f>
        <v>5.1752768395915234E-3</v>
      </c>
      <c r="I11" s="232">
        <f>_xlfn.COVARIANCE.S('Quarterly returns'!$T$6:$T$85,'Quarterly returns'!$U$6:$U$85)*4</f>
        <v>-6.3140197910909867E-4</v>
      </c>
      <c r="J11" s="232">
        <f>_xlfn.COVARIANCE.S('Quarterly returns'!$T$6:$T$85,'Quarterly returns'!$V$6:$V$85)*4</f>
        <v>3.522002078458975E-4</v>
      </c>
      <c r="K11" s="232">
        <f>_xlfn.COVARIANCE.S('Quarterly returns'!$T$6:$T$85,'Quarterly returns'!$W$6:$W$85)*4</f>
        <v>5.0213980107289168E-6</v>
      </c>
      <c r="L11" s="232">
        <f>_xlfn.COVARIANCE.S('Quarterly returns'!$T$6:$T$85,'Quarterly returns'!$X$6:$X$85)*4</f>
        <v>1.0340346136498883E-4</v>
      </c>
      <c r="M11" s="144">
        <f>SQRT(H11)</f>
        <v>7.1939396992131671E-2</v>
      </c>
    </row>
    <row r="12" spans="1:13" x14ac:dyDescent="0.2">
      <c r="A12" s="142" t="s">
        <v>28</v>
      </c>
      <c r="B12" s="232">
        <f>_xlfn.COVARIANCE.S('Quarterly returns'!$U$6:$U$85,'Quarterly returns'!$N$6:$N$85)*4</f>
        <v>1.0511053560254353E-2</v>
      </c>
      <c r="C12" s="232">
        <f>_xlfn.COVARIANCE.S('Quarterly returns'!$U$6:$U$85,'Quarterly returns'!$O$6:$O$85)*4</f>
        <v>7.4619821361171642E-3</v>
      </c>
      <c r="D12" s="232">
        <f>_xlfn.COVARIANCE.S('Quarterly returns'!$U$6:$U$85,'Quarterly returns'!$P$6:$P$85)*4</f>
        <v>4.0455747567093858E-3</v>
      </c>
      <c r="E12" s="232">
        <f>_xlfn.COVARIANCE.S('Quarterly returns'!$U$6:$U$85,'Quarterly returns'!$Q$6:$Q$85)*4</f>
        <v>7.6223740481518422E-3</v>
      </c>
      <c r="F12" s="232">
        <f>_xlfn.COVARIANCE.S('Quarterly returns'!$U$6:$U$85,'Quarterly returns'!$R$6:$R$85)*4</f>
        <v>-2.8250151888683969E-4</v>
      </c>
      <c r="G12" s="232">
        <f>_xlfn.COVARIANCE.S('Quarterly returns'!$U$6:$U$85,'Quarterly returns'!$S$6:$S$85)*4</f>
        <v>2.3270626598389126E-3</v>
      </c>
      <c r="H12" s="232">
        <f>_xlfn.COVARIANCE.S('Quarterly returns'!$U$6:$U$85,'Quarterly returns'!$T$6:$T$85)*4</f>
        <v>-6.3140197910909867E-4</v>
      </c>
      <c r="I12" s="232">
        <f>_xlfn.COVARIANCE.S('Quarterly returns'!$U$6:$U$85,'Quarterly returns'!$U$6:$U$85)*4</f>
        <v>1.6191559533686648E-2</v>
      </c>
      <c r="J12" s="232">
        <f>_xlfn.COVARIANCE.S('Quarterly returns'!$U$6:$U$85,'Quarterly returns'!$V$6:$V$85)*4</f>
        <v>3.2821521141025858E-4</v>
      </c>
      <c r="K12" s="232">
        <f>_xlfn.COVARIANCE.S('Quarterly returns'!$U$6:$U$85,'Quarterly returns'!$W$6:$W$85)*4</f>
        <v>4.2088404701910053E-4</v>
      </c>
      <c r="L12" s="232">
        <f>_xlfn.COVARIANCE.S('Quarterly returns'!$U$6:$U$85,'Quarterly returns'!$X$6:$X$85)*4</f>
        <v>-1.3855702334521092E-4</v>
      </c>
      <c r="M12" s="144">
        <f>SQRT(I12)</f>
        <v>0.1272460590104332</v>
      </c>
    </row>
    <row r="13" spans="1:13" x14ac:dyDescent="0.2">
      <c r="A13" s="142" t="s">
        <v>30</v>
      </c>
      <c r="B13" s="232">
        <f>_xlfn.COVARIANCE.S('Quarterly returns'!$V$6:$V$85,'Quarterly returns'!$N$6:$N$85)*4</f>
        <v>-1.0678113635728716E-3</v>
      </c>
      <c r="C13" s="232">
        <f>_xlfn.COVARIANCE.S('Quarterly returns'!$V$6:$V$85,'Quarterly returns'!$O$6:$O$85)*4</f>
        <v>-2.1924072947272013E-4</v>
      </c>
      <c r="D13" s="232">
        <f>_xlfn.COVARIANCE.S('Quarterly returns'!$V$6:$V$85,'Quarterly returns'!$P$6:$P$85)*4</f>
        <v>-5.5660690895927381E-4</v>
      </c>
      <c r="E13" s="232">
        <f>_xlfn.COVARIANCE.S('Quarterly returns'!$V$6:$V$85,'Quarterly returns'!$Q$6:$Q$85)*4</f>
        <v>1.1424275569427143E-3</v>
      </c>
      <c r="F13" s="232">
        <f>_xlfn.COVARIANCE.S('Quarterly returns'!$V$6:$V$85,'Quarterly returns'!$R$6:$R$85)*4</f>
        <v>-5.4720198064653058E-3</v>
      </c>
      <c r="G13" s="232">
        <f>_xlfn.COVARIANCE.S('Quarterly returns'!$V$6:$V$85,'Quarterly returns'!$S$6:$S$85)*4</f>
        <v>-1.1143498679733166E-3</v>
      </c>
      <c r="H13" s="232">
        <f>_xlfn.COVARIANCE.S('Quarterly returns'!$V$6:$V$85,'Quarterly returns'!$T$6:$T$85)*4</f>
        <v>3.522002078458975E-4</v>
      </c>
      <c r="I13" s="232">
        <f>_xlfn.COVARIANCE.S('Quarterly returns'!$V$6:$V$85,'Quarterly returns'!$U$6:$U$85)*4</f>
        <v>3.2821521141025858E-4</v>
      </c>
      <c r="J13" s="232">
        <f>_xlfn.COVARIANCE.S('Quarterly returns'!$V$6:$V$85,'Quarterly returns'!$V$6:$V$85)*4</f>
        <v>1.8053160810244215E-3</v>
      </c>
      <c r="K13" s="232">
        <f>_xlfn.COVARIANCE.S('Quarterly returns'!$V$6:$V$85,'Quarterly returns'!$W$6:$W$85)*4</f>
        <v>1.4020088600659555E-3</v>
      </c>
      <c r="L13" s="232">
        <f>_xlfn.COVARIANCE.S('Quarterly returns'!$V$6:$V$85,'Quarterly returns'!$X$6:$X$85)*4</f>
        <v>1.474873318438461E-4</v>
      </c>
      <c r="M13" s="144">
        <f>SQRT(J13)</f>
        <v>4.2489011297327468E-2</v>
      </c>
    </row>
    <row r="14" spans="1:13" x14ac:dyDescent="0.2">
      <c r="A14" s="142" t="s">
        <v>32</v>
      </c>
      <c r="B14" s="232">
        <f>_xlfn.COVARIANCE.S('Quarterly returns'!$W$6:$W$85,'Quarterly returns'!$N$6:$N$85)*4</f>
        <v>1.741255534420385E-4</v>
      </c>
      <c r="C14" s="232">
        <f>_xlfn.COVARIANCE.S('Quarterly returns'!$W$6:$W$85,'Quarterly returns'!$O$6:$O$85)*4</f>
        <v>-6.373919246548315E-4</v>
      </c>
      <c r="D14" s="232">
        <f>_xlfn.COVARIANCE.S('Quarterly returns'!$W$6:$W$85,'Quarterly returns'!$P$6:$P$85)*4</f>
        <v>-3.2363921289570581E-4</v>
      </c>
      <c r="E14" s="232">
        <f>_xlfn.COVARIANCE.S('Quarterly returns'!$W$6:$W$85,'Quarterly returns'!$Q$6:$Q$85)*4</f>
        <v>1.1450281787333553E-3</v>
      </c>
      <c r="F14" s="232">
        <f>_xlfn.COVARIANCE.S('Quarterly returns'!$W$6:$W$85,'Quarterly returns'!$R$6:$R$85)*4</f>
        <v>-5.4841286597032525E-3</v>
      </c>
      <c r="G14" s="232">
        <f>_xlfn.COVARIANCE.S('Quarterly returns'!$W$6:$W$85,'Quarterly returns'!$S$6:$S$85)*4</f>
        <v>-6.7265871063951709E-4</v>
      </c>
      <c r="H14" s="232">
        <f>_xlfn.COVARIANCE.S('Quarterly returns'!$W$6:$W$85,'Quarterly returns'!$T$6:$T$85)*4</f>
        <v>5.0213980107289168E-6</v>
      </c>
      <c r="I14" s="232">
        <f>_xlfn.COVARIANCE.S('Quarterly returns'!$W$6:$W$85,'Quarterly returns'!$U$6:$U$85)*4</f>
        <v>4.2088404701910053E-4</v>
      </c>
      <c r="J14" s="232">
        <f>_xlfn.COVARIANCE.S('Quarterly returns'!$W$6:$W$85,'Quarterly returns'!$V$6:$V$85)*4</f>
        <v>1.4020088600659555E-3</v>
      </c>
      <c r="K14" s="232">
        <f>_xlfn.COVARIANCE.S('Quarterly returns'!$W$6:$W$85,'Quarterly returns'!$W$6:$W$85)*4</f>
        <v>1.6427463631871612E-3</v>
      </c>
      <c r="L14" s="232">
        <f>_xlfn.COVARIANCE.S('Quarterly returns'!$W$6:$W$85,'Quarterly returns'!$X$6:$X$85)*4</f>
        <v>1.3721798139806351E-4</v>
      </c>
      <c r="M14" s="144">
        <f>SQRT(K14)</f>
        <v>4.0530807581235798E-2</v>
      </c>
    </row>
    <row r="15" spans="1:13" x14ac:dyDescent="0.2">
      <c r="A15" s="146" t="s">
        <v>34</v>
      </c>
      <c r="B15" s="233">
        <f>_xlfn.COVARIANCE.S('Quarterly returns'!$X$6:$X$85,'Quarterly returns'!$N$6:$N$85)*4</f>
        <v>-2.8218900879929757E-4</v>
      </c>
      <c r="C15" s="233">
        <f>_xlfn.COVARIANCE.S('Quarterly returns'!$X$6:$X$85,'Quarterly returns'!$O$6:$O$85)*4</f>
        <v>-3.3337704683112843E-4</v>
      </c>
      <c r="D15" s="233">
        <f>_xlfn.COVARIANCE.S('Quarterly returns'!$X$6:$X$85,'Quarterly returns'!$P$6:$P$85)*4</f>
        <v>-1.8014153152304653E-4</v>
      </c>
      <c r="E15" s="233">
        <f>_xlfn.COVARIANCE.S('Quarterly returns'!$X$6:$X$85,'Quarterly returns'!$Q$6:$Q$85)*4</f>
        <v>-2.9733142062002434E-4</v>
      </c>
      <c r="F15" s="233">
        <f>_xlfn.COVARIANCE.S('Quarterly returns'!$X$6:$X$85,'Quarterly returns'!$R$6:$R$85)*4</f>
        <v>-3.0530150042376656E-4</v>
      </c>
      <c r="G15" s="233">
        <f>_xlfn.COVARIANCE.S('Quarterly returns'!$X$6:$X$85,'Quarterly returns'!$S$6:$S$85)*4</f>
        <v>-1.3132647829804E-4</v>
      </c>
      <c r="H15" s="233">
        <f>_xlfn.COVARIANCE.S('Quarterly returns'!$X$6:$X$85,'Quarterly returns'!$T$6:$T$85)*4</f>
        <v>1.0340346136498883E-4</v>
      </c>
      <c r="I15" s="233">
        <f>_xlfn.COVARIANCE.S('Quarterly returns'!$X$6:$X$85,'Quarterly returns'!$U$6:$U$85)*4</f>
        <v>-1.3855702334521092E-4</v>
      </c>
      <c r="J15" s="233">
        <f>_xlfn.COVARIANCE.S('Quarterly returns'!$X$6:$X$85,'Quarterly returns'!$V$6:$V$85)*4</f>
        <v>1.474873318438461E-4</v>
      </c>
      <c r="K15" s="233">
        <f>_xlfn.COVARIANCE.S('Quarterly returns'!$X$6:$X$85,'Quarterly returns'!$W$6:$W$85)*4</f>
        <v>1.3721798139806351E-4</v>
      </c>
      <c r="L15" s="233">
        <f>_xlfn.COVARIANCE.S('Quarterly returns'!$X$6:$X$85,'Quarterly returns'!$X$6:$X$85)*4</f>
        <v>9.6274886114073888E-5</v>
      </c>
      <c r="M15" s="234">
        <f>SQRT(L15)</f>
        <v>9.8119766670163814E-3</v>
      </c>
    </row>
    <row r="18" spans="1:12" x14ac:dyDescent="0.2">
      <c r="A18" s="203" t="s">
        <v>337</v>
      </c>
      <c r="B18" s="204"/>
      <c r="C18" s="204"/>
      <c r="D18" s="204"/>
      <c r="E18" s="204"/>
      <c r="F18" s="204"/>
      <c r="G18" s="204"/>
      <c r="H18" s="204"/>
      <c r="I18" s="204"/>
      <c r="J18" s="204"/>
      <c r="K18" s="204"/>
      <c r="L18" s="205"/>
    </row>
    <row r="19" spans="1:12" ht="42" customHeight="1" x14ac:dyDescent="0.2">
      <c r="A19" s="206" t="s">
        <v>5</v>
      </c>
      <c r="B19" s="207" t="s">
        <v>14</v>
      </c>
      <c r="C19" s="207" t="s">
        <v>16</v>
      </c>
      <c r="D19" s="207" t="s">
        <v>18</v>
      </c>
      <c r="E19" s="207" t="s">
        <v>20</v>
      </c>
      <c r="F19" s="207" t="s">
        <v>22</v>
      </c>
      <c r="G19" s="207" t="s">
        <v>24</v>
      </c>
      <c r="H19" s="207" t="s">
        <v>26</v>
      </c>
      <c r="I19" s="207" t="s">
        <v>28</v>
      </c>
      <c r="J19" s="207" t="s">
        <v>30</v>
      </c>
      <c r="K19" s="207" t="s">
        <v>32</v>
      </c>
      <c r="L19" s="208" t="s">
        <v>34</v>
      </c>
    </row>
    <row r="20" spans="1:12" x14ac:dyDescent="0.2">
      <c r="A20" s="210" t="s">
        <v>14</v>
      </c>
      <c r="B20" s="116">
        <f t="shared" ref="B20:B30" si="0">B5/($M5*$M$5)</f>
        <v>0.99999999999999989</v>
      </c>
      <c r="C20" s="116">
        <f t="shared" ref="C20:C30" si="1">C5/($M5*$M$6)</f>
        <v>0.52022975092248702</v>
      </c>
      <c r="D20" s="116">
        <f t="shared" ref="D20:D30" si="2">D5/($M5*$M$7)</f>
        <v>0.58184070136131938</v>
      </c>
      <c r="E20" s="116">
        <f t="shared" ref="E20:E30" si="3">E5/($M5*$M$8)</f>
        <v>0.4350201793551256</v>
      </c>
      <c r="F20" s="116">
        <f t="shared" ref="F20:F30" si="4">F5/($M5*$M$9)</f>
        <v>0.24736099918109447</v>
      </c>
      <c r="G20" s="116">
        <f t="shared" ref="G20:G30" si="5">G5/($M5*$M$10)</f>
        <v>0.21577719684734245</v>
      </c>
      <c r="H20" s="116">
        <f t="shared" ref="H20:H30" si="6">H5/($M5*$M$11)</f>
        <v>-0.18945564083970806</v>
      </c>
      <c r="I20" s="116">
        <f t="shared" ref="I20:I30" si="7">I5/($M5*$M$12)</f>
        <v>0.53703466988641957</v>
      </c>
      <c r="J20" s="116">
        <f t="shared" ref="J20:J30" si="8">J5/($M5*$M$13)</f>
        <v>-0.1633873120721932</v>
      </c>
      <c r="K20" s="116">
        <f t="shared" ref="K20:K30" si="9">K5/($M5*$M$14)</f>
        <v>2.7930432953189224E-2</v>
      </c>
      <c r="L20" s="235">
        <f t="shared" ref="L20:L30" si="10">L5/($M5*$M$15)</f>
        <v>-0.18697519830178747</v>
      </c>
    </row>
    <row r="21" spans="1:12" x14ac:dyDescent="0.2">
      <c r="A21" s="210" t="s">
        <v>16</v>
      </c>
      <c r="B21" s="116">
        <f t="shared" si="0"/>
        <v>0.52022975092248702</v>
      </c>
      <c r="C21" s="116">
        <f t="shared" si="1"/>
        <v>0.99999999999999978</v>
      </c>
      <c r="D21" s="116">
        <f t="shared" si="2"/>
        <v>0.6865931326770931</v>
      </c>
      <c r="E21" s="116">
        <f t="shared" si="3"/>
        <v>0.68732816740118163</v>
      </c>
      <c r="F21" s="116">
        <f t="shared" si="4"/>
        <v>0.19210836770839587</v>
      </c>
      <c r="G21" s="116">
        <f t="shared" si="5"/>
        <v>0.28318416495546228</v>
      </c>
      <c r="H21" s="116">
        <f t="shared" si="6"/>
        <v>-2.8273044436364875E-2</v>
      </c>
      <c r="I21" s="116">
        <f t="shared" si="7"/>
        <v>0.45999920603739625</v>
      </c>
      <c r="J21" s="116">
        <f t="shared" si="8"/>
        <v>-4.0475463493222487E-2</v>
      </c>
      <c r="K21" s="116">
        <f t="shared" si="9"/>
        <v>-0.12335834021641853</v>
      </c>
      <c r="L21" s="235">
        <f t="shared" si="10"/>
        <v>-0.26651791430452304</v>
      </c>
    </row>
    <row r="22" spans="1:12" x14ac:dyDescent="0.2">
      <c r="A22" s="210" t="s">
        <v>18</v>
      </c>
      <c r="B22" s="116">
        <f t="shared" si="0"/>
        <v>0.58184070136131938</v>
      </c>
      <c r="C22" s="116">
        <f t="shared" si="1"/>
        <v>0.6865931326770931</v>
      </c>
      <c r="D22" s="116">
        <f t="shared" si="2"/>
        <v>0.99999999999999989</v>
      </c>
      <c r="E22" s="116">
        <f t="shared" si="3"/>
        <v>0.38525416245856359</v>
      </c>
      <c r="F22" s="116">
        <f t="shared" si="4"/>
        <v>0.19844180696133434</v>
      </c>
      <c r="G22" s="116">
        <f t="shared" si="5"/>
        <v>0.41716093370450991</v>
      </c>
      <c r="H22" s="116">
        <f t="shared" si="6"/>
        <v>-8.3195206256731109E-3</v>
      </c>
      <c r="I22" s="116">
        <f t="shared" si="7"/>
        <v>0.30282062670284376</v>
      </c>
      <c r="J22" s="116">
        <f t="shared" si="8"/>
        <v>-0.12477326255032999</v>
      </c>
      <c r="K22" s="116">
        <f t="shared" si="9"/>
        <v>-7.6054592327824591E-2</v>
      </c>
      <c r="L22" s="235">
        <f t="shared" si="10"/>
        <v>-0.17486661675889587</v>
      </c>
    </row>
    <row r="23" spans="1:12" x14ac:dyDescent="0.2">
      <c r="A23" s="210" t="s">
        <v>20</v>
      </c>
      <c r="B23" s="116">
        <f t="shared" si="0"/>
        <v>0.4350201793551256</v>
      </c>
      <c r="C23" s="116">
        <f t="shared" si="1"/>
        <v>0.68732816740118163</v>
      </c>
      <c r="D23" s="116">
        <f t="shared" si="2"/>
        <v>0.38525416245856359</v>
      </c>
      <c r="E23" s="116">
        <f t="shared" si="3"/>
        <v>0.99999999999999989</v>
      </c>
      <c r="F23" s="116">
        <f t="shared" si="4"/>
        <v>7.9797201231926684E-2</v>
      </c>
      <c r="G23" s="116">
        <f t="shared" si="5"/>
        <v>0.10430752961021307</v>
      </c>
      <c r="H23" s="116">
        <f t="shared" si="6"/>
        <v>-0.16297930961295135</v>
      </c>
      <c r="I23" s="116">
        <f t="shared" si="7"/>
        <v>0.35728095021523765</v>
      </c>
      <c r="J23" s="116">
        <f t="shared" si="8"/>
        <v>0.16036736355456668</v>
      </c>
      <c r="K23" s="116">
        <f t="shared" si="9"/>
        <v>0.16849804327482029</v>
      </c>
      <c r="L23" s="235">
        <f t="shared" si="10"/>
        <v>-0.18073748868497616</v>
      </c>
    </row>
    <row r="24" spans="1:12" x14ac:dyDescent="0.2">
      <c r="A24" s="210" t="s">
        <v>22</v>
      </c>
      <c r="B24" s="116">
        <f t="shared" si="0"/>
        <v>0.24736099918109447</v>
      </c>
      <c r="C24" s="116">
        <f t="shared" si="1"/>
        <v>0.19210836770839587</v>
      </c>
      <c r="D24" s="116">
        <f t="shared" si="2"/>
        <v>0.19844180696133434</v>
      </c>
      <c r="E24" s="116">
        <f t="shared" si="3"/>
        <v>7.9797201231926684E-2</v>
      </c>
      <c r="F24" s="116">
        <f t="shared" si="4"/>
        <v>1.0000000000000002</v>
      </c>
      <c r="G24" s="116">
        <f t="shared" si="5"/>
        <v>0.20632865481851337</v>
      </c>
      <c r="H24" s="116">
        <f t="shared" si="6"/>
        <v>-0.16698170307535312</v>
      </c>
      <c r="I24" s="116">
        <f t="shared" si="7"/>
        <v>-9.0292696000645635E-3</v>
      </c>
      <c r="J24" s="116">
        <f t="shared" si="8"/>
        <v>-0.52377794722971971</v>
      </c>
      <c r="K24" s="116">
        <f t="shared" si="9"/>
        <v>-0.55029878211803129</v>
      </c>
      <c r="L24" s="235">
        <f t="shared" si="10"/>
        <v>-0.12654605353727166</v>
      </c>
    </row>
    <row r="25" spans="1:12" x14ac:dyDescent="0.2">
      <c r="A25" s="210" t="s">
        <v>24</v>
      </c>
      <c r="B25" s="116">
        <f t="shared" si="0"/>
        <v>0.21577719684734245</v>
      </c>
      <c r="C25" s="116">
        <f t="shared" si="1"/>
        <v>0.28318416495546228</v>
      </c>
      <c r="D25" s="116">
        <f t="shared" si="2"/>
        <v>0.41716093370450991</v>
      </c>
      <c r="E25" s="116">
        <f t="shared" si="3"/>
        <v>0.10430752961021307</v>
      </c>
      <c r="F25" s="116">
        <f t="shared" si="4"/>
        <v>0.20632865481851337</v>
      </c>
      <c r="G25" s="116">
        <f t="shared" si="5"/>
        <v>1</v>
      </c>
      <c r="H25" s="116">
        <f t="shared" si="6"/>
        <v>5.9490877197190137E-2</v>
      </c>
      <c r="I25" s="116">
        <f t="shared" si="7"/>
        <v>0.19183063986926818</v>
      </c>
      <c r="J25" s="116">
        <f t="shared" si="8"/>
        <v>-0.27510544045185759</v>
      </c>
      <c r="K25" s="116">
        <f t="shared" si="9"/>
        <v>-0.17408596198736964</v>
      </c>
      <c r="L25" s="235">
        <f t="shared" si="10"/>
        <v>-0.14039447910225997</v>
      </c>
    </row>
    <row r="26" spans="1:12" x14ac:dyDescent="0.2">
      <c r="A26" s="210" t="s">
        <v>26</v>
      </c>
      <c r="B26" s="116">
        <f t="shared" si="0"/>
        <v>-0.18945564083970806</v>
      </c>
      <c r="C26" s="116">
        <f t="shared" si="1"/>
        <v>-2.8273044436364875E-2</v>
      </c>
      <c r="D26" s="116">
        <f t="shared" si="2"/>
        <v>-8.3195206256731109E-3</v>
      </c>
      <c r="E26" s="116">
        <f t="shared" si="3"/>
        <v>-0.16297930961295135</v>
      </c>
      <c r="F26" s="116">
        <f t="shared" si="4"/>
        <v>-0.16698170307535312</v>
      </c>
      <c r="G26" s="116">
        <f t="shared" si="5"/>
        <v>5.9490877197190137E-2</v>
      </c>
      <c r="H26" s="116">
        <f t="shared" si="6"/>
        <v>1</v>
      </c>
      <c r="I26" s="116">
        <f t="shared" si="7"/>
        <v>-6.8975491713126891E-2</v>
      </c>
      <c r="J26" s="116">
        <f t="shared" si="8"/>
        <v>0.11522486007624708</v>
      </c>
      <c r="K26" s="116">
        <f t="shared" si="9"/>
        <v>1.7221564232610025E-3</v>
      </c>
      <c r="L26" s="235">
        <f t="shared" si="10"/>
        <v>0.14649128101837369</v>
      </c>
    </row>
    <row r="27" spans="1:12" x14ac:dyDescent="0.2">
      <c r="A27" s="210" t="s">
        <v>28</v>
      </c>
      <c r="B27" s="116">
        <f t="shared" si="0"/>
        <v>0.53703466988641957</v>
      </c>
      <c r="C27" s="116">
        <f t="shared" si="1"/>
        <v>0.45999920603739625</v>
      </c>
      <c r="D27" s="116">
        <f t="shared" si="2"/>
        <v>0.30282062670284376</v>
      </c>
      <c r="E27" s="116">
        <f t="shared" si="3"/>
        <v>0.35728095021523765</v>
      </c>
      <c r="F27" s="116">
        <f t="shared" si="4"/>
        <v>-9.0292696000645635E-3</v>
      </c>
      <c r="G27" s="116">
        <f t="shared" si="5"/>
        <v>0.19183063986926818</v>
      </c>
      <c r="H27" s="116">
        <f t="shared" si="6"/>
        <v>-6.8975491713126891E-2</v>
      </c>
      <c r="I27" s="116">
        <f t="shared" si="7"/>
        <v>1</v>
      </c>
      <c r="J27" s="116">
        <f t="shared" si="8"/>
        <v>6.0706855674996847E-2</v>
      </c>
      <c r="K27" s="116">
        <f t="shared" si="9"/>
        <v>8.1608024900966289E-2</v>
      </c>
      <c r="L27" s="235">
        <f t="shared" si="10"/>
        <v>-0.11097565000118328</v>
      </c>
    </row>
    <row r="28" spans="1:12" x14ac:dyDescent="0.2">
      <c r="A28" s="210" t="s">
        <v>30</v>
      </c>
      <c r="B28" s="116">
        <f t="shared" si="0"/>
        <v>-0.1633873120721932</v>
      </c>
      <c r="C28" s="116">
        <f t="shared" si="1"/>
        <v>-4.0475463493222487E-2</v>
      </c>
      <c r="D28" s="116">
        <f t="shared" si="2"/>
        <v>-0.12477326255032999</v>
      </c>
      <c r="E28" s="116">
        <f t="shared" si="3"/>
        <v>0.16036736355456668</v>
      </c>
      <c r="F28" s="116">
        <f t="shared" si="4"/>
        <v>-0.52377794722971971</v>
      </c>
      <c r="G28" s="116">
        <f t="shared" si="5"/>
        <v>-0.27510544045185759</v>
      </c>
      <c r="H28" s="116">
        <f t="shared" si="6"/>
        <v>0.11522486007624708</v>
      </c>
      <c r="I28" s="116">
        <f t="shared" si="7"/>
        <v>6.0706855674996847E-2</v>
      </c>
      <c r="J28" s="116">
        <f t="shared" si="8"/>
        <v>1.0000000000000002</v>
      </c>
      <c r="K28" s="116">
        <f t="shared" si="9"/>
        <v>0.81412084677842944</v>
      </c>
      <c r="L28" s="235">
        <f t="shared" si="10"/>
        <v>0.35377047675147061</v>
      </c>
    </row>
    <row r="29" spans="1:12" x14ac:dyDescent="0.2">
      <c r="A29" s="210" t="s">
        <v>32</v>
      </c>
      <c r="B29" s="116">
        <f t="shared" si="0"/>
        <v>2.7930432953189224E-2</v>
      </c>
      <c r="C29" s="116">
        <f t="shared" si="1"/>
        <v>-0.12335834021641853</v>
      </c>
      <c r="D29" s="116">
        <f t="shared" si="2"/>
        <v>-7.6054592327824591E-2</v>
      </c>
      <c r="E29" s="116">
        <f t="shared" si="3"/>
        <v>0.16849804327482029</v>
      </c>
      <c r="F29" s="116">
        <f t="shared" si="4"/>
        <v>-0.55029878211803129</v>
      </c>
      <c r="G29" s="116">
        <f t="shared" si="5"/>
        <v>-0.17408596198736964</v>
      </c>
      <c r="H29" s="116">
        <f t="shared" si="6"/>
        <v>1.7221564232610025E-3</v>
      </c>
      <c r="I29" s="116">
        <f t="shared" si="7"/>
        <v>8.1608024900966289E-2</v>
      </c>
      <c r="J29" s="116">
        <f t="shared" si="8"/>
        <v>0.81412084677842944</v>
      </c>
      <c r="K29" s="116">
        <f t="shared" si="9"/>
        <v>1</v>
      </c>
      <c r="L29" s="235">
        <f t="shared" si="10"/>
        <v>0.34503985465239684</v>
      </c>
    </row>
    <row r="30" spans="1:12" x14ac:dyDescent="0.2">
      <c r="A30" s="210" t="s">
        <v>34</v>
      </c>
      <c r="B30" s="116">
        <f t="shared" si="0"/>
        <v>-0.18697519830178747</v>
      </c>
      <c r="C30" s="116">
        <f t="shared" si="1"/>
        <v>-0.26651791430452304</v>
      </c>
      <c r="D30" s="116">
        <f t="shared" si="2"/>
        <v>-0.17486661675889587</v>
      </c>
      <c r="E30" s="116">
        <f t="shared" si="3"/>
        <v>-0.18073748868497616</v>
      </c>
      <c r="F30" s="116">
        <f t="shared" si="4"/>
        <v>-0.12654605353727166</v>
      </c>
      <c r="G30" s="116">
        <f t="shared" si="5"/>
        <v>-0.14039447910225997</v>
      </c>
      <c r="H30" s="116">
        <f t="shared" si="6"/>
        <v>0.14649128101837369</v>
      </c>
      <c r="I30" s="116">
        <f t="shared" si="7"/>
        <v>-0.11097565000118328</v>
      </c>
      <c r="J30" s="116">
        <f t="shared" si="8"/>
        <v>0.35377047675147061</v>
      </c>
      <c r="K30" s="116">
        <f t="shared" si="9"/>
        <v>0.34503985465239684</v>
      </c>
      <c r="L30" s="235">
        <f t="shared" si="10"/>
        <v>0.99999999999999989</v>
      </c>
    </row>
    <row r="31" spans="1:12" x14ac:dyDescent="0.2">
      <c r="A31" s="236"/>
      <c r="B31" s="77"/>
      <c r="C31" s="77"/>
      <c r="D31" s="77"/>
      <c r="E31" s="77"/>
      <c r="F31" s="77"/>
      <c r="G31" s="77"/>
      <c r="H31" s="77"/>
      <c r="I31" s="77"/>
      <c r="J31" s="77"/>
      <c r="K31" s="77"/>
      <c r="L31" s="237"/>
    </row>
    <row r="32" spans="1:12" x14ac:dyDescent="0.2">
      <c r="A32" s="238" t="s">
        <v>338</v>
      </c>
      <c r="B32" s="239">
        <f>(SUM(B20:L30)-11)/110</f>
        <v>0.10095137512946419</v>
      </c>
      <c r="C32" s="240"/>
      <c r="D32" s="240"/>
      <c r="E32" s="240"/>
      <c r="F32" s="240"/>
      <c r="G32" s="240"/>
      <c r="H32" s="240"/>
      <c r="I32" s="240"/>
      <c r="J32" s="240"/>
      <c r="K32" s="240"/>
      <c r="L32" s="241"/>
    </row>
    <row r="38" spans="1:13" x14ac:dyDescent="0.2">
      <c r="A38" s="165" t="s">
        <v>339</v>
      </c>
      <c r="B38" s="166"/>
      <c r="C38" s="166"/>
      <c r="D38" s="166"/>
      <c r="E38" s="166"/>
      <c r="F38" s="166"/>
      <c r="G38" s="166"/>
      <c r="H38" s="166"/>
      <c r="I38" s="166"/>
      <c r="J38" s="166"/>
      <c r="K38" s="166"/>
      <c r="L38" s="166"/>
      <c r="M38" s="167"/>
    </row>
    <row r="39" spans="1:13" x14ac:dyDescent="0.2">
      <c r="A39" s="242"/>
      <c r="B39" s="77"/>
      <c r="C39" s="77"/>
      <c r="D39" s="77"/>
      <c r="E39" s="77"/>
      <c r="F39" s="77"/>
      <c r="G39" s="77"/>
      <c r="H39" s="77"/>
      <c r="I39" s="77"/>
      <c r="J39" s="77"/>
      <c r="K39" s="77"/>
      <c r="L39" s="77"/>
      <c r="M39" s="217"/>
    </row>
    <row r="40" spans="1:13" ht="42" customHeight="1" x14ac:dyDescent="0.2">
      <c r="A40" s="168" t="s">
        <v>5</v>
      </c>
      <c r="B40" s="169" t="s">
        <v>14</v>
      </c>
      <c r="C40" s="169" t="s">
        <v>16</v>
      </c>
      <c r="D40" s="169" t="s">
        <v>18</v>
      </c>
      <c r="E40" s="169" t="s">
        <v>20</v>
      </c>
      <c r="F40" s="169" t="s">
        <v>22</v>
      </c>
      <c r="G40" s="169" t="s">
        <v>24</v>
      </c>
      <c r="H40" s="169" t="s">
        <v>26</v>
      </c>
      <c r="I40" s="169" t="s">
        <v>28</v>
      </c>
      <c r="J40" s="169" t="s">
        <v>30</v>
      </c>
      <c r="K40" s="169" t="s">
        <v>32</v>
      </c>
      <c r="L40" s="169" t="s">
        <v>34</v>
      </c>
      <c r="M40" s="170" t="s">
        <v>340</v>
      </c>
    </row>
    <row r="41" spans="1:13" x14ac:dyDescent="0.2">
      <c r="A41" s="172" t="s">
        <v>14</v>
      </c>
      <c r="B41" s="232">
        <f>B5</f>
        <v>2.3659151736308882E-2</v>
      </c>
      <c r="C41" s="232">
        <f>(1-Inputs!$B$38)*C5+Inputs!$B$38*$B$32*$M5*$M$6</f>
        <v>7.3235628740830937E-3</v>
      </c>
      <c r="D41" s="232">
        <f>(1-Inputs!$B$38)*D5+Inputs!$B$38*$B$32*$M5*$M$7</f>
        <v>6.6781543334078347E-3</v>
      </c>
      <c r="E41" s="232">
        <f>(1-Inputs!$B$38)*E5+Inputs!$B$38*$B$32*$M5*$M$8</f>
        <v>8.203401767325388E-3</v>
      </c>
      <c r="F41" s="232">
        <f>(1-Inputs!$B$38)*F5+Inputs!$B$38*$B$32*$M5*$M$9</f>
        <v>7.417201012239292E-3</v>
      </c>
      <c r="G41" s="232">
        <f>(1-Inputs!$B$38)*G5+Inputs!$B$38*$B$32*$M5*$M$10</f>
        <v>2.5747826402744661E-3</v>
      </c>
      <c r="H41" s="232">
        <f>(1-Inputs!$B$38)*H5+Inputs!$B$38*$B$32*$M5*$M$11</f>
        <v>-9.7168636491343978E-4</v>
      </c>
      <c r="I41" s="232">
        <f>(1-Inputs!$B$38)*I5+Inputs!$B$38*$B$32*$M5*$M$12</f>
        <v>7.5237358064262974E-3</v>
      </c>
      <c r="J41" s="232">
        <f>(1-Inputs!$B$38)*J5+Inputs!$B$38*$B$32*$M5*$M$13</f>
        <v>-4.6316007421570975E-4</v>
      </c>
      <c r="K41" s="232">
        <f>(1-Inputs!$B$38)*K5+Inputs!$B$38*$B$32*$M5*$M$14</f>
        <v>3.3345656691807188E-4</v>
      </c>
      <c r="L41" s="232">
        <f>(1-Inputs!$B$38)*L5+Inputs!$B$38*$B$32*$M5*$M$15</f>
        <v>-1.3009717905115812E-4</v>
      </c>
      <c r="M41" s="243">
        <f>SQRT(B41)</f>
        <v>0.1538153169756149</v>
      </c>
    </row>
    <row r="42" spans="1:13" x14ac:dyDescent="0.2">
      <c r="A42" s="172" t="s">
        <v>16</v>
      </c>
      <c r="B42" s="232">
        <f>(1-Inputs!$B$38)*B6+Inputs!$B$38*$B$32*$M6*$M$5</f>
        <v>7.3235628740830937E-3</v>
      </c>
      <c r="C42" s="232">
        <f>C6</f>
        <v>1.6251953267358402E-2</v>
      </c>
      <c r="D42" s="232">
        <f>(1-Inputs!$B$38)*D6+Inputs!$B$38*$B$32*$M6*$M$7</f>
        <v>6.446238881152408E-3</v>
      </c>
      <c r="E42" s="232">
        <f>(1-Inputs!$B$38)*E6+Inputs!$B$38*$B$32*$M6*$M$8</f>
        <v>1.0304398065852103E-2</v>
      </c>
      <c r="F42" s="232">
        <f>(1-Inputs!$B$38)*F6+Inputs!$B$38*$B$32*$M6*$M$9</f>
        <v>5.0216725770001504E-3</v>
      </c>
      <c r="G42" s="232">
        <f>(1-Inputs!$B$38)*G6+Inputs!$B$38*$B$32*$M6*$M$10</f>
        <v>2.6664932523480919E-3</v>
      </c>
      <c r="H42" s="232">
        <f>(1-Inputs!$B$38)*H6+Inputs!$B$38*$B$32*$M6*$M$11</f>
        <v>1.5549994457081937E-4</v>
      </c>
      <c r="I42" s="232">
        <f>(1-Inputs!$B$38)*I6+Inputs!$B$38*$B$32*$M6*$M$12</f>
        <v>5.4234504108904942E-3</v>
      </c>
      <c r="J42" s="232">
        <f>(1-Inputs!$B$38)*J6+Inputs!$B$38*$B$32*$M6*$M$13</f>
        <v>4.8879316765852525E-5</v>
      </c>
      <c r="K42" s="232">
        <f>(1-Inputs!$B$38)*K6+Inputs!$B$38*$B$32*$M6*$M$14</f>
        <v>-2.3173941403989759E-4</v>
      </c>
      <c r="L42" s="232">
        <f>(1-Inputs!$B$38)*L6+Inputs!$B$38*$B$32*$M6*$M$15</f>
        <v>-1.7249840799249752E-4</v>
      </c>
      <c r="M42" s="243">
        <f>SQRT(C42)</f>
        <v>0.12748314895451243</v>
      </c>
    </row>
    <row r="43" spans="1:13" x14ac:dyDescent="0.2">
      <c r="A43" s="172" t="s">
        <v>18</v>
      </c>
      <c r="B43" s="232">
        <f>(1-Inputs!$B$38)*B7+Inputs!$B$38*$B$32*$M7*$M$5</f>
        <v>6.6781543334078347E-3</v>
      </c>
      <c r="C43" s="232">
        <f>(1-Inputs!$B$38)*C7+Inputs!$B$38*$B$32*$M7*$M$6</f>
        <v>6.446238881152408E-3</v>
      </c>
      <c r="D43" s="232">
        <f>D7</f>
        <v>1.1023027037694736E-2</v>
      </c>
      <c r="E43" s="232">
        <f>(1-Inputs!$B$38)*E7+Inputs!$B$38*$B$32*$M7*$M$8</f>
        <v>5.030023051253902E-3</v>
      </c>
      <c r="F43" s="232">
        <f>(1-Inputs!$B$38)*F7+Inputs!$B$38*$B$32*$M7*$M$9</f>
        <v>4.2419456567694327E-3</v>
      </c>
      <c r="G43" s="232">
        <f>(1-Inputs!$B$38)*G7+Inputs!$B$38*$B$32*$M7*$M$10</f>
        <v>3.067673180933254E-3</v>
      </c>
      <c r="H43" s="232">
        <f>(1-Inputs!$B$38)*H7+Inputs!$B$38*$B$32*$M7*$M$11</f>
        <v>2.2602456349036875E-4</v>
      </c>
      <c r="I43" s="232">
        <f>(1-Inputs!$B$38)*I7+Inputs!$B$38*$B$32*$M7*$M$12</f>
        <v>3.1016595253573662E-3</v>
      </c>
      <c r="J43" s="232">
        <f>(1-Inputs!$B$38)*J7+Inputs!$B$38*$B$32*$M7*$M$13</f>
        <v>-2.0417593456299287E-4</v>
      </c>
      <c r="K43" s="232">
        <f>(1-Inputs!$B$38)*K7+Inputs!$B$38*$B$32*$M7*$M$14</f>
        <v>-6.0011145459906766E-5</v>
      </c>
      <c r="L43" s="232">
        <f>(1-Inputs!$B$38)*L7+Inputs!$B$38*$B$32*$M7*$M$15</f>
        <v>-8.0693182029840807E-5</v>
      </c>
      <c r="M43" s="243">
        <f>SQRT(D43)</f>
        <v>0.10499060452104625</v>
      </c>
    </row>
    <row r="44" spans="1:13" x14ac:dyDescent="0.2">
      <c r="A44" s="172" t="s">
        <v>20</v>
      </c>
      <c r="B44" s="232">
        <f>(1-Inputs!$B$38)*B8+Inputs!$B$38*$B$32*$M8*$M$5</f>
        <v>8.203401767325388E-3</v>
      </c>
      <c r="C44" s="232">
        <f>(1-Inputs!$B$38)*C8+Inputs!$B$38*$B$32*$M8*$M$6</f>
        <v>1.0304398065852103E-2</v>
      </c>
      <c r="D44" s="232">
        <f>(1-Inputs!$B$38)*D8+Inputs!$B$38*$B$32*$M8*$M$7</f>
        <v>5.030023051253902E-3</v>
      </c>
      <c r="E44" s="232">
        <f>E8</f>
        <v>2.8110729176824611E-2</v>
      </c>
      <c r="F44" s="232">
        <f>(1-Inputs!$B$38)*F8+Inputs!$B$38*$B$32*$M8*$M$9</f>
        <v>3.5948614288477602E-3</v>
      </c>
      <c r="G44" s="232">
        <f>(1-Inputs!$B$38)*G8+Inputs!$B$38*$B$32*$M8*$M$10</f>
        <v>1.6484620139787494E-3</v>
      </c>
      <c r="H44" s="232">
        <f>(1-Inputs!$B$38)*H8+Inputs!$B$38*$B$32*$M8*$M$11</f>
        <v>-8.5158795429542892E-4</v>
      </c>
      <c r="I44" s="232">
        <f>(1-Inputs!$B$38)*I8+Inputs!$B$38*$B$32*$M8*$M$12</f>
        <v>5.7083510225589959E-3</v>
      </c>
      <c r="J44" s="232">
        <f>(1-Inputs!$B$38)*J8+Inputs!$B$38*$B$32*$M8*$M$13</f>
        <v>9.9428356212761257E-4</v>
      </c>
      <c r="K44" s="232">
        <f>(1-Inputs!$B$38)*K8+Inputs!$B$38*$B$32*$M8*$M$14</f>
        <v>9.8437353304145817E-4</v>
      </c>
      <c r="L44" s="232">
        <f>(1-Inputs!$B$38)*L8+Inputs!$B$38*$B$32*$M8*$M$15</f>
        <v>-1.3513910107933245E-4</v>
      </c>
      <c r="M44" s="243">
        <f>SQRT(E44)</f>
        <v>0.1676625455396184</v>
      </c>
    </row>
    <row r="45" spans="1:13" x14ac:dyDescent="0.2">
      <c r="A45" s="172" t="s">
        <v>22</v>
      </c>
      <c r="B45" s="232">
        <f>(1-Inputs!$B$38)*B9+Inputs!$B$38*$B$32*$M9*$M$5</f>
        <v>7.417201012239292E-3</v>
      </c>
      <c r="C45" s="232">
        <f>(1-Inputs!$B$38)*C9+Inputs!$B$38*$B$32*$M9*$M$6</f>
        <v>5.0216725770001504E-3</v>
      </c>
      <c r="D45" s="232">
        <f>(1-Inputs!$B$38)*D9+Inputs!$B$38*$B$32*$M9*$M$7</f>
        <v>4.2419456567694335E-3</v>
      </c>
      <c r="E45" s="232">
        <f>(1-Inputs!$B$38)*E9+Inputs!$B$38*$B$32*$M9*$M$8</f>
        <v>3.5948614288477607E-3</v>
      </c>
      <c r="F45" s="232">
        <f>F9</f>
        <v>6.0457147473396332E-2</v>
      </c>
      <c r="G45" s="232">
        <f>(1-Inputs!$B$38)*G9+Inputs!$B$38*$B$32*$M9*$M$10</f>
        <v>3.971938033549921E-3</v>
      </c>
      <c r="H45" s="232">
        <f>(1-Inputs!$B$38)*H9+Inputs!$B$38*$B$32*$M9*$M$11</f>
        <v>-1.2948877131203353E-3</v>
      </c>
      <c r="I45" s="232">
        <f>(1-Inputs!$B$38)*I9+Inputs!$B$38*$B$32*$M9*$M$12</f>
        <v>9.2184780239250969E-4</v>
      </c>
      <c r="J45" s="232">
        <f>(1-Inputs!$B$38)*J9+Inputs!$B$38*$B$32*$M9*$M$13</f>
        <v>-3.1876816908603194E-3</v>
      </c>
      <c r="K45" s="232">
        <f>(1-Inputs!$B$38)*K9+Inputs!$B$38*$B$32*$M9*$M$14</f>
        <v>-3.2125647042320262E-3</v>
      </c>
      <c r="L45" s="232">
        <f>(1-Inputs!$B$38)*L9+Inputs!$B$38*$B$32*$M9*$M$15</f>
        <v>-1.1320260416765935E-4</v>
      </c>
      <c r="M45" s="243">
        <f>SQRT(F45)</f>
        <v>0.2458803519466253</v>
      </c>
    </row>
    <row r="46" spans="1:13" x14ac:dyDescent="0.2">
      <c r="A46" s="172" t="s">
        <v>24</v>
      </c>
      <c r="B46" s="232">
        <f>(1-Inputs!$B$38)*B10+Inputs!$B$38*$B$32*$M10*$M$5</f>
        <v>2.5747826402744661E-3</v>
      </c>
      <c r="C46" s="232">
        <f>(1-Inputs!$B$38)*C10+Inputs!$B$38*$B$32*$M10*$M$6</f>
        <v>2.6664932523480919E-3</v>
      </c>
      <c r="D46" s="232">
        <f>(1-Inputs!$B$38)*D10+Inputs!$B$38*$B$32*$M10*$M$7</f>
        <v>3.067673180933254E-3</v>
      </c>
      <c r="E46" s="232">
        <f>(1-Inputs!$B$38)*E10+Inputs!$B$38*$B$32*$M10*$M$8</f>
        <v>1.6484620139787494E-3</v>
      </c>
      <c r="F46" s="232">
        <f>(1-Inputs!$B$38)*F10+Inputs!$B$38*$B$32*$M10*$M$9</f>
        <v>3.9719380335499202E-3</v>
      </c>
      <c r="G46" s="232">
        <f>G10</f>
        <v>9.0884855938172769E-3</v>
      </c>
      <c r="H46" s="232">
        <f>(1-Inputs!$B$38)*H10+Inputs!$B$38*$B$32*$M10*$M$11</f>
        <v>5.0752368438520179E-4</v>
      </c>
      <c r="I46" s="232">
        <f>(1-Inputs!$B$38)*I10+Inputs!$B$38*$B$32*$M10*$M$12</f>
        <v>1.9412087092614246E-3</v>
      </c>
      <c r="J46" s="232">
        <f>(1-Inputs!$B$38)*J10+Inputs!$B$38*$B$32*$M10*$M$13</f>
        <v>-5.8120664210026848E-4</v>
      </c>
      <c r="K46" s="232">
        <f>(1-Inputs!$B$38)*K10+Inputs!$B$38*$B$32*$M10*$M$14</f>
        <v>-3.0070343947494497E-4</v>
      </c>
      <c r="L46" s="232">
        <f>(1-Inputs!$B$38)*L10+Inputs!$B$38*$B$32*$M10*$M$15</f>
        <v>-5.2311367078819829E-5</v>
      </c>
      <c r="M46" s="243">
        <f>SQRT(G46)</f>
        <v>9.5333549151478028E-2</v>
      </c>
    </row>
    <row r="47" spans="1:13" x14ac:dyDescent="0.2">
      <c r="A47" s="172" t="s">
        <v>26</v>
      </c>
      <c r="B47" s="232">
        <f>(1-Inputs!$B$38)*B11+Inputs!$B$38*$B$32*$M11*$M$5</f>
        <v>-9.7168636491343978E-4</v>
      </c>
      <c r="C47" s="232">
        <f>(1-Inputs!$B$38)*C11+Inputs!$B$38*$B$32*$M11*$M$6</f>
        <v>1.5549994457081932E-4</v>
      </c>
      <c r="D47" s="232">
        <f>(1-Inputs!$B$38)*D11+Inputs!$B$38*$B$32*$M11*$M$7</f>
        <v>2.2602456349036875E-4</v>
      </c>
      <c r="E47" s="232">
        <f>(1-Inputs!$B$38)*E11+Inputs!$B$38*$B$32*$M11*$M$8</f>
        <v>-8.5158795429542892E-4</v>
      </c>
      <c r="F47" s="232">
        <f>(1-Inputs!$B$38)*F11+Inputs!$B$38*$B$32*$M11*$M$9</f>
        <v>-1.2948877131203353E-3</v>
      </c>
      <c r="G47" s="232">
        <f>(1-Inputs!$B$38)*G11+Inputs!$B$38*$B$32*$M11*$M$10</f>
        <v>5.0752368438520168E-4</v>
      </c>
      <c r="H47" s="232">
        <f>H11</f>
        <v>5.1752768395915234E-3</v>
      </c>
      <c r="I47" s="232">
        <f>(1-Inputs!$B$38)*I11+Inputs!$B$38*$B$32*$M11*$M$12</f>
        <v>-8.6973007641100652E-5</v>
      </c>
      <c r="J47" s="232">
        <f>(1-Inputs!$B$38)*J11+Inputs!$B$38*$B$32*$M11*$M$13</f>
        <v>3.3693012180226526E-4</v>
      </c>
      <c r="K47" s="232">
        <f>(1-Inputs!$B$38)*K11+Inputs!$B$38*$B$32*$M11*$M$14</f>
        <v>1.062864678618775E-4</v>
      </c>
      <c r="L47" s="232">
        <f>(1-Inputs!$B$38)*L11+Inputs!$B$38*$B$32*$M11*$M$15</f>
        <v>9.2152659588632866E-5</v>
      </c>
      <c r="M47" s="243">
        <f>SQRT(H47)</f>
        <v>7.1939396992131671E-2</v>
      </c>
    </row>
    <row r="48" spans="1:13" x14ac:dyDescent="0.2">
      <c r="A48" s="172" t="s">
        <v>28</v>
      </c>
      <c r="B48" s="232">
        <f>(1-Inputs!$B$38)*B12+Inputs!$B$38*$B$32*$M12*$M$5</f>
        <v>7.5237358064262974E-3</v>
      </c>
      <c r="C48" s="232">
        <f>(1-Inputs!$B$38)*C12+Inputs!$B$38*$B$32*$M12*$M$6</f>
        <v>5.4234504108904942E-3</v>
      </c>
      <c r="D48" s="232">
        <f>(1-Inputs!$B$38)*D12+Inputs!$B$38*$B$32*$M12*$M$7</f>
        <v>3.1016595253573662E-3</v>
      </c>
      <c r="E48" s="232">
        <f>(1-Inputs!$B$38)*E12+Inputs!$B$38*$B$32*$M12*$M$8</f>
        <v>5.7083510225589967E-3</v>
      </c>
      <c r="F48" s="232">
        <f>(1-Inputs!$B$38)*F12+Inputs!$B$38*$B$32*$M12*$M$9</f>
        <v>9.2184780239250969E-4</v>
      </c>
      <c r="G48" s="232">
        <f>(1-Inputs!$B$38)*G12+Inputs!$B$38*$B$32*$M12*$M$10</f>
        <v>1.9412087092614246E-3</v>
      </c>
      <c r="H48" s="232">
        <f>(1-Inputs!$B$38)*H12+Inputs!$B$38*$B$32*$M12*$M$11</f>
        <v>-8.6973007641100598E-5</v>
      </c>
      <c r="I48" s="232">
        <f>I12</f>
        <v>1.6191559533686648E-2</v>
      </c>
      <c r="J48" s="232">
        <f>(1-Inputs!$B$38)*J12+Inputs!$B$38*$B$32*$M12*$M$13</f>
        <v>4.0436974387441315E-4</v>
      </c>
      <c r="K48" s="232">
        <f>(1-Inputs!$B$38)*K12+Inputs!$B$38*$B$32*$M12*$M$14</f>
        <v>4.55800437140479E-4</v>
      </c>
      <c r="L48" s="232">
        <f>(1-Inputs!$B$38)*L12+Inputs!$B$38*$B$32*$M12*$M$15</f>
        <v>-4.5947588583005934E-5</v>
      </c>
      <c r="M48" s="243">
        <f>SQRT(I48)</f>
        <v>0.1272460590104332</v>
      </c>
    </row>
    <row r="49" spans="1:16" x14ac:dyDescent="0.2">
      <c r="A49" s="172" t="s">
        <v>30</v>
      </c>
      <c r="B49" s="232">
        <f>(1-Inputs!$B$38)*B13+Inputs!$B$38*$B$32*$M13*$M$5</f>
        <v>-4.6316007421570975E-4</v>
      </c>
      <c r="C49" s="232">
        <f>(1-Inputs!$B$38)*C13+Inputs!$B$38*$B$32*$M13*$M$6</f>
        <v>4.8879316765852525E-5</v>
      </c>
      <c r="D49" s="232">
        <f>(1-Inputs!$B$38)*D13+Inputs!$B$38*$B$32*$M13*$M$7</f>
        <v>-2.0417593456299285E-4</v>
      </c>
      <c r="E49" s="232">
        <f>(1-Inputs!$B$38)*E13+Inputs!$B$38*$B$32*$M13*$M$8</f>
        <v>9.9428356212761257E-4</v>
      </c>
      <c r="F49" s="232">
        <f>(1-Inputs!$B$38)*F13+Inputs!$B$38*$B$32*$M13*$M$9</f>
        <v>-3.1876816908603194E-3</v>
      </c>
      <c r="G49" s="232">
        <f>(1-Inputs!$B$38)*G13+Inputs!$B$38*$B$32*$M13*$M$10</f>
        <v>-5.8120664210026848E-4</v>
      </c>
      <c r="H49" s="232">
        <f>(1-Inputs!$B$38)*H13+Inputs!$B$38*$B$32*$M13*$M$11</f>
        <v>3.3693012180226526E-4</v>
      </c>
      <c r="I49" s="232">
        <f>(1-Inputs!$B$38)*I13+Inputs!$B$38*$B$32*$M13*$M$12</f>
        <v>4.0436974387441315E-4</v>
      </c>
      <c r="J49" s="232">
        <f>J13</f>
        <v>1.8053160810244215E-3</v>
      </c>
      <c r="K49" s="232">
        <f>(1-Inputs!$B$38)*K13+Inputs!$B$38*$B$32*$M13*$M$14</f>
        <v>9.7215317871600317E-4</v>
      </c>
      <c r="L49" s="232">
        <f>(1-Inputs!$B$38)*L13+Inputs!$B$38*$B$32*$M13*$M$15</f>
        <v>1.1059712755680473E-4</v>
      </c>
      <c r="M49" s="243">
        <f>SQRT(J49)</f>
        <v>4.2489011297327468E-2</v>
      </c>
    </row>
    <row r="50" spans="1:16" x14ac:dyDescent="0.2">
      <c r="A50" s="172" t="s">
        <v>32</v>
      </c>
      <c r="B50" s="232">
        <f>(1-Inputs!$B$38)*B14+Inputs!$B$38*$B$32*$M14*$M$5</f>
        <v>3.3345656691807183E-4</v>
      </c>
      <c r="C50" s="232">
        <f>(1-Inputs!$B$38)*C14+Inputs!$B$38*$B$32*$M14*$M$6</f>
        <v>-2.3173941403989759E-4</v>
      </c>
      <c r="D50" s="232">
        <f>(1-Inputs!$B$38)*D14+Inputs!$B$38*$B$32*$M14*$M$7</f>
        <v>-6.0011145459906766E-5</v>
      </c>
      <c r="E50" s="232">
        <f>(1-Inputs!$B$38)*E14+Inputs!$B$38*$B$32*$M14*$M$8</f>
        <v>9.8437353304145817E-4</v>
      </c>
      <c r="F50" s="232">
        <f>(1-Inputs!$B$38)*F14+Inputs!$B$38*$B$32*$M14*$M$9</f>
        <v>-3.2125647042320262E-3</v>
      </c>
      <c r="G50" s="232">
        <f>(1-Inputs!$B$38)*G14+Inputs!$B$38*$B$32*$M14*$M$10</f>
        <v>-3.0070343947494497E-4</v>
      </c>
      <c r="H50" s="232">
        <f>(1-Inputs!$B$38)*H14+Inputs!$B$38*$B$32*$M14*$M$11</f>
        <v>1.062864678618775E-4</v>
      </c>
      <c r="I50" s="232">
        <f>(1-Inputs!$B$38)*I14+Inputs!$B$38*$B$32*$M14*$M$12</f>
        <v>4.55800437140479E-4</v>
      </c>
      <c r="J50" s="232">
        <f>(1-Inputs!$B$38)*J14+Inputs!$B$38*$B$32*$M14*$M$13</f>
        <v>9.7215317871600306E-4</v>
      </c>
      <c r="K50" s="232">
        <f>K14</f>
        <v>1.6427463631871612E-3</v>
      </c>
      <c r="L50" s="232">
        <f>(1-Inputs!$B$38)*L14+Inputs!$B$38*$B$32*$M14*$M$15</f>
        <v>1.032431671936565E-4</v>
      </c>
      <c r="M50" s="243">
        <f>SQRT(K50)</f>
        <v>4.0530807581235798E-2</v>
      </c>
    </row>
    <row r="51" spans="1:16" x14ac:dyDescent="0.2">
      <c r="A51" s="244" t="s">
        <v>34</v>
      </c>
      <c r="B51" s="245">
        <f>(1-Inputs!$B$38)*B15+Inputs!$B$38*$B$32*$M15*$M$5</f>
        <v>-1.3009717905115812E-4</v>
      </c>
      <c r="C51" s="245">
        <f>(1-Inputs!$B$38)*C15+Inputs!$B$38*$B$32*$M15*$M$6</f>
        <v>-1.7249840799249752E-4</v>
      </c>
      <c r="D51" s="245">
        <f>(1-Inputs!$B$38)*D15+Inputs!$B$38*$B$32*$M15*$M$7</f>
        <v>-8.0693182029840807E-5</v>
      </c>
      <c r="E51" s="245">
        <f>(1-Inputs!$B$38)*E15+Inputs!$B$38*$B$32*$M15*$M$8</f>
        <v>-1.3513910107933245E-4</v>
      </c>
      <c r="F51" s="245">
        <f>(1-Inputs!$B$38)*F15+Inputs!$B$38*$B$32*$M15*$M$9</f>
        <v>-1.1320260416765933E-4</v>
      </c>
      <c r="G51" s="245">
        <f>(1-Inputs!$B$38)*G15+Inputs!$B$38*$B$32*$M15*$M$10</f>
        <v>-5.2311367078819823E-5</v>
      </c>
      <c r="H51" s="245">
        <f>(1-Inputs!$B$38)*H15+Inputs!$B$38*$B$32*$M15*$M$11</f>
        <v>9.2152659588632879E-5</v>
      </c>
      <c r="I51" s="245">
        <f>(1-Inputs!$B$38)*I15+Inputs!$B$38*$B$32*$M15*$M$12</f>
        <v>-4.5947588583005934E-5</v>
      </c>
      <c r="J51" s="245">
        <f>(1-Inputs!$B$38)*J15+Inputs!$B$38*$B$32*$M15*$M$13</f>
        <v>1.1059712755680473E-4</v>
      </c>
      <c r="K51" s="245">
        <f>(1-Inputs!$B$38)*K15+Inputs!$B$38*$B$32*$M15*$M$14</f>
        <v>1.032431671936565E-4</v>
      </c>
      <c r="L51" s="245">
        <f>L15</f>
        <v>9.6274886114073888E-5</v>
      </c>
      <c r="M51" s="246">
        <f>SQRT(L51)</f>
        <v>9.8119766670163814E-3</v>
      </c>
    </row>
    <row r="53" spans="1:16" x14ac:dyDescent="0.2">
      <c r="A53" s="247" t="s">
        <v>341</v>
      </c>
      <c r="B53" s="248"/>
      <c r="C53" s="248"/>
      <c r="D53" s="248"/>
      <c r="E53" s="248"/>
      <c r="F53" s="248"/>
      <c r="G53" s="248"/>
      <c r="H53" s="248"/>
      <c r="I53" s="248"/>
      <c r="J53" s="248"/>
      <c r="K53" s="248"/>
      <c r="L53" s="248"/>
      <c r="M53" s="248"/>
      <c r="N53" s="248"/>
      <c r="O53" s="248"/>
      <c r="P53" s="249"/>
    </row>
    <row r="54" spans="1:16" x14ac:dyDescent="0.2">
      <c r="A54" s="250" t="s">
        <v>342</v>
      </c>
      <c r="B54" s="72">
        <f>Forecast!$G$6</f>
        <v>8.2659384356717505E-2</v>
      </c>
      <c r="C54" s="72">
        <f>Forecast!$G$7</f>
        <v>8.2159384356717505E-2</v>
      </c>
      <c r="D54" s="72">
        <f>Forecast!$G$8</f>
        <v>7.8765261100419232E-2</v>
      </c>
      <c r="E54" s="72">
        <f>Forecast!$G$9</f>
        <v>7.3233091332700284E-2</v>
      </c>
      <c r="F54" s="72">
        <f>Forecast!$G$10</f>
        <v>5.0257982430074385E-2</v>
      </c>
      <c r="G54" s="72">
        <f>Forecast!$G$11</f>
        <v>5.4405261181730516E-2</v>
      </c>
      <c r="H54" s="72">
        <f>Forecast!$G$12</f>
        <v>3.3246946826272439E-2</v>
      </c>
      <c r="I54" s="72">
        <f>Forecast!$G$13</f>
        <v>5.8677020230353594E-2</v>
      </c>
      <c r="J54" s="72">
        <f>Forecast!$G$14</f>
        <v>4.7855337072321653E-2</v>
      </c>
      <c r="K54" s="72">
        <f>Forecast!$G$15</f>
        <v>4.7723754634965566E-2</v>
      </c>
      <c r="L54" s="72">
        <f>Forecast!$G$16</f>
        <v>4.6012756330930112E-2</v>
      </c>
      <c r="M54" s="77"/>
      <c r="N54" s="77"/>
      <c r="O54" s="77"/>
      <c r="P54" s="251"/>
    </row>
    <row r="55" spans="1:16" ht="54" customHeight="1" x14ac:dyDescent="0.2">
      <c r="A55" s="252" t="s">
        <v>91</v>
      </c>
      <c r="B55" s="253" t="s">
        <v>14</v>
      </c>
      <c r="C55" s="253" t="s">
        <v>16</v>
      </c>
      <c r="D55" s="253" t="s">
        <v>18</v>
      </c>
      <c r="E55" s="253" t="s">
        <v>20</v>
      </c>
      <c r="F55" s="253" t="s">
        <v>22</v>
      </c>
      <c r="G55" s="253" t="s">
        <v>24</v>
      </c>
      <c r="H55" s="253" t="s">
        <v>26</v>
      </c>
      <c r="I55" s="253" t="s">
        <v>28</v>
      </c>
      <c r="J55" s="253" t="s">
        <v>30</v>
      </c>
      <c r="K55" s="253" t="s">
        <v>32</v>
      </c>
      <c r="L55" s="253" t="s">
        <v>34</v>
      </c>
      <c r="M55" s="253" t="s">
        <v>139</v>
      </c>
      <c r="N55" s="253" t="s">
        <v>140</v>
      </c>
      <c r="O55" s="253" t="s">
        <v>193</v>
      </c>
      <c r="P55" s="254" t="s">
        <v>343</v>
      </c>
    </row>
    <row r="56" spans="1:16" x14ac:dyDescent="0.2">
      <c r="A56" s="255" t="s">
        <v>141</v>
      </c>
      <c r="B56" s="68">
        <f>Inputs!$B$5</f>
        <v>0.4</v>
      </c>
      <c r="C56" s="68">
        <f>Inputs!$B$6</f>
        <v>0.2</v>
      </c>
      <c r="D56" s="68">
        <f>Inputs!$B$7</f>
        <v>0</v>
      </c>
      <c r="E56" s="68">
        <f>Inputs!$B$8</f>
        <v>0.1</v>
      </c>
      <c r="F56" s="68">
        <f>Inputs!$B$9</f>
        <v>0</v>
      </c>
      <c r="G56" s="68">
        <f>Inputs!$B$10</f>
        <v>0</v>
      </c>
      <c r="H56" s="68">
        <f>Inputs!$B$11</f>
        <v>0</v>
      </c>
      <c r="I56" s="68">
        <f>Inputs!$B$12</f>
        <v>0</v>
      </c>
      <c r="J56" s="68">
        <f>Inputs!$B$13</f>
        <v>0.15</v>
      </c>
      <c r="K56" s="68">
        <f>Inputs!$B$14</f>
        <v>0.08</v>
      </c>
      <c r="L56" s="68">
        <f>Inputs!$B$15</f>
        <v>7.0000000000000007E-2</v>
      </c>
      <c r="M56" s="72">
        <f t="shared" ref="M56:M64" si="11">SQRT(SUMPRODUCT(MMULT(B56:L56,$B$41:$L$51),B56:L56))</f>
        <v>8.3833964159733848E-2</v>
      </c>
      <c r="N56" s="72">
        <f t="shared" ref="N56:N64" si="12">SUMPRODUCT($B$54:$L$54,B56:L56)</f>
        <v>7.1036033622111125E-2</v>
      </c>
      <c r="O56" s="72">
        <f>SQRT(SUMPRODUCT(MMULT(B67:L67,$B$41:$L$51),B67:L67))</f>
        <v>2.1585026414092778E-2</v>
      </c>
      <c r="P56" s="251"/>
    </row>
    <row r="57" spans="1:16" x14ac:dyDescent="0.2">
      <c r="A57" s="255" t="s">
        <v>7</v>
      </c>
      <c r="B57" s="68">
        <f>Inputs!$C$5</f>
        <v>0.25</v>
      </c>
      <c r="C57" s="68">
        <f>Inputs!$C$6</f>
        <v>0.24</v>
      </c>
      <c r="D57" s="68">
        <f>Inputs!$C$7</f>
        <v>0.03</v>
      </c>
      <c r="E57" s="68">
        <f>Inputs!$C$8</f>
        <v>7.0000000000000007E-2</v>
      </c>
      <c r="F57" s="68">
        <f>Inputs!$C$9</f>
        <v>0.02</v>
      </c>
      <c r="G57" s="68">
        <f>Inputs!$C$10</f>
        <v>0.05</v>
      </c>
      <c r="H57" s="68">
        <f>Inputs!$C$11</f>
        <v>0.03</v>
      </c>
      <c r="I57" s="68">
        <f>Inputs!$C$12</f>
        <v>0.03</v>
      </c>
      <c r="J57" s="68">
        <f>Inputs!$C$13</f>
        <v>0.14000000000000001</v>
      </c>
      <c r="K57" s="68">
        <f>Inputs!$C$14</f>
        <v>0.11</v>
      </c>
      <c r="L57" s="68">
        <f>Inputs!$C$15</f>
        <v>0.03</v>
      </c>
      <c r="M57" s="72">
        <f t="shared" si="11"/>
        <v>7.0134112008392299E-2</v>
      </c>
      <c r="N57" s="72">
        <f t="shared" si="12"/>
        <v>6.7685257170379112E-2</v>
      </c>
      <c r="O57" s="72">
        <v>0</v>
      </c>
      <c r="P57" s="251"/>
    </row>
    <row r="58" spans="1:16" x14ac:dyDescent="0.2">
      <c r="A58" s="255" t="s">
        <v>8</v>
      </c>
      <c r="B58" s="68">
        <f>Portfolio!$E$6</f>
        <v>0.2697</v>
      </c>
      <c r="C58" s="68">
        <f>Portfolio!$E$7</f>
        <v>0.2732</v>
      </c>
      <c r="D58" s="68">
        <f>Portfolio!$E$8</f>
        <v>7.7100000000000002E-2</v>
      </c>
      <c r="E58" s="68">
        <f>Portfolio!$E$9</f>
        <v>7.5399999999999995E-2</v>
      </c>
      <c r="F58" s="68">
        <f>Portfolio!$E$10</f>
        <v>0.03</v>
      </c>
      <c r="G58" s="68">
        <f>Portfolio!$E$11</f>
        <v>0.05</v>
      </c>
      <c r="H58" s="68">
        <f>Portfolio!$E$12</f>
        <v>0</v>
      </c>
      <c r="I58" s="68">
        <f>Portfolio!$E$13</f>
        <v>0.01</v>
      </c>
      <c r="J58" s="68">
        <f>Portfolio!$E$14</f>
        <v>0.13089999999999999</v>
      </c>
      <c r="K58" s="68">
        <f>Portfolio!$E$15</f>
        <v>6.3700000000000007E-2</v>
      </c>
      <c r="L58" s="68">
        <f>Portfolio!$E$16</f>
        <v>0.02</v>
      </c>
      <c r="M58" s="72">
        <f t="shared" si="11"/>
        <v>7.875064259614814E-2</v>
      </c>
      <c r="N58" s="72">
        <f t="shared" si="12"/>
        <v>7.1373051138514956E-2</v>
      </c>
      <c r="O58" s="72">
        <f>SQRT(SUMPRODUCT(MMULT(B68:L68,$B$41:$L$51),B68:L68))</f>
        <v>1.0997193071421192E-2</v>
      </c>
      <c r="P58" s="251"/>
    </row>
    <row r="59" spans="1:16" x14ac:dyDescent="0.2">
      <c r="A59" s="255" t="s">
        <v>66</v>
      </c>
      <c r="B59" s="68">
        <f>Validation!$B$30</f>
        <v>0.21490000000000001</v>
      </c>
      <c r="C59" s="68">
        <f>Validation!$B$31</f>
        <v>0.35</v>
      </c>
      <c r="D59" s="68">
        <f>Validation!$B$32</f>
        <v>5.5100000000000003E-2</v>
      </c>
      <c r="E59" s="68">
        <f>Validation!$B$33</f>
        <v>3.7199999999999997E-2</v>
      </c>
      <c r="F59" s="68">
        <f>Validation!$B$34</f>
        <v>0.03</v>
      </c>
      <c r="G59" s="68">
        <f>Validation!$B$35</f>
        <v>0.05</v>
      </c>
      <c r="H59" s="68">
        <f>Validation!$B$36</f>
        <v>0</v>
      </c>
      <c r="I59" s="68">
        <f>Validation!$B$37</f>
        <v>0.01</v>
      </c>
      <c r="J59" s="68">
        <f>Validation!$B$38</f>
        <v>0.05</v>
      </c>
      <c r="K59" s="68">
        <f>Validation!$B$39</f>
        <v>0.18279999999999999</v>
      </c>
      <c r="L59" s="68">
        <f>Validation!$B$40</f>
        <v>0.02</v>
      </c>
      <c r="M59" s="72">
        <f t="shared" si="11"/>
        <v>7.534150123142766E-2</v>
      </c>
      <c r="N59" s="72">
        <f t="shared" si="12"/>
        <v>7.0435220169117962E-2</v>
      </c>
      <c r="O59" s="72">
        <f>SQRT(SUMPRODUCT(MMULT(B69:L69,$B$41:$L$51),B69:L69))</f>
        <v>1.3477683383231321E-2</v>
      </c>
      <c r="P59" s="256" t="e">
        <f>SUMPRODUCT(MAX(ABS(B59:L59-$B$58:$L$58)))</f>
        <v>#VALUE!</v>
      </c>
    </row>
    <row r="60" spans="1:16" x14ac:dyDescent="0.2">
      <c r="A60" s="255" t="s">
        <v>344</v>
      </c>
      <c r="B60" s="68">
        <f>Validation!$C$30</f>
        <v>0.26900000000000002</v>
      </c>
      <c r="C60" s="68">
        <f>Validation!$C$31</f>
        <v>0.27839999999999998</v>
      </c>
      <c r="D60" s="68">
        <f>Validation!$C$32</f>
        <v>7.2700000000000001E-2</v>
      </c>
      <c r="E60" s="68">
        <f>Validation!$C$33</f>
        <v>6.3500000000000001E-2</v>
      </c>
      <c r="F60" s="68">
        <f>Validation!$C$34</f>
        <v>0.03</v>
      </c>
      <c r="G60" s="68">
        <f>Validation!$C$35</f>
        <v>0.05</v>
      </c>
      <c r="H60" s="68">
        <f>Validation!$C$36</f>
        <v>0</v>
      </c>
      <c r="I60" s="68">
        <f>Validation!$C$37</f>
        <v>0.01</v>
      </c>
      <c r="J60" s="68">
        <f>Validation!$C$38</f>
        <v>0.15640000000000001</v>
      </c>
      <c r="K60" s="68">
        <f>Validation!$C$39</f>
        <v>0.05</v>
      </c>
      <c r="L60" s="68">
        <f>Validation!$C$40</f>
        <v>0.02</v>
      </c>
      <c r="M60" s="72">
        <f t="shared" si="11"/>
        <v>7.7727302637397855E-2</v>
      </c>
      <c r="N60" s="72">
        <f t="shared" si="12"/>
        <v>7.10908730892644E-2</v>
      </c>
      <c r="O60" s="72">
        <f>SQRT(SUMPRODUCT(MMULT(B70:L70,$B$41:$L$51),B70:L70))</f>
        <v>1.024720107948705E-2</v>
      </c>
      <c r="P60" s="256" t="e">
        <f>SUMPRODUCT(MAX(ABS(B60:L60-$B$58:$L$58)))</f>
        <v>#VALUE!</v>
      </c>
    </row>
    <row r="61" spans="1:16" x14ac:dyDescent="0.2">
      <c r="A61" s="255" t="s">
        <v>345</v>
      </c>
      <c r="B61" s="68">
        <f>Validation!$D$30</f>
        <v>0.26290000000000002</v>
      </c>
      <c r="C61" s="68">
        <f>Validation!$D$31</f>
        <v>0.26350000000000001</v>
      </c>
      <c r="D61" s="68">
        <f>Validation!$D$32</f>
        <v>6.0499999999999998E-2</v>
      </c>
      <c r="E61" s="68">
        <f>Validation!$D$33</f>
        <v>7.0199999999999999E-2</v>
      </c>
      <c r="F61" s="68">
        <f>Validation!$D$34</f>
        <v>0.03</v>
      </c>
      <c r="G61" s="68">
        <f>Validation!$D$35</f>
        <v>0.05</v>
      </c>
      <c r="H61" s="68">
        <f>Validation!$D$36</f>
        <v>0</v>
      </c>
      <c r="I61" s="68">
        <f>Validation!$D$37</f>
        <v>0.01</v>
      </c>
      <c r="J61" s="68">
        <f>Validation!$D$38</f>
        <v>0.14330000000000001</v>
      </c>
      <c r="K61" s="68">
        <f>Validation!$D$39</f>
        <v>8.9599999999999999E-2</v>
      </c>
      <c r="L61" s="68">
        <f>Validation!$D$40</f>
        <v>0.02</v>
      </c>
      <c r="M61" s="72">
        <f t="shared" si="11"/>
        <v>7.543382063342563E-2</v>
      </c>
      <c r="N61" s="72">
        <f t="shared" si="12"/>
        <v>7.0155157312174532E-2</v>
      </c>
      <c r="O61" s="72">
        <f>SQRT(SUMPRODUCT(MMULT(B71:L71,$B$41:$L$51),B71:L71))</f>
        <v>7.5065338134886065E-3</v>
      </c>
      <c r="P61" s="256" t="e">
        <f>SUMPRODUCT(MAX(ABS(B61:L61-$B$58:$L$58)))</f>
        <v>#VALUE!</v>
      </c>
    </row>
    <row r="62" spans="1:16" x14ac:dyDescent="0.2">
      <c r="A62" s="255" t="s">
        <v>346</v>
      </c>
      <c r="B62" s="68">
        <f>Validation!$E$30</f>
        <v>0.27260000000000001</v>
      </c>
      <c r="C62" s="68">
        <f>Validation!$E$31</f>
        <v>0.26819999999999999</v>
      </c>
      <c r="D62" s="68">
        <f>Validation!$E$32</f>
        <v>7.9200000000000007E-2</v>
      </c>
      <c r="E62" s="68">
        <f>Validation!$E$33</f>
        <v>0.1124</v>
      </c>
      <c r="F62" s="68">
        <f>Validation!$E$34</f>
        <v>0.03</v>
      </c>
      <c r="G62" s="68">
        <f>Validation!$E$35</f>
        <v>0.05</v>
      </c>
      <c r="H62" s="68">
        <f>Validation!$E$36</f>
        <v>0</v>
      </c>
      <c r="I62" s="68">
        <f>Validation!$E$37</f>
        <v>0.01</v>
      </c>
      <c r="J62" s="68">
        <f>Validation!$E$38</f>
        <v>0.1076</v>
      </c>
      <c r="K62" s="68">
        <f>Validation!$E$39</f>
        <v>0.05</v>
      </c>
      <c r="L62" s="68">
        <f>Validation!$E$40</f>
        <v>0.02</v>
      </c>
      <c r="M62" s="72">
        <f t="shared" si="11"/>
        <v>8.2552799270913371E-2</v>
      </c>
      <c r="N62" s="72">
        <f t="shared" si="12"/>
        <v>7.2308153066702532E-2</v>
      </c>
      <c r="O62" s="72">
        <f>SQRT(SUMPRODUCT(MMULT(B72:L72,$B$41:$L$51),B72:L72))</f>
        <v>1.4996813147077985E-2</v>
      </c>
      <c r="P62" s="256" t="e">
        <f>SUMPRODUCT(MAX(ABS(B62:L62-$B$58:$L$58)))</f>
        <v>#VALUE!</v>
      </c>
    </row>
    <row r="63" spans="1:16" x14ac:dyDescent="0.2">
      <c r="A63" s="255" t="s">
        <v>347</v>
      </c>
      <c r="B63" s="68">
        <f>Validation!$B$17</f>
        <v>0.27439999999999998</v>
      </c>
      <c r="C63" s="68">
        <f>Validation!$B$18</f>
        <v>0.27339999999999998</v>
      </c>
      <c r="D63" s="68">
        <f>Validation!$B$19</f>
        <v>6.0299999999999999E-2</v>
      </c>
      <c r="E63" s="68">
        <f>Validation!$B$20</f>
        <v>8.4599999999999995E-2</v>
      </c>
      <c r="F63" s="68">
        <f>Validation!$B$21</f>
        <v>0.03</v>
      </c>
      <c r="G63" s="68">
        <f>Validation!$B$22</f>
        <v>0.05</v>
      </c>
      <c r="H63" s="68">
        <f>Validation!$B$23</f>
        <v>0</v>
      </c>
      <c r="I63" s="68">
        <f>Validation!$B$24</f>
        <v>0.01</v>
      </c>
      <c r="J63" s="68">
        <f>Validation!$B$25</f>
        <v>0.14729999999999999</v>
      </c>
      <c r="K63" s="68">
        <f>Validation!$B$26</f>
        <v>0.05</v>
      </c>
      <c r="L63" s="68">
        <f>Validation!$B$27</f>
        <v>0.02</v>
      </c>
      <c r="M63" s="72">
        <f t="shared" si="11"/>
        <v>7.9226287472327725E-2</v>
      </c>
      <c r="N63" s="72">
        <f t="shared" si="12"/>
        <v>7.1259482265123728E-2</v>
      </c>
      <c r="O63" s="77"/>
      <c r="P63" s="251"/>
    </row>
    <row r="64" spans="1:16" x14ac:dyDescent="0.2">
      <c r="A64" s="255" t="s">
        <v>348</v>
      </c>
      <c r="B64" s="68">
        <f>Validation!$C$17</f>
        <v>0.23319999999999999</v>
      </c>
      <c r="C64" s="68">
        <f>Validation!$C$18</f>
        <v>0.15</v>
      </c>
      <c r="D64" s="68">
        <f>Validation!$C$19</f>
        <v>5.16E-2</v>
      </c>
      <c r="E64" s="68">
        <f>Validation!$C$20</f>
        <v>9.2700000000000005E-2</v>
      </c>
      <c r="F64" s="68">
        <f>Validation!$C$21</f>
        <v>0.03</v>
      </c>
      <c r="G64" s="68">
        <f>Validation!$C$22</f>
        <v>0.05</v>
      </c>
      <c r="H64" s="68">
        <f>Validation!$C$23</f>
        <v>0</v>
      </c>
      <c r="I64" s="68">
        <f>Validation!$C$24</f>
        <v>0.01</v>
      </c>
      <c r="J64" s="68">
        <f>Validation!$C$25</f>
        <v>0.16250000000000001</v>
      </c>
      <c r="K64" s="68">
        <f>Validation!$C$26</f>
        <v>0.2</v>
      </c>
      <c r="L64" s="68">
        <f>Validation!$C$27</f>
        <v>0.02</v>
      </c>
      <c r="M64" s="72">
        <f t="shared" si="11"/>
        <v>6.3216364339828218E-2</v>
      </c>
      <c r="N64" s="72">
        <f t="shared" si="12"/>
        <v>6.5509342186973379E-2</v>
      </c>
      <c r="O64" s="77"/>
      <c r="P64" s="251"/>
    </row>
    <row r="65" spans="1:16" x14ac:dyDescent="0.2">
      <c r="A65" s="257"/>
      <c r="B65" s="77"/>
      <c r="C65" s="77"/>
      <c r="D65" s="77"/>
      <c r="E65" s="77"/>
      <c r="F65" s="77"/>
      <c r="G65" s="77"/>
      <c r="H65" s="77"/>
      <c r="I65" s="77"/>
      <c r="J65" s="77"/>
      <c r="K65" s="77"/>
      <c r="L65" s="77"/>
      <c r="M65" s="77"/>
      <c r="N65" s="77"/>
      <c r="O65" s="77"/>
      <c r="P65" s="251"/>
    </row>
    <row r="66" spans="1:16" x14ac:dyDescent="0.2">
      <c r="A66" s="250" t="s">
        <v>349</v>
      </c>
      <c r="B66" s="77"/>
      <c r="C66" s="77"/>
      <c r="D66" s="77"/>
      <c r="E66" s="77"/>
      <c r="F66" s="77"/>
      <c r="G66" s="77"/>
      <c r="H66" s="77"/>
      <c r="I66" s="77"/>
      <c r="J66" s="77"/>
      <c r="K66" s="77"/>
      <c r="L66" s="77"/>
      <c r="M66" s="77"/>
      <c r="N66" s="77"/>
      <c r="O66" s="77"/>
      <c r="P66" s="251"/>
    </row>
    <row r="67" spans="1:16" x14ac:dyDescent="0.2">
      <c r="A67" s="255" t="s">
        <v>141</v>
      </c>
      <c r="B67" s="68">
        <f t="shared" ref="B67:L67" si="13">B56-B$57</f>
        <v>0.15000000000000002</v>
      </c>
      <c r="C67" s="68">
        <f t="shared" si="13"/>
        <v>-3.999999999999998E-2</v>
      </c>
      <c r="D67" s="68">
        <f t="shared" si="13"/>
        <v>-0.03</v>
      </c>
      <c r="E67" s="68">
        <f t="shared" si="13"/>
        <v>0.03</v>
      </c>
      <c r="F67" s="68">
        <f t="shared" si="13"/>
        <v>-0.02</v>
      </c>
      <c r="G67" s="68">
        <f t="shared" si="13"/>
        <v>-0.05</v>
      </c>
      <c r="H67" s="68">
        <f t="shared" si="13"/>
        <v>-0.03</v>
      </c>
      <c r="I67" s="68">
        <f t="shared" si="13"/>
        <v>-0.03</v>
      </c>
      <c r="J67" s="68">
        <f t="shared" si="13"/>
        <v>9.9999999999999811E-3</v>
      </c>
      <c r="K67" s="68">
        <f t="shared" si="13"/>
        <v>-0.03</v>
      </c>
      <c r="L67" s="68">
        <f t="shared" si="13"/>
        <v>4.0000000000000008E-2</v>
      </c>
      <c r="M67" s="77"/>
      <c r="N67" s="77"/>
      <c r="O67" s="77"/>
      <c r="P67" s="251"/>
    </row>
    <row r="68" spans="1:16" x14ac:dyDescent="0.2">
      <c r="A68" s="255" t="s">
        <v>8</v>
      </c>
      <c r="B68" s="68">
        <f t="shared" ref="B68:L68" si="14">B58-B$57</f>
        <v>1.9699999999999995E-2</v>
      </c>
      <c r="C68" s="68">
        <f t="shared" si="14"/>
        <v>3.3200000000000007E-2</v>
      </c>
      <c r="D68" s="68">
        <f t="shared" si="14"/>
        <v>4.7100000000000003E-2</v>
      </c>
      <c r="E68" s="68">
        <f t="shared" si="14"/>
        <v>5.3999999999999881E-3</v>
      </c>
      <c r="F68" s="68">
        <f t="shared" si="14"/>
        <v>9.9999999999999985E-3</v>
      </c>
      <c r="G68" s="68">
        <f t="shared" si="14"/>
        <v>0</v>
      </c>
      <c r="H68" s="68">
        <f t="shared" si="14"/>
        <v>-0.03</v>
      </c>
      <c r="I68" s="68">
        <f t="shared" si="14"/>
        <v>-1.9999999999999997E-2</v>
      </c>
      <c r="J68" s="68">
        <f t="shared" si="14"/>
        <v>-9.1000000000000247E-3</v>
      </c>
      <c r="K68" s="68">
        <f t="shared" si="14"/>
        <v>-4.6299999999999994E-2</v>
      </c>
      <c r="L68" s="68">
        <f t="shared" si="14"/>
        <v>-9.9999999999999985E-3</v>
      </c>
      <c r="M68" s="77"/>
      <c r="N68" s="77"/>
      <c r="O68" s="77"/>
      <c r="P68" s="251"/>
    </row>
    <row r="69" spans="1:16" x14ac:dyDescent="0.2">
      <c r="A69" s="255" t="s">
        <v>66</v>
      </c>
      <c r="B69" s="68">
        <f t="shared" ref="B69:L69" si="15">B59-B$57</f>
        <v>-3.5099999999999992E-2</v>
      </c>
      <c r="C69" s="68">
        <f t="shared" si="15"/>
        <v>0.10999999999999999</v>
      </c>
      <c r="D69" s="68">
        <f t="shared" si="15"/>
        <v>2.5100000000000004E-2</v>
      </c>
      <c r="E69" s="68">
        <f t="shared" si="15"/>
        <v>-3.280000000000001E-2</v>
      </c>
      <c r="F69" s="68">
        <f t="shared" si="15"/>
        <v>9.9999999999999985E-3</v>
      </c>
      <c r="G69" s="68">
        <f t="shared" si="15"/>
        <v>0</v>
      </c>
      <c r="H69" s="68">
        <f t="shared" si="15"/>
        <v>-0.03</v>
      </c>
      <c r="I69" s="68">
        <f t="shared" si="15"/>
        <v>-1.9999999999999997E-2</v>
      </c>
      <c r="J69" s="68">
        <f t="shared" si="15"/>
        <v>-9.0000000000000011E-2</v>
      </c>
      <c r="K69" s="68">
        <f t="shared" si="15"/>
        <v>7.279999999999999E-2</v>
      </c>
      <c r="L69" s="68">
        <f t="shared" si="15"/>
        <v>-9.9999999999999985E-3</v>
      </c>
      <c r="M69" s="77"/>
      <c r="N69" s="77"/>
      <c r="O69" s="77"/>
      <c r="P69" s="251"/>
    </row>
    <row r="70" spans="1:16" x14ac:dyDescent="0.2">
      <c r="A70" s="255" t="s">
        <v>344</v>
      </c>
      <c r="B70" s="68">
        <f t="shared" ref="B70:L70" si="16">B60-B$57</f>
        <v>1.9000000000000017E-2</v>
      </c>
      <c r="C70" s="68">
        <f t="shared" si="16"/>
        <v>3.839999999999999E-2</v>
      </c>
      <c r="D70" s="68">
        <f t="shared" si="16"/>
        <v>4.2700000000000002E-2</v>
      </c>
      <c r="E70" s="68">
        <f t="shared" si="16"/>
        <v>-6.5000000000000058E-3</v>
      </c>
      <c r="F70" s="68">
        <f t="shared" si="16"/>
        <v>9.9999999999999985E-3</v>
      </c>
      <c r="G70" s="68">
        <f t="shared" si="16"/>
        <v>0</v>
      </c>
      <c r="H70" s="68">
        <f t="shared" si="16"/>
        <v>-0.03</v>
      </c>
      <c r="I70" s="68">
        <f t="shared" si="16"/>
        <v>-1.9999999999999997E-2</v>
      </c>
      <c r="J70" s="68">
        <f t="shared" si="16"/>
        <v>1.6399999999999998E-2</v>
      </c>
      <c r="K70" s="68">
        <f t="shared" si="16"/>
        <v>-0.06</v>
      </c>
      <c r="L70" s="68">
        <f t="shared" si="16"/>
        <v>-9.9999999999999985E-3</v>
      </c>
      <c r="M70" s="77"/>
      <c r="N70" s="77"/>
      <c r="O70" s="77"/>
      <c r="P70" s="251"/>
    </row>
    <row r="71" spans="1:16" x14ac:dyDescent="0.2">
      <c r="A71" s="255" t="s">
        <v>350</v>
      </c>
      <c r="B71" s="68">
        <f t="shared" ref="B71:L71" si="17">B61-B$57</f>
        <v>1.2900000000000023E-2</v>
      </c>
      <c r="C71" s="68">
        <f t="shared" si="17"/>
        <v>2.3500000000000021E-2</v>
      </c>
      <c r="D71" s="68">
        <f t="shared" si="17"/>
        <v>3.0499999999999999E-2</v>
      </c>
      <c r="E71" s="68">
        <f t="shared" si="17"/>
        <v>1.9999999999999185E-4</v>
      </c>
      <c r="F71" s="68">
        <f t="shared" si="17"/>
        <v>9.9999999999999985E-3</v>
      </c>
      <c r="G71" s="68">
        <f t="shared" si="17"/>
        <v>0</v>
      </c>
      <c r="H71" s="68">
        <f t="shared" si="17"/>
        <v>-0.03</v>
      </c>
      <c r="I71" s="68">
        <f t="shared" si="17"/>
        <v>-1.9999999999999997E-2</v>
      </c>
      <c r="J71" s="68">
        <f t="shared" si="17"/>
        <v>3.2999999999999974E-3</v>
      </c>
      <c r="K71" s="68">
        <f t="shared" si="17"/>
        <v>-2.0400000000000001E-2</v>
      </c>
      <c r="L71" s="68">
        <f t="shared" si="17"/>
        <v>-9.9999999999999985E-3</v>
      </c>
      <c r="M71" s="77"/>
      <c r="N71" s="77"/>
      <c r="O71" s="77"/>
      <c r="P71" s="251"/>
    </row>
    <row r="72" spans="1:16" x14ac:dyDescent="0.2">
      <c r="A72" s="258" t="s">
        <v>351</v>
      </c>
      <c r="B72" s="259">
        <f t="shared" ref="B72:L72" si="18">B62-B$57</f>
        <v>2.2600000000000009E-2</v>
      </c>
      <c r="C72" s="259">
        <f t="shared" si="18"/>
        <v>2.8200000000000003E-2</v>
      </c>
      <c r="D72" s="259">
        <f t="shared" si="18"/>
        <v>4.9200000000000008E-2</v>
      </c>
      <c r="E72" s="259">
        <f t="shared" si="18"/>
        <v>4.2399999999999993E-2</v>
      </c>
      <c r="F72" s="259">
        <f t="shared" si="18"/>
        <v>9.9999999999999985E-3</v>
      </c>
      <c r="G72" s="259">
        <f t="shared" si="18"/>
        <v>0</v>
      </c>
      <c r="H72" s="259">
        <f t="shared" si="18"/>
        <v>-0.03</v>
      </c>
      <c r="I72" s="259">
        <f t="shared" si="18"/>
        <v>-1.9999999999999997E-2</v>
      </c>
      <c r="J72" s="259">
        <f t="shared" si="18"/>
        <v>-3.2400000000000012E-2</v>
      </c>
      <c r="K72" s="259">
        <f t="shared" si="18"/>
        <v>-0.06</v>
      </c>
      <c r="L72" s="259">
        <f t="shared" si="18"/>
        <v>-9.9999999999999985E-3</v>
      </c>
      <c r="M72" s="260"/>
      <c r="N72" s="260"/>
      <c r="O72" s="260"/>
      <c r="P72" s="261"/>
    </row>
  </sheetData>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B6B73"/>
    <pageSetUpPr fitToPage="1"/>
  </sheetPr>
  <dimension ref="A1:L59"/>
  <sheetViews>
    <sheetView showGridLines="0" topLeftCell="A40" workbookViewId="0"/>
  </sheetViews>
  <sheetFormatPr baseColWidth="10" defaultColWidth="8.83203125" defaultRowHeight="15" x14ac:dyDescent="0.2"/>
  <cols>
    <col min="1" max="1" width="40" customWidth="1"/>
    <col min="2" max="2" width="14" customWidth="1"/>
    <col min="3" max="4" width="12" customWidth="1"/>
    <col min="5" max="5" width="14" customWidth="1"/>
    <col min="6" max="7" width="10" customWidth="1"/>
    <col min="8" max="10" width="13" customWidth="1"/>
    <col min="11" max="11" width="12" customWidth="1"/>
    <col min="12" max="12" width="14" customWidth="1"/>
  </cols>
  <sheetData>
    <row r="1" spans="1:12" ht="19" x14ac:dyDescent="0.2">
      <c r="A1" s="53" t="s">
        <v>91</v>
      </c>
    </row>
    <row r="3" spans="1:12" x14ac:dyDescent="0.2">
      <c r="A3" s="247" t="s">
        <v>352</v>
      </c>
      <c r="B3" s="248"/>
      <c r="C3" s="248"/>
      <c r="D3" s="248"/>
      <c r="E3" s="248"/>
      <c r="F3" s="248"/>
      <c r="G3" s="248"/>
      <c r="H3" s="248"/>
      <c r="I3" s="248"/>
      <c r="J3" s="248"/>
      <c r="K3" s="248"/>
      <c r="L3" s="249"/>
    </row>
    <row r="4" spans="1:12" x14ac:dyDescent="0.2">
      <c r="A4" s="257"/>
      <c r="B4" s="77"/>
      <c r="C4" s="77"/>
      <c r="D4" s="77"/>
      <c r="E4" s="77"/>
      <c r="F4" s="77"/>
      <c r="G4" s="77"/>
      <c r="H4" s="77"/>
      <c r="I4" s="77"/>
      <c r="J4" s="77"/>
      <c r="K4" s="77"/>
      <c r="L4" s="251"/>
    </row>
    <row r="5" spans="1:12" ht="42" customHeight="1" x14ac:dyDescent="0.2">
      <c r="A5" s="252" t="s">
        <v>5</v>
      </c>
      <c r="B5" s="253" t="s">
        <v>353</v>
      </c>
      <c r="C5" s="253" t="s">
        <v>6</v>
      </c>
      <c r="D5" s="253" t="s">
        <v>7</v>
      </c>
      <c r="E5" s="253" t="s">
        <v>8</v>
      </c>
      <c r="F5" s="253" t="s">
        <v>354</v>
      </c>
      <c r="G5" s="253" t="s">
        <v>355</v>
      </c>
      <c r="H5" s="253" t="s">
        <v>356</v>
      </c>
      <c r="I5" s="253" t="s">
        <v>9</v>
      </c>
      <c r="J5" s="253" t="s">
        <v>10</v>
      </c>
      <c r="K5" s="253" t="s">
        <v>260</v>
      </c>
      <c r="L5" s="254" t="s">
        <v>357</v>
      </c>
    </row>
    <row r="6" spans="1:12" x14ac:dyDescent="0.2">
      <c r="A6" s="255" t="s">
        <v>14</v>
      </c>
      <c r="B6" s="149" t="s">
        <v>358</v>
      </c>
      <c r="C6" s="68">
        <f>Inputs!B5</f>
        <v>0.4</v>
      </c>
      <c r="D6" s="68">
        <f>Inputs!C5</f>
        <v>0.25</v>
      </c>
      <c r="E6" s="96">
        <f>Methods!I6</f>
        <v>0.2697</v>
      </c>
      <c r="F6" s="68">
        <f>Inputs!E5</f>
        <v>0.15</v>
      </c>
      <c r="G6" s="68">
        <f>Inputs!F5</f>
        <v>0.35</v>
      </c>
      <c r="H6" s="72">
        <f t="shared" ref="H6:H16" si="0">E6-D6</f>
        <v>1.9699999999999995E-2</v>
      </c>
      <c r="I6" s="72">
        <f t="shared" ref="I6:I16" si="1">E6-C6</f>
        <v>-0.13030000000000003</v>
      </c>
      <c r="J6" s="262">
        <f>I6*Inputs!$B$22</f>
        <v>-390.90000000000009</v>
      </c>
      <c r="K6" s="72">
        <f>Forecast!G6</f>
        <v>8.2659384356717505E-2</v>
      </c>
      <c r="L6" s="263">
        <f t="shared" ref="L6:L16" si="2">E6*K6</f>
        <v>2.229323596100671E-2</v>
      </c>
    </row>
    <row r="7" spans="1:12" x14ac:dyDescent="0.2">
      <c r="A7" s="255" t="s">
        <v>16</v>
      </c>
      <c r="B7" s="149" t="s">
        <v>358</v>
      </c>
      <c r="C7" s="68">
        <f>Inputs!B6</f>
        <v>0.2</v>
      </c>
      <c r="D7" s="68">
        <f>Inputs!C6</f>
        <v>0.24</v>
      </c>
      <c r="E7" s="96">
        <f>Methods!I7</f>
        <v>0.2732</v>
      </c>
      <c r="F7" s="68">
        <f>Inputs!E6</f>
        <v>0.15</v>
      </c>
      <c r="G7" s="68">
        <f>Inputs!F6</f>
        <v>0.35</v>
      </c>
      <c r="H7" s="72">
        <f t="shared" si="0"/>
        <v>3.3200000000000007E-2</v>
      </c>
      <c r="I7" s="72">
        <f t="shared" si="1"/>
        <v>7.3199999999999987E-2</v>
      </c>
      <c r="J7" s="262">
        <f>I7*Inputs!$B$22</f>
        <v>219.59999999999997</v>
      </c>
      <c r="K7" s="72">
        <f>Forecast!G7</f>
        <v>8.2159384356717505E-2</v>
      </c>
      <c r="L7" s="263">
        <f t="shared" si="2"/>
        <v>2.2445943806255222E-2</v>
      </c>
    </row>
    <row r="8" spans="1:12" x14ac:dyDescent="0.2">
      <c r="A8" s="255" t="s">
        <v>18</v>
      </c>
      <c r="B8" s="149" t="s">
        <v>358</v>
      </c>
      <c r="C8" s="68">
        <f>Inputs!B7</f>
        <v>0</v>
      </c>
      <c r="D8" s="68">
        <f>Inputs!C7</f>
        <v>0.03</v>
      </c>
      <c r="E8" s="96">
        <f>Methods!I8</f>
        <v>7.7100000000000002E-2</v>
      </c>
      <c r="F8" s="68">
        <f>Inputs!E7</f>
        <v>0</v>
      </c>
      <c r="G8" s="68">
        <f>Inputs!F7</f>
        <v>0.08</v>
      </c>
      <c r="H8" s="72">
        <f t="shared" si="0"/>
        <v>4.7100000000000003E-2</v>
      </c>
      <c r="I8" s="72">
        <f t="shared" si="1"/>
        <v>7.7100000000000002E-2</v>
      </c>
      <c r="J8" s="262">
        <f>I8*Inputs!$B$22</f>
        <v>231.3</v>
      </c>
      <c r="K8" s="72">
        <f>Forecast!G8</f>
        <v>7.8765261100419232E-2</v>
      </c>
      <c r="L8" s="263">
        <f t="shared" si="2"/>
        <v>6.0728016308423229E-3</v>
      </c>
    </row>
    <row r="9" spans="1:12" x14ac:dyDescent="0.2">
      <c r="A9" s="255" t="s">
        <v>20</v>
      </c>
      <c r="B9" s="149" t="s">
        <v>358</v>
      </c>
      <c r="C9" s="68">
        <f>Inputs!B8</f>
        <v>0.1</v>
      </c>
      <c r="D9" s="68">
        <f>Inputs!C8</f>
        <v>7.0000000000000007E-2</v>
      </c>
      <c r="E9" s="96">
        <f>Methods!I9</f>
        <v>7.5399999999999995E-2</v>
      </c>
      <c r="F9" s="68">
        <f>Inputs!E8</f>
        <v>0</v>
      </c>
      <c r="G9" s="68">
        <f>Inputs!F8</f>
        <v>0.12</v>
      </c>
      <c r="H9" s="72">
        <f t="shared" si="0"/>
        <v>5.3999999999999881E-3</v>
      </c>
      <c r="I9" s="72">
        <f t="shared" si="1"/>
        <v>-2.4600000000000011E-2</v>
      </c>
      <c r="J9" s="262">
        <f>I9*Inputs!$B$22</f>
        <v>-73.800000000000026</v>
      </c>
      <c r="K9" s="72">
        <f>Forecast!G9</f>
        <v>7.3233091332700284E-2</v>
      </c>
      <c r="L9" s="263">
        <f t="shared" si="2"/>
        <v>5.5217750864856013E-3</v>
      </c>
    </row>
    <row r="10" spans="1:12" x14ac:dyDescent="0.2">
      <c r="A10" s="255" t="s">
        <v>22</v>
      </c>
      <c r="B10" s="149" t="s">
        <v>359</v>
      </c>
      <c r="C10" s="68">
        <f>Inputs!B9</f>
        <v>0</v>
      </c>
      <c r="D10" s="68">
        <f>Inputs!C9</f>
        <v>0.02</v>
      </c>
      <c r="E10" s="69">
        <f>H23</f>
        <v>0.03</v>
      </c>
      <c r="F10" s="68">
        <f>Inputs!E9</f>
        <v>0</v>
      </c>
      <c r="G10" s="68">
        <f>Inputs!F9</f>
        <v>0.08</v>
      </c>
      <c r="H10" s="72">
        <f t="shared" si="0"/>
        <v>9.9999999999999985E-3</v>
      </c>
      <c r="I10" s="72">
        <f t="shared" si="1"/>
        <v>0.03</v>
      </c>
      <c r="J10" s="262">
        <f>I10*Inputs!$B$22</f>
        <v>90</v>
      </c>
      <c r="K10" s="72">
        <f>Forecast!G10</f>
        <v>5.0257982430074385E-2</v>
      </c>
      <c r="L10" s="263">
        <f t="shared" si="2"/>
        <v>1.5077394729022316E-3</v>
      </c>
    </row>
    <row r="11" spans="1:12" x14ac:dyDescent="0.2">
      <c r="A11" s="255" t="s">
        <v>24</v>
      </c>
      <c r="B11" s="149" t="s">
        <v>359</v>
      </c>
      <c r="C11" s="68">
        <f>Inputs!B10</f>
        <v>0</v>
      </c>
      <c r="D11" s="68">
        <f>Inputs!C10</f>
        <v>0.05</v>
      </c>
      <c r="E11" s="69">
        <f>H24</f>
        <v>0.05</v>
      </c>
      <c r="F11" s="68">
        <f>Inputs!E10</f>
        <v>0</v>
      </c>
      <c r="G11" s="68">
        <f>Inputs!F10</f>
        <v>0.1</v>
      </c>
      <c r="H11" s="72">
        <f t="shared" si="0"/>
        <v>0</v>
      </c>
      <c r="I11" s="72">
        <f t="shared" si="1"/>
        <v>0.05</v>
      </c>
      <c r="J11" s="262">
        <f>I11*Inputs!$B$22</f>
        <v>150</v>
      </c>
      <c r="K11" s="72">
        <f>Forecast!G11</f>
        <v>5.4405261181730516E-2</v>
      </c>
      <c r="L11" s="263">
        <f t="shared" si="2"/>
        <v>2.7202630590865261E-3</v>
      </c>
    </row>
    <row r="12" spans="1:12" x14ac:dyDescent="0.2">
      <c r="A12" s="255" t="s">
        <v>26</v>
      </c>
      <c r="B12" s="149" t="s">
        <v>359</v>
      </c>
      <c r="C12" s="68">
        <f>Inputs!B11</f>
        <v>0</v>
      </c>
      <c r="D12" s="68">
        <f>Inputs!C11</f>
        <v>0.03</v>
      </c>
      <c r="E12" s="69">
        <f>H25</f>
        <v>0</v>
      </c>
      <c r="F12" s="68">
        <f>Inputs!E11</f>
        <v>0</v>
      </c>
      <c r="G12" s="68">
        <f>Inputs!F11</f>
        <v>0.08</v>
      </c>
      <c r="H12" s="72">
        <f t="shared" si="0"/>
        <v>-0.03</v>
      </c>
      <c r="I12" s="72">
        <f t="shared" si="1"/>
        <v>0</v>
      </c>
      <c r="J12" s="262">
        <f>I12*Inputs!$B$22</f>
        <v>0</v>
      </c>
      <c r="K12" s="72">
        <f>Forecast!G12</f>
        <v>3.3246946826272439E-2</v>
      </c>
      <c r="L12" s="263">
        <f t="shared" si="2"/>
        <v>0</v>
      </c>
    </row>
    <row r="13" spans="1:12" x14ac:dyDescent="0.2">
      <c r="A13" s="255" t="s">
        <v>28</v>
      </c>
      <c r="B13" s="149" t="s">
        <v>359</v>
      </c>
      <c r="C13" s="68">
        <f>Inputs!B12</f>
        <v>0</v>
      </c>
      <c r="D13" s="68">
        <f>Inputs!C12</f>
        <v>0.03</v>
      </c>
      <c r="E13" s="69">
        <f>H26</f>
        <v>0.01</v>
      </c>
      <c r="F13" s="68">
        <f>Inputs!E12</f>
        <v>0</v>
      </c>
      <c r="G13" s="68">
        <f>Inputs!F12</f>
        <v>0.08</v>
      </c>
      <c r="H13" s="72">
        <f t="shared" si="0"/>
        <v>-1.9999999999999997E-2</v>
      </c>
      <c r="I13" s="72">
        <f t="shared" si="1"/>
        <v>0.01</v>
      </c>
      <c r="J13" s="262">
        <f>I13*Inputs!$B$22</f>
        <v>30</v>
      </c>
      <c r="K13" s="72">
        <f>Forecast!G13</f>
        <v>5.8677020230353594E-2</v>
      </c>
      <c r="L13" s="263">
        <f t="shared" si="2"/>
        <v>5.8677020230353592E-4</v>
      </c>
    </row>
    <row r="14" spans="1:12" x14ac:dyDescent="0.2">
      <c r="A14" s="255" t="s">
        <v>30</v>
      </c>
      <c r="B14" s="149" t="s">
        <v>358</v>
      </c>
      <c r="C14" s="68">
        <f>Inputs!B13</f>
        <v>0.15</v>
      </c>
      <c r="D14" s="68">
        <f>Inputs!C13</f>
        <v>0.14000000000000001</v>
      </c>
      <c r="E14" s="96">
        <f>Methods!I14</f>
        <v>0.13089999999999999</v>
      </c>
      <c r="F14" s="68">
        <f>Inputs!E13</f>
        <v>0.05</v>
      </c>
      <c r="G14" s="68">
        <f>Inputs!F13</f>
        <v>0.25</v>
      </c>
      <c r="H14" s="72">
        <f t="shared" si="0"/>
        <v>-9.1000000000000247E-3</v>
      </c>
      <c r="I14" s="72">
        <f t="shared" si="1"/>
        <v>-1.9100000000000006E-2</v>
      </c>
      <c r="J14" s="262">
        <f>I14*Inputs!$B$22</f>
        <v>-57.300000000000018</v>
      </c>
      <c r="K14" s="72">
        <f>Forecast!G14</f>
        <v>4.7855337072321653E-2</v>
      </c>
      <c r="L14" s="263">
        <f t="shared" si="2"/>
        <v>6.264263622766904E-3</v>
      </c>
    </row>
    <row r="15" spans="1:12" x14ac:dyDescent="0.2">
      <c r="A15" s="255" t="s">
        <v>32</v>
      </c>
      <c r="B15" s="149" t="s">
        <v>358</v>
      </c>
      <c r="C15" s="68">
        <f>Inputs!B14</f>
        <v>0.08</v>
      </c>
      <c r="D15" s="68">
        <f>Inputs!C14</f>
        <v>0.11</v>
      </c>
      <c r="E15" s="96">
        <f>Methods!I15</f>
        <v>6.3700000000000007E-2</v>
      </c>
      <c r="F15" s="68">
        <f>Inputs!E14</f>
        <v>0.05</v>
      </c>
      <c r="G15" s="68">
        <f>Inputs!F14</f>
        <v>0.2</v>
      </c>
      <c r="H15" s="72">
        <f t="shared" si="0"/>
        <v>-4.6299999999999994E-2</v>
      </c>
      <c r="I15" s="72">
        <f t="shared" si="1"/>
        <v>-1.6299999999999995E-2</v>
      </c>
      <c r="J15" s="262">
        <f>I15*Inputs!$B$22</f>
        <v>-48.899999999999984</v>
      </c>
      <c r="K15" s="72">
        <f>Forecast!G15</f>
        <v>4.7723754634965566E-2</v>
      </c>
      <c r="L15" s="263">
        <f t="shared" si="2"/>
        <v>3.040003170247307E-3</v>
      </c>
    </row>
    <row r="16" spans="1:12" x14ac:dyDescent="0.2">
      <c r="A16" s="255" t="s">
        <v>34</v>
      </c>
      <c r="B16" s="149" t="s">
        <v>358</v>
      </c>
      <c r="C16" s="68">
        <f>Inputs!B15</f>
        <v>7.0000000000000007E-2</v>
      </c>
      <c r="D16" s="68">
        <f>Inputs!C15</f>
        <v>0.03</v>
      </c>
      <c r="E16" s="96">
        <f>Methods!I16</f>
        <v>0.02</v>
      </c>
      <c r="F16" s="68">
        <f>Inputs!E15</f>
        <v>0.02</v>
      </c>
      <c r="G16" s="68">
        <f>Inputs!F15</f>
        <v>0.1</v>
      </c>
      <c r="H16" s="72">
        <f t="shared" si="0"/>
        <v>-9.9999999999999985E-3</v>
      </c>
      <c r="I16" s="72">
        <f t="shared" si="1"/>
        <v>-0.05</v>
      </c>
      <c r="J16" s="262">
        <f>I16*Inputs!$B$22</f>
        <v>-150</v>
      </c>
      <c r="K16" s="72">
        <f>Forecast!G16</f>
        <v>4.6012756330930112E-2</v>
      </c>
      <c r="L16" s="263">
        <f t="shared" si="2"/>
        <v>9.2025512661860224E-4</v>
      </c>
    </row>
    <row r="17" spans="1:12" x14ac:dyDescent="0.2">
      <c r="A17" s="264" t="s">
        <v>36</v>
      </c>
      <c r="B17" s="260"/>
      <c r="C17" s="265">
        <f>SUM(C6:C16)</f>
        <v>1</v>
      </c>
      <c r="D17" s="265">
        <f>SUM(D6:D16)</f>
        <v>1.0000000000000002</v>
      </c>
      <c r="E17" s="265">
        <f>SUM(E6:E16)</f>
        <v>1</v>
      </c>
      <c r="F17" s="260"/>
      <c r="G17" s="260"/>
      <c r="H17" s="265">
        <f>SUM(H6:H16)</f>
        <v>-3.1225022567582528E-17</v>
      </c>
      <c r="I17" s="265">
        <f>SUM(I6:I16)</f>
        <v>-5.5511151231257827E-17</v>
      </c>
      <c r="J17" s="266">
        <f>SUM(J6:J16)</f>
        <v>0</v>
      </c>
      <c r="K17" s="260"/>
      <c r="L17" s="267">
        <f>SUM(L6:L16)</f>
        <v>7.1373051138514956E-2</v>
      </c>
    </row>
    <row r="20" spans="1:12" x14ac:dyDescent="0.2">
      <c r="A20" s="181" t="s">
        <v>360</v>
      </c>
      <c r="B20" s="182"/>
      <c r="C20" s="182"/>
      <c r="D20" s="182"/>
      <c r="E20" s="182"/>
      <c r="F20" s="182"/>
      <c r="G20" s="182"/>
      <c r="H20" s="182"/>
      <c r="I20" s="183"/>
    </row>
    <row r="21" spans="1:12" x14ac:dyDescent="0.2">
      <c r="A21" s="268"/>
      <c r="B21" s="77"/>
      <c r="C21" s="77"/>
      <c r="D21" s="77"/>
      <c r="E21" s="77"/>
      <c r="F21" s="77"/>
      <c r="G21" s="77"/>
      <c r="H21" s="77"/>
      <c r="I21" s="269"/>
    </row>
    <row r="22" spans="1:12" ht="42" customHeight="1" x14ac:dyDescent="0.2">
      <c r="A22" s="184" t="s">
        <v>5</v>
      </c>
      <c r="B22" s="185" t="s">
        <v>361</v>
      </c>
      <c r="C22" s="185" t="s">
        <v>362</v>
      </c>
      <c r="D22" s="185" t="s">
        <v>363</v>
      </c>
      <c r="E22" s="185" t="s">
        <v>364</v>
      </c>
      <c r="F22" s="185" t="s">
        <v>365</v>
      </c>
      <c r="G22" s="185" t="s">
        <v>366</v>
      </c>
      <c r="H22" s="185" t="s">
        <v>367</v>
      </c>
      <c r="I22" s="186" t="s">
        <v>7</v>
      </c>
    </row>
    <row r="23" spans="1:12" x14ac:dyDescent="0.2">
      <c r="A23" s="187" t="s">
        <v>22</v>
      </c>
      <c r="B23" s="174">
        <v>3</v>
      </c>
      <c r="C23" s="174">
        <v>5</v>
      </c>
      <c r="D23" s="174">
        <v>5</v>
      </c>
      <c r="E23" s="174">
        <v>3</v>
      </c>
      <c r="F23" s="174">
        <v>4</v>
      </c>
      <c r="G23" s="270">
        <f>AVERAGE(B23:F23)</f>
        <v>4</v>
      </c>
      <c r="H23" s="271">
        <v>0.03</v>
      </c>
      <c r="I23" s="272">
        <f>Inputs!C9</f>
        <v>0.02</v>
      </c>
    </row>
    <row r="24" spans="1:12" x14ac:dyDescent="0.2">
      <c r="A24" s="187" t="s">
        <v>24</v>
      </c>
      <c r="B24" s="174">
        <v>3</v>
      </c>
      <c r="C24" s="174">
        <v>4</v>
      </c>
      <c r="D24" s="174">
        <v>1</v>
      </c>
      <c r="E24" s="174">
        <v>2</v>
      </c>
      <c r="F24" s="174">
        <v>2</v>
      </c>
      <c r="G24" s="270">
        <f>AVERAGE(B24:F24)</f>
        <v>2.4</v>
      </c>
      <c r="H24" s="271">
        <v>0.05</v>
      </c>
      <c r="I24" s="272">
        <f>Inputs!C10</f>
        <v>0.05</v>
      </c>
    </row>
    <row r="25" spans="1:12" x14ac:dyDescent="0.2">
      <c r="A25" s="187" t="s">
        <v>26</v>
      </c>
      <c r="B25" s="174">
        <v>2</v>
      </c>
      <c r="C25" s="174">
        <v>3</v>
      </c>
      <c r="D25" s="174">
        <v>2</v>
      </c>
      <c r="E25" s="174">
        <v>2</v>
      </c>
      <c r="F25" s="174">
        <v>2</v>
      </c>
      <c r="G25" s="270">
        <f>AVERAGE(B25:F25)</f>
        <v>2.2000000000000002</v>
      </c>
      <c r="H25" s="271">
        <v>0</v>
      </c>
      <c r="I25" s="272">
        <f>Inputs!C11</f>
        <v>0.03</v>
      </c>
    </row>
    <row r="26" spans="1:12" x14ac:dyDescent="0.2">
      <c r="A26" s="187" t="s">
        <v>28</v>
      </c>
      <c r="B26" s="174">
        <v>4</v>
      </c>
      <c r="C26" s="174">
        <v>3</v>
      </c>
      <c r="D26" s="174">
        <v>1</v>
      </c>
      <c r="E26" s="174">
        <v>2</v>
      </c>
      <c r="F26" s="174">
        <v>2</v>
      </c>
      <c r="G26" s="270">
        <f>AVERAGE(B26:F26)</f>
        <v>2.4</v>
      </c>
      <c r="H26" s="271">
        <v>0.01</v>
      </c>
      <c r="I26" s="272">
        <f>Inputs!C12</f>
        <v>0.03</v>
      </c>
    </row>
    <row r="27" spans="1:12" x14ac:dyDescent="0.2">
      <c r="A27" s="273" t="s">
        <v>368</v>
      </c>
      <c r="B27" s="274"/>
      <c r="C27" s="274"/>
      <c r="D27" s="274"/>
      <c r="E27" s="274"/>
      <c r="F27" s="274"/>
      <c r="G27" s="274"/>
      <c r="H27" s="275">
        <f>SUM(H23:H26)</f>
        <v>0.09</v>
      </c>
      <c r="I27" s="276">
        <f>SUM(I23:I26)</f>
        <v>0.13</v>
      </c>
    </row>
    <row r="30" spans="1:12" x14ac:dyDescent="0.2">
      <c r="A30" s="55" t="s">
        <v>369</v>
      </c>
      <c r="B30" s="56"/>
      <c r="C30" s="56"/>
      <c r="D30" s="56"/>
      <c r="E30" s="57"/>
    </row>
    <row r="31" spans="1:12" x14ac:dyDescent="0.2">
      <c r="A31" s="61" t="s">
        <v>41</v>
      </c>
      <c r="B31" s="62" t="s">
        <v>76</v>
      </c>
      <c r="C31" s="62" t="s">
        <v>370</v>
      </c>
      <c r="D31" s="62" t="s">
        <v>371</v>
      </c>
      <c r="E31" s="63" t="s">
        <v>13</v>
      </c>
    </row>
    <row r="32" spans="1:12" x14ac:dyDescent="0.2">
      <c r="A32" s="67" t="s">
        <v>372</v>
      </c>
      <c r="B32" s="72">
        <f>SUMPRODUCT(E6:E16,K6:K16)</f>
        <v>7.1373051138514956E-2</v>
      </c>
      <c r="C32" s="77"/>
      <c r="D32" s="77"/>
      <c r="E32" s="277" t="str">
        <f>"INFO"</f>
        <v>INFO</v>
      </c>
    </row>
    <row r="33" spans="1:7" x14ac:dyDescent="0.2">
      <c r="A33" s="67" t="s">
        <v>373</v>
      </c>
      <c r="B33" s="72">
        <f>Risk!O58</f>
        <v>1.0997193071421192E-2</v>
      </c>
      <c r="C33" s="77"/>
      <c r="D33" s="72">
        <f>Inputs!$B$45</f>
        <v>1.0999999999999999E-2</v>
      </c>
      <c r="E33" s="277" t="str">
        <f>IF(B33&lt;=D33+0.00005,"MET","NOT MET")</f>
        <v>MET</v>
      </c>
    </row>
    <row r="34" spans="1:7" x14ac:dyDescent="0.2">
      <c r="A34" s="67" t="s">
        <v>374</v>
      </c>
      <c r="B34" s="68">
        <f>SUMPRODUCT(E6:E16,Inputs!$G$5:$G$15)</f>
        <v>0.61999999999999988</v>
      </c>
      <c r="C34" s="68">
        <f>Inputs!$B$31</f>
        <v>0.42000000000000004</v>
      </c>
      <c r="D34" s="68">
        <f>Inputs!$B$32</f>
        <v>0.62</v>
      </c>
      <c r="E34" s="277" t="str">
        <f>IF(AND(B34&gt;=C34-0.000001,B34&lt;=D34+0.000001),"MET","NOT MET")</f>
        <v>MET</v>
      </c>
    </row>
    <row r="35" spans="1:7" x14ac:dyDescent="0.2">
      <c r="A35" s="67" t="s">
        <v>375</v>
      </c>
      <c r="B35" s="68">
        <f>SUMPRODUCT(E6:E16,Inputs!$H$5:$H$15)</f>
        <v>6.0000000000000005E-2</v>
      </c>
      <c r="C35" s="77"/>
      <c r="D35" s="68">
        <f>Inputs!$B$33</f>
        <v>0.3</v>
      </c>
      <c r="E35" s="277" t="str">
        <f>IF(B35&lt;=D35,"MET","NOT MET")</f>
        <v>MET</v>
      </c>
    </row>
    <row r="36" spans="1:7" x14ac:dyDescent="0.2">
      <c r="A36" s="67" t="s">
        <v>376</v>
      </c>
      <c r="B36" s="68">
        <f>E16</f>
        <v>0.02</v>
      </c>
      <c r="C36" s="68">
        <f>Inputs!$B$34</f>
        <v>0.02</v>
      </c>
      <c r="D36" s="77"/>
      <c r="E36" s="277" t="str">
        <f>IF(B36&gt;=C36,"MET","NOT MET")</f>
        <v>MET</v>
      </c>
    </row>
    <row r="37" spans="1:7" x14ac:dyDescent="0.2">
      <c r="A37" s="67" t="s">
        <v>377</v>
      </c>
      <c r="B37" s="68">
        <f>SUM(E6:E16)</f>
        <v>1</v>
      </c>
      <c r="C37" s="68">
        <v>1</v>
      </c>
      <c r="D37" s="68">
        <v>1</v>
      </c>
      <c r="E37" s="277" t="str">
        <f>IF(ABS(B37-1)&lt;0.000001,"MET","NOT MET")</f>
        <v>MET</v>
      </c>
    </row>
    <row r="38" spans="1:7" x14ac:dyDescent="0.2">
      <c r="A38" s="79" t="s">
        <v>378</v>
      </c>
      <c r="B38" s="278">
        <f>SUMPRODUCT((E6:E16&gt;=F6:F16-0.000001)*(E6:E16&lt;=G6:G16+0.000001))/11</f>
        <v>1</v>
      </c>
      <c r="C38" s="278">
        <v>1</v>
      </c>
      <c r="D38" s="80"/>
      <c r="E38" s="279" t="str">
        <f>IF(B38&gt;=C38,"MET","NOT MET")</f>
        <v>MET</v>
      </c>
    </row>
    <row r="41" spans="1:7" x14ac:dyDescent="0.2">
      <c r="A41" s="86" t="s">
        <v>379</v>
      </c>
      <c r="B41" s="87"/>
      <c r="C41" s="87"/>
      <c r="D41" s="87"/>
      <c r="E41" s="87"/>
      <c r="F41" s="87"/>
      <c r="G41" s="88"/>
    </row>
    <row r="42" spans="1:7" ht="42" customHeight="1" x14ac:dyDescent="0.2">
      <c r="A42" s="92" t="s">
        <v>5</v>
      </c>
      <c r="B42" s="93" t="s">
        <v>380</v>
      </c>
      <c r="C42" s="93" t="s">
        <v>381</v>
      </c>
      <c r="D42" s="93" t="s">
        <v>382</v>
      </c>
      <c r="E42" s="93" t="s">
        <v>383</v>
      </c>
      <c r="F42" s="93" t="s">
        <v>384</v>
      </c>
      <c r="G42" s="94" t="s">
        <v>385</v>
      </c>
    </row>
    <row r="43" spans="1:7" x14ac:dyDescent="0.2">
      <c r="A43" s="98" t="s">
        <v>14</v>
      </c>
      <c r="B43" s="68">
        <f t="shared" ref="B43:B53" si="3">E6</f>
        <v>0.2697</v>
      </c>
      <c r="C43" s="173">
        <v>0.27260000000000001</v>
      </c>
      <c r="D43" s="173">
        <v>0.35</v>
      </c>
      <c r="E43" s="173">
        <v>0.26989999999999997</v>
      </c>
      <c r="F43" s="173">
        <v>0.27089999999999997</v>
      </c>
      <c r="G43" s="280">
        <v>0.98</v>
      </c>
    </row>
    <row r="44" spans="1:7" x14ac:dyDescent="0.2">
      <c r="A44" s="98" t="s">
        <v>16</v>
      </c>
      <c r="B44" s="68">
        <f t="shared" si="3"/>
        <v>0.2732</v>
      </c>
      <c r="C44" s="173">
        <v>0.26819999999999999</v>
      </c>
      <c r="D44" s="173">
        <v>0.27</v>
      </c>
      <c r="E44" s="173">
        <v>0.27500000000000002</v>
      </c>
      <c r="F44" s="173">
        <v>0.26929999999999998</v>
      </c>
      <c r="G44" s="280">
        <v>0</v>
      </c>
    </row>
    <row r="45" spans="1:7" x14ac:dyDescent="0.2">
      <c r="A45" s="98" t="s">
        <v>18</v>
      </c>
      <c r="B45" s="68">
        <f t="shared" si="3"/>
        <v>7.7100000000000002E-2</v>
      </c>
      <c r="C45" s="173">
        <v>7.9200000000000007E-2</v>
      </c>
      <c r="D45" s="173">
        <v>0</v>
      </c>
      <c r="E45" s="173">
        <v>7.85E-2</v>
      </c>
      <c r="F45" s="173">
        <v>7.9799999999999996E-2</v>
      </c>
      <c r="G45" s="280">
        <v>0</v>
      </c>
    </row>
    <row r="46" spans="1:7" x14ac:dyDescent="0.2">
      <c r="A46" s="98" t="s">
        <v>20</v>
      </c>
      <c r="B46" s="68">
        <f t="shared" si="3"/>
        <v>7.5399999999999995E-2</v>
      </c>
      <c r="C46" s="173">
        <v>0.1124</v>
      </c>
      <c r="D46" s="173">
        <v>0.12</v>
      </c>
      <c r="E46" s="173">
        <v>7.1300000000000002E-2</v>
      </c>
      <c r="F46" s="173">
        <v>8.72E-2</v>
      </c>
      <c r="G46" s="280">
        <v>0</v>
      </c>
    </row>
    <row r="47" spans="1:7" x14ac:dyDescent="0.2">
      <c r="A47" s="98" t="s">
        <v>22</v>
      </c>
      <c r="B47" s="68">
        <f t="shared" si="3"/>
        <v>0.03</v>
      </c>
      <c r="C47" s="173">
        <v>0.03</v>
      </c>
      <c r="D47" s="173">
        <v>0.03</v>
      </c>
      <c r="E47" s="173">
        <v>0.03</v>
      </c>
      <c r="F47" s="173">
        <v>7.9000000000000008E-3</v>
      </c>
      <c r="G47" s="280">
        <v>0</v>
      </c>
    </row>
    <row r="48" spans="1:7" x14ac:dyDescent="0.2">
      <c r="A48" s="98" t="s">
        <v>24</v>
      </c>
      <c r="B48" s="68">
        <f t="shared" si="3"/>
        <v>0.05</v>
      </c>
      <c r="C48" s="173">
        <v>0.05</v>
      </c>
      <c r="D48" s="173">
        <v>0.05</v>
      </c>
      <c r="E48" s="173">
        <v>0.05</v>
      </c>
      <c r="F48" s="173">
        <v>4.9399999999999999E-2</v>
      </c>
      <c r="G48" s="280">
        <v>0</v>
      </c>
    </row>
    <row r="49" spans="1:7" x14ac:dyDescent="0.2">
      <c r="A49" s="98" t="s">
        <v>26</v>
      </c>
      <c r="B49" s="68">
        <f t="shared" si="3"/>
        <v>0</v>
      </c>
      <c r="C49" s="173">
        <v>0</v>
      </c>
      <c r="D49" s="173">
        <v>0</v>
      </c>
      <c r="E49" s="173">
        <v>0</v>
      </c>
      <c r="F49" s="173">
        <v>0</v>
      </c>
      <c r="G49" s="280">
        <v>0</v>
      </c>
    </row>
    <row r="50" spans="1:7" x14ac:dyDescent="0.2">
      <c r="A50" s="98" t="s">
        <v>28</v>
      </c>
      <c r="B50" s="68">
        <f t="shared" si="3"/>
        <v>0.01</v>
      </c>
      <c r="C50" s="173">
        <v>0.01</v>
      </c>
      <c r="D50" s="173">
        <v>0.01</v>
      </c>
      <c r="E50" s="173">
        <v>0.01</v>
      </c>
      <c r="F50" s="173">
        <v>2.47E-2</v>
      </c>
      <c r="G50" s="280">
        <v>0</v>
      </c>
    </row>
    <row r="51" spans="1:7" x14ac:dyDescent="0.2">
      <c r="A51" s="98" t="s">
        <v>30</v>
      </c>
      <c r="B51" s="68">
        <f t="shared" si="3"/>
        <v>0.13089999999999999</v>
      </c>
      <c r="C51" s="173">
        <v>0.1076</v>
      </c>
      <c r="D51" s="173">
        <v>0.1</v>
      </c>
      <c r="E51" s="173">
        <v>0.13089999999999999</v>
      </c>
      <c r="F51" s="173">
        <v>0.13239999999999999</v>
      </c>
      <c r="G51" s="280">
        <v>0</v>
      </c>
    </row>
    <row r="52" spans="1:7" x14ac:dyDescent="0.2">
      <c r="A52" s="98" t="s">
        <v>32</v>
      </c>
      <c r="B52" s="68">
        <f t="shared" si="3"/>
        <v>6.3700000000000007E-2</v>
      </c>
      <c r="C52" s="173">
        <v>0.05</v>
      </c>
      <c r="D52" s="173">
        <v>0.05</v>
      </c>
      <c r="E52" s="173">
        <v>6.4399999999999999E-2</v>
      </c>
      <c r="F52" s="173">
        <v>5.8400000000000001E-2</v>
      </c>
      <c r="G52" s="280">
        <v>0</v>
      </c>
    </row>
    <row r="53" spans="1:7" x14ac:dyDescent="0.2">
      <c r="A53" s="98" t="s">
        <v>34</v>
      </c>
      <c r="B53" s="68">
        <f t="shared" si="3"/>
        <v>0.02</v>
      </c>
      <c r="C53" s="173">
        <v>0.02</v>
      </c>
      <c r="D53" s="173">
        <v>0.02</v>
      </c>
      <c r="E53" s="173">
        <v>0.02</v>
      </c>
      <c r="F53" s="173">
        <v>0.02</v>
      </c>
      <c r="G53" s="280">
        <v>0.02</v>
      </c>
    </row>
    <row r="54" spans="1:7" x14ac:dyDescent="0.2">
      <c r="A54" s="281"/>
      <c r="B54" s="77"/>
      <c r="C54" s="77"/>
      <c r="D54" s="77"/>
      <c r="E54" s="77"/>
      <c r="F54" s="77"/>
      <c r="G54" s="282"/>
    </row>
    <row r="55" spans="1:7" x14ac:dyDescent="0.2">
      <c r="A55" s="283" t="s">
        <v>140</v>
      </c>
      <c r="B55" s="72">
        <f>SUMPRODUCT(B43:B53,Forecast!$G$6:$G$16)</f>
        <v>7.1373051138514956E-2</v>
      </c>
      <c r="C55" s="72">
        <f>SUMPRODUCT(C43:C53,Forecast!$G$6:$G$16)</f>
        <v>7.2308153066702532E-2</v>
      </c>
      <c r="D55" s="72">
        <f>SUMPRODUCT(D43:D53,Forecast!$G$6:$G$16)</f>
        <v>7.2808538560980227E-2</v>
      </c>
      <c r="E55" s="72">
        <f>SUMPRODUCT(E43:E53,Forecast!$G$6:$G$16)</f>
        <v>7.1380892226549392E-2</v>
      </c>
      <c r="F55" s="72">
        <f>SUMPRODUCT(F43:F53,Forecast!$G$6:$G$16)</f>
        <v>7.1766692218464517E-2</v>
      </c>
      <c r="G55" s="284">
        <f>SUMPRODUCT(G43:G53,Forecast!$G$6:$G$16)</f>
        <v>8.1926451796201755E-2</v>
      </c>
    </row>
    <row r="56" spans="1:7" x14ac:dyDescent="0.2">
      <c r="A56" s="98" t="s">
        <v>139</v>
      </c>
      <c r="B56" s="72">
        <f>SQRT(SUMPRODUCT(B43:B53,MMULT(Risk!$B$41:$L$51,B43:B53)))</f>
        <v>7.875064259614814E-2</v>
      </c>
      <c r="C56" s="72">
        <f>SQRT(SUMPRODUCT(C43:C53,MMULT(Risk!$B$41:$L$51,C43:C53)))</f>
        <v>8.2552799270913371E-2</v>
      </c>
      <c r="D56" s="72">
        <f>SQRT(SUMPRODUCT(D43:D53,MMULT(Risk!$B$41:$L$51,D43:D53)))</f>
        <v>8.8695807575308039E-2</v>
      </c>
      <c r="E56" s="72">
        <f>SQRT(SUMPRODUCT(E43:E53,MMULT(Risk!$B$41:$L$51,E43:E53)))</f>
        <v>7.8638264557537099E-2</v>
      </c>
      <c r="F56" s="72">
        <f>SQRT(SUMPRODUCT(F43:F53,MMULT(Risk!$B$41:$L$51,F43:F53)))</f>
        <v>7.9408204983252365E-2</v>
      </c>
      <c r="G56" s="284">
        <f>SQRT(SUMPRODUCT(G43:G53,MMULT(Risk!$B$41:$L$51,G43:G53)))</f>
        <v>0.15072222141438432</v>
      </c>
    </row>
    <row r="57" spans="1:7" x14ac:dyDescent="0.2">
      <c r="A57" s="98" t="s">
        <v>193</v>
      </c>
      <c r="B57" s="72">
        <f>SQRT(SUMPRODUCT(B43:B53-Inputs!$C$5:$C$15,MMULT(Risk!$B$41:$L$51,B43:B53-Inputs!$C$5:$C$15)))</f>
        <v>1.0997193071421192E-2</v>
      </c>
      <c r="C57" s="72">
        <f>SQRT(SUMPRODUCT(C43:C53-Inputs!$C$5:$C$15,MMULT(Risk!$B$41:$L$51,C43:C53-Inputs!$C$5:$C$15)))</f>
        <v>1.4996813147077985E-2</v>
      </c>
      <c r="D57" s="72">
        <f>SQRT(SUMPRODUCT(D43:D53-Inputs!$C$5:$C$15,MMULT(Risk!$B$41:$L$51,D43:D53-Inputs!$C$5:$C$15)))</f>
        <v>2.0868795870650311E-2</v>
      </c>
      <c r="E57" s="72">
        <f>SQRT(SUMPRODUCT(E43:E53-Inputs!$C$5:$C$15,MMULT(Risk!$B$41:$L$51,E43:E53-Inputs!$C$5:$C$15)))</f>
        <v>1.1003818390031297E-2</v>
      </c>
      <c r="F57" s="72">
        <f>SQRT(SUMPRODUCT(F43:F53-Inputs!$C$5:$C$15,MMULT(Risk!$B$41:$L$51,F43:F53-Inputs!$C$5:$C$15)))</f>
        <v>1.099714746324783E-2</v>
      </c>
      <c r="G57" s="284">
        <f>SQRT(SUMPRODUCT(G43:G53-Inputs!$C$5:$C$15,MMULT(Risk!$B$41:$L$51,G43:G53-Inputs!$C$5:$C$15)))</f>
        <v>0.10107768329931413</v>
      </c>
    </row>
    <row r="58" spans="1:7" x14ac:dyDescent="0.2">
      <c r="A58" s="283" t="s">
        <v>386</v>
      </c>
      <c r="B58" s="72">
        <f t="shared" ref="B58:G58" si="4">B55-$B$55</f>
        <v>0</v>
      </c>
      <c r="C58" s="72">
        <f t="shared" si="4"/>
        <v>9.3510192818757609E-4</v>
      </c>
      <c r="D58" s="72">
        <f t="shared" si="4"/>
        <v>1.4354874224652703E-3</v>
      </c>
      <c r="E58" s="72">
        <f t="shared" si="4"/>
        <v>7.841088034435395E-6</v>
      </c>
      <c r="F58" s="72">
        <f t="shared" si="4"/>
        <v>3.9364107994956099E-4</v>
      </c>
      <c r="G58" s="284">
        <f t="shared" si="4"/>
        <v>1.0553400657686798E-2</v>
      </c>
    </row>
    <row r="59" spans="1:7" x14ac:dyDescent="0.2">
      <c r="A59" s="100" t="s">
        <v>387</v>
      </c>
      <c r="B59" s="285" t="str">
        <f>IF(B55&gt;=Inputs!$B$25,"YES","NO")</f>
        <v>NO</v>
      </c>
      <c r="C59" s="285" t="str">
        <f>IF(C55&gt;=Inputs!$B$25,"YES","NO")</f>
        <v>NO</v>
      </c>
      <c r="D59" s="285" t="str">
        <f>IF(D55&gt;=Inputs!$B$25,"YES","NO")</f>
        <v>NO</v>
      </c>
      <c r="E59" s="285" t="str">
        <f>IF(E55&gt;=Inputs!$B$25,"YES","NO")</f>
        <v>NO</v>
      </c>
      <c r="F59" s="285" t="str">
        <f>IF(F55&gt;=Inputs!$B$25,"YES","NO")</f>
        <v>NO</v>
      </c>
      <c r="G59" s="286" t="str">
        <f>IF(G55&gt;=Inputs!$B$25,"YES","NO")</f>
        <v>NO</v>
      </c>
    </row>
  </sheetData>
  <conditionalFormatting sqref="E32:E38">
    <cfRule type="cellIs" dxfId="26" priority="1" operator="equal">
      <formula>"MET"</formula>
    </cfRule>
    <cfRule type="cellIs" dxfId="25" priority="2" operator="equal">
      <formula>"PASS"</formula>
    </cfRule>
    <cfRule type="cellIs" dxfId="24" priority="3" operator="equal">
      <formula>"INFO"</formula>
    </cfRule>
    <cfRule type="cellIs" dxfId="23" priority="4" operator="equal">
      <formula>"NOT MET"</formula>
    </cfRule>
    <cfRule type="cellIs" dxfId="22" priority="5" operator="equal">
      <formula>"FAIL"</formula>
    </cfRule>
    <cfRule type="cellIs" dxfId="21" priority="6" operator="equal">
      <formula>"MAX FEASIBLE"</formula>
    </cfRule>
  </conditionalFormatting>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B2C83"/>
    <pageSetUpPr fitToPage="1"/>
  </sheetPr>
  <dimension ref="A1:M51"/>
  <sheetViews>
    <sheetView showGridLines="0" topLeftCell="A46" workbookViewId="0"/>
  </sheetViews>
  <sheetFormatPr baseColWidth="10" defaultColWidth="8.83203125" defaultRowHeight="15" x14ac:dyDescent="0.2"/>
  <cols>
    <col min="1" max="1" width="30" customWidth="1"/>
    <col min="2" max="3" width="12" customWidth="1"/>
    <col min="4" max="5" width="13" customWidth="1"/>
    <col min="6" max="7" width="14" customWidth="1"/>
    <col min="8" max="9" width="13" customWidth="1"/>
    <col min="10" max="12" width="12" customWidth="1"/>
    <col min="13" max="13" width="13" customWidth="1"/>
  </cols>
  <sheetData>
    <row r="1" spans="1:9" ht="19" x14ac:dyDescent="0.2">
      <c r="A1" s="53" t="s">
        <v>115</v>
      </c>
    </row>
    <row r="2" spans="1:9" x14ac:dyDescent="0.2">
      <c r="A2" s="54" t="s">
        <v>388</v>
      </c>
      <c r="B2" s="287" t="str">
        <f>INDEX(D5:H5,Inputs!$B$49)</f>
        <v>Robust MVO</v>
      </c>
    </row>
    <row r="3" spans="1:9" x14ac:dyDescent="0.2">
      <c r="A3" s="136" t="s">
        <v>389</v>
      </c>
      <c r="B3" s="137"/>
      <c r="C3" s="137"/>
      <c r="D3" s="137"/>
      <c r="E3" s="137"/>
      <c r="F3" s="137"/>
      <c r="G3" s="137"/>
      <c r="H3" s="137"/>
      <c r="I3" s="138"/>
    </row>
    <row r="4" spans="1:9" x14ac:dyDescent="0.2">
      <c r="A4" s="288"/>
      <c r="B4" s="77"/>
      <c r="C4" s="77"/>
      <c r="D4" s="77"/>
      <c r="E4" s="77"/>
      <c r="F4" s="77"/>
      <c r="G4" s="77"/>
      <c r="H4" s="77"/>
      <c r="I4" s="289"/>
    </row>
    <row r="5" spans="1:9" ht="30" customHeight="1" x14ac:dyDescent="0.2">
      <c r="A5" s="139" t="s">
        <v>5</v>
      </c>
      <c r="B5" s="140" t="s">
        <v>6</v>
      </c>
      <c r="C5" s="140" t="s">
        <v>7</v>
      </c>
      <c r="D5" s="140" t="s">
        <v>390</v>
      </c>
      <c r="E5" s="140" t="s">
        <v>142</v>
      </c>
      <c r="F5" s="140" t="s">
        <v>143</v>
      </c>
      <c r="G5" s="140" t="s">
        <v>144</v>
      </c>
      <c r="H5" s="140" t="s">
        <v>145</v>
      </c>
      <c r="I5" s="141" t="s">
        <v>391</v>
      </c>
    </row>
    <row r="6" spans="1:9" x14ac:dyDescent="0.2">
      <c r="A6" s="142" t="s">
        <v>14</v>
      </c>
      <c r="B6" s="68">
        <f>Inputs!B5</f>
        <v>0.4</v>
      </c>
      <c r="C6" s="68">
        <f>Inputs!C5</f>
        <v>0.25</v>
      </c>
      <c r="D6" s="290">
        <v>0.2697</v>
      </c>
      <c r="E6" s="189">
        <v>0.26900000000000002</v>
      </c>
      <c r="F6" s="189">
        <v>0.25600000000000001</v>
      </c>
      <c r="G6" s="189">
        <v>0.2117</v>
      </c>
      <c r="H6" s="189">
        <v>0.19309999999999999</v>
      </c>
      <c r="I6" s="291">
        <f>INDEX(D6:H6,Inputs!$B$49)</f>
        <v>0.2697</v>
      </c>
    </row>
    <row r="7" spans="1:9" x14ac:dyDescent="0.2">
      <c r="A7" s="142" t="s">
        <v>16</v>
      </c>
      <c r="B7" s="68">
        <f>Inputs!B6</f>
        <v>0.2</v>
      </c>
      <c r="C7" s="68">
        <f>Inputs!C6</f>
        <v>0.24</v>
      </c>
      <c r="D7" s="290">
        <v>0.2732</v>
      </c>
      <c r="E7" s="189">
        <v>0.27829999999999999</v>
      </c>
      <c r="F7" s="189">
        <v>0.2712</v>
      </c>
      <c r="G7" s="189">
        <v>0.20860000000000001</v>
      </c>
      <c r="H7" s="189">
        <v>0.19919999999999999</v>
      </c>
      <c r="I7" s="291">
        <f>INDEX(D7:H7,Inputs!$B$49)</f>
        <v>0.2732</v>
      </c>
    </row>
    <row r="8" spans="1:9" x14ac:dyDescent="0.2">
      <c r="A8" s="142" t="s">
        <v>18</v>
      </c>
      <c r="B8" s="68">
        <f>Inputs!B7</f>
        <v>0</v>
      </c>
      <c r="C8" s="68">
        <f>Inputs!C7</f>
        <v>0.03</v>
      </c>
      <c r="D8" s="290">
        <v>7.7100000000000002E-2</v>
      </c>
      <c r="E8" s="189">
        <v>7.2700000000000001E-2</v>
      </c>
      <c r="F8" s="189">
        <v>4.8899999999999999E-2</v>
      </c>
      <c r="G8" s="189">
        <v>2.8500000000000001E-2</v>
      </c>
      <c r="H8" s="189">
        <v>0.08</v>
      </c>
      <c r="I8" s="291">
        <f>INDEX(D8:H8,Inputs!$B$49)</f>
        <v>7.7100000000000002E-2</v>
      </c>
    </row>
    <row r="9" spans="1:9" x14ac:dyDescent="0.2">
      <c r="A9" s="142" t="s">
        <v>20</v>
      </c>
      <c r="B9" s="68">
        <f>Inputs!B8</f>
        <v>0.1</v>
      </c>
      <c r="C9" s="68">
        <f>Inputs!C8</f>
        <v>7.0000000000000007E-2</v>
      </c>
      <c r="D9" s="290">
        <v>7.5399999999999995E-2</v>
      </c>
      <c r="E9" s="189">
        <v>6.3500000000000001E-2</v>
      </c>
      <c r="F9" s="189">
        <v>7.4399999999999994E-2</v>
      </c>
      <c r="G9" s="189">
        <v>5.57E-2</v>
      </c>
      <c r="H9" s="189">
        <v>0.11169999999999999</v>
      </c>
      <c r="I9" s="291">
        <f>INDEX(D9:H9,Inputs!$B$49)</f>
        <v>7.5399999999999995E-2</v>
      </c>
    </row>
    <row r="10" spans="1:9" x14ac:dyDescent="0.2">
      <c r="A10" s="142" t="s">
        <v>22</v>
      </c>
      <c r="B10" s="68">
        <f>Inputs!B9</f>
        <v>0</v>
      </c>
      <c r="C10" s="68">
        <f>Inputs!C9</f>
        <v>0.02</v>
      </c>
      <c r="D10" s="68">
        <f>Portfolio!H23</f>
        <v>0.03</v>
      </c>
      <c r="E10" s="68">
        <f t="shared" ref="E10:H13" si="0">$D10</f>
        <v>0.03</v>
      </c>
      <c r="F10" s="68">
        <f t="shared" si="0"/>
        <v>0.03</v>
      </c>
      <c r="G10" s="68">
        <f t="shared" si="0"/>
        <v>0.03</v>
      </c>
      <c r="H10" s="68">
        <f t="shared" si="0"/>
        <v>0.03</v>
      </c>
      <c r="I10" s="291">
        <f>INDEX(D10:H10,Inputs!$B$49)</f>
        <v>0.03</v>
      </c>
    </row>
    <row r="11" spans="1:9" x14ac:dyDescent="0.2">
      <c r="A11" s="142" t="s">
        <v>24</v>
      </c>
      <c r="B11" s="68">
        <f>Inputs!B10</f>
        <v>0</v>
      </c>
      <c r="C11" s="68">
        <f>Inputs!C10</f>
        <v>0.05</v>
      </c>
      <c r="D11" s="68">
        <f>Portfolio!H24</f>
        <v>0.05</v>
      </c>
      <c r="E11" s="68">
        <f t="shared" si="0"/>
        <v>0.05</v>
      </c>
      <c r="F11" s="68">
        <f t="shared" si="0"/>
        <v>0.05</v>
      </c>
      <c r="G11" s="68">
        <f t="shared" si="0"/>
        <v>0.05</v>
      </c>
      <c r="H11" s="68">
        <f t="shared" si="0"/>
        <v>0.05</v>
      </c>
      <c r="I11" s="291">
        <f>INDEX(D11:H11,Inputs!$B$49)</f>
        <v>0.05</v>
      </c>
    </row>
    <row r="12" spans="1:9" x14ac:dyDescent="0.2">
      <c r="A12" s="142" t="s">
        <v>26</v>
      </c>
      <c r="B12" s="68">
        <f>Inputs!B11</f>
        <v>0</v>
      </c>
      <c r="C12" s="68">
        <f>Inputs!C11</f>
        <v>0.03</v>
      </c>
      <c r="D12" s="68">
        <f>Portfolio!H25</f>
        <v>0</v>
      </c>
      <c r="E12" s="68">
        <f t="shared" si="0"/>
        <v>0</v>
      </c>
      <c r="F12" s="68">
        <f t="shared" si="0"/>
        <v>0</v>
      </c>
      <c r="G12" s="68">
        <f t="shared" si="0"/>
        <v>0</v>
      </c>
      <c r="H12" s="68">
        <f t="shared" si="0"/>
        <v>0</v>
      </c>
      <c r="I12" s="291">
        <f>INDEX(D12:H12,Inputs!$B$49)</f>
        <v>0</v>
      </c>
    </row>
    <row r="13" spans="1:9" x14ac:dyDescent="0.2">
      <c r="A13" s="142" t="s">
        <v>28</v>
      </c>
      <c r="B13" s="68">
        <f>Inputs!B12</f>
        <v>0</v>
      </c>
      <c r="C13" s="68">
        <f>Inputs!C12</f>
        <v>0.03</v>
      </c>
      <c r="D13" s="68">
        <f>Portfolio!H26</f>
        <v>0.01</v>
      </c>
      <c r="E13" s="68">
        <f t="shared" si="0"/>
        <v>0.01</v>
      </c>
      <c r="F13" s="68">
        <f t="shared" si="0"/>
        <v>0.01</v>
      </c>
      <c r="G13" s="68">
        <f t="shared" si="0"/>
        <v>0.01</v>
      </c>
      <c r="H13" s="68">
        <f t="shared" si="0"/>
        <v>0.01</v>
      </c>
      <c r="I13" s="291">
        <f>INDEX(D13:H13,Inputs!$B$49)</f>
        <v>0.01</v>
      </c>
    </row>
    <row r="14" spans="1:9" x14ac:dyDescent="0.2">
      <c r="A14" s="142" t="s">
        <v>30</v>
      </c>
      <c r="B14" s="68">
        <f>Inputs!B13</f>
        <v>0.15</v>
      </c>
      <c r="C14" s="68">
        <f>Inputs!C13</f>
        <v>0.14000000000000001</v>
      </c>
      <c r="D14" s="290">
        <v>0.13089999999999999</v>
      </c>
      <c r="E14" s="189">
        <v>0.1565</v>
      </c>
      <c r="F14" s="189">
        <v>0.12889999999999999</v>
      </c>
      <c r="G14" s="189">
        <v>0.16420000000000001</v>
      </c>
      <c r="H14" s="189">
        <v>0.1391</v>
      </c>
      <c r="I14" s="291">
        <f>INDEX(D14:H14,Inputs!$B$49)</f>
        <v>0.13089999999999999</v>
      </c>
    </row>
    <row r="15" spans="1:9" x14ac:dyDescent="0.2">
      <c r="A15" s="142" t="s">
        <v>32</v>
      </c>
      <c r="B15" s="68">
        <f>Inputs!B14</f>
        <v>0.08</v>
      </c>
      <c r="C15" s="68">
        <f>Inputs!C14</f>
        <v>0.11</v>
      </c>
      <c r="D15" s="290">
        <v>6.3700000000000007E-2</v>
      </c>
      <c r="E15" s="189">
        <v>0.05</v>
      </c>
      <c r="F15" s="189">
        <v>0.1012</v>
      </c>
      <c r="G15" s="189">
        <v>0.14130000000000001</v>
      </c>
      <c r="H15" s="189">
        <v>0.16689999999999999</v>
      </c>
      <c r="I15" s="291">
        <f>INDEX(D15:H15,Inputs!$B$49)</f>
        <v>6.3700000000000007E-2</v>
      </c>
    </row>
    <row r="16" spans="1:9" x14ac:dyDescent="0.2">
      <c r="A16" s="142" t="s">
        <v>34</v>
      </c>
      <c r="B16" s="68">
        <f>Inputs!B15</f>
        <v>7.0000000000000007E-2</v>
      </c>
      <c r="C16" s="68">
        <f>Inputs!C15</f>
        <v>0.03</v>
      </c>
      <c r="D16" s="290">
        <v>0.02</v>
      </c>
      <c r="E16" s="189">
        <v>0.02</v>
      </c>
      <c r="F16" s="189">
        <v>2.9399999999999999E-2</v>
      </c>
      <c r="G16" s="189">
        <v>0.1</v>
      </c>
      <c r="H16" s="189">
        <v>0.02</v>
      </c>
      <c r="I16" s="291">
        <f>INDEX(D16:H16,Inputs!$B$49)</f>
        <v>0.02</v>
      </c>
    </row>
    <row r="17" spans="1:13" x14ac:dyDescent="0.2">
      <c r="A17" s="292" t="s">
        <v>36</v>
      </c>
      <c r="B17" s="293">
        <f t="shared" ref="B17:I17" si="1">SUM(B6:B16)</f>
        <v>1</v>
      </c>
      <c r="C17" s="293">
        <f t="shared" si="1"/>
        <v>1.0000000000000002</v>
      </c>
      <c r="D17" s="293">
        <f t="shared" si="1"/>
        <v>1</v>
      </c>
      <c r="E17" s="293">
        <f t="shared" si="1"/>
        <v>1</v>
      </c>
      <c r="F17" s="293">
        <f t="shared" si="1"/>
        <v>1.0000000000000002</v>
      </c>
      <c r="G17" s="293">
        <f t="shared" si="1"/>
        <v>1.0000000000000002</v>
      </c>
      <c r="H17" s="293">
        <f t="shared" si="1"/>
        <v>1</v>
      </c>
      <c r="I17" s="294">
        <f t="shared" si="1"/>
        <v>1</v>
      </c>
    </row>
    <row r="20" spans="1:13" x14ac:dyDescent="0.2">
      <c r="A20" s="247" t="s">
        <v>392</v>
      </c>
      <c r="B20" s="248"/>
      <c r="C20" s="248"/>
      <c r="D20" s="248"/>
      <c r="E20" s="248"/>
      <c r="F20" s="248"/>
      <c r="G20" s="248"/>
      <c r="H20" s="248"/>
      <c r="I20" s="248"/>
      <c r="J20" s="248"/>
      <c r="K20" s="248"/>
      <c r="L20" s="248"/>
      <c r="M20" s="249"/>
    </row>
    <row r="21" spans="1:13" ht="42" customHeight="1" x14ac:dyDescent="0.2">
      <c r="A21" s="252" t="s">
        <v>91</v>
      </c>
      <c r="B21" s="253" t="s">
        <v>140</v>
      </c>
      <c r="C21" s="253" t="s">
        <v>139</v>
      </c>
      <c r="D21" s="253" t="s">
        <v>393</v>
      </c>
      <c r="E21" s="253" t="s">
        <v>193</v>
      </c>
      <c r="F21" s="253" t="s">
        <v>394</v>
      </c>
      <c r="G21" s="253" t="s">
        <v>395</v>
      </c>
      <c r="H21" s="253" t="s">
        <v>396</v>
      </c>
      <c r="I21" s="253" t="s">
        <v>397</v>
      </c>
      <c r="J21" s="253" t="s">
        <v>398</v>
      </c>
      <c r="K21" s="253" t="s">
        <v>399</v>
      </c>
      <c r="L21" s="253" t="s">
        <v>164</v>
      </c>
      <c r="M21" s="254" t="s">
        <v>400</v>
      </c>
    </row>
    <row r="22" spans="1:13" x14ac:dyDescent="0.2">
      <c r="A22" s="250" t="s">
        <v>390</v>
      </c>
      <c r="B22" s="72">
        <f>SUMPRODUCT(D$6:D$16,Forecast!$G$6:$G$16)</f>
        <v>7.1373051138514956E-2</v>
      </c>
      <c r="C22" s="72">
        <f>SQRT(SUMPRODUCT(D$6:D$16,MMULT(Risk!$B$41:$L$51,D$6:D$16)))</f>
        <v>7.875064259614814E-2</v>
      </c>
      <c r="D22" s="116">
        <f>(B22-Inputs!$B$26)/C22</f>
        <v>0.32219484568061169</v>
      </c>
      <c r="E22" s="72">
        <f>SQRT(SUMPRODUCT(D$6:D$16-Inputs!$C$5:$C$15,MMULT(Risk!$B$41:$L$51,D$6:D$16-Inputs!$C$5:$C$15)))</f>
        <v>1.0997193071421192E-2</v>
      </c>
      <c r="F22" s="72">
        <f>SUMPRODUCT(D$6:D$16,Inputs!$D$5:$D$15)</f>
        <v>2.14825E-3</v>
      </c>
      <c r="G22" s="68">
        <f>SUMPRODUCT(ABS(D$6:D$16-$B$6:$B$16))/2</f>
        <v>0.24030000000000001</v>
      </c>
      <c r="H22" s="270">
        <f>1/SUMSQ(D$6:D$16)</f>
        <v>5.4318777349504392</v>
      </c>
      <c r="I22" s="116">
        <f>SUMPRODUCT(D$6:D$16,Forecast!$H$6:$H$16)/C22</f>
        <v>1.5086141150031607</v>
      </c>
      <c r="J22" s="68">
        <f t="shared" ref="J22:J28" si="2">NORMSDIST(-(B22-C22^2/2)*SQRT(5)/C22)</f>
        <v>2.6278647117227945E-2</v>
      </c>
      <c r="K22" s="68">
        <f>SUMPRODUCT(D$6:D$16,Stress!$B$11:$B$21)</f>
        <v>-0.24131526738452802</v>
      </c>
      <c r="L22" s="68">
        <f>SUMPRODUCT(D$6:D$16,Oil!$F$28:$F$38)</f>
        <v>-7.8202714049658631E-2</v>
      </c>
      <c r="M22" s="295" t="str">
        <f>IF(AND(E22&lt;=Inputs!$B$27+0.00005,SUMPRODUCT(D$6:D$16,Inputs!$G$5:$G$15)&gt;=Inputs!$B$31-0.000001,SUMPRODUCT(D$6:D$16,Inputs!$G$5:$G$15)&lt;=Inputs!$B$32+0.000001,D16&gt;=Inputs!$B$34-0.000001,SUMPRODUCT(D$6:D$16,Inputs!$H$5:$H$15)&lt;=Inputs!$B$33,MIN(D$6:D$16)&gt;=0),"MET","NOT MET")</f>
        <v>MET</v>
      </c>
    </row>
    <row r="23" spans="1:13" x14ac:dyDescent="0.2">
      <c r="A23" s="255" t="s">
        <v>142</v>
      </c>
      <c r="B23" s="72">
        <f>SUMPRODUCT(E$6:E$16,Forecast!$G$6:$G$16)</f>
        <v>7.1087442684535956E-2</v>
      </c>
      <c r="C23" s="72">
        <f>SQRT(SUMPRODUCT(E$6:E$16,MMULT(Risk!$B$41:$L$51,E$6:E$16)))</f>
        <v>7.7717269946306719E-2</v>
      </c>
      <c r="D23" s="116">
        <f>(B23-Inputs!$B$26)/C23</f>
        <v>0.32280396238658876</v>
      </c>
      <c r="E23" s="72">
        <f>SQRT(SUMPRODUCT(E$6:E$16-Inputs!$C$5:$C$15,MMULT(Risk!$B$41:$L$51,E$6:E$16-Inputs!$C$5:$C$15)))</f>
        <v>1.0237182534916716E-2</v>
      </c>
      <c r="F23" s="72">
        <f>SUMPRODUCT(E$6:E$16,Inputs!$D$5:$D$15)</f>
        <v>2.1336000000000003E-3</v>
      </c>
      <c r="G23" s="68">
        <f>SUMPRODUCT(ABS(E$6:E$16-$B$6:$B$16))/2</f>
        <v>0.24750000000000003</v>
      </c>
      <c r="H23" s="270">
        <f>1/SUMSQ(E$6:E$16)</f>
        <v>5.2625574092387772</v>
      </c>
      <c r="I23" s="116">
        <f>SUMPRODUCT(E$6:E$16,Forecast!$H$6:$H$16)/C23</f>
        <v>1.5108884817822665</v>
      </c>
      <c r="J23" s="68">
        <f t="shared" si="2"/>
        <v>2.5090071617908431E-2</v>
      </c>
      <c r="K23" s="68">
        <f>SUMPRODUCT(E$6:E$16,Stress!$B$11:$B$21)</f>
        <v>-0.23323465281402256</v>
      </c>
      <c r="L23" s="68">
        <f>SUMPRODUCT(E$6:E$16,Oil!$F$28:$F$38)</f>
        <v>-7.7423790273838639E-2</v>
      </c>
      <c r="M23" s="295" t="str">
        <f>IF(AND(E23&lt;=Inputs!$B$27+0.00005,SUMPRODUCT(E$6:E$16,Inputs!$G$5:$G$15)&gt;=Inputs!$B$31-0.000001,SUMPRODUCT(E$6:E$16,Inputs!$G$5:$G$15)&lt;=Inputs!$B$32+0.000001,E16&gt;=Inputs!$B$34-0.000001,SUMPRODUCT(E$6:E$16,Inputs!$H$5:$H$15)&lt;=Inputs!$B$33,MIN(E$6:E$16)&gt;=0),"MET","NOT MET")</f>
        <v>MET</v>
      </c>
    </row>
    <row r="24" spans="1:13" x14ac:dyDescent="0.2">
      <c r="A24" s="255" t="s">
        <v>143</v>
      </c>
      <c r="B24" s="72">
        <f>SUMPRODUCT(F$6:F$16,Forecast!$G$6:$G$16)</f>
        <v>6.9908335383927295E-2</v>
      </c>
      <c r="C24" s="72">
        <f>SQRT(SUMPRODUCT(F$6:F$16,MMULT(Risk!$B$41:$L$51,F$6:F$16)))</f>
        <v>7.5055184078804668E-2</v>
      </c>
      <c r="D24" s="116">
        <f>(B24-Inputs!$B$26)/C24</f>
        <v>0.31854342477962067</v>
      </c>
      <c r="E24" s="72">
        <f>SQRT(SUMPRODUCT(F$6:F$16-Inputs!$C$5:$C$15,MMULT(Risk!$B$41:$L$51,F$6:F$16-Inputs!$C$5:$C$15)))</f>
        <v>7.1514980578707716E-3</v>
      </c>
      <c r="F24" s="72">
        <f>SUMPRODUCT(F$6:F$16,Inputs!$D$5:$D$15)</f>
        <v>2.1279000000000003E-3</v>
      </c>
      <c r="G24" s="68">
        <f>SUMPRODUCT(ABS(F$6:F$16-$B$6:$B$16))/2</f>
        <v>0.23130000000000001</v>
      </c>
      <c r="H24" s="270">
        <f>1/SUMSQ(F$6:F$16)</f>
        <v>5.6106326425933872</v>
      </c>
      <c r="I24" s="116">
        <f>SUMPRODUCT(F$6:F$16,Forecast!$H$6:$H$16)/C24</f>
        <v>1.5300856097348841</v>
      </c>
      <c r="J24" s="68">
        <f t="shared" si="2"/>
        <v>2.2814069496181894E-2</v>
      </c>
      <c r="K24" s="68">
        <f>SUMPRODUCT(F$6:F$16,Stress!$B$11:$B$21)</f>
        <v>-0.22158215158412156</v>
      </c>
      <c r="L24" s="68">
        <f>SUMPRODUCT(F$6:F$16,Oil!$F$28:$F$38)</f>
        <v>-7.4493525676713426E-2</v>
      </c>
      <c r="M24" s="295" t="str">
        <f>IF(AND(E24&lt;=Inputs!$B$27+0.00005,SUMPRODUCT(F$6:F$16,Inputs!$G$5:$G$15)&gt;=Inputs!$B$31-0.000001,SUMPRODUCT(F$6:F$16,Inputs!$G$5:$G$15)&lt;=Inputs!$B$32+0.000001,F16&gt;=Inputs!$B$34-0.000001,SUMPRODUCT(F$6:F$16,Inputs!$H$5:$H$15)&lt;=Inputs!$B$33,MIN(F$6:F$16)&gt;=0),"MET","NOT MET")</f>
        <v>MET</v>
      </c>
    </row>
    <row r="25" spans="1:13" x14ac:dyDescent="0.2">
      <c r="A25" s="255" t="s">
        <v>144</v>
      </c>
      <c r="B25" s="72">
        <f>SUMPRODUCT(G$6:G$16,Forecast!$G$6:$G$16)</f>
        <v>6.4978593618302882E-2</v>
      </c>
      <c r="C25" s="72">
        <f>SQRT(SUMPRODUCT(G$6:G$16,MMULT(Risk!$B$41:$L$51,G$6:G$16)))</f>
        <v>6.0281231664845364E-2</v>
      </c>
      <c r="D25" s="116">
        <f>(B25-Inputs!$B$26)/C25</f>
        <v>0.31483420451362087</v>
      </c>
      <c r="E25" s="72">
        <f>SQRT(SUMPRODUCT(G$6:G$16-Inputs!$C$5:$C$15,MMULT(Risk!$B$41:$L$51,G$6:G$16-Inputs!$C$5:$C$15)))</f>
        <v>1.1001412029090087E-2</v>
      </c>
      <c r="F25" s="72">
        <f>SUMPRODUCT(G$6:G$16,Inputs!$D$5:$D$15)</f>
        <v>2.0162999999999999E-3</v>
      </c>
      <c r="G25" s="68">
        <f>SUMPRODUCT(ABS(G$6:G$16-$B$6:$B$16))/2</f>
        <v>0.23260000000000008</v>
      </c>
      <c r="H25" s="270">
        <f>1/SUMSQ(G$6:G$16)</f>
        <v>6.5499500500809171</v>
      </c>
      <c r="I25" s="116">
        <f>SUMPRODUCT(G$6:G$16,Forecast!$H$6:$H$16)/C25</f>
        <v>1.6354537856527862</v>
      </c>
      <c r="J25" s="68">
        <f t="shared" si="2"/>
        <v>9.5668671750936303E-3</v>
      </c>
      <c r="K25" s="68">
        <f>SUMPRODUCT(G$6:G$16,Stress!$B$11:$B$21)</f>
        <v>-0.15042549569000938</v>
      </c>
      <c r="L25" s="68">
        <f>SUMPRODUCT(G$6:G$16,Oil!$F$28:$F$38)</f>
        <v>-6.1286031291226256E-2</v>
      </c>
      <c r="M25" s="295" t="str">
        <f>IF(AND(E25&lt;=Inputs!$B$27+0.00005,SUMPRODUCT(G$6:G$16,Inputs!$G$5:$G$15)&gt;=Inputs!$B$31-0.000001,SUMPRODUCT(G$6:G$16,Inputs!$G$5:$G$15)&lt;=Inputs!$B$32+0.000001,G16&gt;=Inputs!$B$34-0.000001,SUMPRODUCT(G$6:G$16,Inputs!$H$5:$H$15)&lt;=Inputs!$B$33,MIN(G$6:G$16)&gt;=0),"MET","NOT MET")</f>
        <v>MET</v>
      </c>
    </row>
    <row r="26" spans="1:13" x14ac:dyDescent="0.2">
      <c r="A26" s="255" t="s">
        <v>145</v>
      </c>
      <c r="B26" s="72">
        <f>SUMPRODUCT(H$6:H$16,Forecast!$G$6:$G$16)</f>
        <v>6.7165833569283032E-2</v>
      </c>
      <c r="C26" s="72">
        <f>SQRT(SUMPRODUCT(H$6:H$16,MMULT(Risk!$B$41:$L$51,H$6:H$16)))</f>
        <v>6.6508937513354086E-2</v>
      </c>
      <c r="D26" s="116">
        <f>(B26-Inputs!$B$26)/C26</f>
        <v>0.31824044046761718</v>
      </c>
      <c r="E26" s="72">
        <f>SQRT(SUMPRODUCT(H$6:H$16-Inputs!$C$5:$C$15,MMULT(Risk!$B$41:$L$51,H$6:H$16-Inputs!$C$5:$C$15)))</f>
        <v>1.0999556058268955E-2</v>
      </c>
      <c r="F26" s="72">
        <f>SUMPRODUCT(H$6:H$16,Inputs!$D$5:$D$15)</f>
        <v>2.1838999999999999E-3</v>
      </c>
      <c r="G26" s="68">
        <f>SUMPRODUCT(ABS(H$6:H$16-$B$6:$B$16))/2</f>
        <v>0.26860000000000001</v>
      </c>
      <c r="H26" s="270">
        <f>1/SUMSQ(H$6:H$16)</f>
        <v>6.8050561022435181</v>
      </c>
      <c r="I26" s="116">
        <f>SUMPRODUCT(H$6:H$16,Forecast!$H$6:$H$16)/C26</f>
        <v>1.6315121114750279</v>
      </c>
      <c r="J26" s="68">
        <f t="shared" si="2"/>
        <v>1.4488696529083427E-2</v>
      </c>
      <c r="K26" s="68">
        <f>SUMPRODUCT(H$6:H$16,Stress!$B$11:$B$21)</f>
        <v>-0.19027821532191869</v>
      </c>
      <c r="L26" s="68">
        <f>SUMPRODUCT(H$6:H$16,Oil!$F$28:$F$38)</f>
        <v>-7.2014578876162902E-2</v>
      </c>
      <c r="M26" s="295" t="str">
        <f>IF(AND(E26&lt;=Inputs!$B$27+0.00005,SUMPRODUCT(H$6:H$16,Inputs!$G$5:$G$15)&gt;=Inputs!$B$31-0.000001,SUMPRODUCT(H$6:H$16,Inputs!$G$5:$G$15)&lt;=Inputs!$B$32+0.000001,H16&gt;=Inputs!$B$34-0.000001,SUMPRODUCT(H$6:H$16,Inputs!$H$5:$H$15)&lt;=Inputs!$B$33,MIN(H$6:H$16)&gt;=0),"MET","NOT MET")</f>
        <v>MET</v>
      </c>
    </row>
    <row r="27" spans="1:13" x14ac:dyDescent="0.2">
      <c r="A27" s="255" t="s">
        <v>141</v>
      </c>
      <c r="B27" s="72">
        <f>SUMPRODUCT(B$6:B$16,Forecast!$G$6:$G$16)</f>
        <v>7.1036033622111125E-2</v>
      </c>
      <c r="C27" s="72">
        <f>SQRT(SUMPRODUCT(B$6:B$16,MMULT(Risk!$B$41:$L$51,B$6:B$16)))</f>
        <v>8.3833964159733848E-2</v>
      </c>
      <c r="D27" s="116">
        <f>(B27-Inputs!$B$26)/C27</f>
        <v>0.29863831292062581</v>
      </c>
      <c r="E27" s="72">
        <f>SQRT(SUMPRODUCT(B$6:B$16-Inputs!$C$5:$C$15,MMULT(Risk!$B$41:$L$51,B$6:B$16-Inputs!$C$5:$C$15)))</f>
        <v>2.1585026414092778E-2</v>
      </c>
      <c r="F27" s="72">
        <f>SUMPRODUCT(B$6:B$16,Inputs!$D$5:$D$15)</f>
        <v>1.1200000000000001E-3</v>
      </c>
      <c r="G27" s="68">
        <f>SUMPRODUCT(ABS(B$6:B$16-$B$6:$B$16))/2</f>
        <v>0</v>
      </c>
      <c r="H27" s="270">
        <f>1/SUMSQ(B$6:B$16)</f>
        <v>4.1017227235438884</v>
      </c>
      <c r="I27" s="116">
        <f>SUMPRODUCT(B$6:B$16,Forecast!$H$6:$H$16)/C27</f>
        <v>1.360924142696077</v>
      </c>
      <c r="J27" s="68">
        <f t="shared" si="2"/>
        <v>3.585262596692234E-2</v>
      </c>
      <c r="K27" s="68">
        <f>SUMPRODUCT(B$6:B$16,Stress!$B$11:$B$21)</f>
        <v>-0.24167170700493548</v>
      </c>
      <c r="L27" s="68">
        <f>SUMPRODUCT(B$6:B$16,Oil!$F$28:$F$38)</f>
        <v>-8.2609308004662318E-2</v>
      </c>
      <c r="M27" s="295" t="str">
        <f>IF(AND(E27&lt;=Inputs!$B$27+0.00005,SUMPRODUCT(B$6:B$16,Inputs!$G$5:$G$15)&gt;=Inputs!$B$31-0.000001,SUMPRODUCT(B$6:B$16,Inputs!$G$5:$G$15)&lt;=Inputs!$B$32+0.000001,B16&gt;=Inputs!$B$34-0.000001,SUMPRODUCT(B$6:B$16,Inputs!$H$5:$H$15)&lt;=Inputs!$B$33,MIN(B$6:B$16)&gt;=0),"MET","NOT MET")</f>
        <v>NOT MET</v>
      </c>
    </row>
    <row r="28" spans="1:13" x14ac:dyDescent="0.2">
      <c r="A28" s="258" t="s">
        <v>7</v>
      </c>
      <c r="B28" s="296">
        <f>SUMPRODUCT(C$6:C$16,Forecast!$G$6:$G$16)</f>
        <v>6.7685257170379112E-2</v>
      </c>
      <c r="C28" s="296">
        <f>SQRT(SUMPRODUCT(C$6:C$16,MMULT(Risk!$B$41:$L$51,C$6:C$16)))</f>
        <v>7.0134112008392299E-2</v>
      </c>
      <c r="D28" s="297">
        <f>(B28-Inputs!$B$26)/C28</f>
        <v>0.30919700199218664</v>
      </c>
      <c r="E28" s="296">
        <f>SQRT(SUMPRODUCT(C$6:C$16-Inputs!$C$5:$C$15,MMULT(Risk!$B$41:$L$51,C$6:C$16-Inputs!$C$5:$C$15)))</f>
        <v>0</v>
      </c>
      <c r="F28" s="296">
        <f>SUMPRODUCT(C$6:C$16,Inputs!$D$5:$D$15)</f>
        <v>3.3799999999999993E-3</v>
      </c>
      <c r="G28" s="259">
        <f>SUMPRODUCT(ABS(C$6:C$16-$B$6:$B$16))/2</f>
        <v>0.23000000000000004</v>
      </c>
      <c r="H28" s="298">
        <f>1/SUMSQ(C$6:C$16)</f>
        <v>6.1274509803921555</v>
      </c>
      <c r="I28" s="297">
        <f>SUMPRODUCT(C$6:C$16,Forecast!$H$6:$H$16)/C28</f>
        <v>1.5726575278424972</v>
      </c>
      <c r="J28" s="259">
        <f t="shared" si="2"/>
        <v>1.878206205737348E-2</v>
      </c>
      <c r="K28" s="259">
        <f>SUMPRODUCT(C$6:C$16,Stress!$B$11:$B$21)</f>
        <v>-0.19300088608551058</v>
      </c>
      <c r="L28" s="259">
        <f>SUMPRODUCT(C$6:C$16,Oil!$F$28:$F$38)</f>
        <v>-7.3910247008008134E-2</v>
      </c>
      <c r="M28" s="299" t="str">
        <f>IF(AND(E28&lt;=Inputs!$B$27+0.00005,SUMPRODUCT(C$6:C$16,Inputs!$G$5:$G$15)&gt;=Inputs!$B$31-0.000001,SUMPRODUCT(C$6:C$16,Inputs!$G$5:$G$15)&lt;=Inputs!$B$32+0.000001,C16&gt;=Inputs!$B$34-0.000001,SUMPRODUCT(C$6:C$16,Inputs!$H$5:$H$15)&lt;=Inputs!$B$33,MIN(C$6:C$16)&gt;=0),"MET","NOT MET")</f>
        <v>MET</v>
      </c>
    </row>
    <row r="31" spans="1:13" x14ac:dyDescent="0.2">
      <c r="A31" s="83" t="s">
        <v>401</v>
      </c>
      <c r="B31" s="84"/>
      <c r="C31" s="84"/>
      <c r="D31" s="84"/>
      <c r="E31" s="84"/>
      <c r="F31" s="85"/>
    </row>
    <row r="32" spans="1:13" ht="28" x14ac:dyDescent="0.2">
      <c r="A32" s="89" t="s">
        <v>402</v>
      </c>
      <c r="B32" s="90" t="s">
        <v>390</v>
      </c>
      <c r="C32" s="90" t="s">
        <v>143</v>
      </c>
      <c r="D32" s="90" t="s">
        <v>403</v>
      </c>
      <c r="E32" s="90" t="s">
        <v>12</v>
      </c>
      <c r="F32" s="91" t="s">
        <v>13</v>
      </c>
      <c r="J32" s="176" t="s">
        <v>404</v>
      </c>
    </row>
    <row r="33" spans="1:9" x14ac:dyDescent="0.2">
      <c r="A33" s="95" t="s">
        <v>405</v>
      </c>
      <c r="B33" s="77"/>
      <c r="C33" s="77"/>
      <c r="D33" s="68">
        <f>MAX(E41:E51)</f>
        <v>3.7499999999999992E-2</v>
      </c>
      <c r="E33" s="173">
        <v>0.03</v>
      </c>
      <c r="F33" s="300" t="str">
        <f>IF(D33&lt;=E33,"WITHIN LIMIT","ABOVE LIMIT")</f>
        <v>ABOVE LIMIT</v>
      </c>
    </row>
    <row r="34" spans="1:9" x14ac:dyDescent="0.2">
      <c r="A34" s="95" t="s">
        <v>140</v>
      </c>
      <c r="B34" s="72">
        <f>B22</f>
        <v>7.1373051138514956E-2</v>
      </c>
      <c r="C34" s="72">
        <f>B24</f>
        <v>6.9908335383927295E-2</v>
      </c>
      <c r="D34" s="72">
        <f>ABS(B34-C34)</f>
        <v>1.4647157545876616E-3</v>
      </c>
      <c r="E34" s="189">
        <v>5.0000000000000001E-3</v>
      </c>
      <c r="F34" s="300" t="str">
        <f>IF(D34&lt;=E34,"WITHIN LIMIT","ABOVE LIMIT")</f>
        <v>WITHIN LIMIT</v>
      </c>
    </row>
    <row r="35" spans="1:9" x14ac:dyDescent="0.2">
      <c r="A35" s="95" t="s">
        <v>139</v>
      </c>
      <c r="B35" s="72">
        <f>C22</f>
        <v>7.875064259614814E-2</v>
      </c>
      <c r="C35" s="72">
        <f>C24</f>
        <v>7.5055184078804668E-2</v>
      </c>
      <c r="D35" s="72">
        <f>ABS(B35-C35)</f>
        <v>3.6954585173434723E-3</v>
      </c>
      <c r="E35" s="189">
        <v>5.0000000000000001E-3</v>
      </c>
      <c r="F35" s="300" t="str">
        <f>IF(D35&lt;=E35,"WITHIN LIMIT","ABOVE LIMIT")</f>
        <v>WITHIN LIMIT</v>
      </c>
    </row>
    <row r="36" spans="1:9" x14ac:dyDescent="0.2">
      <c r="A36" s="95" t="s">
        <v>406</v>
      </c>
      <c r="B36" s="149" t="str">
        <f>INDEX(A41:A51,MATCH(D33,E41:E51,0))</f>
        <v>World Fixed Income</v>
      </c>
      <c r="C36" s="77"/>
      <c r="D36" s="77"/>
      <c r="E36" s="77"/>
      <c r="F36" s="301"/>
    </row>
    <row r="37" spans="1:9" x14ac:dyDescent="0.2">
      <c r="A37" s="107" t="s">
        <v>407</v>
      </c>
      <c r="B37" s="302" t="str">
        <f>INDEX(I41:I51,MATCH(D33,E41:E51,0))</f>
        <v>Yes</v>
      </c>
      <c r="C37" s="303"/>
      <c r="D37" s="303"/>
      <c r="E37" s="303"/>
      <c r="F37" s="304"/>
    </row>
    <row r="39" spans="1:9" x14ac:dyDescent="0.2">
      <c r="A39" s="181" t="s">
        <v>408</v>
      </c>
      <c r="B39" s="182"/>
      <c r="C39" s="182"/>
      <c r="D39" s="182"/>
      <c r="E39" s="182"/>
      <c r="F39" s="182"/>
      <c r="G39" s="182"/>
      <c r="H39" s="182"/>
      <c r="I39" s="183"/>
    </row>
    <row r="40" spans="1:9" ht="30" customHeight="1" x14ac:dyDescent="0.2">
      <c r="A40" s="184" t="s">
        <v>5</v>
      </c>
      <c r="B40" s="185" t="s">
        <v>390</v>
      </c>
      <c r="C40" s="185" t="s">
        <v>409</v>
      </c>
      <c r="D40" s="185" t="s">
        <v>403</v>
      </c>
      <c r="E40" s="185" t="s">
        <v>410</v>
      </c>
      <c r="F40" s="185" t="s">
        <v>411</v>
      </c>
      <c r="G40" s="185" t="s">
        <v>412</v>
      </c>
      <c r="H40" s="185" t="s">
        <v>413</v>
      </c>
      <c r="I40" s="186" t="s">
        <v>414</v>
      </c>
    </row>
    <row r="41" spans="1:9" x14ac:dyDescent="0.2">
      <c r="A41" s="187" t="s">
        <v>14</v>
      </c>
      <c r="B41" s="68">
        <f t="shared" ref="B41:B51" si="3">D6</f>
        <v>0.2697</v>
      </c>
      <c r="C41" s="68">
        <f t="shared" ref="C41:C51" si="4">F6</f>
        <v>0.25600000000000001</v>
      </c>
      <c r="D41" s="68">
        <f t="shared" ref="D41:D51" si="5">B41-C41</f>
        <v>1.369999999999999E-2</v>
      </c>
      <c r="E41" s="68">
        <f t="shared" ref="E41:E51" si="6">ABS(D41)</f>
        <v>1.369999999999999E-2</v>
      </c>
      <c r="F41" s="173">
        <v>3.6900000000000002E-2</v>
      </c>
      <c r="G41" s="173">
        <v>0.20230000000000001</v>
      </c>
      <c r="H41" s="173">
        <v>0.30159999999999998</v>
      </c>
      <c r="I41" s="305" t="str">
        <f>IF(E41&lt;=F41,"Yes","No")</f>
        <v>Yes</v>
      </c>
    </row>
    <row r="42" spans="1:9" x14ac:dyDescent="0.2">
      <c r="A42" s="187" t="s">
        <v>16</v>
      </c>
      <c r="B42" s="68">
        <f t="shared" si="3"/>
        <v>0.2732</v>
      </c>
      <c r="C42" s="68">
        <f t="shared" si="4"/>
        <v>0.2712</v>
      </c>
      <c r="D42" s="68">
        <f t="shared" si="5"/>
        <v>2.0000000000000018E-3</v>
      </c>
      <c r="E42" s="68">
        <f t="shared" si="6"/>
        <v>2.0000000000000018E-3</v>
      </c>
      <c r="F42" s="173">
        <v>4.3799999999999999E-2</v>
      </c>
      <c r="G42" s="173">
        <v>0.20269999999999999</v>
      </c>
      <c r="H42" s="173">
        <v>0.3196</v>
      </c>
      <c r="I42" s="305" t="str">
        <f>IF(E42&lt;=F42,"Yes","No")</f>
        <v>Yes</v>
      </c>
    </row>
    <row r="43" spans="1:9" x14ac:dyDescent="0.2">
      <c r="A43" s="187" t="s">
        <v>18</v>
      </c>
      <c r="B43" s="68">
        <f t="shared" si="3"/>
        <v>7.7100000000000002E-2</v>
      </c>
      <c r="C43" s="68">
        <f t="shared" si="4"/>
        <v>4.8899999999999999E-2</v>
      </c>
      <c r="D43" s="68">
        <f t="shared" si="5"/>
        <v>2.8200000000000003E-2</v>
      </c>
      <c r="E43" s="68">
        <f t="shared" si="6"/>
        <v>2.8200000000000003E-2</v>
      </c>
      <c r="F43" s="173">
        <v>3.1399999999999997E-2</v>
      </c>
      <c r="G43" s="173">
        <v>0</v>
      </c>
      <c r="H43" s="173">
        <v>0.08</v>
      </c>
      <c r="I43" s="305" t="str">
        <f>IF(E43&lt;=F43,"Yes","No")</f>
        <v>Yes</v>
      </c>
    </row>
    <row r="44" spans="1:9" x14ac:dyDescent="0.2">
      <c r="A44" s="187" t="s">
        <v>20</v>
      </c>
      <c r="B44" s="68">
        <f t="shared" si="3"/>
        <v>7.5399999999999995E-2</v>
      </c>
      <c r="C44" s="68">
        <f t="shared" si="4"/>
        <v>7.4399999999999994E-2</v>
      </c>
      <c r="D44" s="68">
        <f t="shared" si="5"/>
        <v>1.0000000000000009E-3</v>
      </c>
      <c r="E44" s="68">
        <f t="shared" si="6"/>
        <v>1.0000000000000009E-3</v>
      </c>
      <c r="F44" s="173">
        <v>3.4299999999999997E-2</v>
      </c>
      <c r="G44" s="173">
        <v>2.92E-2</v>
      </c>
      <c r="H44" s="173">
        <v>0.12</v>
      </c>
      <c r="I44" s="305" t="str">
        <f>IF(E44&lt;=F44,"Yes","No")</f>
        <v>Yes</v>
      </c>
    </row>
    <row r="45" spans="1:9" x14ac:dyDescent="0.2">
      <c r="A45" s="187" t="s">
        <v>22</v>
      </c>
      <c r="B45" s="68">
        <f t="shared" si="3"/>
        <v>0.03</v>
      </c>
      <c r="C45" s="68">
        <f t="shared" si="4"/>
        <v>0.03</v>
      </c>
      <c r="D45" s="68">
        <f t="shared" si="5"/>
        <v>0</v>
      </c>
      <c r="E45" s="68">
        <f t="shared" si="6"/>
        <v>0</v>
      </c>
      <c r="F45" s="173">
        <v>0</v>
      </c>
      <c r="G45" s="173">
        <v>0.03</v>
      </c>
      <c r="H45" s="173">
        <v>0.03</v>
      </c>
      <c r="I45" s="305" t="str">
        <f>"Stage 2 fixed"</f>
        <v>Stage 2 fixed</v>
      </c>
    </row>
    <row r="46" spans="1:9" x14ac:dyDescent="0.2">
      <c r="A46" s="187" t="s">
        <v>24</v>
      </c>
      <c r="B46" s="68">
        <f t="shared" si="3"/>
        <v>0.05</v>
      </c>
      <c r="C46" s="68">
        <f t="shared" si="4"/>
        <v>0.05</v>
      </c>
      <c r="D46" s="68">
        <f t="shared" si="5"/>
        <v>0</v>
      </c>
      <c r="E46" s="68">
        <f t="shared" si="6"/>
        <v>0</v>
      </c>
      <c r="F46" s="173">
        <v>0</v>
      </c>
      <c r="G46" s="173">
        <v>0.05</v>
      </c>
      <c r="H46" s="173">
        <v>0.05</v>
      </c>
      <c r="I46" s="305" t="str">
        <f>"Stage 2 fixed"</f>
        <v>Stage 2 fixed</v>
      </c>
    </row>
    <row r="47" spans="1:9" x14ac:dyDescent="0.2">
      <c r="A47" s="187" t="s">
        <v>26</v>
      </c>
      <c r="B47" s="68">
        <f t="shared" si="3"/>
        <v>0</v>
      </c>
      <c r="C47" s="68">
        <f t="shared" si="4"/>
        <v>0</v>
      </c>
      <c r="D47" s="68">
        <f t="shared" si="5"/>
        <v>0</v>
      </c>
      <c r="E47" s="68">
        <f t="shared" si="6"/>
        <v>0</v>
      </c>
      <c r="F47" s="173">
        <v>0</v>
      </c>
      <c r="G47" s="173">
        <v>0</v>
      </c>
      <c r="H47" s="173">
        <v>0</v>
      </c>
      <c r="I47" s="305" t="str">
        <f>"Stage 2 fixed"</f>
        <v>Stage 2 fixed</v>
      </c>
    </row>
    <row r="48" spans="1:9" x14ac:dyDescent="0.2">
      <c r="A48" s="187" t="s">
        <v>28</v>
      </c>
      <c r="B48" s="68">
        <f t="shared" si="3"/>
        <v>0.01</v>
      </c>
      <c r="C48" s="68">
        <f t="shared" si="4"/>
        <v>0.01</v>
      </c>
      <c r="D48" s="68">
        <f t="shared" si="5"/>
        <v>0</v>
      </c>
      <c r="E48" s="68">
        <f t="shared" si="6"/>
        <v>0</v>
      </c>
      <c r="F48" s="173">
        <v>0</v>
      </c>
      <c r="G48" s="173">
        <v>0.01</v>
      </c>
      <c r="H48" s="173">
        <v>0.01</v>
      </c>
      <c r="I48" s="305" t="str">
        <f>"Stage 2 fixed"</f>
        <v>Stage 2 fixed</v>
      </c>
    </row>
    <row r="49" spans="1:9" x14ac:dyDescent="0.2">
      <c r="A49" s="187" t="s">
        <v>30</v>
      </c>
      <c r="B49" s="68">
        <f t="shared" si="3"/>
        <v>0.13089999999999999</v>
      </c>
      <c r="C49" s="68">
        <f t="shared" si="4"/>
        <v>0.12889999999999999</v>
      </c>
      <c r="D49" s="68">
        <f t="shared" si="5"/>
        <v>2.0000000000000018E-3</v>
      </c>
      <c r="E49" s="68">
        <f t="shared" si="6"/>
        <v>2.0000000000000018E-3</v>
      </c>
      <c r="F49" s="173">
        <v>5.74E-2</v>
      </c>
      <c r="G49" s="173">
        <v>0.05</v>
      </c>
      <c r="H49" s="173">
        <v>0.20169999999999999</v>
      </c>
      <c r="I49" s="305" t="str">
        <f>IF(E49&lt;=F49,"Yes","No")</f>
        <v>Yes</v>
      </c>
    </row>
    <row r="50" spans="1:9" x14ac:dyDescent="0.2">
      <c r="A50" s="187" t="s">
        <v>32</v>
      </c>
      <c r="B50" s="68">
        <f t="shared" si="3"/>
        <v>6.3700000000000007E-2</v>
      </c>
      <c r="C50" s="68">
        <f t="shared" si="4"/>
        <v>0.1012</v>
      </c>
      <c r="D50" s="68">
        <f t="shared" si="5"/>
        <v>-3.7499999999999992E-2</v>
      </c>
      <c r="E50" s="68">
        <f t="shared" si="6"/>
        <v>3.7499999999999992E-2</v>
      </c>
      <c r="F50" s="173">
        <v>5.8700000000000002E-2</v>
      </c>
      <c r="G50" s="173">
        <v>0.05</v>
      </c>
      <c r="H50" s="173">
        <v>0.2</v>
      </c>
      <c r="I50" s="305" t="str">
        <f>IF(E50&lt;=F50,"Yes","No")</f>
        <v>Yes</v>
      </c>
    </row>
    <row r="51" spans="1:9" x14ac:dyDescent="0.2">
      <c r="A51" s="190" t="s">
        <v>34</v>
      </c>
      <c r="B51" s="306">
        <f t="shared" si="3"/>
        <v>0.02</v>
      </c>
      <c r="C51" s="306">
        <f t="shared" si="4"/>
        <v>2.9399999999999999E-2</v>
      </c>
      <c r="D51" s="306">
        <f t="shared" si="5"/>
        <v>-9.3999999999999986E-3</v>
      </c>
      <c r="E51" s="306">
        <f t="shared" si="6"/>
        <v>9.3999999999999986E-3</v>
      </c>
      <c r="F51" s="191">
        <v>2.4199999999999999E-2</v>
      </c>
      <c r="G51" s="191">
        <v>0.02</v>
      </c>
      <c r="H51" s="191">
        <v>7.2700000000000001E-2</v>
      </c>
      <c r="I51" s="307" t="str">
        <f>IF(E51&lt;=F51,"Yes","No")</f>
        <v>Yes</v>
      </c>
    </row>
  </sheetData>
  <conditionalFormatting sqref="F33:F35">
    <cfRule type="cellIs" dxfId="20" priority="7" operator="equal">
      <formula>"WITHIN LIMIT"</formula>
    </cfRule>
    <cfRule type="cellIs" dxfId="19" priority="8" operator="equal">
      <formula>"ABOVE LIMIT"</formula>
    </cfRule>
  </conditionalFormatting>
  <conditionalFormatting sqref="M22:M28">
    <cfRule type="cellIs" dxfId="18" priority="1" operator="equal">
      <formula>"MET"</formula>
    </cfRule>
    <cfRule type="cellIs" dxfId="17" priority="2" operator="equal">
      <formula>"PASS"</formula>
    </cfRule>
    <cfRule type="cellIs" dxfId="16" priority="3" operator="equal">
      <formula>"INFO"</formula>
    </cfRule>
    <cfRule type="cellIs" dxfId="15" priority="4" operator="equal">
      <formula>"NOT MET"</formula>
    </cfRule>
    <cfRule type="cellIs" dxfId="14" priority="5" operator="equal">
      <formula>"FAIL"</formula>
    </cfRule>
    <cfRule type="cellIs" dxfId="13" priority="6" operator="equal">
      <formula>"MAX FEASIBLE"</formula>
    </cfRule>
  </conditionalFormatting>
  <pageMargins left="0.75" right="0.75" top="1" bottom="1" header="0.5" footer="0.5"/>
  <pageSetup fitToHeight="0"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55A11"/>
    <pageSetUpPr fitToPage="1"/>
  </sheetPr>
  <dimension ref="A1:AB1101"/>
  <sheetViews>
    <sheetView showGridLines="0" workbookViewId="0">
      <pane xSplit="1" ySplit="5" topLeftCell="B9" activePane="bottomRight" state="frozen"/>
      <selection pane="topRight"/>
      <selection pane="bottomLeft"/>
      <selection pane="bottomRight"/>
    </sheetView>
  </sheetViews>
  <sheetFormatPr baseColWidth="10" defaultColWidth="8.83203125" defaultRowHeight="15" x14ac:dyDescent="0.2"/>
  <cols>
    <col min="1" max="1" width="30" customWidth="1"/>
    <col min="2" max="5" width="13" customWidth="1"/>
    <col min="6" max="33" width="11" customWidth="1"/>
  </cols>
  <sheetData>
    <row r="1" spans="1:5" ht="19" x14ac:dyDescent="0.2">
      <c r="A1" s="53" t="s">
        <v>103</v>
      </c>
    </row>
    <row r="4" spans="1:5" x14ac:dyDescent="0.2">
      <c r="A4" s="83" t="s">
        <v>415</v>
      </c>
      <c r="B4" s="84"/>
      <c r="C4" s="84"/>
      <c r="D4" s="84"/>
      <c r="E4" s="85"/>
    </row>
    <row r="5" spans="1:5" ht="28" x14ac:dyDescent="0.2">
      <c r="A5" s="89" t="s">
        <v>64</v>
      </c>
      <c r="B5" s="90" t="s">
        <v>6</v>
      </c>
      <c r="C5" s="90" t="s">
        <v>7</v>
      </c>
      <c r="D5" s="90" t="s">
        <v>8</v>
      </c>
      <c r="E5" s="91" t="s">
        <v>12</v>
      </c>
    </row>
    <row r="6" spans="1:5" x14ac:dyDescent="0.2">
      <c r="A6" s="95" t="s">
        <v>416</v>
      </c>
      <c r="B6" s="68">
        <f>COUNTIF(G102:G1101,"&lt;0")/COUNT(G102:G1101)</f>
        <v>7.3999999999999996E-2</v>
      </c>
      <c r="C6" s="68">
        <f>COUNTIF(H102:H1101,"&lt;0")/COUNT(H102:H1101)</f>
        <v>6.2E-2</v>
      </c>
      <c r="D6" s="68">
        <f>COUNTIF(I102:I1101,"&lt;0")/COUNT(I102:I1101)</f>
        <v>7.3999999999999996E-2</v>
      </c>
      <c r="E6" s="103">
        <f>Inputs!$B$28</f>
        <v>0.25</v>
      </c>
    </row>
    <row r="7" spans="1:5" x14ac:dyDescent="0.2">
      <c r="A7" s="95" t="s">
        <v>417</v>
      </c>
      <c r="B7" s="68">
        <f>NORMSDIST(-(Risk!N56-Risk!M56^2/2)*SQRT(5)/Risk!M56)</f>
        <v>3.585262596692234E-2</v>
      </c>
      <c r="C7" s="68">
        <f>NORMSDIST(-(Risk!N57-Risk!M57^2/2)*SQRT(5)/Risk!M57)</f>
        <v>1.878206205737348E-2</v>
      </c>
      <c r="D7" s="68">
        <f>NORMSDIST(-(Risk!N58-Risk!M58^2/2)*SQRT(5)/Risk!M58)</f>
        <v>2.6278647117227945E-2</v>
      </c>
      <c r="E7" s="103">
        <f>Inputs!$B$28</f>
        <v>0.25</v>
      </c>
    </row>
    <row r="8" spans="1:5" x14ac:dyDescent="0.2">
      <c r="A8" s="95" t="s">
        <v>418</v>
      </c>
      <c r="B8" s="68">
        <f>PERCENTILE(G102:G1101,0.05)</f>
        <v>-5.9777062787571875E-2</v>
      </c>
      <c r="C8" s="68">
        <f>PERCENTILE(H102:H1101,0.05)</f>
        <v>-1.8265938709749491E-2</v>
      </c>
      <c r="D8" s="68">
        <f>PERCENTILE(I102:I1101,0.05)</f>
        <v>-6.3457864178806639E-2</v>
      </c>
      <c r="E8" s="301"/>
    </row>
    <row r="9" spans="1:5" x14ac:dyDescent="0.2">
      <c r="A9" s="95" t="s">
        <v>419</v>
      </c>
      <c r="B9" s="68">
        <f>MEDIAN(G102:G1101)</f>
        <v>0.40339614555805581</v>
      </c>
      <c r="C9" s="68">
        <f>MEDIAN(H102:H1101)</f>
        <v>0.38418584063235506</v>
      </c>
      <c r="D9" s="68">
        <f>MEDIAN(I102:I1101)</f>
        <v>0.40425217167352989</v>
      </c>
      <c r="E9" s="301"/>
    </row>
    <row r="10" spans="1:5" x14ac:dyDescent="0.2">
      <c r="A10" s="95" t="s">
        <v>420</v>
      </c>
      <c r="B10" s="68">
        <f>PERCENTILE(G102:G1101,0.95)</f>
        <v>0.86333979416952467</v>
      </c>
      <c r="C10" s="68">
        <f>PERCENTILE(H102:H1101,0.95)</f>
        <v>0.80449319293090216</v>
      </c>
      <c r="D10" s="68">
        <f>PERCENTILE(I102:I1101,0.95)</f>
        <v>0.8941756701461252</v>
      </c>
      <c r="E10" s="301"/>
    </row>
    <row r="11" spans="1:5" x14ac:dyDescent="0.2">
      <c r="A11" s="95" t="s">
        <v>421</v>
      </c>
      <c r="B11" s="72">
        <f>(1+B9)^(1/5)-1</f>
        <v>7.0128808994075031E-2</v>
      </c>
      <c r="C11" s="72">
        <f>(1+C9)^(1/5)-1</f>
        <v>6.7182955927261867E-2</v>
      </c>
      <c r="D11" s="72">
        <f>(1+D9)^(1/5)-1</f>
        <v>7.0259325924133531E-2</v>
      </c>
      <c r="E11" s="301"/>
    </row>
    <row r="12" spans="1:5" x14ac:dyDescent="0.2">
      <c r="A12" s="95" t="s">
        <v>422</v>
      </c>
      <c r="B12" s="72">
        <f>STDEV(J102:J1101)/SQRT(5)</f>
        <v>1.5627426944787529E-2</v>
      </c>
      <c r="C12" s="72">
        <v>0</v>
      </c>
      <c r="D12" s="72">
        <f>STDEV(K102:K1101)/SQRT(5)</f>
        <v>1.405107452298854E-2</v>
      </c>
      <c r="E12" s="97">
        <f>Inputs!$B$27</f>
        <v>1.4999999999999999E-2</v>
      </c>
    </row>
    <row r="13" spans="1:5" x14ac:dyDescent="0.2">
      <c r="A13" s="95" t="s">
        <v>373</v>
      </c>
      <c r="B13" s="72">
        <f>Risk!O56</f>
        <v>2.1585026414092778E-2</v>
      </c>
      <c r="C13" s="72">
        <v>0</v>
      </c>
      <c r="D13" s="72">
        <f>Risk!O58</f>
        <v>1.0997193071421192E-2</v>
      </c>
      <c r="E13" s="97">
        <f>Inputs!$B$27</f>
        <v>1.4999999999999999E-2</v>
      </c>
    </row>
    <row r="14" spans="1:5" x14ac:dyDescent="0.2">
      <c r="A14" s="308" t="s">
        <v>423</v>
      </c>
      <c r="B14" s="309" t="str">
        <f>IF(D6&lt;=E6,"MET","NOT MET")</f>
        <v>MET</v>
      </c>
      <c r="C14" s="309" t="str">
        <f>IF(D12&lt;=E12,"MET","NOT MET")</f>
        <v>MET</v>
      </c>
      <c r="D14" s="303"/>
      <c r="E14" s="304"/>
    </row>
    <row r="18" spans="1:28" x14ac:dyDescent="0.2">
      <c r="A18" s="203" t="s">
        <v>424</v>
      </c>
      <c r="B18" s="204"/>
      <c r="C18" s="204"/>
      <c r="D18" s="204"/>
      <c r="E18" s="204"/>
      <c r="F18" s="204"/>
      <c r="G18" s="204"/>
      <c r="H18" s="204"/>
      <c r="I18" s="204"/>
      <c r="J18" s="204"/>
      <c r="K18" s="204"/>
      <c r="L18" s="204"/>
      <c r="M18" s="204"/>
      <c r="N18" s="204"/>
      <c r="O18" s="204"/>
      <c r="P18" s="204"/>
      <c r="Q18" s="204"/>
      <c r="R18" s="204"/>
      <c r="S18" s="204"/>
      <c r="T18" s="204"/>
      <c r="U18" s="204"/>
      <c r="V18" s="204"/>
      <c r="W18" s="204"/>
      <c r="X18" s="204"/>
      <c r="Y18" s="204"/>
      <c r="Z18" s="204"/>
      <c r="AA18" s="204"/>
      <c r="AB18" s="205"/>
    </row>
    <row r="19" spans="1:28" x14ac:dyDescent="0.2">
      <c r="A19" s="236"/>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237"/>
    </row>
    <row r="20" spans="1:28" ht="54" customHeight="1" x14ac:dyDescent="0.2">
      <c r="A20" s="206" t="s">
        <v>425</v>
      </c>
      <c r="B20" s="207" t="s">
        <v>426</v>
      </c>
      <c r="C20" s="207" t="s">
        <v>14</v>
      </c>
      <c r="D20" s="207" t="s">
        <v>16</v>
      </c>
      <c r="E20" s="207" t="s">
        <v>18</v>
      </c>
      <c r="F20" s="207" t="s">
        <v>20</v>
      </c>
      <c r="G20" s="207" t="s">
        <v>22</v>
      </c>
      <c r="H20" s="207" t="s">
        <v>24</v>
      </c>
      <c r="I20" s="207" t="s">
        <v>26</v>
      </c>
      <c r="J20" s="207" t="s">
        <v>28</v>
      </c>
      <c r="K20" s="207" t="s">
        <v>30</v>
      </c>
      <c r="L20" s="207" t="s">
        <v>32</v>
      </c>
      <c r="M20" s="207" t="s">
        <v>34</v>
      </c>
      <c r="N20" s="77"/>
      <c r="O20" s="310" t="s">
        <v>427</v>
      </c>
      <c r="P20" s="90" t="s">
        <v>428</v>
      </c>
      <c r="Q20" s="90" t="s">
        <v>429</v>
      </c>
      <c r="R20" s="90" t="s">
        <v>430</v>
      </c>
      <c r="S20" s="90" t="s">
        <v>431</v>
      </c>
      <c r="T20" s="90" t="s">
        <v>432</v>
      </c>
      <c r="U20" s="90" t="s">
        <v>433</v>
      </c>
      <c r="V20" s="90" t="s">
        <v>434</v>
      </c>
      <c r="W20" s="90" t="s">
        <v>435</v>
      </c>
      <c r="X20" s="90" t="s">
        <v>436</v>
      </c>
      <c r="Y20" s="90" t="s">
        <v>437</v>
      </c>
      <c r="Z20" s="90" t="s">
        <v>6</v>
      </c>
      <c r="AA20" s="90" t="s">
        <v>7</v>
      </c>
      <c r="AB20" s="311" t="s">
        <v>8</v>
      </c>
    </row>
    <row r="21" spans="1:28" x14ac:dyDescent="0.2">
      <c r="A21" s="312">
        <v>1</v>
      </c>
      <c r="B21" s="313">
        <f>'Quarterly returns'!A9</f>
        <v>39171</v>
      </c>
      <c r="C21" s="68">
        <f>(1+'Quarterly returns'!N6)*(1+'Quarterly returns'!N7)*(1+'Quarterly returns'!N8)*(1+'Quarterly returns'!N9)-1</f>
        <v>0.22335287004847526</v>
      </c>
      <c r="D21" s="68">
        <f>(1+'Quarterly returns'!O6)*(1+'Quarterly returns'!O7)*(1+'Quarterly returns'!O8)*(1+'Quarterly returns'!O9)-1</f>
        <v>-1.3477703077511061E-2</v>
      </c>
      <c r="E21" s="68">
        <f>(1+'Quarterly returns'!P6)*(1+'Quarterly returns'!P7)*(1+'Quarterly returns'!P8)*(1+'Quarterly returns'!P9)-1</f>
        <v>6.1278297392446168E-2</v>
      </c>
      <c r="F21" s="68">
        <f>(1+'Quarterly returns'!Q6)*(1+'Quarterly returns'!Q7)*(1+'Quarterly returns'!Q8)*(1+'Quarterly returns'!Q9)-1</f>
        <v>0.12203701180304027</v>
      </c>
      <c r="G21" s="68">
        <f>(1+'Quarterly returns'!R6)*(1+'Quarterly returns'!R7)*(1+'Quarterly returns'!R8)*(1+'Quarterly returns'!R9)-1</f>
        <v>-0.20038570701977443</v>
      </c>
      <c r="H21" s="68">
        <f>(1+'Quarterly returns'!S6)*(1+'Quarterly returns'!S7)*(1+'Quarterly returns'!S8)*(1+'Quarterly returns'!S9)-1</f>
        <v>8.9363022256984781E-2</v>
      </c>
      <c r="I21" s="68">
        <f>(1+'Quarterly returns'!T6)*(1+'Quarterly returns'!T7)*(1+'Quarterly returns'!T8)*(1+'Quarterly returns'!T9)-1</f>
        <v>0.11983848361929716</v>
      </c>
      <c r="J21" s="68">
        <f>(1+'Quarterly returns'!U6)*(1+'Quarterly returns'!U7)*(1+'Quarterly returns'!U8)*(1+'Quarterly returns'!U9)-1</f>
        <v>0.2590910736028933</v>
      </c>
      <c r="K21" s="68">
        <f>(1+'Quarterly returns'!V6)*(1+'Quarterly returns'!V7)*(1+'Quarterly returns'!V8)*(1+'Quarterly returns'!V9)-1</f>
        <v>3.7019357700309286E-2</v>
      </c>
      <c r="L21" s="68">
        <f>(1+'Quarterly returns'!W6)*(1+'Quarterly returns'!W7)*(1+'Quarterly returns'!W8)*(1+'Quarterly returns'!W9)-1</f>
        <v>6.376546037562969E-2</v>
      </c>
      <c r="M21" s="68">
        <f>(1+'Quarterly returns'!X6)*(1+'Quarterly returns'!X7)*(1+'Quarterly returns'!X8)*(1+'Quarterly returns'!X9)-1</f>
        <v>6.2119266055045808E-2</v>
      </c>
      <c r="N21" s="77"/>
      <c r="O21" s="68">
        <f>C21-AVERAGE(C$21:C$97)+Forecast!$G$6</f>
        <v>0.22341842163289305</v>
      </c>
      <c r="P21" s="68">
        <f>D21-AVERAGE(D$21:D$97)+Forecast!$G$7</f>
        <v>-3.6740235142175004E-2</v>
      </c>
      <c r="Q21" s="68">
        <f>E21-AVERAGE(E$21:E$97)+Forecast!$G$8</f>
        <v>5.0955721586735059E-2</v>
      </c>
      <c r="R21" s="68">
        <f>F21-AVERAGE(F$21:F$97)+Forecast!$G$9</f>
        <v>0.12278245008616741</v>
      </c>
      <c r="S21" s="68">
        <f>G21-AVERAGE(G$21:G$97)+Forecast!$G$10</f>
        <v>-0.16709689391150978</v>
      </c>
      <c r="T21" s="68">
        <f>H21-AVERAGE(H$21:H$97)+Forecast!$G$11</f>
        <v>8.0799452266427957E-2</v>
      </c>
      <c r="U21" s="68">
        <f>I21-AVERAGE(I$21:I$97)+Forecast!$G$12</f>
        <v>7.3483833548825872E-2</v>
      </c>
      <c r="V21" s="68">
        <f>J21-AVERAGE(J$21:J$97)+Forecast!$G$13</f>
        <v>0.19442234296068839</v>
      </c>
      <c r="W21" s="68">
        <f>K21-AVERAGE(K$21:K$97)+Forecast!$G$14</f>
        <v>4.2600195688458617E-2</v>
      </c>
      <c r="X21" s="68">
        <f>L21-AVERAGE(L$21:L$97)+Forecast!$G$15</f>
        <v>6.6437889211906187E-2</v>
      </c>
      <c r="Y21" s="68">
        <f>M21-AVERAGE(M$21:M$97)+Forecast!$G$16</f>
        <v>7.5488768892024022E-2</v>
      </c>
      <c r="Z21" s="68">
        <f>SUMPRODUCT($O21:$Y21,Risk!$B$56:$L$56)</f>
        <v>0.11128684094600193</v>
      </c>
      <c r="AA21" s="68">
        <f>SUMPRODUCT($O21:$Y21,Risk!$B$57:$L$57)</f>
        <v>8.1432470434566265E-2</v>
      </c>
      <c r="AB21" s="314">
        <f>SUMPRODUCT($O21:$Y21,Risk!$B$58:$L$58)</f>
        <v>7.5694522706224468E-2</v>
      </c>
    </row>
    <row r="22" spans="1:28" x14ac:dyDescent="0.2">
      <c r="A22" s="312">
        <v>2</v>
      </c>
      <c r="B22" s="313">
        <f>'Quarterly returns'!A10</f>
        <v>39262</v>
      </c>
      <c r="C22" s="68">
        <f>(1+'Quarterly returns'!N7)*(1+'Quarterly returns'!N8)*(1+'Quarterly returns'!N9)*(1+'Quarterly returns'!N10)-1</f>
        <v>0.30281329982971972</v>
      </c>
      <c r="D22" s="68">
        <f>(1+'Quarterly returns'!O7)*(1+'Quarterly returns'!O8)*(1+'Quarterly returns'!O9)*(1+'Quarterly returns'!O10)-1</f>
        <v>6.9490786772530511E-2</v>
      </c>
      <c r="E22" s="68">
        <f>(1+'Quarterly returns'!P7)*(1+'Quarterly returns'!P8)*(1+'Quarterly returns'!P9)*(1+'Quarterly returns'!P10)-1</f>
        <v>0.22137832164263771</v>
      </c>
      <c r="F22" s="68">
        <f>(1+'Quarterly returns'!Q7)*(1+'Quarterly returns'!Q8)*(1+'Quarterly returns'!Q9)*(1+'Quarterly returns'!Q10)-1</f>
        <v>4.2161146980691067E-2</v>
      </c>
      <c r="G22" s="68">
        <f>(1+'Quarterly returns'!R7)*(1+'Quarterly returns'!R8)*(1+'Quarterly returns'!R9)*(1+'Quarterly returns'!R10)-1</f>
        <v>-0.24683501958560838</v>
      </c>
      <c r="H22" s="68">
        <f>(1+'Quarterly returns'!S7)*(1+'Quarterly returns'!S8)*(1+'Quarterly returns'!S9)*(1+'Quarterly returns'!S10)-1</f>
        <v>0.11738198873626349</v>
      </c>
      <c r="I22" s="68">
        <f>(1+'Quarterly returns'!T7)*(1+'Quarterly returns'!T8)*(1+'Quarterly returns'!T9)*(1+'Quarterly returns'!T10)-1</f>
        <v>0.12329035887475404</v>
      </c>
      <c r="J22" s="68">
        <f>(1+'Quarterly returns'!U7)*(1+'Quarterly returns'!U8)*(1+'Quarterly returns'!U9)*(1+'Quarterly returns'!U10)-1</f>
        <v>0.27380444674382876</v>
      </c>
      <c r="K22" s="68">
        <f>(1+'Quarterly returns'!V7)*(1+'Quarterly returns'!V8)*(1+'Quarterly returns'!V9)*(1+'Quarterly returns'!V10)-1</f>
        <v>3.9878946079052513E-2</v>
      </c>
      <c r="L22" s="68">
        <f>(1+'Quarterly returns'!W7)*(1+'Quarterly returns'!W8)*(1+'Quarterly returns'!W9)*(1+'Quarterly returns'!W10)-1</f>
        <v>5.7174221287106253E-2</v>
      </c>
      <c r="M22" s="68">
        <f>(1+'Quarterly returns'!X7)*(1+'Quarterly returns'!X8)*(1+'Quarterly returns'!X9)*(1+'Quarterly returns'!X10)-1</f>
        <v>6.4233761534286504E-2</v>
      </c>
      <c r="N22" s="77"/>
      <c r="O22" s="68">
        <f>C22-AVERAGE(C$21:C$97)+Forecast!$G$6</f>
        <v>0.30287885141413751</v>
      </c>
      <c r="P22" s="68">
        <f>D22-AVERAGE(D$21:D$97)+Forecast!$G$7</f>
        <v>4.6228254707866567E-2</v>
      </c>
      <c r="Q22" s="68">
        <f>E22-AVERAGE(E$21:E$97)+Forecast!$G$8</f>
        <v>0.2110557458369266</v>
      </c>
      <c r="R22" s="68">
        <f>F22-AVERAGE(F$21:F$97)+Forecast!$G$9</f>
        <v>4.29065852638182E-2</v>
      </c>
      <c r="S22" s="68">
        <f>G22-AVERAGE(G$21:G$97)+Forecast!$G$10</f>
        <v>-0.21354620647734374</v>
      </c>
      <c r="T22" s="68">
        <f>H22-AVERAGE(H$21:H$97)+Forecast!$G$11</f>
        <v>0.10881841874570666</v>
      </c>
      <c r="U22" s="68">
        <f>I22-AVERAGE(I$21:I$97)+Forecast!$G$12</f>
        <v>7.6935708804282743E-2</v>
      </c>
      <c r="V22" s="68">
        <f>J22-AVERAGE(J$21:J$97)+Forecast!$G$13</f>
        <v>0.20913571610162385</v>
      </c>
      <c r="W22" s="68">
        <f>K22-AVERAGE(K$21:K$97)+Forecast!$G$14</f>
        <v>4.5459784067201844E-2</v>
      </c>
      <c r="X22" s="68">
        <f>L22-AVERAGE(L$21:L$97)+Forecast!$G$15</f>
        <v>5.9846650123382757E-2</v>
      </c>
      <c r="Y22" s="68">
        <f>M22-AVERAGE(M$21:M$97)+Forecast!$G$16</f>
        <v>7.7603264371264719E-2</v>
      </c>
      <c r="Z22" s="68">
        <f>SUMPRODUCT($O22:$Y22,Risk!$B$56:$L$56)</f>
        <v>0.1517267781595496</v>
      </c>
      <c r="AA22" s="68">
        <f>SUMPRODUCT($O22:$Y22,Risk!$B$57:$L$57)</f>
        <v>0.1211773660960314</v>
      </c>
      <c r="AB22" s="314">
        <f>SUMPRODUCT($O22:$Y22,Risk!$B$58:$L$58)</f>
        <v>0.12626441448416373</v>
      </c>
    </row>
    <row r="23" spans="1:28" x14ac:dyDescent="0.2">
      <c r="A23" s="312">
        <v>3</v>
      </c>
      <c r="B23" s="313">
        <f>'Quarterly returns'!A11</f>
        <v>39353</v>
      </c>
      <c r="C23" s="68">
        <f>(1+'Quarterly returns'!N8)*(1+'Quarterly returns'!N9)*(1+'Quarterly returns'!N10)*(1+'Quarterly returns'!N11)-1</f>
        <v>0.33576768364790177</v>
      </c>
      <c r="D23" s="68">
        <f>(1+'Quarterly returns'!O8)*(1+'Quarterly returns'!O9)*(1+'Quarterly returns'!O10)*(1+'Quarterly returns'!O11)-1</f>
        <v>-2.1076003425114731E-2</v>
      </c>
      <c r="E23" s="68">
        <f>(1+'Quarterly returns'!P8)*(1+'Quarterly returns'!P9)*(1+'Quarterly returns'!P10)*(1+'Quarterly returns'!P11)-1</f>
        <v>0.25529844648530386</v>
      </c>
      <c r="F23" s="68">
        <f>(1+'Quarterly returns'!Q8)*(1+'Quarterly returns'!Q9)*(1+'Quarterly returns'!Q10)*(1+'Quarterly returns'!Q11)-1</f>
        <v>-8.7905930912533847E-2</v>
      </c>
      <c r="G23" s="68">
        <f>(1+'Quarterly returns'!R8)*(1+'Quarterly returns'!R9)*(1+'Quarterly returns'!R10)*(1+'Quarterly returns'!R11)-1</f>
        <v>-4.29700602015467E-2</v>
      </c>
      <c r="H23" s="68">
        <f>(1+'Quarterly returns'!S8)*(1+'Quarterly returns'!S9)*(1+'Quarterly returns'!S10)*(1+'Quarterly returns'!S11)-1</f>
        <v>0.15643506402796881</v>
      </c>
      <c r="I23" s="68">
        <f>(1+'Quarterly returns'!T8)*(1+'Quarterly returns'!T9)*(1+'Quarterly returns'!T10)*(1+'Quarterly returns'!T11)-1</f>
        <v>0.13724465062138402</v>
      </c>
      <c r="J23" s="68">
        <f>(1+'Quarterly returns'!U8)*(1+'Quarterly returns'!U9)*(1+'Quarterly returns'!U10)*(1+'Quarterly returns'!U11)-1</f>
        <v>0.16476239421692607</v>
      </c>
      <c r="K23" s="68">
        <f>(1+'Quarterly returns'!V8)*(1+'Quarterly returns'!V9)*(1+'Quarterly returns'!V10)*(1+'Quarterly returns'!V11)-1</f>
        <v>3.4732245099115211E-2</v>
      </c>
      <c r="L23" s="68">
        <f>(1+'Quarterly returns'!W8)*(1+'Quarterly returns'!W9)*(1+'Quarterly returns'!W10)*(1+'Quarterly returns'!W11)-1</f>
        <v>5.0543190249071612E-2</v>
      </c>
      <c r="M23" s="68">
        <f>(1+'Quarterly returns'!X8)*(1+'Quarterly returns'!X9)*(1+'Quarterly returns'!X10)*(1+'Quarterly returns'!X11)-1</f>
        <v>6.5426173677335164E-2</v>
      </c>
      <c r="N23" s="77"/>
      <c r="O23" s="68">
        <f>C23-AVERAGE(C$21:C$97)+Forecast!$G$6</f>
        <v>0.33583323523231956</v>
      </c>
      <c r="P23" s="68">
        <f>D23-AVERAGE(D$21:D$97)+Forecast!$G$7</f>
        <v>-4.433853548977866E-2</v>
      </c>
      <c r="Q23" s="68">
        <f>E23-AVERAGE(E$21:E$97)+Forecast!$G$8</f>
        <v>0.24497587067959276</v>
      </c>
      <c r="R23" s="68">
        <f>F23-AVERAGE(F$21:F$97)+Forecast!$G$9</f>
        <v>-8.7160492629406727E-2</v>
      </c>
      <c r="S23" s="68">
        <f>G23-AVERAGE(G$21:G$97)+Forecast!$G$10</f>
        <v>-9.6812470932820666E-3</v>
      </c>
      <c r="T23" s="68">
        <f>H23-AVERAGE(H$21:H$97)+Forecast!$G$11</f>
        <v>0.14787149403741198</v>
      </c>
      <c r="U23" s="68">
        <f>I23-AVERAGE(I$21:I$97)+Forecast!$G$12</f>
        <v>9.0890000550912731E-2</v>
      </c>
      <c r="V23" s="68">
        <f>J23-AVERAGE(J$21:J$97)+Forecast!$G$13</f>
        <v>0.10009366357472115</v>
      </c>
      <c r="W23" s="68">
        <f>K23-AVERAGE(K$21:K$97)+Forecast!$G$14</f>
        <v>4.0313083087264542E-2</v>
      </c>
      <c r="X23" s="68">
        <f>L23-AVERAGE(L$21:L$97)+Forecast!$G$15</f>
        <v>5.3215619085348116E-2</v>
      </c>
      <c r="Y23" s="68">
        <f>M23-AVERAGE(M$21:M$97)+Forecast!$G$16</f>
        <v>7.8795676514313379E-2</v>
      </c>
      <c r="Z23" s="68">
        <f>SUMPRODUCT($O23:$Y23,Risk!$B$56:$L$56)</f>
        <v>0.13256944707795087</v>
      </c>
      <c r="AA23" s="68">
        <f>SUMPRODUCT($O23:$Y23,Risk!$B$57:$L$57)</f>
        <v>0.10135598163767104</v>
      </c>
      <c r="AB23" s="314">
        <f>SUMPRODUCT($O23:$Y23,Risk!$B$58:$L$58)</f>
        <v>0.10912347909845362</v>
      </c>
    </row>
    <row r="24" spans="1:28" x14ac:dyDescent="0.2">
      <c r="A24" s="312">
        <v>4</v>
      </c>
      <c r="B24" s="313">
        <f>'Quarterly returns'!A12</f>
        <v>39447</v>
      </c>
      <c r="C24" s="68">
        <f>(1+'Quarterly returns'!N9)*(1+'Quarterly returns'!N10)*(1+'Quarterly returns'!N11)*(1+'Quarterly returns'!N12)-1</f>
        <v>0.17953359426247117</v>
      </c>
      <c r="D24" s="68">
        <f>(1+'Quarterly returns'!O9)*(1+'Quarterly returns'!O10)*(1+'Quarterly returns'!O11)*(1+'Quarterly returns'!O12)-1</f>
        <v>-5.5648782138592479E-2</v>
      </c>
      <c r="E24" s="68">
        <f>(1+'Quarterly returns'!P9)*(1+'Quarterly returns'!P10)*(1+'Quarterly returns'!P11)*(1+'Quarterly returns'!P12)-1</f>
        <v>0.19921791214226503</v>
      </c>
      <c r="F24" s="68">
        <f>(1+'Quarterly returns'!Q9)*(1+'Quarterly returns'!Q10)*(1+'Quarterly returns'!Q11)*(1+'Quarterly returns'!Q12)-1</f>
        <v>-0.23045325768945701</v>
      </c>
      <c r="G24" s="68">
        <f>(1+'Quarterly returns'!R9)*(1+'Quarterly returns'!R10)*(1+'Quarterly returns'!R11)*(1+'Quarterly returns'!R12)-1</f>
        <v>0.19095743520593023</v>
      </c>
      <c r="H24" s="68">
        <f>(1+'Quarterly returns'!S9)*(1+'Quarterly returns'!S10)*(1+'Quarterly returns'!S11)*(1+'Quarterly returns'!S12)-1</f>
        <v>0.18456715694252201</v>
      </c>
      <c r="I24" s="68">
        <f>(1+'Quarterly returns'!T9)*(1+'Quarterly returns'!T10)*(1+'Quarterly returns'!T11)*(1+'Quarterly returns'!T12)-1</f>
        <v>0.15020037886326332</v>
      </c>
      <c r="J24" s="68">
        <f>(1+'Quarterly returns'!U9)*(1+'Quarterly returns'!U10)*(1+'Quarterly returns'!U11)*(1+'Quarterly returns'!U12)-1</f>
        <v>0.12160222939779097</v>
      </c>
      <c r="K24" s="68">
        <f>(1+'Quarterly returns'!V9)*(1+'Quarterly returns'!V10)*(1+'Quarterly returns'!V11)*(1+'Quarterly returns'!V12)-1</f>
        <v>3.4628109755845404E-2</v>
      </c>
      <c r="L24" s="68">
        <f>(1+'Quarterly returns'!W9)*(1+'Quarterly returns'!W10)*(1+'Quarterly returns'!W11)*(1+'Quarterly returns'!W12)-1</f>
        <v>6.6269269400409669E-2</v>
      </c>
      <c r="M24" s="68">
        <f>(1+'Quarterly returns'!X9)*(1+'Quarterly returns'!X10)*(1+'Quarterly returns'!X11)*(1+'Quarterly returns'!X12)-1</f>
        <v>6.7307017420722426E-2</v>
      </c>
      <c r="N24" s="77"/>
      <c r="O24" s="68">
        <f>C24-AVERAGE(C$21:C$97)+Forecast!$G$6</f>
        <v>0.17959914584688896</v>
      </c>
      <c r="P24" s="68">
        <f>D24-AVERAGE(D$21:D$97)+Forecast!$G$7</f>
        <v>-7.8911314203256408E-2</v>
      </c>
      <c r="Q24" s="68">
        <f>E24-AVERAGE(E$21:E$97)+Forecast!$G$8</f>
        <v>0.18889533633655392</v>
      </c>
      <c r="R24" s="68">
        <f>F24-AVERAGE(F$21:F$97)+Forecast!$G$9</f>
        <v>-0.22970781940632989</v>
      </c>
      <c r="S24" s="68">
        <f>G24-AVERAGE(G$21:G$97)+Forecast!$G$10</f>
        <v>0.22424624831419487</v>
      </c>
      <c r="T24" s="68">
        <f>H24-AVERAGE(H$21:H$97)+Forecast!$G$11</f>
        <v>0.17600358695196519</v>
      </c>
      <c r="U24" s="68">
        <f>I24-AVERAGE(I$21:I$97)+Forecast!$G$12</f>
        <v>0.10384572879279202</v>
      </c>
      <c r="V24" s="68">
        <f>J24-AVERAGE(J$21:J$97)+Forecast!$G$13</f>
        <v>5.6933498755586051E-2</v>
      </c>
      <c r="W24" s="68">
        <f>K24-AVERAGE(K$21:K$97)+Forecast!$G$14</f>
        <v>4.0208947743994736E-2</v>
      </c>
      <c r="X24" s="68">
        <f>L24-AVERAGE(L$21:L$97)+Forecast!$G$15</f>
        <v>6.8941698236686166E-2</v>
      </c>
      <c r="Y24" s="68">
        <f>M24-AVERAGE(M$21:M$97)+Forecast!$G$16</f>
        <v>8.067652025770064E-2</v>
      </c>
      <c r="Z24" s="68">
        <f>SUMPRODUCT($O24:$Y24,Risk!$B$56:$L$56)</f>
        <v>5.0280647996044467E-2</v>
      </c>
      <c r="AA24" s="68">
        <f>SUMPRODUCT($O24:$Y24,Risk!$B$57:$L$57)</f>
        <v>4.929000002285349E-2</v>
      </c>
      <c r="AB24" s="314">
        <f>SUMPRODUCT($O24:$Y24,Risk!$B$58:$L$58)</f>
        <v>5.1488549069987136E-2</v>
      </c>
    </row>
    <row r="25" spans="1:28" x14ac:dyDescent="0.2">
      <c r="A25" s="312">
        <v>5</v>
      </c>
      <c r="B25" s="313">
        <f>'Quarterly returns'!A13</f>
        <v>39538</v>
      </c>
      <c r="C25" s="68">
        <f>(1+'Quarterly returns'!N10)*(1+'Quarterly returns'!N11)*(1+'Quarterly returns'!N12)*(1+'Quarterly returns'!N13)-1</f>
        <v>-6.0177176435473823E-2</v>
      </c>
      <c r="D25" s="68">
        <f>(1+'Quarterly returns'!O10)*(1+'Quarterly returns'!O11)*(1+'Quarterly returns'!O12)*(1+'Quarterly returns'!O13)-1</f>
        <v>-0.19656652068434055</v>
      </c>
      <c r="E25" s="68">
        <f>(1+'Quarterly returns'!P10)*(1+'Quarterly returns'!P11)*(1+'Quarterly returns'!P12)*(1+'Quarterly returns'!P13)-1</f>
        <v>2.8820031056099316E-2</v>
      </c>
      <c r="F25" s="68">
        <f>(1+'Quarterly returns'!Q10)*(1+'Quarterly returns'!Q11)*(1+'Quarterly returns'!Q12)*(1+'Quarterly returns'!Q13)-1</f>
        <v>-0.3088107201717043</v>
      </c>
      <c r="G25" s="68">
        <f>(1+'Quarterly returns'!R10)*(1+'Quarterly returns'!R11)*(1+'Quarterly returns'!R12)*(1+'Quarterly returns'!R13)-1</f>
        <v>0.22678309705706301</v>
      </c>
      <c r="H25" s="68">
        <f>(1+'Quarterly returns'!S10)*(1+'Quarterly returns'!S11)*(1+'Quarterly returns'!S12)*(1+'Quarterly returns'!S13)-1</f>
        <v>0.12530998529358595</v>
      </c>
      <c r="I25" s="68">
        <f>(1+'Quarterly returns'!T10)*(1+'Quarterly returns'!T11)*(1+'Quarterly returns'!T12)*(1+'Quarterly returns'!T13)-1</f>
        <v>0.1139500645358853</v>
      </c>
      <c r="J25" s="68">
        <f>(1+'Quarterly returns'!U10)*(1+'Quarterly returns'!U11)*(1+'Quarterly returns'!U12)*(1+'Quarterly returns'!U13)-1</f>
        <v>8.8001893211127058E-2</v>
      </c>
      <c r="K25" s="68">
        <f>(1+'Quarterly returns'!V10)*(1+'Quarterly returns'!V11)*(1+'Quarterly returns'!V12)*(1+'Quarterly returns'!V13)-1</f>
        <v>4.2903813174413497E-2</v>
      </c>
      <c r="L25" s="68">
        <f>(1+'Quarterly returns'!W10)*(1+'Quarterly returns'!W11)*(1+'Quarterly returns'!W12)*(1+'Quarterly returns'!W13)-1</f>
        <v>8.0096460253207713E-2</v>
      </c>
      <c r="M25" s="68">
        <f>(1+'Quarterly returns'!X10)*(1+'Quarterly returns'!X11)*(1+'Quarterly returns'!X12)*(1+'Quarterly returns'!X13)-1</f>
        <v>6.9862055264271028E-2</v>
      </c>
      <c r="N25" s="77"/>
      <c r="O25" s="68">
        <f>C25-AVERAGE(C$21:C$97)+Forecast!$G$6</f>
        <v>-6.011162485105602E-2</v>
      </c>
      <c r="P25" s="68">
        <f>D25-AVERAGE(D$21:D$97)+Forecast!$G$7</f>
        <v>-0.21982905274900449</v>
      </c>
      <c r="Q25" s="68">
        <f>E25-AVERAGE(E$21:E$97)+Forecast!$G$8</f>
        <v>1.8497455250388206E-2</v>
      </c>
      <c r="R25" s="68">
        <f>F25-AVERAGE(F$21:F$97)+Forecast!$G$9</f>
        <v>-0.30806528188857718</v>
      </c>
      <c r="S25" s="68">
        <f>G25-AVERAGE(G$21:G$97)+Forecast!$G$10</f>
        <v>0.26007191016532766</v>
      </c>
      <c r="T25" s="68">
        <f>H25-AVERAGE(H$21:H$97)+Forecast!$G$11</f>
        <v>0.11674641530302912</v>
      </c>
      <c r="U25" s="68">
        <f>I25-AVERAGE(I$21:I$97)+Forecast!$G$12</f>
        <v>6.7595414465414005E-2</v>
      </c>
      <c r="V25" s="68">
        <f>J25-AVERAGE(J$21:J$97)+Forecast!$G$13</f>
        <v>2.3333162568922136E-2</v>
      </c>
      <c r="W25" s="68">
        <f>K25-AVERAGE(K$21:K$97)+Forecast!$G$14</f>
        <v>4.8484651162562828E-2</v>
      </c>
      <c r="X25" s="68">
        <f>L25-AVERAGE(L$21:L$97)+Forecast!$G$15</f>
        <v>8.276888908948421E-2</v>
      </c>
      <c r="Y25" s="68">
        <f>M25-AVERAGE(M$21:M$97)+Forecast!$G$16</f>
        <v>8.3231558101249242E-2</v>
      </c>
      <c r="Z25" s="68">
        <f>SUMPRODUCT($O25:$Y25,Risk!$B$56:$L$56)</f>
        <v>-7.909657081045042E-2</v>
      </c>
      <c r="AA25" s="68">
        <f>SUMPRODUCT($O25:$Y25,Risk!$B$57:$L$57)</f>
        <v>-5.6640532962086224E-2</v>
      </c>
      <c r="AB25" s="314">
        <f>SUMPRODUCT($O25:$Y25,Risk!$B$58:$L$58)</f>
        <v>-7.0914910957946498E-2</v>
      </c>
    </row>
    <row r="26" spans="1:28" x14ac:dyDescent="0.2">
      <c r="A26" s="312">
        <v>6</v>
      </c>
      <c r="B26" s="313">
        <f>'Quarterly returns'!A14</f>
        <v>39629</v>
      </c>
      <c r="C26" s="68">
        <f>(1+'Quarterly returns'!N11)*(1+'Quarterly returns'!N12)*(1+'Quarterly returns'!N13)*(1+'Quarterly returns'!N14)-1</f>
        <v>-0.12115373776798644</v>
      </c>
      <c r="D26" s="68">
        <f>(1+'Quarterly returns'!O11)*(1+'Quarterly returns'!O12)*(1+'Quarterly returns'!O13)*(1+'Quarterly returns'!O14)-1</f>
        <v>-0.249912207519014</v>
      </c>
      <c r="E26" s="68">
        <f>(1+'Quarterly returns'!P11)*(1+'Quarterly returns'!P12)*(1+'Quarterly returns'!P13)*(1+'Quarterly returns'!P14)-1</f>
        <v>-0.10137997739912696</v>
      </c>
      <c r="F26" s="68">
        <f>(1+'Quarterly returns'!Q11)*(1+'Quarterly returns'!Q12)*(1+'Quarterly returns'!Q13)*(1+'Quarterly returns'!Q14)-1</f>
        <v>-0.32105484968866127</v>
      </c>
      <c r="G26" s="68">
        <f>(1+'Quarterly returns'!R11)*(1+'Quarterly returns'!R12)*(1+'Quarterly returns'!R13)*(1+'Quarterly returns'!R14)-1</f>
        <v>0.55582438317056937</v>
      </c>
      <c r="H26" s="68">
        <f>(1+'Quarterly returns'!S11)*(1+'Quarterly returns'!S12)*(1+'Quarterly returns'!S13)*(1+'Quarterly returns'!S14)-1</f>
        <v>-2.136426225931698E-2</v>
      </c>
      <c r="I26" s="68">
        <f>(1+'Quarterly returns'!T11)*(1+'Quarterly returns'!T12)*(1+'Quarterly returns'!T13)*(1+'Quarterly returns'!T14)-1</f>
        <v>0.13594368263480217</v>
      </c>
      <c r="J26" s="68">
        <f>(1+'Quarterly returns'!U11)*(1+'Quarterly returns'!U12)*(1+'Quarterly returns'!U13)*(1+'Quarterly returns'!U14)-1</f>
        <v>-4.5085384799005257E-2</v>
      </c>
      <c r="K26" s="68">
        <f>(1+'Quarterly returns'!V11)*(1+'Quarterly returns'!V12)*(1+'Quarterly returns'!V13)*(1+'Quarterly returns'!V14)-1</f>
        <v>4.4206738141030488E-2</v>
      </c>
      <c r="L26" s="68">
        <f>(1+'Quarterly returns'!W11)*(1+'Quarterly returns'!W12)*(1+'Quarterly returns'!W13)*(1+'Quarterly returns'!W14)-1</f>
        <v>7.9046424090337908E-2</v>
      </c>
      <c r="M26" s="68">
        <f>(1+'Quarterly returns'!X11)*(1+'Quarterly returns'!X12)*(1+'Quarterly returns'!X13)*(1+'Quarterly returns'!X14)-1</f>
        <v>7.339825434119529E-2</v>
      </c>
      <c r="N26" s="77"/>
      <c r="O26" s="68">
        <f>C26-AVERAGE(C$21:C$97)+Forecast!$G$6</f>
        <v>-0.12108818618356863</v>
      </c>
      <c r="P26" s="68">
        <f>D26-AVERAGE(D$21:D$97)+Forecast!$G$7</f>
        <v>-0.27317473958367794</v>
      </c>
      <c r="Q26" s="68">
        <f>E26-AVERAGE(E$21:E$97)+Forecast!$G$8</f>
        <v>-0.11170255320483807</v>
      </c>
      <c r="R26" s="68">
        <f>F26-AVERAGE(F$21:F$97)+Forecast!$G$9</f>
        <v>-0.32030941140553415</v>
      </c>
      <c r="S26" s="68">
        <f>G26-AVERAGE(G$21:G$97)+Forecast!$G$10</f>
        <v>0.58911319627883407</v>
      </c>
      <c r="T26" s="68">
        <f>H26-AVERAGE(H$21:H$97)+Forecast!$G$11</f>
        <v>-2.9927832249873804E-2</v>
      </c>
      <c r="U26" s="68">
        <f>I26-AVERAGE(I$21:I$97)+Forecast!$G$12</f>
        <v>8.9589032564330873E-2</v>
      </c>
      <c r="V26" s="68">
        <f>J26-AVERAGE(J$21:J$97)+Forecast!$G$13</f>
        <v>-0.10975411544121016</v>
      </c>
      <c r="W26" s="68">
        <f>K26-AVERAGE(K$21:K$97)+Forecast!$G$14</f>
        <v>4.978757612917982E-2</v>
      </c>
      <c r="X26" s="68">
        <f>L26-AVERAGE(L$21:L$97)+Forecast!$G$15</f>
        <v>8.1718852926614405E-2</v>
      </c>
      <c r="Y26" s="68">
        <f>M26-AVERAGE(M$21:M$97)+Forecast!$G$16</f>
        <v>8.6767757178173505E-2</v>
      </c>
      <c r="Z26" s="68">
        <f>SUMPRODUCT($O26:$Y26,Risk!$B$56:$L$56)</f>
        <v>-0.11502177587473821</v>
      </c>
      <c r="AA26" s="68">
        <f>SUMPRODUCT($O26:$Y26,Risk!$B$57:$L$57)</f>
        <v>-9.3363432418372819E-2</v>
      </c>
      <c r="AB26" s="314">
        <f>SUMPRODUCT($O26:$Y26,Risk!$B$58:$L$58)</f>
        <v>-0.11151491622828187</v>
      </c>
    </row>
    <row r="27" spans="1:28" x14ac:dyDescent="0.2">
      <c r="A27" s="312">
        <v>7</v>
      </c>
      <c r="B27" s="313">
        <f>'Quarterly returns'!A15</f>
        <v>39721</v>
      </c>
      <c r="C27" s="68">
        <f>(1+'Quarterly returns'!N12)*(1+'Quarterly returns'!N13)*(1+'Quarterly returns'!N14)*(1+'Quarterly returns'!N15)-1</f>
        <v>-0.26589370357862285</v>
      </c>
      <c r="D27" s="68">
        <f>(1+'Quarterly returns'!O12)*(1+'Quarterly returns'!O13)*(1+'Quarterly returns'!O14)*(1+'Quarterly returns'!O15)-1</f>
        <v>-0.15467770975918316</v>
      </c>
      <c r="E27" s="68">
        <f>(1+'Quarterly returns'!P12)*(1+'Quarterly returns'!P13)*(1+'Quarterly returns'!P14)*(1+'Quarterly returns'!P15)-1</f>
        <v>-0.1976456278606139</v>
      </c>
      <c r="F27" s="68">
        <f>(1+'Quarterly returns'!Q12)*(1+'Quarterly returns'!Q13)*(1+'Quarterly returns'!Q14)*(1+'Quarterly returns'!Q15)-1</f>
        <v>-0.1345320748014045</v>
      </c>
      <c r="G27" s="68">
        <f>(1+'Quarterly returns'!R12)*(1+'Quarterly returns'!R13)*(1+'Quarterly returns'!R14)*(1+'Quarterly returns'!R15)-1</f>
        <v>0.26456129827368402</v>
      </c>
      <c r="H27" s="68">
        <f>(1+'Quarterly returns'!S12)*(1+'Quarterly returns'!S13)*(1+'Quarterly returns'!S14)*(1+'Quarterly returns'!S15)-1</f>
        <v>-8.4753590197137907E-2</v>
      </c>
      <c r="I27" s="68">
        <f>(1+'Quarterly returns'!T12)*(1+'Quarterly returns'!T13)*(1+'Quarterly returns'!T14)*(1+'Quarterly returns'!T15)-1</f>
        <v>0.10913577550988585</v>
      </c>
      <c r="J27" s="68">
        <f>(1+'Quarterly returns'!U12)*(1+'Quarterly returns'!U13)*(1+'Quarterly returns'!U14)*(1+'Quarterly returns'!U15)-1</f>
        <v>-8.6868497630705477E-3</v>
      </c>
      <c r="K27" s="68">
        <f>(1+'Quarterly returns'!V12)*(1+'Quarterly returns'!V13)*(1+'Quarterly returns'!V14)*(1+'Quarterly returns'!V15)-1</f>
        <v>8.3730908392302794E-2</v>
      </c>
      <c r="L27" s="68">
        <f>(1+'Quarterly returns'!W12)*(1+'Quarterly returns'!W13)*(1+'Quarterly returns'!W14)*(1+'Quarterly returns'!W15)-1</f>
        <v>6.9634487252244082E-2</v>
      </c>
      <c r="M27" s="68">
        <f>(1+'Quarterly returns'!X12)*(1+'Quarterly returns'!X13)*(1+'Quarterly returns'!X14)*(1+'Quarterly returns'!X15)-1</f>
        <v>7.6533078635672602E-2</v>
      </c>
      <c r="N27" s="77"/>
      <c r="O27" s="68">
        <f>C27-AVERAGE(C$21:C$97)+Forecast!$G$6</f>
        <v>-0.26582815199420506</v>
      </c>
      <c r="P27" s="68">
        <f>D27-AVERAGE(D$21:D$97)+Forecast!$G$7</f>
        <v>-0.1779402418238471</v>
      </c>
      <c r="Q27" s="68">
        <f>E27-AVERAGE(E$21:E$97)+Forecast!$G$8</f>
        <v>-0.20796820366632499</v>
      </c>
      <c r="R27" s="68">
        <f>F27-AVERAGE(F$21:F$97)+Forecast!$G$9</f>
        <v>-0.13378663651827738</v>
      </c>
      <c r="S27" s="68">
        <f>G27-AVERAGE(G$21:G$97)+Forecast!$G$10</f>
        <v>0.29785011138194867</v>
      </c>
      <c r="T27" s="68">
        <f>H27-AVERAGE(H$21:H$97)+Forecast!$G$11</f>
        <v>-9.3317160187694745E-2</v>
      </c>
      <c r="U27" s="68">
        <f>I27-AVERAGE(I$21:I$97)+Forecast!$G$12</f>
        <v>6.2781125439414553E-2</v>
      </c>
      <c r="V27" s="68">
        <f>J27-AVERAGE(J$21:J$97)+Forecast!$G$13</f>
        <v>-7.3355580405275456E-2</v>
      </c>
      <c r="W27" s="68">
        <f>K27-AVERAGE(K$21:K$97)+Forecast!$G$14</f>
        <v>8.9311746380452126E-2</v>
      </c>
      <c r="X27" s="68">
        <f>L27-AVERAGE(L$21:L$97)+Forecast!$G$15</f>
        <v>7.2306916088520579E-2</v>
      </c>
      <c r="Y27" s="68">
        <f>M27-AVERAGE(M$21:M$97)+Forecast!$G$16</f>
        <v>8.9902581472650817E-2</v>
      </c>
      <c r="Z27" s="68">
        <f>SUMPRODUCT($O27:$Y27,Risk!$B$56:$L$56)</f>
        <v>-0.12982347686704415</v>
      </c>
      <c r="AA27" s="68">
        <f>SUMPRODUCT($O27:$Y27,Risk!$B$57:$L$57)</f>
        <v>-0.10063841342608526</v>
      </c>
      <c r="AB27" s="314">
        <f>SUMPRODUCT($O27:$Y27,Risk!$B$58:$L$58)</f>
        <v>-0.12479798824175001</v>
      </c>
    </row>
    <row r="28" spans="1:28" x14ac:dyDescent="0.2">
      <c r="A28" s="312">
        <v>8</v>
      </c>
      <c r="B28" s="313">
        <f>'Quarterly returns'!A16</f>
        <v>39813</v>
      </c>
      <c r="C28" s="68">
        <f>(1+'Quarterly returns'!N13)*(1+'Quarterly returns'!N14)*(1+'Quarterly returns'!N15)*(1+'Quarterly returns'!N16)-1</f>
        <v>-0.40384790272932691</v>
      </c>
      <c r="D28" s="68">
        <f>(1+'Quarterly returns'!O13)*(1+'Quarterly returns'!O14)*(1+'Quarterly returns'!O15)*(1+'Quarterly returns'!O16)-1</f>
        <v>-0.22299166426677308</v>
      </c>
      <c r="E28" s="68">
        <f>(1+'Quarterly returns'!P13)*(1+'Quarterly returns'!P14)*(1+'Quarterly returns'!P15)*(1+'Quarterly returns'!P16)-1</f>
        <v>-0.316770883107095</v>
      </c>
      <c r="F28" s="68">
        <f>(1+'Quarterly returns'!Q13)*(1+'Quarterly returns'!Q14)*(1+'Quarterly returns'!Q15)*(1+'Quarterly returns'!Q16)-1</f>
        <v>-0.26961282810943688</v>
      </c>
      <c r="G28" s="68">
        <f>(1+'Quarterly returns'!R13)*(1+'Quarterly returns'!R14)*(1+'Quarterly returns'!R15)*(1+'Quarterly returns'!R16)-1</f>
        <v>-0.32606841331434133</v>
      </c>
      <c r="H28" s="68">
        <f>(1+'Quarterly returns'!S13)*(1+'Quarterly returns'!S14)*(1+'Quarterly returns'!S15)*(1+'Quarterly returns'!S16)-1</f>
        <v>-0.11962049281969001</v>
      </c>
      <c r="I28" s="68">
        <f>(1+'Quarterly returns'!T13)*(1+'Quarterly returns'!T14)*(1+'Quarterly returns'!T15)*(1+'Quarterly returns'!T16)-1</f>
        <v>0.14524140907825189</v>
      </c>
      <c r="J28" s="68">
        <f>(1+'Quarterly returns'!U13)*(1+'Quarterly returns'!U14)*(1+'Quarterly returns'!U15)*(1+'Quarterly returns'!U16)-1</f>
        <v>-0.17635652409146663</v>
      </c>
      <c r="K28" s="68">
        <f>(1+'Quarterly returns'!V13)*(1+'Quarterly returns'!V14)*(1+'Quarterly returns'!V15)*(1+'Quarterly returns'!V16)-1</f>
        <v>0.14949428008519483</v>
      </c>
      <c r="L28" s="68">
        <f>(1+'Quarterly returns'!W13)*(1+'Quarterly returns'!W14)*(1+'Quarterly returns'!W15)*(1+'Quarterly returns'!W16)-1</f>
        <v>9.2294145352528112E-2</v>
      </c>
      <c r="M28" s="68">
        <f>(1+'Quarterly returns'!X13)*(1+'Quarterly returns'!X14)*(1+'Quarterly returns'!X15)*(1+'Quarterly returns'!X16)-1</f>
        <v>7.6012652608943077E-2</v>
      </c>
      <c r="N28" s="77"/>
      <c r="O28" s="68">
        <f>C28-AVERAGE(C$21:C$97)+Forecast!$G$6</f>
        <v>-0.40378235114490912</v>
      </c>
      <c r="P28" s="68">
        <f>D28-AVERAGE(D$21:D$97)+Forecast!$G$7</f>
        <v>-0.24625419633143703</v>
      </c>
      <c r="Q28" s="68">
        <f>E28-AVERAGE(E$21:E$97)+Forecast!$G$8</f>
        <v>-0.32709345891280606</v>
      </c>
      <c r="R28" s="68">
        <f>F28-AVERAGE(F$21:F$97)+Forecast!$G$9</f>
        <v>-0.26886738982630976</v>
      </c>
      <c r="S28" s="68">
        <f>G28-AVERAGE(G$21:G$97)+Forecast!$G$10</f>
        <v>-0.29277960020607668</v>
      </c>
      <c r="T28" s="68">
        <f>H28-AVERAGE(H$21:H$97)+Forecast!$G$11</f>
        <v>-0.12818406281024686</v>
      </c>
      <c r="U28" s="68">
        <f>I28-AVERAGE(I$21:I$97)+Forecast!$G$12</f>
        <v>9.88867590077806E-2</v>
      </c>
      <c r="V28" s="68">
        <f>J28-AVERAGE(J$21:J$97)+Forecast!$G$13</f>
        <v>-0.24102525473367153</v>
      </c>
      <c r="W28" s="68">
        <f>K28-AVERAGE(K$21:K$97)+Forecast!$G$14</f>
        <v>0.15507511807334415</v>
      </c>
      <c r="X28" s="68">
        <f>L28-AVERAGE(L$21:L$97)+Forecast!$G$15</f>
        <v>9.4966574188804609E-2</v>
      </c>
      <c r="Y28" s="68">
        <f>M28-AVERAGE(M$21:M$97)+Forecast!$G$16</f>
        <v>8.9382155445921291E-2</v>
      </c>
      <c r="Z28" s="68">
        <f>SUMPRODUCT($O28:$Y28,Risk!$B$56:$L$56)</f>
        <v>-0.20053517417956154</v>
      </c>
      <c r="AA28" s="68">
        <f>SUMPRODUCT($O28:$Y28,Risk!$B$57:$L$57)</f>
        <v>-0.17037076162299433</v>
      </c>
      <c r="AB28" s="314">
        <f>SUMPRODUCT($O28:$Y28,Risk!$B$58:$L$58)</f>
        <v>-0.21113475027009704</v>
      </c>
    </row>
    <row r="29" spans="1:28" x14ac:dyDescent="0.2">
      <c r="A29" s="312">
        <v>9</v>
      </c>
      <c r="B29" s="313">
        <f>'Quarterly returns'!A17</f>
        <v>39903</v>
      </c>
      <c r="C29" s="68">
        <f>(1+'Quarterly returns'!N14)*(1+'Quarterly returns'!N15)*(1+'Quarterly returns'!N16)*(1+'Quarterly returns'!N17)-1</f>
        <v>-0.31297256453131772</v>
      </c>
      <c r="D29" s="68">
        <f>(1+'Quarterly returns'!O14)*(1+'Quarterly returns'!O15)*(1+'Quarterly returns'!O16)*(1+'Quarterly returns'!O17)-1</f>
        <v>-0.17192276069904644</v>
      </c>
      <c r="E29" s="68">
        <f>(1+'Quarterly returns'!P14)*(1+'Quarterly returns'!P15)*(1+'Quarterly returns'!P16)*(1+'Quarterly returns'!P17)-1</f>
        <v>-0.16596510599003578</v>
      </c>
      <c r="F29" s="68">
        <f>(1+'Quarterly returns'!Q14)*(1+'Quarterly returns'!Q15)*(1+'Quarterly returns'!Q16)*(1+'Quarterly returns'!Q17)-1</f>
        <v>-0.39576538487880919</v>
      </c>
      <c r="G29" s="68">
        <f>(1+'Quarterly returns'!R14)*(1+'Quarterly returns'!R15)*(1+'Quarterly returns'!R16)*(1+'Quarterly returns'!R17)-1</f>
        <v>-0.42847358969631266</v>
      </c>
      <c r="H29" s="68">
        <f>(1+'Quarterly returns'!S14)*(1+'Quarterly returns'!S15)*(1+'Quarterly returns'!S16)*(1+'Quarterly returns'!S17)-1</f>
        <v>-4.8181228984837232E-2</v>
      </c>
      <c r="I29" s="68">
        <f>(1+'Quarterly returns'!T14)*(1+'Quarterly returns'!T15)*(1+'Quarterly returns'!T16)*(1+'Quarterly returns'!T17)-1</f>
        <v>0.18365662954352757</v>
      </c>
      <c r="J29" s="68">
        <f>(1+'Quarterly returns'!U14)*(1+'Quarterly returns'!U15)*(1+'Quarterly returns'!U16)*(1+'Quarterly returns'!U17)-1</f>
        <v>-0.19263941244221139</v>
      </c>
      <c r="K29" s="68">
        <f>(1+'Quarterly returns'!V14)*(1+'Quarterly returns'!V15)*(1+'Quarterly returns'!V16)*(1+'Quarterly returns'!V17)-1</f>
        <v>0.12773827402562699</v>
      </c>
      <c r="L29" s="68">
        <f>(1+'Quarterly returns'!W14)*(1+'Quarterly returns'!W15)*(1+'Quarterly returns'!W16)*(1+'Quarterly returns'!W17)-1</f>
        <v>7.0110039071844321E-2</v>
      </c>
      <c r="M29" s="68">
        <f>(1+'Quarterly returns'!X14)*(1+'Quarterly returns'!X15)*(1+'Quarterly returns'!X16)*(1+'Quarterly returns'!X17)-1</f>
        <v>6.6948707804843188E-2</v>
      </c>
      <c r="N29" s="77"/>
      <c r="O29" s="68">
        <f>C29-AVERAGE(C$21:C$97)+Forecast!$G$6</f>
        <v>-0.31290701294689993</v>
      </c>
      <c r="P29" s="68">
        <f>D29-AVERAGE(D$21:D$97)+Forecast!$G$7</f>
        <v>-0.19518529276371038</v>
      </c>
      <c r="Q29" s="68">
        <f>E29-AVERAGE(E$21:E$97)+Forecast!$G$8</f>
        <v>-0.17628768179574686</v>
      </c>
      <c r="R29" s="68">
        <f>F29-AVERAGE(F$21:F$97)+Forecast!$G$9</f>
        <v>-0.39501994659568207</v>
      </c>
      <c r="S29" s="68">
        <f>G29-AVERAGE(G$21:G$97)+Forecast!$G$10</f>
        <v>-0.39518477658804801</v>
      </c>
      <c r="T29" s="68">
        <f>H29-AVERAGE(H$21:H$97)+Forecast!$G$11</f>
        <v>-5.6744798975394056E-2</v>
      </c>
      <c r="U29" s="68">
        <f>I29-AVERAGE(I$21:I$97)+Forecast!$G$12</f>
        <v>0.13730197947305628</v>
      </c>
      <c r="V29" s="68">
        <f>J29-AVERAGE(J$21:J$97)+Forecast!$G$13</f>
        <v>-0.2573081430844163</v>
      </c>
      <c r="W29" s="68">
        <f>K29-AVERAGE(K$21:K$97)+Forecast!$G$14</f>
        <v>0.1333191120137763</v>
      </c>
      <c r="X29" s="68">
        <f>L29-AVERAGE(L$21:L$97)+Forecast!$G$15</f>
        <v>7.2782467908120818E-2</v>
      </c>
      <c r="Y29" s="68">
        <f>M29-AVERAGE(M$21:M$97)+Forecast!$G$16</f>
        <v>8.0318210641821403E-2</v>
      </c>
      <c r="Z29" s="68">
        <f>SUMPRODUCT($O29:$Y29,Risk!$B$56:$L$56)</f>
        <v>-0.17225911941142666</v>
      </c>
      <c r="AA29" s="68">
        <f>SUMPRODUCT($O29:$Y29,Risk!$B$57:$L$57)</f>
        <v>-0.14327207713338044</v>
      </c>
      <c r="AB29" s="314">
        <f>SUMPRODUCT($O29:$Y29,Risk!$B$58:$L$58)</f>
        <v>-0.17466371311065937</v>
      </c>
    </row>
    <row r="30" spans="1:28" x14ac:dyDescent="0.2">
      <c r="A30" s="312">
        <v>10</v>
      </c>
      <c r="B30" s="313">
        <f>'Quarterly returns'!A18</f>
        <v>39994</v>
      </c>
      <c r="C30" s="68">
        <f>(1+'Quarterly returns'!N15)*(1+'Quarterly returns'!N16)*(1+'Quarterly returns'!N17)*(1+'Quarterly returns'!N18)-1</f>
        <v>-0.22145824426351535</v>
      </c>
      <c r="D30" s="68">
        <f>(1+'Quarterly returns'!O15)*(1+'Quarterly returns'!O16)*(1+'Quarterly returns'!O17)*(1+'Quarterly returns'!O18)-1</f>
        <v>-0.11950002571259721</v>
      </c>
      <c r="E30" s="68">
        <f>(1+'Quarterly returns'!P15)*(1+'Quarterly returns'!P16)*(1+'Quarterly returns'!P17)*(1+'Quarterly returns'!P18)-1</f>
        <v>-4.6944878118868494E-2</v>
      </c>
      <c r="F30" s="68">
        <f>(1+'Quarterly returns'!Q15)*(1+'Quarterly returns'!Q16)*(1+'Quarterly returns'!Q17)*(1+'Quarterly returns'!Q18)-1</f>
        <v>-0.2606024485003049</v>
      </c>
      <c r="G30" s="68">
        <f>(1+'Quarterly returns'!R15)*(1+'Quarterly returns'!R16)*(1+'Quarterly returns'!R17)*(1+'Quarterly returns'!R18)-1</f>
        <v>-0.52139285480151476</v>
      </c>
      <c r="H30" s="68">
        <f>(1+'Quarterly returns'!S15)*(1+'Quarterly returns'!S16)*(1+'Quarterly returns'!S17)*(1+'Quarterly returns'!S18)-1</f>
        <v>0.10586663459715817</v>
      </c>
      <c r="I30" s="68">
        <f>(1+'Quarterly returns'!T15)*(1+'Quarterly returns'!T16)*(1+'Quarterly returns'!T17)*(1+'Quarterly returns'!T18)-1</f>
        <v>0.11366253602261778</v>
      </c>
      <c r="J30" s="68">
        <f>(1+'Quarterly returns'!U15)*(1+'Quarterly returns'!U16)*(1+'Quarterly returns'!U17)*(1+'Quarterly returns'!U18)-1</f>
        <v>-0.1570637352668004</v>
      </c>
      <c r="K30" s="68">
        <f>(1+'Quarterly returns'!V15)*(1+'Quarterly returns'!V16)*(1+'Quarterly returns'!V17)*(1+'Quarterly returns'!V18)-1</f>
        <v>0.10821770739733694</v>
      </c>
      <c r="L30" s="68">
        <f>(1+'Quarterly returns'!W15)*(1+'Quarterly returns'!W16)*(1+'Quarterly returns'!W17)*(1+'Quarterly returns'!W18)-1</f>
        <v>9.9538893344026214E-2</v>
      </c>
      <c r="M30" s="68">
        <f>(1+'Quarterly returns'!X15)*(1+'Quarterly returns'!X16)*(1+'Quarterly returns'!X17)*(1+'Quarterly returns'!X18)-1</f>
        <v>5.4753514155612582E-2</v>
      </c>
      <c r="N30" s="77"/>
      <c r="O30" s="68">
        <f>C30-AVERAGE(C$21:C$97)+Forecast!$G$6</f>
        <v>-0.22139269267909756</v>
      </c>
      <c r="P30" s="68">
        <f>D30-AVERAGE(D$21:D$97)+Forecast!$G$7</f>
        <v>-0.14276255777726116</v>
      </c>
      <c r="Q30" s="68">
        <f>E30-AVERAGE(E$21:E$97)+Forecast!$G$8</f>
        <v>-5.7267453924579603E-2</v>
      </c>
      <c r="R30" s="68">
        <f>F30-AVERAGE(F$21:F$97)+Forecast!$G$9</f>
        <v>-0.25985701021717778</v>
      </c>
      <c r="S30" s="68">
        <f>G30-AVERAGE(G$21:G$97)+Forecast!$G$10</f>
        <v>-0.48810404169325006</v>
      </c>
      <c r="T30" s="68">
        <f>H30-AVERAGE(H$21:H$97)+Forecast!$G$11</f>
        <v>9.7303064606601347E-2</v>
      </c>
      <c r="U30" s="68">
        <f>I30-AVERAGE(I$21:I$97)+Forecast!$G$12</f>
        <v>6.7307885952146485E-2</v>
      </c>
      <c r="V30" s="68">
        <f>J30-AVERAGE(J$21:J$97)+Forecast!$G$13</f>
        <v>-0.22173246590900531</v>
      </c>
      <c r="W30" s="68">
        <f>K30-AVERAGE(K$21:K$97)+Forecast!$G$14</f>
        <v>0.11379854538548625</v>
      </c>
      <c r="X30" s="68">
        <f>L30-AVERAGE(L$21:L$97)+Forecast!$G$15</f>
        <v>0.10221132218030271</v>
      </c>
      <c r="Y30" s="68">
        <f>M30-AVERAGE(M$21:M$97)+Forecast!$G$16</f>
        <v>6.8123016992590796E-2</v>
      </c>
      <c r="Z30" s="68">
        <f>SUMPRODUCT($O30:$Y30,Risk!$B$56:$L$56)</f>
        <v>-0.11307999087708052</v>
      </c>
      <c r="AA30" s="68">
        <f>SUMPRODUCT($O30:$Y30,Risk!$B$57:$L$57)</f>
        <v>-8.9830134067918496E-2</v>
      </c>
      <c r="AB30" s="314">
        <f>SUMPRODUCT($O30:$Y30,Risk!$B$58:$L$58)</f>
        <v>-0.11194662079412088</v>
      </c>
    </row>
    <row r="31" spans="1:28" x14ac:dyDescent="0.2">
      <c r="A31" s="312">
        <v>11</v>
      </c>
      <c r="B31" s="313">
        <f>'Quarterly returns'!A19</f>
        <v>40086</v>
      </c>
      <c r="C31" s="68">
        <f>(1+'Quarterly returns'!N16)*(1+'Quarterly returns'!N17)*(1+'Quarterly returns'!N18)*(1+'Quarterly returns'!N19)-1</f>
        <v>7.4009586531061267E-2</v>
      </c>
      <c r="D31" s="68">
        <f>(1+'Quarterly returns'!O16)*(1+'Quarterly returns'!O17)*(1+'Quarterly returns'!O18)*(1+'Quarterly returns'!O19)-1</f>
        <v>-0.14088503273573461</v>
      </c>
      <c r="E31" s="68">
        <f>(1+'Quarterly returns'!P16)*(1+'Quarterly returns'!P17)*(1+'Quarterly returns'!P18)*(1+'Quarterly returns'!P19)-1</f>
        <v>5.9148050005684238E-2</v>
      </c>
      <c r="F31" s="68">
        <f>(1+'Quarterly returns'!Q16)*(1+'Quarterly returns'!Q17)*(1+'Quarterly returns'!Q18)*(1+'Quarterly returns'!Q19)-1</f>
        <v>-0.28185560404647736</v>
      </c>
      <c r="G31" s="68">
        <f>(1+'Quarterly returns'!R16)*(1+'Quarterly returns'!R17)*(1+'Quarterly returns'!R18)*(1+'Quarterly returns'!R19)-1</f>
        <v>-0.50413963062027989</v>
      </c>
      <c r="H31" s="68">
        <f>(1+'Quarterly returns'!S16)*(1+'Quarterly returns'!S17)*(1+'Quarterly returns'!S18)*(1+'Quarterly returns'!S19)-1</f>
        <v>0.21066024238245751</v>
      </c>
      <c r="I31" s="68">
        <f>(1+'Quarterly returns'!T16)*(1+'Quarterly returns'!T17)*(1+'Quarterly returns'!T18)*(1+'Quarterly returns'!T19)-1</f>
        <v>9.2726980138587933E-2</v>
      </c>
      <c r="J31" s="68">
        <f>(1+'Quarterly returns'!U16)*(1+'Quarterly returns'!U17)*(1+'Quarterly returns'!U18)*(1+'Quarterly returns'!U19)-1</f>
        <v>-4.7673541105542339E-2</v>
      </c>
      <c r="K31" s="68">
        <f>(1+'Quarterly returns'!V16)*(1+'Quarterly returns'!V17)*(1+'Quarterly returns'!V18)*(1+'Quarterly returns'!V19)-1</f>
        <v>7.0745065886663294E-2</v>
      </c>
      <c r="L31" s="68">
        <f>(1+'Quarterly returns'!W16)*(1+'Quarterly returns'!W17)*(1+'Quarterly returns'!W18)*(1+'Quarterly returns'!W19)-1</f>
        <v>0.11986637846335224</v>
      </c>
      <c r="M31" s="68">
        <f>(1+'Quarterly returns'!X16)*(1+'Quarterly returns'!X17)*(1+'Quarterly returns'!X18)*(1+'Quarterly returns'!X19)-1</f>
        <v>4.3050900655233315E-2</v>
      </c>
      <c r="N31" s="77"/>
      <c r="O31" s="68">
        <f>C31-AVERAGE(C$21:C$97)+Forecast!$G$6</f>
        <v>7.4075138115479069E-2</v>
      </c>
      <c r="P31" s="68">
        <f>D31-AVERAGE(D$21:D$97)+Forecast!$G$7</f>
        <v>-0.16414756480039855</v>
      </c>
      <c r="Q31" s="68">
        <f>E31-AVERAGE(E$21:E$97)+Forecast!$G$8</f>
        <v>4.8825474199973129E-2</v>
      </c>
      <c r="R31" s="68">
        <f>F31-AVERAGE(F$21:F$97)+Forecast!$G$9</f>
        <v>-0.28111016576335024</v>
      </c>
      <c r="S31" s="68">
        <f>G31-AVERAGE(G$21:G$97)+Forecast!$G$10</f>
        <v>-0.47085081751201519</v>
      </c>
      <c r="T31" s="68">
        <f>H31-AVERAGE(H$21:H$97)+Forecast!$G$11</f>
        <v>0.20209667239190066</v>
      </c>
      <c r="U31" s="68">
        <f>I31-AVERAGE(I$21:I$97)+Forecast!$G$12</f>
        <v>4.6372330068116641E-2</v>
      </c>
      <c r="V31" s="68">
        <f>J31-AVERAGE(J$21:J$97)+Forecast!$G$13</f>
        <v>-0.11234227174774725</v>
      </c>
      <c r="W31" s="68">
        <f>K31-AVERAGE(K$21:K$97)+Forecast!$G$14</f>
        <v>7.6325903874812626E-2</v>
      </c>
      <c r="X31" s="68">
        <f>L31-AVERAGE(L$21:L$97)+Forecast!$G$15</f>
        <v>0.12253880729962874</v>
      </c>
      <c r="Y31" s="68">
        <f>M31-AVERAGE(M$21:M$97)+Forecast!$G$16</f>
        <v>5.6420403492211522E-2</v>
      </c>
      <c r="Z31" s="68">
        <f>SUMPRODUCT($O31:$Y31,Risk!$B$56:$L$56)</f>
        <v>-6.1090558805760985E-3</v>
      </c>
      <c r="AA31" s="68">
        <f>SUMPRODUCT($O31:$Y31,Risk!$B$57:$L$57)</f>
        <v>-1.4523351931496111E-2</v>
      </c>
      <c r="AB31" s="314">
        <f>SUMPRODUCT($O31:$Y31,Risk!$B$58:$L$58)</f>
        <v>-2.8517235102662197E-2</v>
      </c>
    </row>
    <row r="32" spans="1:28" x14ac:dyDescent="0.2">
      <c r="A32" s="312">
        <v>12</v>
      </c>
      <c r="B32" s="313">
        <f>'Quarterly returns'!A20</f>
        <v>40178</v>
      </c>
      <c r="C32" s="68">
        <f>(1+'Quarterly returns'!N17)*(1+'Quarterly returns'!N18)*(1+'Quarterly returns'!N19)*(1+'Quarterly returns'!N20)-1</f>
        <v>0.3957808392345834</v>
      </c>
      <c r="D32" s="68">
        <f>(1+'Quarterly returns'!O17)*(1+'Quarterly returns'!O18)*(1+'Quarterly returns'!O19)*(1+'Quarterly returns'!O20)-1</f>
        <v>-1.9242585339956708E-2</v>
      </c>
      <c r="E32" s="68">
        <f>(1+'Quarterly returns'!P17)*(1+'Quarterly returns'!P18)*(1+'Quarterly returns'!P19)*(1+'Quarterly returns'!P20)-1</f>
        <v>0.26176449374916699</v>
      </c>
      <c r="F32" s="68">
        <f>(1+'Quarterly returns'!Q17)*(1+'Quarterly returns'!Q18)*(1+'Quarterly returns'!Q19)*(1+'Quarterly returns'!Q20)-1</f>
        <v>-1.3953673977409653E-2</v>
      </c>
      <c r="G32" s="68">
        <f>(1+'Quarterly returns'!R17)*(1+'Quarterly returns'!R18)*(1+'Quarterly returns'!R19)*(1+'Quarterly returns'!R20)-1</f>
        <v>-0.12023438925597452</v>
      </c>
      <c r="H32" s="68">
        <f>(1+'Quarterly returns'!S17)*(1+'Quarterly returns'!S18)*(1+'Quarterly returns'!S19)*(1+'Quarterly returns'!S20)-1</f>
        <v>0.30427874124089049</v>
      </c>
      <c r="I32" s="68">
        <f>(1+'Quarterly returns'!T17)*(1+'Quarterly returns'!T18)*(1+'Quarterly returns'!T19)*(1+'Quarterly returns'!T20)-1</f>
        <v>1.9979246552846552E-2</v>
      </c>
      <c r="J32" s="68">
        <f>(1+'Quarterly returns'!U17)*(1+'Quarterly returns'!U18)*(1+'Quarterly returns'!U19)*(1+'Quarterly returns'!U20)-1</f>
        <v>0.12440691124865699</v>
      </c>
      <c r="K32" s="68">
        <f>(1+'Quarterly returns'!V17)*(1+'Quarterly returns'!V18)*(1+'Quarterly returns'!V19)*(1+'Quarterly returns'!V20)-1</f>
        <v>1.7342726803864617E-2</v>
      </c>
      <c r="L32" s="68">
        <f>(1+'Quarterly returns'!W17)*(1+'Quarterly returns'!W18)*(1+'Quarterly returns'!W19)*(1+'Quarterly returns'!W20)-1</f>
        <v>8.0314960629920717E-2</v>
      </c>
      <c r="M32" s="68">
        <f>(1+'Quarterly returns'!X17)*(1+'Quarterly returns'!X18)*(1+'Quarterly returns'!X19)*(1+'Quarterly returns'!X20)-1</f>
        <v>3.4749247122564331E-2</v>
      </c>
      <c r="N32" s="77"/>
      <c r="O32" s="68">
        <f>C32-AVERAGE(C$21:C$97)+Forecast!$G$6</f>
        <v>0.39584639081900119</v>
      </c>
      <c r="P32" s="68">
        <f>D32-AVERAGE(D$21:D$97)+Forecast!$G$7</f>
        <v>-4.2505117404620651E-2</v>
      </c>
      <c r="Q32" s="68">
        <f>E32-AVERAGE(E$21:E$97)+Forecast!$G$8</f>
        <v>0.25144191794345588</v>
      </c>
      <c r="R32" s="68">
        <f>F32-AVERAGE(F$21:F$97)+Forecast!$G$9</f>
        <v>-1.3208235694282519E-2</v>
      </c>
      <c r="S32" s="68">
        <f>G32-AVERAGE(G$21:G$97)+Forecast!$G$10</f>
        <v>-8.6945576147709883E-2</v>
      </c>
      <c r="T32" s="68">
        <f>H32-AVERAGE(H$21:H$97)+Forecast!$G$11</f>
        <v>0.29571517125033364</v>
      </c>
      <c r="U32" s="68">
        <f>I32-AVERAGE(I$21:I$97)+Forecast!$G$12</f>
        <v>-2.637540351762474E-2</v>
      </c>
      <c r="V32" s="68">
        <f>J32-AVERAGE(J$21:J$97)+Forecast!$G$13</f>
        <v>5.9738180606452071E-2</v>
      </c>
      <c r="W32" s="68">
        <f>K32-AVERAGE(K$21:K$97)+Forecast!$G$14</f>
        <v>2.2923564792013948E-2</v>
      </c>
      <c r="X32" s="68">
        <f>L32-AVERAGE(L$21:L$97)+Forecast!$G$15</f>
        <v>8.2987389466197214E-2</v>
      </c>
      <c r="Y32" s="68">
        <f>M32-AVERAGE(M$21:M$97)+Forecast!$G$16</f>
        <v>4.8118749959542538E-2</v>
      </c>
      <c r="Z32" s="68">
        <f>SUMPRODUCT($O32:$Y32,Risk!$B$56:$L$56)</f>
        <v>0.16196254765051396</v>
      </c>
      <c r="AA32" s="68">
        <f>SUMPRODUCT($O32:$Y32,Risk!$B$57:$L$57)</f>
        <v>0.12320825533052245</v>
      </c>
      <c r="AB32" s="314">
        <f>SUMPRODUCT($O32:$Y32,Risk!$B$58:$L$58)</f>
        <v>0.13556178385464596</v>
      </c>
    </row>
    <row r="33" spans="1:28" x14ac:dyDescent="0.2">
      <c r="A33" s="312">
        <v>13</v>
      </c>
      <c r="B33" s="313">
        <f>'Quarterly returns'!A21</f>
        <v>40268</v>
      </c>
      <c r="C33" s="68">
        <f>(1+'Quarterly returns'!N18)*(1+'Quarterly returns'!N19)*(1+'Quarterly returns'!N20)*(1+'Quarterly returns'!N21)-1</f>
        <v>0.44011001185248477</v>
      </c>
      <c r="D33" s="68">
        <f>(1+'Quarterly returns'!O18)*(1+'Quarterly returns'!O19)*(1+'Quarterly returns'!O20)*(1+'Quarterly returns'!O21)-1</f>
        <v>0.11362044878474786</v>
      </c>
      <c r="E33" s="68">
        <f>(1+'Quarterly returns'!P18)*(1+'Quarterly returns'!P19)*(1+'Quarterly returns'!P20)*(1+'Quarterly returns'!P21)-1</f>
        <v>0.1991775805446625</v>
      </c>
      <c r="F33" s="68">
        <f>(1+'Quarterly returns'!Q18)*(1+'Quarterly returns'!Q19)*(1+'Quarterly returns'!Q20)*(1+'Quarterly returns'!Q21)-1</f>
        <v>0.34242712164092781</v>
      </c>
      <c r="G33" s="68">
        <f>(1+'Quarterly returns'!R18)*(1+'Quarterly returns'!R19)*(1+'Quarterly returns'!R20)*(1+'Quarterly returns'!R21)-1</f>
        <v>-4.721524276810718E-2</v>
      </c>
      <c r="H33" s="68">
        <f>(1+'Quarterly returns'!S18)*(1+'Quarterly returns'!S19)*(1+'Quarterly returns'!S20)*(1+'Quarterly returns'!S21)-1</f>
        <v>0.2630656695481739</v>
      </c>
      <c r="I33" s="68">
        <f>(1+'Quarterly returns'!T18)*(1+'Quarterly returns'!T19)*(1+'Quarterly returns'!T20)*(1+'Quarterly returns'!T21)-1</f>
        <v>-0.12114235322207279</v>
      </c>
      <c r="J33" s="68">
        <f>(1+'Quarterly returns'!U18)*(1+'Quarterly returns'!U19)*(1+'Quarterly returns'!U20)*(1+'Quarterly returns'!U21)-1</f>
        <v>0.18101636157962897</v>
      </c>
      <c r="K33" s="68">
        <f>(1+'Quarterly returns'!V18)*(1+'Quarterly returns'!V19)*(1+'Quarterly returns'!V20)*(1+'Quarterly returns'!V21)-1</f>
        <v>2.7271389112571542E-2</v>
      </c>
      <c r="L33" s="68">
        <f>(1+'Quarterly returns'!W18)*(1+'Quarterly returns'!W19)*(1+'Quarterly returns'!W20)*(1+'Quarterly returns'!W21)-1</f>
        <v>0.10238259346882539</v>
      </c>
      <c r="M33" s="68">
        <f>(1+'Quarterly returns'!X18)*(1+'Quarterly returns'!X19)*(1+'Quarterly returns'!X20)*(1+'Quarterly returns'!X21)-1</f>
        <v>3.5413980349781493E-2</v>
      </c>
      <c r="N33" s="77"/>
      <c r="O33" s="68">
        <f>C33-AVERAGE(C$21:C$97)+Forecast!$G$6</f>
        <v>0.44017556343690256</v>
      </c>
      <c r="P33" s="68">
        <f>D33-AVERAGE(D$21:D$97)+Forecast!$G$7</f>
        <v>9.035791672008392E-2</v>
      </c>
      <c r="Q33" s="68">
        <f>E33-AVERAGE(E$21:E$97)+Forecast!$G$8</f>
        <v>0.18885500473895139</v>
      </c>
      <c r="R33" s="68">
        <f>F33-AVERAGE(F$21:F$97)+Forecast!$G$9</f>
        <v>0.34317255992405493</v>
      </c>
      <c r="S33" s="68">
        <f>G33-AVERAGE(G$21:G$97)+Forecast!$G$10</f>
        <v>-1.3926429659842546E-2</v>
      </c>
      <c r="T33" s="68">
        <f>H33-AVERAGE(H$21:H$97)+Forecast!$G$11</f>
        <v>0.25450209955761705</v>
      </c>
      <c r="U33" s="68">
        <f>I33-AVERAGE(I$21:I$97)+Forecast!$G$12</f>
        <v>-0.16749700329254408</v>
      </c>
      <c r="V33" s="68">
        <f>J33-AVERAGE(J$21:J$97)+Forecast!$G$13</f>
        <v>0.11634763093742405</v>
      </c>
      <c r="W33" s="68">
        <f>K33-AVERAGE(K$21:K$97)+Forecast!$G$14</f>
        <v>3.2852227100720874E-2</v>
      </c>
      <c r="X33" s="68">
        <f>L33-AVERAGE(L$21:L$97)+Forecast!$G$15</f>
        <v>0.10505502230510189</v>
      </c>
      <c r="Y33" s="68">
        <f>M33-AVERAGE(M$21:M$97)+Forecast!$G$16</f>
        <v>4.87834831867597E-2</v>
      </c>
      <c r="Z33" s="68">
        <f>SUMPRODUCT($O33:$Y33,Risk!$B$56:$L$56)</f>
        <v>0.24520614438377278</v>
      </c>
      <c r="AA33" s="68">
        <f>SUMPRODUCT($O33:$Y33,Risk!$B$57:$L$57)</f>
        <v>0.18994848416619348</v>
      </c>
      <c r="AB33" s="314">
        <f>SUMPRODUCT($O33:$Y33,Risk!$B$58:$L$58)</f>
        <v>0.20927588370002081</v>
      </c>
    </row>
    <row r="34" spans="1:28" x14ac:dyDescent="0.2">
      <c r="A34" s="312">
        <v>14</v>
      </c>
      <c r="B34" s="313">
        <f>'Quarterly returns'!A22</f>
        <v>40359</v>
      </c>
      <c r="C34" s="68">
        <f>(1+'Quarterly returns'!N19)*(1+'Quarterly returns'!N20)*(1+'Quarterly returns'!N21)*(1+'Quarterly returns'!N22)-1</f>
        <v>0.13776842975760406</v>
      </c>
      <c r="D34" s="68">
        <f>(1+'Quarterly returns'!O19)*(1+'Quarterly returns'!O20)*(1+'Quarterly returns'!O21)*(1+'Quarterly returns'!O22)-1</f>
        <v>7.3084629774226029E-2</v>
      </c>
      <c r="E34" s="68">
        <f>(1+'Quarterly returns'!P19)*(1+'Quarterly returns'!P20)*(1+'Quarterly returns'!P21)*(1+'Quarterly returns'!P22)-1</f>
        <v>0.14986705991882099</v>
      </c>
      <c r="F34" s="68">
        <f>(1+'Quarterly returns'!Q19)*(1+'Quarterly returns'!Q20)*(1+'Quarterly returns'!Q21)*(1+'Quarterly returns'!Q22)-1</f>
        <v>0.31616711410841658</v>
      </c>
      <c r="G34" s="68">
        <f>(1+'Quarterly returns'!R19)*(1+'Quarterly returns'!R20)*(1+'Quarterly returns'!R21)*(1+'Quarterly returns'!R22)-1</f>
        <v>-9.4852434625256166E-2</v>
      </c>
      <c r="H34" s="68">
        <f>(1+'Quarterly returns'!S19)*(1+'Quarterly returns'!S20)*(1+'Quarterly returns'!S21)*(1+'Quarterly returns'!S22)-1</f>
        <v>0.12222182464115905</v>
      </c>
      <c r="I34" s="68">
        <f>(1+'Quarterly returns'!T19)*(1+'Quarterly returns'!T20)*(1+'Quarterly returns'!T21)*(1+'Quarterly returns'!T22)-1</f>
        <v>-0.10299267531709022</v>
      </c>
      <c r="J34" s="68">
        <f>(1+'Quarterly returns'!U19)*(1+'Quarterly returns'!U20)*(1+'Quarterly returns'!U21)*(1+'Quarterly returns'!U22)-1</f>
        <v>0.18263787236109841</v>
      </c>
      <c r="K34" s="68">
        <f>(1+'Quarterly returns'!V19)*(1+'Quarterly returns'!V20)*(1+'Quarterly returns'!V21)*(1+'Quarterly returns'!V22)-1</f>
        <v>7.855752642598568E-2</v>
      </c>
      <c r="L34" s="68">
        <f>(1+'Quarterly returns'!W19)*(1+'Quarterly returns'!W20)*(1+'Quarterly returns'!W21)*(1+'Quarterly returns'!W22)-1</f>
        <v>0.10577080864253818</v>
      </c>
      <c r="M34" s="68">
        <f>(1+'Quarterly returns'!X19)*(1+'Quarterly returns'!X20)*(1+'Quarterly returns'!X21)*(1+'Quarterly returns'!X22)-1</f>
        <v>3.8860566563305499E-2</v>
      </c>
      <c r="N34" s="77"/>
      <c r="O34" s="68">
        <f>C34-AVERAGE(C$21:C$97)+Forecast!$G$6</f>
        <v>0.13783398134202185</v>
      </c>
      <c r="P34" s="68">
        <f>D34-AVERAGE(D$21:D$97)+Forecast!$G$7</f>
        <v>4.9822097709562085E-2</v>
      </c>
      <c r="Q34" s="68">
        <f>E34-AVERAGE(E$21:E$97)+Forecast!$G$8</f>
        <v>0.13954448411310988</v>
      </c>
      <c r="R34" s="68">
        <f>F34-AVERAGE(F$21:F$97)+Forecast!$G$9</f>
        <v>0.3169125523915437</v>
      </c>
      <c r="S34" s="68">
        <f>G34-AVERAGE(G$21:G$97)+Forecast!$G$10</f>
        <v>-6.1563621516991532E-2</v>
      </c>
      <c r="T34" s="68">
        <f>H34-AVERAGE(H$21:H$97)+Forecast!$G$11</f>
        <v>0.11365825465060223</v>
      </c>
      <c r="U34" s="68">
        <f>I34-AVERAGE(I$21:I$97)+Forecast!$G$12</f>
        <v>-0.14934732538756151</v>
      </c>
      <c r="V34" s="68">
        <f>J34-AVERAGE(J$21:J$97)+Forecast!$G$13</f>
        <v>0.11796914171889349</v>
      </c>
      <c r="W34" s="68">
        <f>K34-AVERAGE(K$21:K$97)+Forecast!$G$14</f>
        <v>8.4138364414135011E-2</v>
      </c>
      <c r="X34" s="68">
        <f>L34-AVERAGE(L$21:L$97)+Forecast!$G$15</f>
        <v>0.10844323747881468</v>
      </c>
      <c r="Y34" s="68">
        <f>M34-AVERAGE(M$21:M$97)+Forecast!$G$16</f>
        <v>5.2230069400283706E-2</v>
      </c>
      <c r="Z34" s="68">
        <f>SUMPRODUCT($O34:$Y34,Risk!$B$56:$L$56)</f>
        <v>0.12174158583632082</v>
      </c>
      <c r="AA34" s="68">
        <f>SUMPRODUCT($O34:$Y34,Risk!$B$57:$L$57)</f>
        <v>0.10157133599138898</v>
      </c>
      <c r="AB34" s="314">
        <f>SUMPRODUCT($O34:$Y34,Risk!$B$58:$L$58)</f>
        <v>0.10942115105906454</v>
      </c>
    </row>
    <row r="35" spans="1:28" x14ac:dyDescent="0.2">
      <c r="A35" s="312">
        <v>15</v>
      </c>
      <c r="B35" s="313">
        <f>'Quarterly returns'!A23</f>
        <v>40451</v>
      </c>
      <c r="C35" s="68">
        <f>(1+'Quarterly returns'!N20)*(1+'Quarterly returns'!N21)*(1+'Quarterly returns'!N22)*(1+'Quarterly returns'!N23)-1</f>
        <v>1.7325048583767932E-2</v>
      </c>
      <c r="D35" s="68">
        <f>(1+'Quarterly returns'!O20)*(1+'Quarterly returns'!O21)*(1+'Quarterly returns'!O22)*(1+'Quarterly returns'!O23)-1</f>
        <v>-2.7565573361478357E-2</v>
      </c>
      <c r="E35" s="68">
        <f>(1+'Quarterly returns'!P20)*(1+'Quarterly returns'!P21)*(1+'Quarterly returns'!P22)*(1+'Quarterly returns'!P23)-1</f>
        <v>5.6940263206014086E-2</v>
      </c>
      <c r="F35" s="68">
        <f>(1+'Quarterly returns'!Q20)*(1+'Quarterly returns'!Q21)*(1+'Quarterly returns'!Q22)*(1+'Quarterly returns'!Q23)-1</f>
        <v>8.8311980721114791E-2</v>
      </c>
      <c r="G35" s="68">
        <f>(1+'Quarterly returns'!R20)*(1+'Quarterly returns'!R21)*(1+'Quarterly returns'!R22)*(1+'Quarterly returns'!R23)-1</f>
        <v>-5.0040314921302009E-2</v>
      </c>
      <c r="H35" s="68">
        <f>(1+'Quarterly returns'!S20)*(1+'Quarterly returns'!S21)*(1+'Quarterly returns'!S22)*(1+'Quarterly returns'!S23)-1</f>
        <v>-1.5838586286706091E-3</v>
      </c>
      <c r="I35" s="68">
        <f>(1+'Quarterly returns'!T20)*(1+'Quarterly returns'!T21)*(1+'Quarterly returns'!T22)*(1+'Quarterly returns'!T23)-1</f>
        <v>-3.2643033238878183E-2</v>
      </c>
      <c r="J35" s="68">
        <f>(1+'Quarterly returns'!U20)*(1+'Quarterly returns'!U21)*(1+'Quarterly returns'!U22)*(1+'Quarterly returns'!U23)-1</f>
        <v>0.14671324937893937</v>
      </c>
      <c r="K35" s="68">
        <f>(1+'Quarterly returns'!V20)*(1+'Quarterly returns'!V21)*(1+'Quarterly returns'!V22)*(1+'Quarterly returns'!V23)-1</f>
        <v>7.3395223222677997E-2</v>
      </c>
      <c r="L35" s="68">
        <f>(1+'Quarterly returns'!W20)*(1+'Quarterly returns'!W21)*(1+'Quarterly returns'!W22)*(1+'Quarterly returns'!W23)-1</f>
        <v>0.11022986488857689</v>
      </c>
      <c r="M35" s="68">
        <f>(1+'Quarterly returns'!X20)*(1+'Quarterly returns'!X21)*(1+'Quarterly returns'!X22)*(1+'Quarterly returns'!X23)-1</f>
        <v>4.2994574657304385E-2</v>
      </c>
      <c r="N35" s="77"/>
      <c r="O35" s="68">
        <f>C35-AVERAGE(C$21:C$97)+Forecast!$G$6</f>
        <v>1.7390600168185735E-2</v>
      </c>
      <c r="P35" s="68">
        <f>D35-AVERAGE(D$21:D$97)+Forecast!$G$7</f>
        <v>-5.0828105426142287E-2</v>
      </c>
      <c r="Q35" s="68">
        <f>E35-AVERAGE(E$21:E$97)+Forecast!$G$8</f>
        <v>4.6617687400302976E-2</v>
      </c>
      <c r="R35" s="68">
        <f>F35-AVERAGE(F$21:F$97)+Forecast!$G$9</f>
        <v>8.9057419004241925E-2</v>
      </c>
      <c r="S35" s="68">
        <f>G35-AVERAGE(G$21:G$97)+Forecast!$G$10</f>
        <v>-1.6751501813037376E-2</v>
      </c>
      <c r="T35" s="68">
        <f>H35-AVERAGE(H$21:H$97)+Forecast!$G$11</f>
        <v>-1.0147428619227433E-2</v>
      </c>
      <c r="U35" s="68">
        <f>I35-AVERAGE(I$21:I$97)+Forecast!$G$12</f>
        <v>-7.8997683309349476E-2</v>
      </c>
      <c r="V35" s="68">
        <f>J35-AVERAGE(J$21:J$97)+Forecast!$G$13</f>
        <v>8.2044518736734448E-2</v>
      </c>
      <c r="W35" s="68">
        <f>K35-AVERAGE(K$21:K$97)+Forecast!$G$14</f>
        <v>7.8976061210827328E-2</v>
      </c>
      <c r="X35" s="68">
        <f>L35-AVERAGE(L$21:L$97)+Forecast!$G$15</f>
        <v>0.11290229372485339</v>
      </c>
      <c r="Y35" s="68">
        <f>M35-AVERAGE(M$21:M$97)+Forecast!$G$16</f>
        <v>5.6364077494282593E-2</v>
      </c>
      <c r="Z35" s="68">
        <f>SUMPRODUCT($O35:$Y35,Risk!$B$56:$L$56)</f>
        <v>3.0520438986682181E-2</v>
      </c>
      <c r="AA35" s="68">
        <f>SUMPRODUCT($O35:$Y35,Risk!$B$57:$L$57)</f>
        <v>2.4197281491755918E-2</v>
      </c>
      <c r="AB35" s="314">
        <f>SUMPRODUCT($O35:$Y35,Risk!$B$58:$L$58)</f>
        <v>1.9580812329091781E-2</v>
      </c>
    </row>
    <row r="36" spans="1:28" x14ac:dyDescent="0.2">
      <c r="A36" s="312">
        <v>16</v>
      </c>
      <c r="B36" s="313">
        <f>'Quarterly returns'!A24</f>
        <v>40543</v>
      </c>
      <c r="C36" s="68">
        <f>(1+'Quarterly returns'!N21)*(1+'Quarterly returns'!N22)*(1+'Quarterly returns'!N23)*(1+'Quarterly returns'!N24)-1</f>
        <v>3.3062526756519439E-2</v>
      </c>
      <c r="D36" s="68">
        <f>(1+'Quarterly returns'!O21)*(1+'Quarterly returns'!O22)*(1+'Quarterly returns'!O23)*(1+'Quarterly returns'!O24)-1</f>
        <v>-2.9870488096232384E-2</v>
      </c>
      <c r="E36" s="68">
        <f>(1+'Quarterly returns'!P21)*(1+'Quarterly returns'!P22)*(1+'Quarterly returns'!P23)*(1+'Quarterly returns'!P24)-1</f>
        <v>3.7488512562027232E-3</v>
      </c>
      <c r="F36" s="68">
        <f>(1+'Quarterly returns'!Q21)*(1+'Quarterly returns'!Q22)*(1+'Quarterly returns'!Q23)*(1+'Quarterly returns'!Q24)-1</f>
        <v>6.0907849638130784E-2</v>
      </c>
      <c r="G36" s="68">
        <f>(1+'Quarterly returns'!R21)*(1+'Quarterly returns'!R22)*(1+'Quarterly returns'!R23)*(1+'Quarterly returns'!R24)-1</f>
        <v>-4.3438384068835267E-2</v>
      </c>
      <c r="H36" s="68">
        <f>(1+'Quarterly returns'!S21)*(1+'Quarterly returns'!S22)*(1+'Quarterly returns'!S23)*(1+'Quarterly returns'!S24)-1</f>
        <v>-3.8591056505324794E-2</v>
      </c>
      <c r="I36" s="68">
        <f>(1+'Quarterly returns'!T21)*(1+'Quarterly returns'!T22)*(1+'Quarterly returns'!T23)*(1+'Quarterly returns'!T24)-1</f>
        <v>6.6973445415923649E-2</v>
      </c>
      <c r="J36" s="68">
        <f>(1+'Quarterly returns'!U21)*(1+'Quarterly returns'!U22)*(1+'Quarterly returns'!U23)*(1+'Quarterly returns'!U24)-1</f>
        <v>5.4386470786847552E-2</v>
      </c>
      <c r="K36" s="68">
        <f>(1+'Quarterly returns'!V21)*(1+'Quarterly returns'!V22)*(1+'Quarterly returns'!V23)*(1+'Quarterly returns'!V24)-1</f>
        <v>6.0351831874479123E-2</v>
      </c>
      <c r="L36" s="68">
        <f>(1+'Quarterly returns'!W21)*(1+'Quarterly returns'!W22)*(1+'Quarterly returns'!W23)*(1+'Quarterly returns'!W24)-1</f>
        <v>9.2773844231570646E-2</v>
      </c>
      <c r="M36" s="68">
        <f>(1+'Quarterly returns'!X21)*(1+'Quarterly returns'!X22)*(1+'Quarterly returns'!X23)*(1+'Quarterly returns'!X24)-1</f>
        <v>4.6648711224514194E-2</v>
      </c>
      <c r="N36" s="77"/>
      <c r="O36" s="68">
        <f>C36-AVERAGE(C$21:C$97)+Forecast!$G$6</f>
        <v>3.3128078340937242E-2</v>
      </c>
      <c r="P36" s="68">
        <f>D36-AVERAGE(D$21:D$97)+Forecast!$G$7</f>
        <v>-5.3133020160896313E-2</v>
      </c>
      <c r="Q36" s="68">
        <f>E36-AVERAGE(E$21:E$97)+Forecast!$G$8</f>
        <v>-6.5737245495083863E-3</v>
      </c>
      <c r="R36" s="68">
        <f>F36-AVERAGE(F$21:F$97)+Forecast!$G$9</f>
        <v>6.1653287921257918E-2</v>
      </c>
      <c r="S36" s="68">
        <f>G36-AVERAGE(G$21:G$97)+Forecast!$G$10</f>
        <v>-1.0149570960570634E-2</v>
      </c>
      <c r="T36" s="68">
        <f>H36-AVERAGE(H$21:H$97)+Forecast!$G$11</f>
        <v>-4.7154626495881619E-2</v>
      </c>
      <c r="U36" s="68">
        <f>I36-AVERAGE(I$21:I$97)+Forecast!$G$12</f>
        <v>2.0618795345452356E-2</v>
      </c>
      <c r="V36" s="68">
        <f>J36-AVERAGE(J$21:J$97)+Forecast!$G$13</f>
        <v>-1.028225985535737E-2</v>
      </c>
      <c r="W36" s="68">
        <f>K36-AVERAGE(K$21:K$97)+Forecast!$G$14</f>
        <v>6.5932669862628454E-2</v>
      </c>
      <c r="X36" s="68">
        <f>L36-AVERAGE(L$21:L$97)+Forecast!$G$15</f>
        <v>9.5446273067847143E-2</v>
      </c>
      <c r="Y36" s="68">
        <f>M36-AVERAGE(M$21:M$97)+Forecast!$G$16</f>
        <v>6.0018214061492402E-2</v>
      </c>
      <c r="Z36" s="68">
        <f>SUMPRODUCT($O36:$Y36,Risk!$B$56:$L$56)</f>
        <v>3.0516833405447932E-2</v>
      </c>
      <c r="AA36" s="68">
        <f>SUMPRODUCT($O36:$Y36,Risk!$B$57:$L$57)</f>
        <v>1.8928196725395297E-2</v>
      </c>
      <c r="AB36" s="314">
        <f>SUMPRODUCT($O36:$Y36,Risk!$B$58:$L$58)</f>
        <v>1.1706362675594655E-2</v>
      </c>
    </row>
    <row r="37" spans="1:28" x14ac:dyDescent="0.2">
      <c r="A37" s="312">
        <v>17</v>
      </c>
      <c r="B37" s="313">
        <f>'Quarterly returns'!A25</f>
        <v>40633</v>
      </c>
      <c r="C37" s="68">
        <f>(1+'Quarterly returns'!N22)*(1+'Quarterly returns'!N23)*(1+'Quarterly returns'!N24)*(1+'Quarterly returns'!N25)-1</f>
        <v>4.8014291829013622E-2</v>
      </c>
      <c r="D37" s="68">
        <f>(1+'Quarterly returns'!O22)*(1+'Quarterly returns'!O23)*(1+'Quarterly returns'!O24)*(1+'Quarterly returns'!O25)-1</f>
        <v>-2.8801407277059821E-2</v>
      </c>
      <c r="E37" s="68">
        <f>(1+'Quarterly returns'!P22)*(1+'Quarterly returns'!P23)*(1+'Quarterly returns'!P24)*(1+'Quarterly returns'!P25)-1</f>
        <v>8.0672206231973131E-3</v>
      </c>
      <c r="F37" s="68">
        <f>(1+'Quarterly returns'!Q22)*(1+'Quarterly returns'!Q23)*(1+'Quarterly returns'!Q24)*(1+'Quarterly returns'!Q25)-1</f>
        <v>6.1004152691921831E-2</v>
      </c>
      <c r="G37" s="68">
        <f>(1+'Quarterly returns'!R22)*(1+'Quarterly returns'!R23)*(1+'Quarterly returns'!R24)*(1+'Quarterly returns'!R25)-1</f>
        <v>8.9272978124729674E-2</v>
      </c>
      <c r="H37" s="68">
        <f>(1+'Quarterly returns'!S22)*(1+'Quarterly returns'!S23)*(1+'Quarterly returns'!S24)*(1+'Quarterly returns'!S25)-1</f>
        <v>-6.0216137739639075E-2</v>
      </c>
      <c r="I37" s="68">
        <f>(1+'Quarterly returns'!T22)*(1+'Quarterly returns'!T23)*(1+'Quarterly returns'!T24)*(1+'Quarterly returns'!T25)-1</f>
        <v>0.19942042034424778</v>
      </c>
      <c r="J37" s="68">
        <f>(1+'Quarterly returns'!U22)*(1+'Quarterly returns'!U23)*(1+'Quarterly returns'!U24)*(1+'Quarterly returns'!U25)-1</f>
        <v>7.3823585154525695E-2</v>
      </c>
      <c r="K37" s="68">
        <f>(1+'Quarterly returns'!V22)*(1+'Quarterly returns'!V23)*(1+'Quarterly returns'!V24)*(1+'Quarterly returns'!V25)-1</f>
        <v>6.857011849232042E-2</v>
      </c>
      <c r="L37" s="68">
        <f>(1+'Quarterly returns'!W22)*(1+'Quarterly returns'!W23)*(1+'Quarterly returns'!W24)*(1+'Quarterly returns'!W25)-1</f>
        <v>7.426871926593126E-2</v>
      </c>
      <c r="M37" s="68">
        <f>(1+'Quarterly returns'!X22)*(1+'Quarterly returns'!X23)*(1+'Quarterly returns'!X24)*(1+'Quarterly returns'!X25)-1</f>
        <v>4.872865252953984E-2</v>
      </c>
      <c r="N37" s="77"/>
      <c r="O37" s="68">
        <f>C37-AVERAGE(C$21:C$97)+Forecast!$G$6</f>
        <v>4.8079843413431425E-2</v>
      </c>
      <c r="P37" s="68">
        <f>D37-AVERAGE(D$21:D$97)+Forecast!$G$7</f>
        <v>-5.206393934172375E-2</v>
      </c>
      <c r="Q37" s="68">
        <f>E37-AVERAGE(E$21:E$97)+Forecast!$G$8</f>
        <v>-2.2553551825137963E-3</v>
      </c>
      <c r="R37" s="68">
        <f>F37-AVERAGE(F$21:F$97)+Forecast!$G$9</f>
        <v>6.1749590975048965E-2</v>
      </c>
      <c r="S37" s="68">
        <f>G37-AVERAGE(G$21:G$97)+Forecast!$G$10</f>
        <v>0.12256179123299431</v>
      </c>
      <c r="T37" s="68">
        <f>H37-AVERAGE(H$21:H$97)+Forecast!$G$11</f>
        <v>-6.8779707730195899E-2</v>
      </c>
      <c r="U37" s="68">
        <f>I37-AVERAGE(I$21:I$97)+Forecast!$G$12</f>
        <v>0.15306577027377649</v>
      </c>
      <c r="V37" s="68">
        <f>J37-AVERAGE(J$21:J$97)+Forecast!$G$13</f>
        <v>9.1548545123207731E-3</v>
      </c>
      <c r="W37" s="68">
        <f>K37-AVERAGE(K$21:K$97)+Forecast!$G$14</f>
        <v>7.4150956480469751E-2</v>
      </c>
      <c r="X37" s="68">
        <f>L37-AVERAGE(L$21:L$97)+Forecast!$G$15</f>
        <v>7.6941148102207757E-2</v>
      </c>
      <c r="Y37" s="68">
        <f>M37-AVERAGE(M$21:M$97)+Forecast!$G$16</f>
        <v>6.2098155366518047E-2</v>
      </c>
      <c r="Z37" s="68">
        <f>SUMPRODUCT($O37:$Y37,Risk!$B$56:$L$56)</f>
        <v>3.6618914790436066E-2</v>
      </c>
      <c r="AA37" s="68">
        <f>SUMPRODUCT($O37:$Y37,Risk!$B$57:$L$57)</f>
        <v>2.8365900165359344E-2</v>
      </c>
      <c r="AB37" s="314">
        <f>SUMPRODUCT($O37:$Y37,Risk!$B$58:$L$58)</f>
        <v>1.9404188155728135E-2</v>
      </c>
    </row>
    <row r="38" spans="1:28" x14ac:dyDescent="0.2">
      <c r="A38" s="312">
        <v>18</v>
      </c>
      <c r="B38" s="313">
        <f>'Quarterly returns'!A26</f>
        <v>40724</v>
      </c>
      <c r="C38" s="68">
        <f>(1+'Quarterly returns'!N23)*(1+'Quarterly returns'!N24)*(1+'Quarterly returns'!N25)*(1+'Quarterly returns'!N26)-1</f>
        <v>0.12172774121935825</v>
      </c>
      <c r="D38" s="68">
        <f>(1+'Quarterly returns'!O23)*(1+'Quarterly returns'!O24)*(1+'Quarterly returns'!O25)*(1+'Quarterly returns'!O26)-1</f>
        <v>-3.387449079991256E-2</v>
      </c>
      <c r="E38" s="68">
        <f>(1+'Quarterly returns'!P23)*(1+'Quarterly returns'!P24)*(1+'Quarterly returns'!P25)*(1+'Quarterly returns'!P26)-1</f>
        <v>-7.5922014707377472E-2</v>
      </c>
      <c r="F38" s="68">
        <f>(1+'Quarterly returns'!Q23)*(1+'Quarterly returns'!Q24)*(1+'Quarterly returns'!Q25)*(1+'Quarterly returns'!Q26)-1</f>
        <v>2.0757654662848068E-2</v>
      </c>
      <c r="G38" s="68">
        <f>(1+'Quarterly returns'!R23)*(1+'Quarterly returns'!R24)*(1+'Quarterly returns'!R25)*(1+'Quarterly returns'!R26)-1</f>
        <v>-5.0364316109610119E-3</v>
      </c>
      <c r="H38" s="68">
        <f>(1+'Quarterly returns'!S23)*(1+'Quarterly returns'!S24)*(1+'Quarterly returns'!S25)*(1+'Quarterly returns'!S26)-1</f>
        <v>-6.1307292400055613E-2</v>
      </c>
      <c r="I38" s="68">
        <f>(1+'Quarterly returns'!T23)*(1+'Quarterly returns'!T24)*(1+'Quarterly returns'!T25)*(1+'Quarterly returns'!T26)-1</f>
        <v>0.23696696998503186</v>
      </c>
      <c r="J38" s="68">
        <f>(1+'Quarterly returns'!U23)*(1+'Quarterly returns'!U24)*(1+'Quarterly returns'!U25)*(1+'Quarterly returns'!U26)-1</f>
        <v>8.683796518324538E-2</v>
      </c>
      <c r="K38" s="68">
        <f>(1+'Quarterly returns'!V23)*(1+'Quarterly returns'!V24)*(1+'Quarterly returns'!V25)*(1+'Quarterly returns'!V26)-1</f>
        <v>5.546886313970445E-2</v>
      </c>
      <c r="L38" s="68">
        <f>(1+'Quarterly returns'!W23)*(1+'Quarterly returns'!W24)*(1+'Quarterly returns'!W25)*(1+'Quarterly returns'!W26)-1</f>
        <v>7.8339874023018563E-2</v>
      </c>
      <c r="M38" s="68">
        <f>(1+'Quarterly returns'!X23)*(1+'Quarterly returns'!X24)*(1+'Quarterly returns'!X25)*(1+'Quarterly returns'!X26)-1</f>
        <v>4.9843601840930507E-2</v>
      </c>
      <c r="N38" s="77"/>
      <c r="O38" s="68">
        <f>C38-AVERAGE(C$21:C$97)+Forecast!$G$6</f>
        <v>0.12179329280377606</v>
      </c>
      <c r="P38" s="68">
        <f>D38-AVERAGE(D$21:D$97)+Forecast!$G$7</f>
        <v>-5.7137022864576489E-2</v>
      </c>
      <c r="Q38" s="68">
        <f>E38-AVERAGE(E$21:E$97)+Forecast!$G$8</f>
        <v>-8.6244590513088581E-2</v>
      </c>
      <c r="R38" s="68">
        <f>F38-AVERAGE(F$21:F$97)+Forecast!$G$9</f>
        <v>2.1503092945975202E-2</v>
      </c>
      <c r="S38" s="68">
        <f>G38-AVERAGE(G$21:G$97)+Forecast!$G$10</f>
        <v>2.8252381497303625E-2</v>
      </c>
      <c r="T38" s="68">
        <f>H38-AVERAGE(H$21:H$97)+Forecast!$G$11</f>
        <v>-6.9870862390612437E-2</v>
      </c>
      <c r="U38" s="68">
        <f>I38-AVERAGE(I$21:I$97)+Forecast!$G$12</f>
        <v>0.19061231991456057</v>
      </c>
      <c r="V38" s="68">
        <f>J38-AVERAGE(J$21:J$97)+Forecast!$G$13</f>
        <v>2.2169234541040458E-2</v>
      </c>
      <c r="W38" s="68">
        <f>K38-AVERAGE(K$21:K$97)+Forecast!$G$14</f>
        <v>6.1049701127853781E-2</v>
      </c>
      <c r="X38" s="68">
        <f>L38-AVERAGE(L$21:L$97)+Forecast!$G$15</f>
        <v>8.101230285929506E-2</v>
      </c>
      <c r="Y38" s="68">
        <f>M38-AVERAGE(M$21:M$97)+Forecast!$G$16</f>
        <v>6.3213104677908721E-2</v>
      </c>
      <c r="Z38" s="68">
        <f>SUMPRODUCT($O38:$Y38,Risk!$B$56:$L$56)</f>
        <v>5.950357856856793E-2</v>
      </c>
      <c r="AA38" s="68">
        <f>SUMPRODUCT($O38:$Y38,Risk!$B$57:$L$57)</f>
        <v>3.8462972261113997E-2</v>
      </c>
      <c r="AB38" s="314">
        <f>SUMPRODUCT($O38:$Y38,Risk!$B$58:$L$58)</f>
        <v>2.4201564036273729E-2</v>
      </c>
    </row>
    <row r="39" spans="1:28" x14ac:dyDescent="0.2">
      <c r="A39" s="312">
        <v>19</v>
      </c>
      <c r="B39" s="313">
        <f>'Quarterly returns'!A27</f>
        <v>40816</v>
      </c>
      <c r="C39" s="68">
        <f>(1+'Quarterly returns'!N24)*(1+'Quarterly returns'!N25)*(1+'Quarterly returns'!N26)*(1+'Quarterly returns'!N27)-1</f>
        <v>-8.4275942915956525E-2</v>
      </c>
      <c r="D39" s="68">
        <f>(1+'Quarterly returns'!O24)*(1+'Quarterly returns'!O25)*(1+'Quarterly returns'!O26)*(1+'Quarterly returns'!O27)-1</f>
        <v>-4.8797726880597803E-2</v>
      </c>
      <c r="E39" s="68">
        <f>(1+'Quarterly returns'!P24)*(1+'Quarterly returns'!P25)*(1+'Quarterly returns'!P26)*(1+'Quarterly returns'!P27)-1</f>
        <v>-0.12047111327613325</v>
      </c>
      <c r="F39" s="68">
        <f>(1+'Quarterly returns'!Q24)*(1+'Quarterly returns'!Q25)*(1+'Quarterly returns'!Q26)*(1+'Quarterly returns'!Q27)-1</f>
        <v>-1.132630108673327E-2</v>
      </c>
      <c r="G39" s="68">
        <f>(1+'Quarterly returns'!R24)*(1+'Quarterly returns'!R25)*(1+'Quarterly returns'!R26)*(1+'Quarterly returns'!R27)-1</f>
        <v>2.4816712412627284E-2</v>
      </c>
      <c r="H39" s="68">
        <f>(1+'Quarterly returns'!S24)*(1+'Quarterly returns'!S25)*(1+'Quarterly returns'!S26)*(1+'Quarterly returns'!S27)-1</f>
        <v>-2.6764106105510721E-2</v>
      </c>
      <c r="I39" s="68">
        <f>(1+'Quarterly returns'!T24)*(1+'Quarterly returns'!T25)*(1+'Quarterly returns'!T26)*(1+'Quarterly returns'!T27)-1</f>
        <v>0.11590372148713701</v>
      </c>
      <c r="J39" s="68">
        <f>(1+'Quarterly returns'!U24)*(1+'Quarterly returns'!U25)*(1+'Quarterly returns'!U26)*(1+'Quarterly returns'!U27)-1</f>
        <v>2.4122714678219026E-2</v>
      </c>
      <c r="K39" s="68">
        <f>(1+'Quarterly returns'!V24)*(1+'Quarterly returns'!V25)*(1+'Quarterly returns'!V26)*(1+'Quarterly returns'!V27)-1</f>
        <v>9.043629148223431E-2</v>
      </c>
      <c r="L39" s="68">
        <f>(1+'Quarterly returns'!W24)*(1+'Quarterly returns'!W25)*(1+'Quarterly returns'!W26)*(1+'Quarterly returns'!W27)-1</f>
        <v>7.7854343153369587E-2</v>
      </c>
      <c r="M39" s="68">
        <f>(1+'Quarterly returns'!X24)*(1+'Quarterly returns'!X25)*(1+'Quarterly returns'!X26)*(1+'Quarterly returns'!X27)-1</f>
        <v>5.0174532532749616E-2</v>
      </c>
      <c r="N39" s="77"/>
      <c r="O39" s="68">
        <f>C39-AVERAGE(C$21:C$97)+Forecast!$G$6</f>
        <v>-8.4210391331538723E-2</v>
      </c>
      <c r="P39" s="68">
        <f>D39-AVERAGE(D$21:D$97)+Forecast!$G$7</f>
        <v>-7.2060258945261732E-2</v>
      </c>
      <c r="Q39" s="68">
        <f>E39-AVERAGE(E$21:E$97)+Forecast!$G$8</f>
        <v>-0.13079368908184436</v>
      </c>
      <c r="R39" s="68">
        <f>F39-AVERAGE(F$21:F$97)+Forecast!$G$9</f>
        <v>-1.0580862803606136E-2</v>
      </c>
      <c r="S39" s="68">
        <f>G39-AVERAGE(G$21:G$97)+Forecast!$G$10</f>
        <v>5.8105525520891918E-2</v>
      </c>
      <c r="T39" s="68">
        <f>H39-AVERAGE(H$21:H$97)+Forecast!$G$11</f>
        <v>-3.5327676096067545E-2</v>
      </c>
      <c r="U39" s="68">
        <f>I39-AVERAGE(I$21:I$97)+Forecast!$G$12</f>
        <v>6.954907141666572E-2</v>
      </c>
      <c r="V39" s="68">
        <f>J39-AVERAGE(J$21:J$97)+Forecast!$G$13</f>
        <v>-4.0546015963985896E-2</v>
      </c>
      <c r="W39" s="68">
        <f>K39-AVERAGE(K$21:K$97)+Forecast!$G$14</f>
        <v>9.6017129470383641E-2</v>
      </c>
      <c r="X39" s="68">
        <f>L39-AVERAGE(L$21:L$97)+Forecast!$G$15</f>
        <v>8.0526771989646084E-2</v>
      </c>
      <c r="Y39" s="68">
        <f>M39-AVERAGE(M$21:M$97)+Forecast!$G$16</f>
        <v>6.354403536972783E-2</v>
      </c>
      <c r="Z39" s="68">
        <f>SUMPRODUCT($O39:$Y39,Risk!$B$56:$L$56)</f>
        <v>-2.3861500946418278E-2</v>
      </c>
      <c r="AA39" s="68">
        <f>SUMPRODUCT($O39:$Y39,Risk!$B$57:$L$57)</f>
        <v>-1.853904857345378E-2</v>
      </c>
      <c r="AB39" s="314">
        <f>SUMPRODUCT($O39:$Y39,Risk!$B$58:$L$58)</f>
        <v>-3.4739995637571859E-2</v>
      </c>
    </row>
    <row r="40" spans="1:28" x14ac:dyDescent="0.2">
      <c r="A40" s="312">
        <v>20</v>
      </c>
      <c r="B40" s="313">
        <f>'Quarterly returns'!A28</f>
        <v>40907</v>
      </c>
      <c r="C40" s="68">
        <f>(1+'Quarterly returns'!N25)*(1+'Quarterly returns'!N26)*(1+'Quarterly returns'!N27)*(1+'Quarterly returns'!N28)-1</f>
        <v>-0.11430847048147885</v>
      </c>
      <c r="D40" s="68">
        <f>(1+'Quarterly returns'!O25)*(1+'Quarterly returns'!O26)*(1+'Quarterly returns'!O27)*(1+'Quarterly returns'!O28)-1</f>
        <v>-4.9754534627386882E-2</v>
      </c>
      <c r="E40" s="68">
        <f>(1+'Quarterly returns'!P25)*(1+'Quarterly returns'!P26)*(1+'Quarterly returns'!P27)*(1+'Quarterly returns'!P28)-1</f>
        <v>-0.12480146432450601</v>
      </c>
      <c r="F40" s="68">
        <f>(1+'Quarterly returns'!Q25)*(1+'Quarterly returns'!Q26)*(1+'Quarterly returns'!Q27)*(1+'Quarterly returns'!Q28)-1</f>
        <v>1.996225397765361E-2</v>
      </c>
      <c r="G40" s="68">
        <f>(1+'Quarterly returns'!R25)*(1+'Quarterly returns'!R26)*(1+'Quarterly returns'!R27)*(1+'Quarterly returns'!R28)-1</f>
        <v>-1.1909358492293354E-2</v>
      </c>
      <c r="H40" s="68">
        <f>(1+'Quarterly returns'!S25)*(1+'Quarterly returns'!S26)*(1+'Quarterly returns'!S27)*(1+'Quarterly returns'!S28)-1</f>
        <v>-5.4683718989258501E-2</v>
      </c>
      <c r="I40" s="68">
        <f>(1+'Quarterly returns'!T25)*(1+'Quarterly returns'!T26)*(1+'Quarterly returns'!T27)*(1+'Quarterly returns'!T28)-1</f>
        <v>0.10496617445577994</v>
      </c>
      <c r="J40" s="68">
        <f>(1+'Quarterly returns'!U25)*(1+'Quarterly returns'!U26)*(1+'Quarterly returns'!U27)*(1+'Quarterly returns'!U28)-1</f>
        <v>8.8548046568630134E-2</v>
      </c>
      <c r="K40" s="68">
        <f>(1+'Quarterly returns'!V25)*(1+'Quarterly returns'!V26)*(1+'Quarterly returns'!V27)*(1+'Quarterly returns'!V28)-1</f>
        <v>0.11373862090614262</v>
      </c>
      <c r="L40" s="68">
        <f>(1+'Quarterly returns'!W25)*(1+'Quarterly returns'!W26)*(1+'Quarterly returns'!W27)*(1+'Quarterly returns'!W28)-1</f>
        <v>0.10512942671113157</v>
      </c>
      <c r="M40" s="68">
        <f>(1+'Quarterly returns'!X25)*(1+'Quarterly returns'!X26)*(1+'Quarterly returns'!X27)*(1+'Quarterly returns'!X28)-1</f>
        <v>4.9994074692730539E-2</v>
      </c>
      <c r="N40" s="77"/>
      <c r="O40" s="68">
        <f>C40-AVERAGE(C$21:C$97)+Forecast!$G$6</f>
        <v>-0.11424291889706105</v>
      </c>
      <c r="P40" s="68">
        <f>D40-AVERAGE(D$21:D$97)+Forecast!$G$7</f>
        <v>-7.3017066692050811E-2</v>
      </c>
      <c r="Q40" s="68">
        <f>E40-AVERAGE(E$21:E$97)+Forecast!$G$8</f>
        <v>-0.13512404013021712</v>
      </c>
      <c r="R40" s="68">
        <f>F40-AVERAGE(F$21:F$97)+Forecast!$G$9</f>
        <v>2.0707692260780744E-2</v>
      </c>
      <c r="S40" s="68">
        <f>G40-AVERAGE(G$21:G$97)+Forecast!$G$10</f>
        <v>2.1379454615971284E-2</v>
      </c>
      <c r="T40" s="68">
        <f>H40-AVERAGE(H$21:H$97)+Forecast!$G$11</f>
        <v>-6.3247288979815325E-2</v>
      </c>
      <c r="U40" s="68">
        <f>I40-AVERAGE(I$21:I$97)+Forecast!$G$12</f>
        <v>5.8611524385308644E-2</v>
      </c>
      <c r="V40" s="68">
        <f>J40-AVERAGE(J$21:J$97)+Forecast!$G$13</f>
        <v>2.3879315926425213E-2</v>
      </c>
      <c r="W40" s="68">
        <f>K40-AVERAGE(K$21:K$97)+Forecast!$G$14</f>
        <v>0.11931945889429194</v>
      </c>
      <c r="X40" s="68">
        <f>L40-AVERAGE(L$21:L$97)+Forecast!$G$15</f>
        <v>0.10780185554740807</v>
      </c>
      <c r="Y40" s="68">
        <f>M40-AVERAGE(M$21:M$97)+Forecast!$G$16</f>
        <v>6.3363577529708753E-2</v>
      </c>
      <c r="Z40" s="68">
        <f>SUMPRODUCT($O40:$Y40,Risk!$B$56:$L$56)</f>
        <v>-2.7272293966140455E-2</v>
      </c>
      <c r="AA40" s="68">
        <f>SUMPRODUCT($O40:$Y40,Risk!$B$57:$L$57)</f>
        <v>-1.8485222942021616E-2</v>
      </c>
      <c r="AB40" s="314">
        <f>SUMPRODUCT($O40:$Y40,Risk!$B$58:$L$58)</f>
        <v>-3.8145302077403014E-2</v>
      </c>
    </row>
    <row r="41" spans="1:28" x14ac:dyDescent="0.2">
      <c r="A41" s="312">
        <v>21</v>
      </c>
      <c r="B41" s="313">
        <f>'Quarterly returns'!A29</f>
        <v>40998</v>
      </c>
      <c r="C41" s="68">
        <f>(1+'Quarterly returns'!N26)*(1+'Quarterly returns'!N27)*(1+'Quarterly returns'!N28)*(1+'Quarterly returns'!N29)-1</f>
        <v>-6.1998927667768378E-2</v>
      </c>
      <c r="D41" s="68">
        <f>(1+'Quarterly returns'!O26)*(1+'Quarterly returns'!O27)*(1+'Quarterly returns'!O28)*(1+'Quarterly returns'!O29)-1</f>
        <v>1.8628291555410348E-2</v>
      </c>
      <c r="E41" s="68">
        <f>(1+'Quarterly returns'!P26)*(1+'Quarterly returns'!P27)*(1+'Quarterly returns'!P28)*(1+'Quarterly returns'!P29)-1</f>
        <v>-3.9076346992011124E-2</v>
      </c>
      <c r="F41" s="68">
        <f>(1+'Quarterly returns'!Q26)*(1+'Quarterly returns'!Q27)*(1+'Quarterly returns'!Q28)*(1+'Quarterly returns'!Q29)-1</f>
        <v>7.4720146560420808E-2</v>
      </c>
      <c r="G41" s="68">
        <f>(1+'Quarterly returns'!R26)*(1+'Quarterly returns'!R27)*(1+'Quarterly returns'!R28)*(1+'Quarterly returns'!R29)-1</f>
        <v>-6.3717952877562212E-2</v>
      </c>
      <c r="H41" s="68">
        <f>(1+'Quarterly returns'!S26)*(1+'Quarterly returns'!S27)*(1+'Quarterly returns'!S28)*(1+'Quarterly returns'!S29)-1</f>
        <v>1.1692558720308943E-2</v>
      </c>
      <c r="I41" s="68">
        <f>(1+'Quarterly returns'!T26)*(1+'Quarterly returns'!T27)*(1+'Quarterly returns'!T28)*(1+'Quarterly returns'!T29)-1</f>
        <v>0.11071823587009177</v>
      </c>
      <c r="J41" s="68">
        <f>(1+'Quarterly returns'!U26)*(1+'Quarterly returns'!U27)*(1+'Quarterly returns'!U28)*(1+'Quarterly returns'!U29)-1</f>
        <v>7.7673215446901089E-2</v>
      </c>
      <c r="K41" s="68">
        <f>(1+'Quarterly returns'!V26)*(1+'Quarterly returns'!V27)*(1+'Quarterly returns'!V28)*(1+'Quarterly returns'!V29)-1</f>
        <v>0.10003170952184948</v>
      </c>
      <c r="L41" s="68">
        <f>(1+'Quarterly returns'!W26)*(1+'Quarterly returns'!W27)*(1+'Quarterly returns'!W28)*(1+'Quarterly returns'!W29)-1</f>
        <v>0.11904612093374367</v>
      </c>
      <c r="M41" s="68">
        <f>(1+'Quarterly returns'!X26)*(1+'Quarterly returns'!X27)*(1+'Quarterly returns'!X28)*(1+'Quarterly returns'!X29)-1</f>
        <v>4.8886819959470085E-2</v>
      </c>
      <c r="N41" s="77"/>
      <c r="O41" s="68">
        <f>C41-AVERAGE(C$21:C$97)+Forecast!$G$6</f>
        <v>-6.1933376083350575E-2</v>
      </c>
      <c r="P41" s="68">
        <f>D41-AVERAGE(D$21:D$97)+Forecast!$G$7</f>
        <v>-4.6342405092535954E-3</v>
      </c>
      <c r="Q41" s="68">
        <f>E41-AVERAGE(E$21:E$97)+Forecast!$G$8</f>
        <v>-4.9398922797722233E-2</v>
      </c>
      <c r="R41" s="68">
        <f>F41-AVERAGE(F$21:F$97)+Forecast!$G$9</f>
        <v>7.5465584843547942E-2</v>
      </c>
      <c r="S41" s="68">
        <f>G41-AVERAGE(G$21:G$97)+Forecast!$G$10</f>
        <v>-3.0429139769297578E-2</v>
      </c>
      <c r="T41" s="68">
        <f>H41-AVERAGE(H$21:H$97)+Forecast!$G$11</f>
        <v>3.1289887297521191E-3</v>
      </c>
      <c r="U41" s="68">
        <f>I41-AVERAGE(I$21:I$97)+Forecast!$G$12</f>
        <v>6.4363585799620482E-2</v>
      </c>
      <c r="V41" s="68">
        <f>J41-AVERAGE(J$21:J$97)+Forecast!$G$13</f>
        <v>1.3004484804696168E-2</v>
      </c>
      <c r="W41" s="68">
        <f>K41-AVERAGE(K$21:K$97)+Forecast!$G$14</f>
        <v>0.10561254750999881</v>
      </c>
      <c r="X41" s="68">
        <f>L41-AVERAGE(L$21:L$97)+Forecast!$G$15</f>
        <v>0.12171854977002017</v>
      </c>
      <c r="Y41" s="68">
        <f>M41-AVERAGE(M$21:M$97)+Forecast!$G$16</f>
        <v>6.2256322796448292E-2</v>
      </c>
      <c r="Z41" s="68">
        <f>SUMPRODUCT($O41:$Y41,Risk!$B$56:$L$56)</f>
        <v>1.1783668653016657E-2</v>
      </c>
      <c r="AA41" s="68">
        <f>SUMPRODUCT($O41:$Y41,Risk!$B$57:$L$57)</f>
        <v>1.911645708128484E-2</v>
      </c>
      <c r="AB41" s="314">
        <f>SUMPRODUCT($O41:$Y41,Risk!$B$58:$L$58)</f>
        <v>6.1088427494851326E-3</v>
      </c>
    </row>
    <row r="42" spans="1:28" x14ac:dyDescent="0.2">
      <c r="A42" s="312">
        <v>22</v>
      </c>
      <c r="B42" s="313">
        <f>'Quarterly returns'!A30</f>
        <v>41089</v>
      </c>
      <c r="C42" s="68">
        <f>(1+'Quarterly returns'!N27)*(1+'Quarterly returns'!N28)*(1+'Quarterly returns'!N29)*(1+'Quarterly returns'!N30)-1</f>
        <v>-7.0440322946360379E-2</v>
      </c>
      <c r="D42" s="68">
        <f>(1+'Quarterly returns'!O27)*(1+'Quarterly returns'!O28)*(1+'Quarterly returns'!O29)*(1+'Quarterly returns'!O30)-1</f>
        <v>2.7033735107121482E-2</v>
      </c>
      <c r="E42" s="68">
        <f>(1+'Quarterly returns'!P27)*(1+'Quarterly returns'!P28)*(1+'Quarterly returns'!P29)*(1+'Quarterly returns'!P30)-1</f>
        <v>-2.1005886279913955E-2</v>
      </c>
      <c r="F42" s="68">
        <f>(1+'Quarterly returns'!Q27)*(1+'Quarterly returns'!Q28)*(1+'Quarterly returns'!Q29)*(1+'Quarterly returns'!Q30)-1</f>
        <v>0.13085886647022282</v>
      </c>
      <c r="G42" s="68">
        <f>(1+'Quarterly returns'!R27)*(1+'Quarterly returns'!R28)*(1+'Quarterly returns'!R29)*(1+'Quarterly returns'!R30)-1</f>
        <v>-6.7719748030501403E-2</v>
      </c>
      <c r="H42" s="68">
        <f>(1+'Quarterly returns'!S27)*(1+'Quarterly returns'!S28)*(1+'Quarterly returns'!S29)*(1+'Quarterly returns'!S30)-1</f>
        <v>1.5304094243138611E-2</v>
      </c>
      <c r="I42" s="68">
        <f>(1+'Quarterly returns'!T27)*(1+'Quarterly returns'!T28)*(1+'Quarterly returns'!T29)*(1+'Quarterly returns'!T30)-1</f>
        <v>7.4693162759900789E-2</v>
      </c>
      <c r="J42" s="68">
        <f>(1+'Quarterly returns'!U27)*(1+'Quarterly returns'!U28)*(1+'Quarterly returns'!U29)*(1+'Quarterly returns'!U30)-1</f>
        <v>3.2760217660143143E-2</v>
      </c>
      <c r="K42" s="68">
        <f>(1+'Quarterly returns'!V27)*(1+'Quarterly returns'!V28)*(1+'Quarterly returns'!V29)*(1+'Quarterly returns'!V30)-1</f>
        <v>0.12409928312649399</v>
      </c>
      <c r="L42" s="68">
        <f>(1+'Quarterly returns'!W27)*(1+'Quarterly returns'!W28)*(1+'Quarterly returns'!W29)*(1+'Quarterly returns'!W30)-1</f>
        <v>0.11584629264339319</v>
      </c>
      <c r="M42" s="68">
        <f>(1+'Quarterly returns'!X27)*(1+'Quarterly returns'!X28)*(1+'Quarterly returns'!X29)*(1+'Quarterly returns'!X30)-1</f>
        <v>4.7004916653701434E-2</v>
      </c>
      <c r="N42" s="77"/>
      <c r="O42" s="68">
        <f>C42-AVERAGE(C$21:C$97)+Forecast!$G$6</f>
        <v>-7.0374771361942576E-2</v>
      </c>
      <c r="P42" s="68">
        <f>D42-AVERAGE(D$21:D$97)+Forecast!$G$7</f>
        <v>3.7712030424575382E-3</v>
      </c>
      <c r="Q42" s="68">
        <f>E42-AVERAGE(E$21:E$97)+Forecast!$G$8</f>
        <v>-3.1328462085625064E-2</v>
      </c>
      <c r="R42" s="68">
        <f>F42-AVERAGE(F$21:F$97)+Forecast!$G$9</f>
        <v>0.13160430475334994</v>
      </c>
      <c r="S42" s="68">
        <f>G42-AVERAGE(G$21:G$97)+Forecast!$G$10</f>
        <v>-3.4430934922236769E-2</v>
      </c>
      <c r="T42" s="68">
        <f>H42-AVERAGE(H$21:H$97)+Forecast!$G$11</f>
        <v>6.7405242525817866E-3</v>
      </c>
      <c r="U42" s="68">
        <f>I42-AVERAGE(I$21:I$97)+Forecast!$G$12</f>
        <v>2.8338512689429496E-2</v>
      </c>
      <c r="V42" s="68">
        <f>J42-AVERAGE(J$21:J$97)+Forecast!$G$13</f>
        <v>-3.1908512982061779E-2</v>
      </c>
      <c r="W42" s="68">
        <f>K42-AVERAGE(K$21:K$97)+Forecast!$G$14</f>
        <v>0.1296801211146433</v>
      </c>
      <c r="X42" s="68">
        <f>L42-AVERAGE(L$21:L$97)+Forecast!$G$15</f>
        <v>0.11851872147966969</v>
      </c>
      <c r="Y42" s="68">
        <f>M42-AVERAGE(M$21:M$97)+Forecast!$G$16</f>
        <v>6.0374419490679641E-2</v>
      </c>
      <c r="Z42" s="68">
        <f>SUMPRODUCT($O42:$Y42,Risk!$B$56:$L$56)</f>
        <v>1.8924487788967114E-2</v>
      </c>
      <c r="AA42" s="68">
        <f>SUMPRODUCT($O42:$Y42,Risk!$B$57:$L$57)</f>
        <v>2.4128659768809412E-2</v>
      </c>
      <c r="AB42" s="314">
        <f>SUMPRODUCT($O42:$Y42,Risk!$B$58:$L$58)</f>
        <v>1.4275028823601106E-2</v>
      </c>
    </row>
    <row r="43" spans="1:28" x14ac:dyDescent="0.2">
      <c r="A43" s="312">
        <v>23</v>
      </c>
      <c r="B43" s="313">
        <f>'Quarterly returns'!A31</f>
        <v>41180</v>
      </c>
      <c r="C43" s="68">
        <f>(1+'Quarterly returns'!N28)*(1+'Quarterly returns'!N29)*(1+'Quarterly returns'!N30)*(1+'Quarterly returns'!N31)-1</f>
        <v>0.13363428867618299</v>
      </c>
      <c r="D43" s="68">
        <f>(1+'Quarterly returns'!O28)*(1+'Quarterly returns'!O29)*(1+'Quarterly returns'!O30)*(1+'Quarterly returns'!O31)-1</f>
        <v>0.13918310536388923</v>
      </c>
      <c r="E43" s="68">
        <f>(1+'Quarterly returns'!P28)*(1+'Quarterly returns'!P29)*(1+'Quarterly returns'!P30)*(1+'Quarterly returns'!P31)-1</f>
        <v>9.1921837371187198E-2</v>
      </c>
      <c r="F43" s="68">
        <f>(1+'Quarterly returns'!Q28)*(1+'Quarterly returns'!Q29)*(1+'Quarterly returns'!Q30)*(1+'Quarterly returns'!Q31)-1</f>
        <v>0.20446279921840183</v>
      </c>
      <c r="G43" s="68">
        <f>(1+'Quarterly returns'!R28)*(1+'Quarterly returns'!R29)*(1+'Quarterly returns'!R30)*(1+'Quarterly returns'!R31)-1</f>
        <v>5.3647486425679958E-2</v>
      </c>
      <c r="H43" s="68">
        <f>(1+'Quarterly returns'!S28)*(1+'Quarterly returns'!S29)*(1+'Quarterly returns'!S30)*(1+'Quarterly returns'!S31)-1</f>
        <v>4.1305028003149724E-2</v>
      </c>
      <c r="I43" s="68">
        <f>(1+'Quarterly returns'!T28)*(1+'Quarterly returns'!T29)*(1+'Quarterly returns'!T30)*(1+'Quarterly returns'!T31)-1</f>
        <v>5.7636346115377046E-2</v>
      </c>
      <c r="J43" s="68">
        <f>(1+'Quarterly returns'!U28)*(1+'Quarterly returns'!U29)*(1+'Quarterly returns'!U30)*(1+'Quarterly returns'!U31)-1</f>
        <v>7.9543772453145811E-2</v>
      </c>
      <c r="K43" s="68">
        <f>(1+'Quarterly returns'!V28)*(1+'Quarterly returns'!V29)*(1+'Quarterly returns'!V30)*(1+'Quarterly returns'!V31)-1</f>
        <v>9.5657388539442945E-2</v>
      </c>
      <c r="L43" s="68">
        <f>(1+'Quarterly returns'!W28)*(1+'Quarterly returns'!W29)*(1+'Quarterly returns'!W30)*(1+'Quarterly returns'!W31)-1</f>
        <v>0.10061878647467637</v>
      </c>
      <c r="M43" s="68">
        <f>(1+'Quarterly returns'!X28)*(1+'Quarterly returns'!X29)*(1+'Quarterly returns'!X30)*(1+'Quarterly returns'!X31)-1</f>
        <v>4.3606161412021782E-2</v>
      </c>
      <c r="N43" s="77"/>
      <c r="O43" s="68">
        <f>C43-AVERAGE(C$21:C$97)+Forecast!$G$6</f>
        <v>0.13369984026060078</v>
      </c>
      <c r="P43" s="68">
        <f>D43-AVERAGE(D$21:D$97)+Forecast!$G$7</f>
        <v>0.11592057329922528</v>
      </c>
      <c r="Q43" s="68">
        <f>E43-AVERAGE(E$21:E$97)+Forecast!$G$8</f>
        <v>8.1599261565476089E-2</v>
      </c>
      <c r="R43" s="68">
        <f>F43-AVERAGE(F$21:F$97)+Forecast!$G$9</f>
        <v>0.20520823750152895</v>
      </c>
      <c r="S43" s="68">
        <f>G43-AVERAGE(G$21:G$97)+Forecast!$G$10</f>
        <v>8.6936299533944592E-2</v>
      </c>
      <c r="T43" s="68">
        <f>H43-AVERAGE(H$21:H$97)+Forecast!$G$11</f>
        <v>3.27414580125929E-2</v>
      </c>
      <c r="U43" s="68">
        <f>I43-AVERAGE(I$21:I$97)+Forecast!$G$12</f>
        <v>1.1281696044905754E-2</v>
      </c>
      <c r="V43" s="68">
        <f>J43-AVERAGE(J$21:J$97)+Forecast!$G$13</f>
        <v>1.4875041810940889E-2</v>
      </c>
      <c r="W43" s="68">
        <f>K43-AVERAGE(K$21:K$97)+Forecast!$G$14</f>
        <v>0.10123822652759228</v>
      </c>
      <c r="X43" s="68">
        <f>L43-AVERAGE(L$21:L$97)+Forecast!$G$15</f>
        <v>0.10329121531095287</v>
      </c>
      <c r="Y43" s="68">
        <f>M43-AVERAGE(M$21:M$97)+Forecast!$G$16</f>
        <v>5.697566424899999E-2</v>
      </c>
      <c r="Z43" s="68">
        <f>SUMPRODUCT($O43:$Y43,Risk!$B$56:$L$56)</f>
        <v>0.12462220221568335</v>
      </c>
      <c r="AA43" s="68">
        <f>SUMPRODUCT($O43:$Y43,Risk!$B$57:$L$57)</f>
        <v>0.10946360848155723</v>
      </c>
      <c r="AB43" s="314">
        <f>SUMPRODUCT($O43:$Y43,Risk!$B$58:$L$58)</f>
        <v>0.11485751157545278</v>
      </c>
    </row>
    <row r="44" spans="1:28" x14ac:dyDescent="0.2">
      <c r="A44" s="312">
        <v>24</v>
      </c>
      <c r="B44" s="313">
        <f>'Quarterly returns'!A32</f>
        <v>41274</v>
      </c>
      <c r="C44" s="68">
        <f>(1+'Quarterly returns'!N29)*(1+'Quarterly returns'!N30)*(1+'Quarterly returns'!N31)*(1+'Quarterly returns'!N32)-1</f>
        <v>0.18840818253075953</v>
      </c>
      <c r="D44" s="68">
        <f>(1+'Quarterly returns'!O29)*(1+'Quarterly returns'!O30)*(1+'Quarterly returns'!O31)*(1+'Quarterly returns'!O32)-1</f>
        <v>0.14959097892827899</v>
      </c>
      <c r="E44" s="68">
        <f>(1+'Quarterly returns'!P29)*(1+'Quarterly returns'!P30)*(1+'Quarterly returns'!P31)*(1+'Quarterly returns'!P32)-1</f>
        <v>0.15917039456491366</v>
      </c>
      <c r="F44" s="68">
        <f>(1+'Quarterly returns'!Q29)*(1+'Quarterly returns'!Q30)*(1+'Quarterly returns'!Q31)*(1+'Quarterly returns'!Q32)-1</f>
        <v>0.22104265088936703</v>
      </c>
      <c r="G44" s="68">
        <f>(1+'Quarterly returns'!R29)*(1+'Quarterly returns'!R30)*(1+'Quarterly returns'!R31)*(1+'Quarterly returns'!R32)-1</f>
        <v>-1.1762775518750268E-2</v>
      </c>
      <c r="H44" s="68">
        <f>(1+'Quarterly returns'!S29)*(1+'Quarterly returns'!S30)*(1+'Quarterly returns'!S31)*(1+'Quarterly returns'!S32)-1</f>
        <v>9.9530328118581535E-2</v>
      </c>
      <c r="I44" s="68">
        <f>(1+'Quarterly returns'!T29)*(1+'Quarterly returns'!T30)*(1+'Quarterly returns'!T31)*(1+'Quarterly returns'!T32)-1</f>
        <v>-1.335194459080602E-2</v>
      </c>
      <c r="J44" s="68">
        <f>(1+'Quarterly returns'!U29)*(1+'Quarterly returns'!U30)*(1+'Quarterly returns'!U31)*(1+'Quarterly returns'!U32)-1</f>
        <v>5.4633414071180386E-2</v>
      </c>
      <c r="K44" s="68">
        <f>(1+'Quarterly returns'!V29)*(1+'Quarterly returns'!V30)*(1+'Quarterly returns'!V31)*(1+'Quarterly returns'!V32)-1</f>
        <v>7.7038707252913285E-2</v>
      </c>
      <c r="L44" s="68">
        <f>(1+'Quarterly returns'!W29)*(1+'Quarterly returns'!W30)*(1+'Quarterly returns'!W31)*(1+'Quarterly returns'!W32)-1</f>
        <v>9.6608708147722488E-2</v>
      </c>
      <c r="M44" s="68">
        <f>(1+'Quarterly returns'!X29)*(1+'Quarterly returns'!X30)*(1+'Quarterly returns'!X31)*(1+'Quarterly returns'!X32)-1</f>
        <v>3.9689033820124342E-2</v>
      </c>
      <c r="N44" s="77"/>
      <c r="O44" s="68">
        <f>C44-AVERAGE(C$21:C$97)+Forecast!$G$6</f>
        <v>0.18847373411517732</v>
      </c>
      <c r="P44" s="68">
        <f>D44-AVERAGE(D$21:D$97)+Forecast!$G$7</f>
        <v>0.12632844686361505</v>
      </c>
      <c r="Q44" s="68">
        <f>E44-AVERAGE(E$21:E$97)+Forecast!$G$8</f>
        <v>0.14884781875920255</v>
      </c>
      <c r="R44" s="68">
        <f>F44-AVERAGE(F$21:F$97)+Forecast!$G$9</f>
        <v>0.22178808917249415</v>
      </c>
      <c r="S44" s="68">
        <f>G44-AVERAGE(G$21:G$97)+Forecast!$G$10</f>
        <v>2.1526037589514369E-2</v>
      </c>
      <c r="T44" s="68">
        <f>H44-AVERAGE(H$21:H$97)+Forecast!$G$11</f>
        <v>9.0966758128024711E-2</v>
      </c>
      <c r="U44" s="68">
        <f>I44-AVERAGE(I$21:I$97)+Forecast!$G$12</f>
        <v>-5.9706594661277312E-2</v>
      </c>
      <c r="V44" s="68">
        <f>J44-AVERAGE(J$21:J$97)+Forecast!$G$13</f>
        <v>-1.0035316571024536E-2</v>
      </c>
      <c r="W44" s="68">
        <f>K44-AVERAGE(K$21:K$97)+Forecast!$G$14</f>
        <v>8.2619545241062617E-2</v>
      </c>
      <c r="X44" s="68">
        <f>L44-AVERAGE(L$21:L$97)+Forecast!$G$15</f>
        <v>9.9281136983998985E-2</v>
      </c>
      <c r="Y44" s="68">
        <f>M44-AVERAGE(M$21:M$97)+Forecast!$G$16</f>
        <v>5.3058536657102549E-2</v>
      </c>
      <c r="Z44" s="68">
        <f>SUMPRODUCT($O44:$Y44,Risk!$B$56:$L$56)</f>
        <v>0.14688351224691981</v>
      </c>
      <c r="AA44" s="68">
        <f>SUMPRODUCT($O44:$Y44,Risk!$B$57:$L$57)</f>
        <v>0.12439388040383681</v>
      </c>
      <c r="AB44" s="314">
        <f>SUMPRODUCT($O44:$Y44,Risk!$B$58:$L$58)</f>
        <v>0.13683733002339782</v>
      </c>
    </row>
    <row r="45" spans="1:28" x14ac:dyDescent="0.2">
      <c r="A45" s="312">
        <v>25</v>
      </c>
      <c r="B45" s="313">
        <f>'Quarterly returns'!A33</f>
        <v>41362</v>
      </c>
      <c r="C45" s="68">
        <f>(1+'Quarterly returns'!N30)*(1+'Quarterly returns'!N31)*(1+'Quarterly returns'!N32)*(1+'Quarterly returns'!N33)-1</f>
        <v>0.17799416816397073</v>
      </c>
      <c r="D45" s="68">
        <f>(1+'Quarterly returns'!O30)*(1+'Quarterly returns'!O31)*(1+'Quarterly returns'!O32)*(1+'Quarterly returns'!O33)-1</f>
        <v>0.14219851484735968</v>
      </c>
      <c r="E45" s="68">
        <f>(1+'Quarterly returns'!P30)*(1+'Quarterly returns'!P31)*(1+'Quarterly returns'!P32)*(1+'Quarterly returns'!P33)-1</f>
        <v>4.8641206188546393E-2</v>
      </c>
      <c r="F45" s="68">
        <f>(1+'Quarterly returns'!Q30)*(1+'Quarterly returns'!Q31)*(1+'Quarterly returns'!Q32)*(1+'Quarterly returns'!Q33)-1</f>
        <v>0.2115793745677359</v>
      </c>
      <c r="G45" s="68">
        <f>(1+'Quarterly returns'!R30)*(1+'Quarterly returns'!R31)*(1+'Quarterly returns'!R32)*(1+'Quarterly returns'!R33)-1</f>
        <v>-5.5644197782572347E-2</v>
      </c>
      <c r="H45" s="68">
        <f>(1+'Quarterly returns'!S30)*(1+'Quarterly returns'!S31)*(1+'Quarterly returns'!S32)*(1+'Quarterly returns'!S33)-1</f>
        <v>4.2727703622496227E-2</v>
      </c>
      <c r="I45" s="68">
        <f>(1+'Quarterly returns'!T30)*(1+'Quarterly returns'!T31)*(1+'Quarterly returns'!T32)*(1+'Quarterly returns'!T33)-1</f>
        <v>1.233635670232669E-2</v>
      </c>
      <c r="J45" s="68">
        <f>(1+'Quarterly returns'!U30)*(1+'Quarterly returns'!U31)*(1+'Quarterly returns'!U32)*(1+'Quarterly returns'!U33)-1</f>
        <v>7.1906714904061531E-2</v>
      </c>
      <c r="K45" s="68">
        <f>(1+'Quarterly returns'!V30)*(1+'Quarterly returns'!V31)*(1+'Quarterly returns'!V32)*(1+'Quarterly returns'!V33)-1</f>
        <v>7.0402861375589154E-2</v>
      </c>
      <c r="L45" s="68">
        <f>(1+'Quarterly returns'!W30)*(1+'Quarterly returns'!W31)*(1+'Quarterly returns'!W32)*(1+'Quarterly returns'!W33)-1</f>
        <v>8.6336800674726266E-2</v>
      </c>
      <c r="M45" s="68">
        <f>(1+'Quarterly returns'!X30)*(1+'Quarterly returns'!X31)*(1+'Quarterly returns'!X32)*(1+'Quarterly returns'!X33)-1</f>
        <v>3.5830553968401402E-2</v>
      </c>
      <c r="N45" s="77"/>
      <c r="O45" s="68">
        <f>C45-AVERAGE(C$21:C$97)+Forecast!$G$6</f>
        <v>0.17805971974838852</v>
      </c>
      <c r="P45" s="68">
        <f>D45-AVERAGE(D$21:D$97)+Forecast!$G$7</f>
        <v>0.11893598278269574</v>
      </c>
      <c r="Q45" s="68">
        <f>E45-AVERAGE(E$21:E$97)+Forecast!$G$8</f>
        <v>3.8318630382835284E-2</v>
      </c>
      <c r="R45" s="68">
        <f>F45-AVERAGE(F$21:F$97)+Forecast!$G$9</f>
        <v>0.21232481285086302</v>
      </c>
      <c r="S45" s="68">
        <f>G45-AVERAGE(G$21:G$97)+Forecast!$G$10</f>
        <v>-2.2355384674307713E-2</v>
      </c>
      <c r="T45" s="68">
        <f>H45-AVERAGE(H$21:H$97)+Forecast!$G$11</f>
        <v>3.4164133631939403E-2</v>
      </c>
      <c r="U45" s="68">
        <f>I45-AVERAGE(I$21:I$97)+Forecast!$G$12</f>
        <v>-3.4018293368144603E-2</v>
      </c>
      <c r="V45" s="68">
        <f>J45-AVERAGE(J$21:J$97)+Forecast!$G$13</f>
        <v>7.2379842618566087E-3</v>
      </c>
      <c r="W45" s="68">
        <f>K45-AVERAGE(K$21:K$97)+Forecast!$G$14</f>
        <v>7.5983699363738486E-2</v>
      </c>
      <c r="X45" s="68">
        <f>L45-AVERAGE(L$21:L$97)+Forecast!$G$15</f>
        <v>8.9009229511002763E-2</v>
      </c>
      <c r="Y45" s="68">
        <f>M45-AVERAGE(M$21:M$97)+Forecast!$G$16</f>
        <v>4.9200056805379609E-2</v>
      </c>
      <c r="Z45" s="68">
        <f>SUMPRODUCT($O45:$Y45,Risk!$B$56:$L$56)</f>
        <v>0.13820586298279841</v>
      </c>
      <c r="AA45" s="68">
        <f>SUMPRODUCT($O45:$Y45,Risk!$B$57:$L$57)</f>
        <v>0.11143428619220683</v>
      </c>
      <c r="AB45" s="314">
        <f>SUMPRODUCT($O45:$Y45,Risk!$B$58:$L$58)</f>
        <v>0.1171897544905027</v>
      </c>
    </row>
    <row r="46" spans="1:28" x14ac:dyDescent="0.2">
      <c r="A46" s="312">
        <v>26</v>
      </c>
      <c r="B46" s="313">
        <f>'Quarterly returns'!A34</f>
        <v>41453</v>
      </c>
      <c r="C46" s="68">
        <f>(1+'Quarterly returns'!N31)*(1+'Quarterly returns'!N32)*(1+'Quarterly returns'!N33)*(1+'Quarterly returns'!N34)-1</f>
        <v>0.20672228257055658</v>
      </c>
      <c r="D46" s="68">
        <f>(1+'Quarterly returns'!O31)*(1+'Quarterly returns'!O32)*(1+'Quarterly returns'!O33)*(1+'Quarterly returns'!O34)-1</f>
        <v>0.3676094507565435</v>
      </c>
      <c r="E46" s="68">
        <f>(1+'Quarterly returns'!P31)*(1+'Quarterly returns'!P32)*(1+'Quarterly returns'!P33)*(1+'Quarterly returns'!P34)-1</f>
        <v>0.19228899963330148</v>
      </c>
      <c r="F46" s="68">
        <f>(1+'Quarterly returns'!Q31)*(1+'Quarterly returns'!Q32)*(1+'Quarterly returns'!Q33)*(1+'Quarterly returns'!Q34)-1</f>
        <v>0.28609864849887279</v>
      </c>
      <c r="G46" s="68">
        <f>(1+'Quarterly returns'!R31)*(1+'Quarterly returns'!R32)*(1+'Quarterly returns'!R33)*(1+'Quarterly returns'!R34)-1</f>
        <v>0.14266639721964092</v>
      </c>
      <c r="H46" s="68">
        <f>(1+'Quarterly returns'!S31)*(1+'Quarterly returns'!S32)*(1+'Quarterly returns'!S33)*(1+'Quarterly returns'!S34)-1</f>
        <v>0.10437598025984163</v>
      </c>
      <c r="I46" s="68">
        <f>(1+'Quarterly returns'!T31)*(1+'Quarterly returns'!T32)*(1+'Quarterly returns'!T33)*(1+'Quarterly returns'!T34)-1</f>
        <v>-1.3048999027721719E-2</v>
      </c>
      <c r="J46" s="68">
        <f>(1+'Quarterly returns'!U31)*(1+'Quarterly returns'!U32)*(1+'Quarterly returns'!U33)*(1+'Quarterly returns'!U34)-1</f>
        <v>0.1588288359994865</v>
      </c>
      <c r="K46" s="68">
        <f>(1+'Quarterly returns'!V31)*(1+'Quarterly returns'!V32)*(1+'Quarterly returns'!V33)*(1+'Quarterly returns'!V34)-1</f>
        <v>2.7774920557857463E-2</v>
      </c>
      <c r="L46" s="68">
        <f>(1+'Quarterly returns'!W31)*(1+'Quarterly returns'!W32)*(1+'Quarterly returns'!W33)*(1+'Quarterly returns'!W34)-1</f>
        <v>4.5907390404670068E-2</v>
      </c>
      <c r="M46" s="68">
        <f>(1+'Quarterly returns'!X31)*(1+'Quarterly returns'!X32)*(1+'Quarterly returns'!X33)*(1+'Quarterly returns'!X34)-1</f>
        <v>3.2789924873134035E-2</v>
      </c>
      <c r="N46" s="77"/>
      <c r="O46" s="68">
        <f>C46-AVERAGE(C$21:C$97)+Forecast!$G$6</f>
        <v>0.20678783415497437</v>
      </c>
      <c r="P46" s="68">
        <f>D46-AVERAGE(D$21:D$97)+Forecast!$G$7</f>
        <v>0.34434691869187956</v>
      </c>
      <c r="Q46" s="68">
        <f>E46-AVERAGE(E$21:E$97)+Forecast!$G$8</f>
        <v>0.18196642382759037</v>
      </c>
      <c r="R46" s="68">
        <f>F46-AVERAGE(F$21:F$97)+Forecast!$G$9</f>
        <v>0.28684408678199991</v>
      </c>
      <c r="S46" s="68">
        <f>G46-AVERAGE(G$21:G$97)+Forecast!$G$10</f>
        <v>0.17595521032790556</v>
      </c>
      <c r="T46" s="68">
        <f>H46-AVERAGE(H$21:H$97)+Forecast!$G$11</f>
        <v>9.5812410269284803E-2</v>
      </c>
      <c r="U46" s="68">
        <f>I46-AVERAGE(I$21:I$97)+Forecast!$G$12</f>
        <v>-5.9403649098193012E-2</v>
      </c>
      <c r="V46" s="68">
        <f>J46-AVERAGE(J$21:J$97)+Forecast!$G$13</f>
        <v>9.4160105357281573E-2</v>
      </c>
      <c r="W46" s="68">
        <f>K46-AVERAGE(K$21:K$97)+Forecast!$G$14</f>
        <v>3.3355758546006795E-2</v>
      </c>
      <c r="X46" s="68">
        <f>L46-AVERAGE(L$21:L$97)+Forecast!$G$15</f>
        <v>4.8579819240946572E-2</v>
      </c>
      <c r="Y46" s="68">
        <f>M46-AVERAGE(M$21:M$97)+Forecast!$G$16</f>
        <v>4.6159427710112243E-2</v>
      </c>
      <c r="Z46" s="68">
        <f>SUMPRODUCT($O46:$Y46,Risk!$B$56:$L$56)</f>
        <v>0.19238983533945025</v>
      </c>
      <c r="AA46" s="68">
        <f>SUMPRODUCT($O46:$Y46,Risk!$B$57:$L$57)</f>
        <v>0.18062908536640582</v>
      </c>
      <c r="AB46" s="314">
        <f>SUMPRODUCT($O46:$Y46,Risk!$B$58:$L$58)</f>
        <v>0.20489878218908517</v>
      </c>
    </row>
    <row r="47" spans="1:28" x14ac:dyDescent="0.2">
      <c r="A47" s="312">
        <v>27</v>
      </c>
      <c r="B47" s="313">
        <f>'Quarterly returns'!A35</f>
        <v>41547</v>
      </c>
      <c r="C47" s="68">
        <f>(1+'Quarterly returns'!N32)*(1+'Quarterly returns'!N33)*(1+'Quarterly returns'!N34)*(1+'Quarterly returns'!N35)-1</f>
        <v>0.23545256719479513</v>
      </c>
      <c r="D47" s="68">
        <f>(1+'Quarterly returns'!O32)*(1+'Quarterly returns'!O33)*(1+'Quarterly returns'!O34)*(1+'Quarterly returns'!O35)-1</f>
        <v>0.36835857083584234</v>
      </c>
      <c r="E47" s="68">
        <f>(1+'Quarterly returns'!P32)*(1+'Quarterly returns'!P33)*(1+'Quarterly returns'!P34)*(1+'Quarterly returns'!P35)-1</f>
        <v>0.18092837532669037</v>
      </c>
      <c r="F47" s="68">
        <f>(1+'Quarterly returns'!Q32)*(1+'Quarterly returns'!Q33)*(1+'Quarterly returns'!Q34)*(1+'Quarterly returns'!Q35)-1</f>
        <v>0.23170452853863077</v>
      </c>
      <c r="G47" s="68">
        <f>(1+'Quarterly returns'!R32)*(1+'Quarterly returns'!R33)*(1+'Quarterly returns'!R34)*(1+'Quarterly returns'!R35)-1</f>
        <v>6.6034478745804703E-2</v>
      </c>
      <c r="H47" s="68">
        <f>(1+'Quarterly returns'!S32)*(1+'Quarterly returns'!S33)*(1+'Quarterly returns'!S34)*(1+'Quarterly returns'!S35)-1</f>
        <v>0.14529676445146</v>
      </c>
      <c r="I47" s="68">
        <f>(1+'Quarterly returns'!T32)*(1+'Quarterly returns'!T33)*(1+'Quarterly returns'!T34)*(1+'Quarterly returns'!T35)-1</f>
        <v>4.6054478665277232E-2</v>
      </c>
      <c r="J47" s="68">
        <f>(1+'Quarterly returns'!U32)*(1+'Quarterly returns'!U33)*(1+'Quarterly returns'!U34)*(1+'Quarterly returns'!U35)-1</f>
        <v>0.1295060821828744</v>
      </c>
      <c r="K47" s="68">
        <f>(1+'Quarterly returns'!V32)*(1+'Quarterly returns'!V33)*(1+'Quarterly returns'!V34)*(1+'Quarterly returns'!V35)-1</f>
        <v>1.8213726188954782E-2</v>
      </c>
      <c r="L47" s="68">
        <f>(1+'Quarterly returns'!W32)*(1+'Quarterly returns'!W33)*(1+'Quarterly returns'!W34)*(1+'Quarterly returns'!W35)-1</f>
        <v>3.1508126831867767E-2</v>
      </c>
      <c r="M47" s="68">
        <f>(1+'Quarterly returns'!X32)*(1+'Quarterly returns'!X33)*(1+'Quarterly returns'!X34)*(1+'Quarterly returns'!X35)-1</f>
        <v>3.063664642815711E-2</v>
      </c>
      <c r="N47" s="77"/>
      <c r="O47" s="68">
        <f>C47-AVERAGE(C$21:C$97)+Forecast!$G$6</f>
        <v>0.23551811877921291</v>
      </c>
      <c r="P47" s="68">
        <f>D47-AVERAGE(D$21:D$97)+Forecast!$G$7</f>
        <v>0.34509603877117839</v>
      </c>
      <c r="Q47" s="68">
        <f>E47-AVERAGE(E$21:E$97)+Forecast!$G$8</f>
        <v>0.17060579952097926</v>
      </c>
      <c r="R47" s="68">
        <f>F47-AVERAGE(F$21:F$97)+Forecast!$G$9</f>
        <v>0.23244996682175789</v>
      </c>
      <c r="S47" s="68">
        <f>G47-AVERAGE(G$21:G$97)+Forecast!$G$10</f>
        <v>9.9323291854069337E-2</v>
      </c>
      <c r="T47" s="68">
        <f>H47-AVERAGE(H$21:H$97)+Forecast!$G$11</f>
        <v>0.13673319446090318</v>
      </c>
      <c r="U47" s="68">
        <f>I47-AVERAGE(I$21:I$97)+Forecast!$G$12</f>
        <v>-3.0017140519406071E-4</v>
      </c>
      <c r="V47" s="68">
        <f>J47-AVERAGE(J$21:J$97)+Forecast!$G$13</f>
        <v>6.4837351540669483E-2</v>
      </c>
      <c r="W47" s="68">
        <f>K47-AVERAGE(K$21:K$97)+Forecast!$G$14</f>
        <v>2.3794564177104113E-2</v>
      </c>
      <c r="X47" s="68">
        <f>L47-AVERAGE(L$21:L$97)+Forecast!$G$15</f>
        <v>3.418055566814427E-2</v>
      </c>
      <c r="Y47" s="68">
        <f>M47-AVERAGE(M$21:M$97)+Forecast!$G$16</f>
        <v>4.4006149265135318E-2</v>
      </c>
      <c r="Z47" s="68">
        <f>SUMPRODUCT($O47:$Y47,Risk!$B$56:$L$56)</f>
        <v>0.19585551147667327</v>
      </c>
      <c r="AA47" s="68">
        <f>SUMPRODUCT($O47:$Y47,Risk!$B$57:$L$57)</f>
        <v>0.18226277621347381</v>
      </c>
      <c r="AB47" s="314">
        <f>SUMPRODUCT($O47:$Y47,Risk!$B$58:$L$58)</f>
        <v>0.20511677389468805</v>
      </c>
    </row>
    <row r="48" spans="1:28" x14ac:dyDescent="0.2">
      <c r="A48" s="312">
        <v>28</v>
      </c>
      <c r="B48" s="313">
        <f>'Quarterly returns'!A36</f>
        <v>41639</v>
      </c>
      <c r="C48" s="68">
        <f>(1+'Quarterly returns'!N33)*(1+'Quarterly returns'!N34)*(1+'Quarterly returns'!N35)*(1+'Quarterly returns'!N36)-1</f>
        <v>0.19655737348813207</v>
      </c>
      <c r="D48" s="68">
        <f>(1+'Quarterly returns'!O33)*(1+'Quarterly returns'!O34)*(1+'Quarterly returns'!O35)*(1+'Quarterly returns'!O36)-1</f>
        <v>0.50364975872632467</v>
      </c>
      <c r="E48" s="68">
        <f>(1+'Quarterly returns'!P33)*(1+'Quarterly returns'!P34)*(1+'Quarterly returns'!P35)*(1+'Quarterly returns'!P36)-1</f>
        <v>0.20445722606113947</v>
      </c>
      <c r="F48" s="68">
        <f>(1+'Quarterly returns'!Q33)*(1+'Quarterly returns'!Q34)*(1+'Quarterly returns'!Q35)*(1+'Quarterly returns'!Q36)-1</f>
        <v>0.22968393596800296</v>
      </c>
      <c r="G48" s="68">
        <f>(1+'Quarterly returns'!R33)*(1+'Quarterly returns'!R34)*(1+'Quarterly returns'!R35)*(1+'Quarterly returns'!R36)-1</f>
        <v>0.14632059194828462</v>
      </c>
      <c r="H48" s="68">
        <f>(1+'Quarterly returns'!S33)*(1+'Quarterly returns'!S34)*(1+'Quarterly returns'!S35)*(1+'Quarterly returns'!S36)-1</f>
        <v>0.14672450833483119</v>
      </c>
      <c r="I48" s="68">
        <f>(1+'Quarterly returns'!T33)*(1+'Quarterly returns'!T34)*(1+'Quarterly returns'!T35)*(1+'Quarterly returns'!T36)-1</f>
        <v>8.7498533878977325E-2</v>
      </c>
      <c r="J48" s="68">
        <f>(1+'Quarterly returns'!U33)*(1+'Quarterly returns'!U34)*(1+'Quarterly returns'!U35)*(1+'Quarterly returns'!U36)-1</f>
        <v>0.25775561778711475</v>
      </c>
      <c r="K48" s="68">
        <f>(1+'Quarterly returns'!V33)*(1+'Quarterly returns'!V34)*(1+'Quarterly returns'!V35)*(1+'Quarterly returns'!V36)-1</f>
        <v>1.9857480272692518E-2</v>
      </c>
      <c r="L48" s="68">
        <f>(1+'Quarterly returns'!W33)*(1+'Quarterly returns'!W34)*(1+'Quarterly returns'!W35)*(1+'Quarterly returns'!W36)-1</f>
        <v>2.2682898064550372E-2</v>
      </c>
      <c r="M48" s="68">
        <f>(1+'Quarterly returns'!X33)*(1+'Quarterly returns'!X34)*(1+'Quarterly returns'!X35)*(1+'Quarterly returns'!X36)-1</f>
        <v>2.8659860429051554E-2</v>
      </c>
      <c r="N48" s="77"/>
      <c r="O48" s="68">
        <f>C48-AVERAGE(C$21:C$97)+Forecast!$G$6</f>
        <v>0.19662292507254986</v>
      </c>
      <c r="P48" s="68">
        <f>D48-AVERAGE(D$21:D$97)+Forecast!$G$7</f>
        <v>0.48038722666166073</v>
      </c>
      <c r="Q48" s="68">
        <f>E48-AVERAGE(E$21:E$97)+Forecast!$G$8</f>
        <v>0.19413465025542836</v>
      </c>
      <c r="R48" s="68">
        <f>F48-AVERAGE(F$21:F$97)+Forecast!$G$9</f>
        <v>0.23042937425113008</v>
      </c>
      <c r="S48" s="68">
        <f>G48-AVERAGE(G$21:G$97)+Forecast!$G$10</f>
        <v>0.17960940505654927</v>
      </c>
      <c r="T48" s="68">
        <f>H48-AVERAGE(H$21:H$97)+Forecast!$G$11</f>
        <v>0.13816093834427437</v>
      </c>
      <c r="U48" s="68">
        <f>I48-AVERAGE(I$21:I$97)+Forecast!$G$12</f>
        <v>4.1143883808506032E-2</v>
      </c>
      <c r="V48" s="68">
        <f>J48-AVERAGE(J$21:J$97)+Forecast!$G$13</f>
        <v>0.19308688714490985</v>
      </c>
      <c r="W48" s="68">
        <f>K48-AVERAGE(K$21:K$97)+Forecast!$G$14</f>
        <v>2.543831826084185E-2</v>
      </c>
      <c r="X48" s="68">
        <f>L48-AVERAGE(L$21:L$97)+Forecast!$G$15</f>
        <v>2.5355326900826876E-2</v>
      </c>
      <c r="Y48" s="68">
        <f>M48-AVERAGE(M$21:M$97)+Forecast!$G$16</f>
        <v>4.2029363266029761E-2</v>
      </c>
      <c r="Z48" s="68">
        <f>SUMPRODUCT($O48:$Y48,Risk!$B$56:$L$56)</f>
        <v>0.20655578210627959</v>
      </c>
      <c r="AA48" s="68">
        <f>SUMPRODUCT($O48:$Y48,Risk!$B$57:$L$57)</f>
        <v>0.21154125093271492</v>
      </c>
      <c r="AB48" s="314">
        <f>SUMPRODUCT($O48:$Y48,Risk!$B$58:$L$58)</f>
        <v>0.23662594495886793</v>
      </c>
    </row>
    <row r="49" spans="1:28" x14ac:dyDescent="0.2">
      <c r="A49" s="312">
        <v>29</v>
      </c>
      <c r="B49" s="313">
        <f>'Quarterly returns'!A37</f>
        <v>41729</v>
      </c>
      <c r="C49" s="68">
        <f>(1+'Quarterly returns'!N34)*(1+'Quarterly returns'!N35)*(1+'Quarterly returns'!N36)*(1+'Quarterly returns'!N37)-1</f>
        <v>0.13186390812026327</v>
      </c>
      <c r="D49" s="68">
        <f>(1+'Quarterly returns'!O34)*(1+'Quarterly returns'!O35)*(1+'Quarterly returns'!O36)*(1+'Quarterly returns'!O37)-1</f>
        <v>0.34110495824626175</v>
      </c>
      <c r="E49" s="68">
        <f>(1+'Quarterly returns'!P34)*(1+'Quarterly returns'!P35)*(1+'Quarterly returns'!P36)*(1+'Quarterly returns'!P37)-1</f>
        <v>0.16717551683652743</v>
      </c>
      <c r="F49" s="68">
        <f>(1+'Quarterly returns'!Q34)*(1+'Quarterly returns'!Q35)*(1+'Quarterly returns'!Q36)*(1+'Quarterly returns'!Q37)-1</f>
        <v>0.16681836439302256</v>
      </c>
      <c r="G49" s="68">
        <f>(1+'Quarterly returns'!R34)*(1+'Quarterly returns'!R35)*(1+'Quarterly returns'!R36)*(1+'Quarterly returns'!R37)-1</f>
        <v>0.1375538998817678</v>
      </c>
      <c r="H49" s="68">
        <f>(1+'Quarterly returns'!S34)*(1+'Quarterly returns'!S35)*(1+'Quarterly returns'!S36)*(1+'Quarterly returns'!S37)-1</f>
        <v>0.13278545513503803</v>
      </c>
      <c r="I49" s="68">
        <f>(1+'Quarterly returns'!T34)*(1+'Quarterly returns'!T35)*(1+'Quarterly returns'!T36)*(1+'Quarterly returns'!T37)-1</f>
        <v>6.0759058252554787E-2</v>
      </c>
      <c r="J49" s="68">
        <f>(1+'Quarterly returns'!U34)*(1+'Quarterly returns'!U35)*(1+'Quarterly returns'!U36)*(1+'Quarterly returns'!U37)-1</f>
        <v>0.23755755445828997</v>
      </c>
      <c r="K49" s="68">
        <f>(1+'Quarterly returns'!V34)*(1+'Quarterly returns'!V35)*(1+'Quarterly returns'!V36)*(1+'Quarterly returns'!V37)-1</f>
        <v>3.2975248466594387E-2</v>
      </c>
      <c r="L49" s="68">
        <f>(1+'Quarterly returns'!W34)*(1+'Quarterly returns'!W35)*(1+'Quarterly returns'!W36)*(1+'Quarterly returns'!W37)-1</f>
        <v>3.6839108718718538E-2</v>
      </c>
      <c r="M49" s="68">
        <f>(1+'Quarterly returns'!X34)*(1+'Quarterly returns'!X35)*(1+'Quarterly returns'!X36)*(1+'Quarterly returns'!X37)-1</f>
        <v>2.7657513774237641E-2</v>
      </c>
      <c r="N49" s="77"/>
      <c r="O49" s="68">
        <f>C49-AVERAGE(C$21:C$97)+Forecast!$G$6</f>
        <v>0.13192945970468106</v>
      </c>
      <c r="P49" s="68">
        <f>D49-AVERAGE(D$21:D$97)+Forecast!$G$7</f>
        <v>0.3178424261815978</v>
      </c>
      <c r="Q49" s="68">
        <f>E49-AVERAGE(E$21:E$97)+Forecast!$G$8</f>
        <v>0.15685294103081632</v>
      </c>
      <c r="R49" s="68">
        <f>F49-AVERAGE(F$21:F$97)+Forecast!$G$9</f>
        <v>0.16756380267614968</v>
      </c>
      <c r="S49" s="68">
        <f>G49-AVERAGE(G$21:G$97)+Forecast!$G$10</f>
        <v>0.17084271299003245</v>
      </c>
      <c r="T49" s="68">
        <f>H49-AVERAGE(H$21:H$97)+Forecast!$G$11</f>
        <v>0.12422188514448121</v>
      </c>
      <c r="U49" s="68">
        <f>I49-AVERAGE(I$21:I$97)+Forecast!$G$12</f>
        <v>1.4404408182083495E-2</v>
      </c>
      <c r="V49" s="68">
        <f>J49-AVERAGE(J$21:J$97)+Forecast!$G$13</f>
        <v>0.17288882381608506</v>
      </c>
      <c r="W49" s="68">
        <f>K49-AVERAGE(K$21:K$97)+Forecast!$G$14</f>
        <v>3.8556086454743718E-2</v>
      </c>
      <c r="X49" s="68">
        <f>L49-AVERAGE(L$21:L$97)+Forecast!$G$15</f>
        <v>3.9511537554995042E-2</v>
      </c>
      <c r="Y49" s="68">
        <f>M49-AVERAGE(M$21:M$97)+Forecast!$G$16</f>
        <v>4.1027016611215848E-2</v>
      </c>
      <c r="Z49" s="68">
        <f>SUMPRODUCT($O49:$Y49,Risk!$B$56:$L$56)</f>
        <v>0.14491287652120322</v>
      </c>
      <c r="AA49" s="68">
        <f>SUMPRODUCT($O49:$Y49,Risk!$B$57:$L$57)</f>
        <v>0.15192127883802853</v>
      </c>
      <c r="AB49" s="314">
        <f>SUMPRODUCT($O49:$Y49,Risk!$B$58:$L$58)</f>
        <v>0.16859327946691197</v>
      </c>
    </row>
    <row r="50" spans="1:28" x14ac:dyDescent="0.2">
      <c r="A50" s="312">
        <v>30</v>
      </c>
      <c r="B50" s="313">
        <f>'Quarterly returns'!A38</f>
        <v>41820</v>
      </c>
      <c r="C50" s="68">
        <f>(1+'Quarterly returns'!N35)*(1+'Quarterly returns'!N36)*(1+'Quarterly returns'!N37)*(1+'Quarterly returns'!N38)-1</f>
        <v>0.1764070633577004</v>
      </c>
      <c r="D50" s="68">
        <f>(1+'Quarterly returns'!O35)*(1+'Quarterly returns'!O36)*(1+'Quarterly returns'!O37)*(1+'Quarterly returns'!O38)-1</f>
        <v>0.18657487064737355</v>
      </c>
      <c r="E50" s="68">
        <f>(1+'Quarterly returns'!P35)*(1+'Quarterly returns'!P36)*(1+'Quarterly returns'!P37)*(1+'Quarterly returns'!P38)-1</f>
        <v>0.10658027302625128</v>
      </c>
      <c r="F50" s="68">
        <f>(1+'Quarterly returns'!Q35)*(1+'Quarterly returns'!Q36)*(1+'Quarterly returns'!Q37)*(1+'Quarterly returns'!Q38)-1</f>
        <v>0.10766329591208912</v>
      </c>
      <c r="G50" s="68">
        <f>(1+'Quarterly returns'!R35)*(1+'Quarterly returns'!R36)*(1+'Quarterly returns'!R37)*(1+'Quarterly returns'!R38)-1</f>
        <v>7.0693251586839922E-2</v>
      </c>
      <c r="H50" s="68">
        <f>(1+'Quarterly returns'!S35)*(1+'Quarterly returns'!S36)*(1+'Quarterly returns'!S37)*(1+'Quarterly returns'!S38)-1</f>
        <v>9.9954937493899054E-2</v>
      </c>
      <c r="I50" s="68">
        <f>(1+'Quarterly returns'!T35)*(1+'Quarterly returns'!T36)*(1+'Quarterly returns'!T37)*(1+'Quarterly returns'!T38)-1</f>
        <v>8.3111164274552563E-2</v>
      </c>
      <c r="J50" s="68">
        <f>(1+'Quarterly returns'!U35)*(1+'Quarterly returns'!U36)*(1+'Quarterly returns'!U37)*(1+'Quarterly returns'!U38)-1</f>
        <v>0.21748732063111165</v>
      </c>
      <c r="K50" s="68">
        <f>(1+'Quarterly returns'!V35)*(1+'Quarterly returns'!V36)*(1+'Quarterly returns'!V37)*(1+'Quarterly returns'!V38)-1</f>
        <v>6.0858100958234962E-2</v>
      </c>
      <c r="L50" s="68">
        <f>(1+'Quarterly returns'!W35)*(1+'Quarterly returns'!W36)*(1+'Quarterly returns'!W37)*(1+'Quarterly returns'!W38)-1</f>
        <v>7.7591289650564388E-2</v>
      </c>
      <c r="M50" s="68">
        <f>(1+'Quarterly returns'!X35)*(1+'Quarterly returns'!X36)*(1+'Quarterly returns'!X37)*(1+'Quarterly returns'!X38)-1</f>
        <v>2.6820069724031947E-2</v>
      </c>
      <c r="N50" s="77"/>
      <c r="O50" s="68">
        <f>C50-AVERAGE(C$21:C$97)+Forecast!$G$6</f>
        <v>0.17647261494211819</v>
      </c>
      <c r="P50" s="68">
        <f>D50-AVERAGE(D$21:D$97)+Forecast!$G$7</f>
        <v>0.1633123385827096</v>
      </c>
      <c r="Q50" s="68">
        <f>E50-AVERAGE(E$21:E$97)+Forecast!$G$8</f>
        <v>9.6257697220540173E-2</v>
      </c>
      <c r="R50" s="68">
        <f>F50-AVERAGE(F$21:F$97)+Forecast!$G$9</f>
        <v>0.10840873419521625</v>
      </c>
      <c r="S50" s="68">
        <f>G50-AVERAGE(G$21:G$97)+Forecast!$G$10</f>
        <v>0.10398206469510456</v>
      </c>
      <c r="T50" s="68">
        <f>H50-AVERAGE(H$21:H$97)+Forecast!$G$11</f>
        <v>9.139136750334223E-2</v>
      </c>
      <c r="U50" s="68">
        <f>I50-AVERAGE(I$21:I$97)+Forecast!$G$12</f>
        <v>3.675651420408127E-2</v>
      </c>
      <c r="V50" s="68">
        <f>J50-AVERAGE(J$21:J$97)+Forecast!$G$13</f>
        <v>0.15281858998890674</v>
      </c>
      <c r="W50" s="68">
        <f>K50-AVERAGE(K$21:K$97)+Forecast!$G$14</f>
        <v>6.6438938946384293E-2</v>
      </c>
      <c r="X50" s="68">
        <f>L50-AVERAGE(L$21:L$97)+Forecast!$G$15</f>
        <v>8.0263718486840885E-2</v>
      </c>
      <c r="Y50" s="68">
        <f>M50-AVERAGE(M$21:M$97)+Forecast!$G$16</f>
        <v>4.0189572561010155E-2</v>
      </c>
      <c r="Z50" s="68">
        <f>SUMPRODUCT($O50:$Y50,Risk!$B$56:$L$56)</f>
        <v>0.13329259551308645</v>
      </c>
      <c r="AA50" s="68">
        <f>SUMPRODUCT($O50:$Y50,Risk!$B$57:$L$57)</f>
        <v>0.12546206776339666</v>
      </c>
      <c r="AB50" s="314">
        <f>SUMPRODUCT($O50:$Y50,Risk!$B$58:$L$58)</f>
        <v>0.13163774580753149</v>
      </c>
    </row>
    <row r="51" spans="1:28" x14ac:dyDescent="0.2">
      <c r="A51" s="312">
        <v>31</v>
      </c>
      <c r="B51" s="313">
        <f>'Quarterly returns'!A39</f>
        <v>41912</v>
      </c>
      <c r="C51" s="68">
        <f>(1+'Quarterly returns'!N36)*(1+'Quarterly returns'!N37)*(1+'Quarterly returns'!N38)*(1+'Quarterly returns'!N39)-1</f>
        <v>5.8870689412665378E-2</v>
      </c>
      <c r="D51" s="68">
        <f>(1+'Quarterly returns'!O36)*(1+'Quarterly returns'!O37)*(1+'Quarterly returns'!O38)*(1+'Quarterly returns'!O39)-1</f>
        <v>0.2388558984899718</v>
      </c>
      <c r="E51" s="68">
        <f>(1+'Quarterly returns'!P36)*(1+'Quarterly returns'!P37)*(1+'Quarterly returns'!P38)*(1+'Quarterly returns'!P39)-1</f>
        <v>0.16086896418335828</v>
      </c>
      <c r="F51" s="68">
        <f>(1+'Quarterly returns'!Q36)*(1+'Quarterly returns'!Q37)*(1+'Quarterly returns'!Q38)*(1+'Quarterly returns'!Q39)-1</f>
        <v>0.21338118214845592</v>
      </c>
      <c r="G51" s="68">
        <f>(1+'Quarterly returns'!R36)*(1+'Quarterly returns'!R37)*(1+'Quarterly returns'!R38)*(1+'Quarterly returns'!R39)-1</f>
        <v>-1.4358205596573304E-2</v>
      </c>
      <c r="H51" s="68">
        <f>(1+'Quarterly returns'!S36)*(1+'Quarterly returns'!S37)*(1+'Quarterly returns'!S38)*(1+'Quarterly returns'!S39)-1</f>
        <v>7.3240407465417823E-2</v>
      </c>
      <c r="I51" s="68">
        <f>(1+'Quarterly returns'!T36)*(1+'Quarterly returns'!T37)*(1+'Quarterly returns'!T38)*(1+'Quarterly returns'!T39)-1</f>
        <v>8.052785802513629E-2</v>
      </c>
      <c r="J51" s="68">
        <f>(1+'Quarterly returns'!U36)*(1+'Quarterly returns'!U37)*(1+'Quarterly returns'!U38)*(1+'Quarterly returns'!U39)-1</f>
        <v>0.28404312342159566</v>
      </c>
      <c r="K51" s="68">
        <f>(1+'Quarterly returns'!V36)*(1+'Quarterly returns'!V37)*(1+'Quarterly returns'!V38)*(1+'Quarterly returns'!V39)-1</f>
        <v>6.0180226346117749E-2</v>
      </c>
      <c r="L51" s="68">
        <f>(1+'Quarterly returns'!W36)*(1+'Quarterly returns'!W37)*(1+'Quarterly returns'!W38)*(1+'Quarterly returns'!W39)-1</f>
        <v>8.1123668065870458E-2</v>
      </c>
      <c r="M51" s="68">
        <f>(1+'Quarterly returns'!X36)*(1+'Quarterly returns'!X37)*(1+'Quarterly returns'!X38)*(1+'Quarterly returns'!X39)-1</f>
        <v>2.6341011913643131E-2</v>
      </c>
      <c r="N51" s="77"/>
      <c r="O51" s="68">
        <f>C51-AVERAGE(C$21:C$97)+Forecast!$G$6</f>
        <v>5.8936240997083181E-2</v>
      </c>
      <c r="P51" s="68">
        <f>D51-AVERAGE(D$21:D$97)+Forecast!$G$7</f>
        <v>0.21559336642530785</v>
      </c>
      <c r="Q51" s="68">
        <f>E51-AVERAGE(E$21:E$97)+Forecast!$G$8</f>
        <v>0.15054638837764717</v>
      </c>
      <c r="R51" s="68">
        <f>F51-AVERAGE(F$21:F$97)+Forecast!$G$9</f>
        <v>0.21412662043158304</v>
      </c>
      <c r="S51" s="68">
        <f>G51-AVERAGE(G$21:G$97)+Forecast!$G$10</f>
        <v>1.893060751169133E-2</v>
      </c>
      <c r="T51" s="68">
        <f>H51-AVERAGE(H$21:H$97)+Forecast!$G$11</f>
        <v>6.4676837474860999E-2</v>
      </c>
      <c r="U51" s="68">
        <f>I51-AVERAGE(I$21:I$97)+Forecast!$G$12</f>
        <v>3.4173207954664997E-2</v>
      </c>
      <c r="V51" s="68">
        <f>J51-AVERAGE(J$21:J$97)+Forecast!$G$13</f>
        <v>0.21937439277939075</v>
      </c>
      <c r="W51" s="68">
        <f>K51-AVERAGE(K$21:K$97)+Forecast!$G$14</f>
        <v>6.576106433426708E-2</v>
      </c>
      <c r="X51" s="68">
        <f>L51-AVERAGE(L$21:L$97)+Forecast!$G$15</f>
        <v>8.3796096902146955E-2</v>
      </c>
      <c r="Y51" s="68">
        <f>M51-AVERAGE(M$21:M$97)+Forecast!$G$16</f>
        <v>3.9710514750621338E-2</v>
      </c>
      <c r="Z51" s="68">
        <f>SUMPRODUCT($O51:$Y51,Risk!$B$56:$L$56)</f>
        <v>0.10745341516190848</v>
      </c>
      <c r="AA51" s="68">
        <f>SUMPRODUCT($O51:$Y51,Risk!$B$57:$L$57)</f>
        <v>0.11681604042743565</v>
      </c>
      <c r="AB51" s="314">
        <f>SUMPRODUCT($O51:$Y51,Risk!$B$58:$L$58)</f>
        <v>0.12328313464468783</v>
      </c>
    </row>
    <row r="52" spans="1:28" x14ac:dyDescent="0.2">
      <c r="A52" s="312">
        <v>32</v>
      </c>
      <c r="B52" s="313">
        <f>'Quarterly returns'!A40</f>
        <v>42004</v>
      </c>
      <c r="C52" s="68">
        <f>(1+'Quarterly returns'!N37)*(1+'Quarterly returns'!N38)*(1+'Quarterly returns'!N39)*(1+'Quarterly returns'!N40)-1</f>
        <v>5.0220547318950093E-2</v>
      </c>
      <c r="D52" s="68">
        <f>(1+'Quarterly returns'!O37)*(1+'Quarterly returns'!O38)*(1+'Quarterly returns'!O39)*(1+'Quarterly returns'!O40)-1</f>
        <v>0.20696027174282805</v>
      </c>
      <c r="E52" s="68">
        <f>(1+'Quarterly returns'!P37)*(1+'Quarterly returns'!P38)*(1+'Quarterly returns'!P39)*(1+'Quarterly returns'!P40)-1</f>
        <v>0.15413137381198694</v>
      </c>
      <c r="F52" s="68">
        <f>(1+'Quarterly returns'!Q37)*(1+'Quarterly returns'!Q38)*(1+'Quarterly returns'!Q39)*(1+'Quarterly returns'!Q40)-1</f>
        <v>0.39047306192756537</v>
      </c>
      <c r="G52" s="68">
        <f>(1+'Quarterly returns'!R37)*(1+'Quarterly returns'!R38)*(1+'Quarterly returns'!R39)*(1+'Quarterly returns'!R40)-1</f>
        <v>-0.26819823996559722</v>
      </c>
      <c r="H52" s="68">
        <f>(1+'Quarterly returns'!S37)*(1+'Quarterly returns'!S38)*(1+'Quarterly returns'!S39)*(1+'Quarterly returns'!S40)-1</f>
        <v>4.1189070753513635E-2</v>
      </c>
      <c r="I52" s="68">
        <f>(1+'Quarterly returns'!T37)*(1+'Quarterly returns'!T38)*(1+'Quarterly returns'!T39)*(1+'Quarterly returns'!T40)-1</f>
        <v>7.7567091988849368E-2</v>
      </c>
      <c r="J52" s="68">
        <f>(1+'Quarterly returns'!U37)*(1+'Quarterly returns'!U38)*(1+'Quarterly returns'!U39)*(1+'Quarterly returns'!U40)-1</f>
        <v>0.20809787436885041</v>
      </c>
      <c r="K52" s="68">
        <f>(1+'Quarterly returns'!V37)*(1+'Quarterly returns'!V38)*(1+'Quarterly returns'!V39)*(1+'Quarterly returns'!V40)-1</f>
        <v>9.8097655525246852E-2</v>
      </c>
      <c r="L52" s="68">
        <f>(1+'Quarterly returns'!W37)*(1+'Quarterly returns'!W38)*(1+'Quarterly returns'!W39)*(1+'Quarterly returns'!W40)-1</f>
        <v>0.10371072728204589</v>
      </c>
      <c r="M52" s="68">
        <f>(1+'Quarterly returns'!X37)*(1+'Quarterly returns'!X38)*(1+'Quarterly returns'!X39)*(1+'Quarterly returns'!X40)-1</f>
        <v>2.6924144793128324E-2</v>
      </c>
      <c r="N52" s="77"/>
      <c r="O52" s="68">
        <f>C52-AVERAGE(C$21:C$97)+Forecast!$G$6</f>
        <v>5.0286098903367896E-2</v>
      </c>
      <c r="P52" s="68">
        <f>D52-AVERAGE(D$21:D$97)+Forecast!$G$7</f>
        <v>0.18369773967816411</v>
      </c>
      <c r="Q52" s="68">
        <f>E52-AVERAGE(E$21:E$97)+Forecast!$G$8</f>
        <v>0.14380879800627583</v>
      </c>
      <c r="R52" s="68">
        <f>F52-AVERAGE(F$21:F$97)+Forecast!$G$9</f>
        <v>0.39121850021069249</v>
      </c>
      <c r="S52" s="68">
        <f>G52-AVERAGE(G$21:G$97)+Forecast!$G$10</f>
        <v>-0.23490942685733257</v>
      </c>
      <c r="T52" s="68">
        <f>H52-AVERAGE(H$21:H$97)+Forecast!$G$11</f>
        <v>3.2625500762956811E-2</v>
      </c>
      <c r="U52" s="68">
        <f>I52-AVERAGE(I$21:I$97)+Forecast!$G$12</f>
        <v>3.1212441918378075E-2</v>
      </c>
      <c r="V52" s="68">
        <f>J52-AVERAGE(J$21:J$97)+Forecast!$G$13</f>
        <v>0.1434291437266455</v>
      </c>
      <c r="W52" s="68">
        <f>K52-AVERAGE(K$21:K$97)+Forecast!$G$14</f>
        <v>0.10367849351339618</v>
      </c>
      <c r="X52" s="68">
        <f>L52-AVERAGE(L$21:L$97)+Forecast!$G$15</f>
        <v>0.10638315611832239</v>
      </c>
      <c r="Y52" s="68">
        <f>M52-AVERAGE(M$21:M$97)+Forecast!$G$16</f>
        <v>4.0293647630106531E-2</v>
      </c>
      <c r="Z52" s="68">
        <f>SUMPRODUCT($O52:$Y52,Risk!$B$56:$L$56)</f>
        <v>0.12285881936863191</v>
      </c>
      <c r="AA52" s="68">
        <f>SUMPRODUCT($O52:$Y52,Risk!$B$57:$L$57)</f>
        <v>0.11795682096768413</v>
      </c>
      <c r="AB52" s="314">
        <f>SUMPRODUCT($O52:$Y52,Risk!$B$58:$L$58)</f>
        <v>0.12150619506441997</v>
      </c>
    </row>
    <row r="53" spans="1:28" x14ac:dyDescent="0.2">
      <c r="A53" s="312">
        <v>33</v>
      </c>
      <c r="B53" s="313">
        <f>'Quarterly returns'!A41</f>
        <v>42094</v>
      </c>
      <c r="C53" s="68">
        <f>(1+'Quarterly returns'!N38)*(1+'Quarterly returns'!N39)*(1+'Quarterly returns'!N40)*(1+'Quarterly returns'!N41)-1</f>
        <v>0.13246071774232449</v>
      </c>
      <c r="D53" s="68">
        <f>(1+'Quarterly returns'!O38)*(1+'Quarterly returns'!O39)*(1+'Quarterly returns'!O40)*(1+'Quarterly returns'!O41)-1</f>
        <v>0.3904358147773701</v>
      </c>
      <c r="E53" s="68">
        <f>(1+'Quarterly returns'!P38)*(1+'Quarterly returns'!P39)*(1+'Quarterly returns'!P40)*(1+'Quarterly returns'!P41)-1</f>
        <v>0.35043781199282997</v>
      </c>
      <c r="F53" s="68">
        <f>(1+'Quarterly returns'!Q38)*(1+'Quarterly returns'!Q39)*(1+'Quarterly returns'!Q40)*(1+'Quarterly returns'!Q41)-1</f>
        <v>0.52965860389799735</v>
      </c>
      <c r="G53" s="68">
        <f>(1+'Quarterly returns'!R38)*(1+'Quarterly returns'!R39)*(1+'Quarterly returns'!R40)*(1+'Quarterly returns'!R41)-1</f>
        <v>-0.27591543098329829</v>
      </c>
      <c r="H53" s="68">
        <f>(1+'Quarterly returns'!S38)*(1+'Quarterly returns'!S39)*(1+'Quarterly returns'!S40)*(1+'Quarterly returns'!S41)-1</f>
        <v>8.4762161453167284E-2</v>
      </c>
      <c r="I53" s="68">
        <f>(1+'Quarterly returns'!T38)*(1+'Quarterly returns'!T39)*(1+'Quarterly returns'!T40)*(1+'Quarterly returns'!T41)-1</f>
        <v>6.7818630353942311E-2</v>
      </c>
      <c r="J53" s="68">
        <f>(1+'Quarterly returns'!U38)*(1+'Quarterly returns'!U39)*(1+'Quarterly returns'!U40)*(1+'Quarterly returns'!U41)-1</f>
        <v>0.27872521583018584</v>
      </c>
      <c r="K53" s="68">
        <f>(1+'Quarterly returns'!V38)*(1+'Quarterly returns'!V39)*(1+'Quarterly returns'!V40)*(1+'Quarterly returns'!V41)-1</f>
        <v>0.11126992567996941</v>
      </c>
      <c r="L53" s="68">
        <f>(1+'Quarterly returns'!W38)*(1+'Quarterly returns'!W39)*(1+'Quarterly returns'!W40)*(1+'Quarterly returns'!W41)-1</f>
        <v>0.10250970310374474</v>
      </c>
      <c r="M53" s="68">
        <f>(1+'Quarterly returns'!X38)*(1+'Quarterly returns'!X39)*(1+'Quarterly returns'!X40)*(1+'Quarterly returns'!X41)-1</f>
        <v>2.7171558928716033E-2</v>
      </c>
      <c r="N53" s="77"/>
      <c r="O53" s="68">
        <f>C53-AVERAGE(C$21:C$97)+Forecast!$G$6</f>
        <v>0.13252626932674227</v>
      </c>
      <c r="P53" s="68">
        <f>D53-AVERAGE(D$21:D$97)+Forecast!$G$7</f>
        <v>0.36717328271270616</v>
      </c>
      <c r="Q53" s="68">
        <f>E53-AVERAGE(E$21:E$97)+Forecast!$G$8</f>
        <v>0.34011523618711892</v>
      </c>
      <c r="R53" s="68">
        <f>F53-AVERAGE(F$21:F$97)+Forecast!$G$9</f>
        <v>0.53040404218112447</v>
      </c>
      <c r="S53" s="68">
        <f>G53-AVERAGE(G$21:G$97)+Forecast!$G$10</f>
        <v>-0.24262661787503365</v>
      </c>
      <c r="T53" s="68">
        <f>H53-AVERAGE(H$21:H$97)+Forecast!$G$11</f>
        <v>7.619859146261046E-2</v>
      </c>
      <c r="U53" s="68">
        <f>I53-AVERAGE(I$21:I$97)+Forecast!$G$12</f>
        <v>2.1463980283471018E-2</v>
      </c>
      <c r="V53" s="68">
        <f>J53-AVERAGE(J$21:J$97)+Forecast!$G$13</f>
        <v>0.21405648518798093</v>
      </c>
      <c r="W53" s="68">
        <f>K53-AVERAGE(K$21:K$97)+Forecast!$G$14</f>
        <v>0.11685076366811872</v>
      </c>
      <c r="X53" s="68">
        <f>L53-AVERAGE(L$21:L$97)+Forecast!$G$15</f>
        <v>0.10518213194002124</v>
      </c>
      <c r="Y53" s="68">
        <f>M53-AVERAGE(M$21:M$97)+Forecast!$G$16</f>
        <v>4.054106176569424E-2</v>
      </c>
      <c r="Z53" s="68">
        <f>SUMPRODUCT($O53:$Y53,Risk!$B$56:$L$56)</f>
        <v>0.20826562792036873</v>
      </c>
      <c r="AA53" s="68">
        <f>SUMPRODUCT($O53:$Y53,Risk!$B$57:$L$57)</f>
        <v>0.20375327968071055</v>
      </c>
      <c r="AB53" s="314">
        <f>SUMPRODUCT($O53:$Y53,Risk!$B$58:$L$58)</f>
        <v>0.22374780905782668</v>
      </c>
    </row>
    <row r="54" spans="1:28" x14ac:dyDescent="0.2">
      <c r="A54" s="312">
        <v>34</v>
      </c>
      <c r="B54" s="313">
        <f>'Quarterly returns'!A42</f>
        <v>42185</v>
      </c>
      <c r="C54" s="68">
        <f>(1+'Quarterly returns'!N39)*(1+'Quarterly returns'!N40)*(1+'Quarterly returns'!N41)*(1+'Quarterly returns'!N42)-1</f>
        <v>5.6716137111905374E-2</v>
      </c>
      <c r="D54" s="68">
        <f>(1+'Quarterly returns'!O39)*(1+'Quarterly returns'!O40)*(1+'Quarterly returns'!O41)*(1+'Quarterly returns'!O42)-1</f>
        <v>0.33840453531739323</v>
      </c>
      <c r="E54" s="68">
        <f>(1+'Quarterly returns'!P39)*(1+'Quarterly returns'!P40)*(1+'Quarterly returns'!P41)*(1+'Quarterly returns'!P42)-1</f>
        <v>0.30939840700841548</v>
      </c>
      <c r="F54" s="68">
        <f>(1+'Quarterly returns'!Q39)*(1+'Quarterly returns'!Q40)*(1+'Quarterly returns'!Q41)*(1+'Quarterly returns'!Q42)-1</f>
        <v>0.32072431087006859</v>
      </c>
      <c r="G54" s="68">
        <f>(1+'Quarterly returns'!R39)*(1+'Quarterly returns'!R40)*(1+'Quarterly returns'!R41)*(1+'Quarterly returns'!R42)-1</f>
        <v>-0.22402541414031651</v>
      </c>
      <c r="H54" s="68">
        <f>(1+'Quarterly returns'!S39)*(1+'Quarterly returns'!S40)*(1+'Quarterly returns'!S41)*(1+'Quarterly returns'!S42)-1</f>
        <v>0.16424803936565802</v>
      </c>
      <c r="I54" s="68">
        <f>(1+'Quarterly returns'!T39)*(1+'Quarterly returns'!T40)*(1+'Quarterly returns'!T41)*(1+'Quarterly returns'!T42)-1</f>
        <v>8.5320351092911917E-2</v>
      </c>
      <c r="J54" s="68">
        <f>(1+'Quarterly returns'!U39)*(1+'Quarterly returns'!U40)*(1+'Quarterly returns'!U41)*(1+'Quarterly returns'!U42)-1</f>
        <v>0.21918840324059552</v>
      </c>
      <c r="K54" s="68">
        <f>(1+'Quarterly returns'!V39)*(1+'Quarterly returns'!V40)*(1+'Quarterly returns'!V41)*(1+'Quarterly returns'!V42)-1</f>
        <v>5.6276304832918678E-2</v>
      </c>
      <c r="L54" s="68">
        <f>(1+'Quarterly returns'!W39)*(1+'Quarterly returns'!W40)*(1+'Quarterly returns'!W41)*(1+'Quarterly returns'!W42)-1</f>
        <v>5.6161468782296664E-2</v>
      </c>
      <c r="M54" s="68">
        <f>(1+'Quarterly returns'!X39)*(1+'Quarterly returns'!X40)*(1+'Quarterly returns'!X41)*(1+'Quarterly returns'!X42)-1</f>
        <v>2.6038941231031121E-2</v>
      </c>
      <c r="N54" s="77"/>
      <c r="O54" s="68">
        <f>C54-AVERAGE(C$21:C$97)+Forecast!$G$6</f>
        <v>5.6781688696323177E-2</v>
      </c>
      <c r="P54" s="68">
        <f>D54-AVERAGE(D$21:D$97)+Forecast!$G$7</f>
        <v>0.31514200325272929</v>
      </c>
      <c r="Q54" s="68">
        <f>E54-AVERAGE(E$21:E$97)+Forecast!$G$8</f>
        <v>0.29907583120270437</v>
      </c>
      <c r="R54" s="68">
        <f>F54-AVERAGE(F$21:F$97)+Forecast!$G$9</f>
        <v>0.32146974915319571</v>
      </c>
      <c r="S54" s="68">
        <f>G54-AVERAGE(G$21:G$97)+Forecast!$G$10</f>
        <v>-0.19073660103205187</v>
      </c>
      <c r="T54" s="68">
        <f>H54-AVERAGE(H$21:H$97)+Forecast!$G$11</f>
        <v>0.15568446937510119</v>
      </c>
      <c r="U54" s="68">
        <f>I54-AVERAGE(I$21:I$97)+Forecast!$G$12</f>
        <v>3.8965701022440624E-2</v>
      </c>
      <c r="V54" s="68">
        <f>J54-AVERAGE(J$21:J$97)+Forecast!$G$13</f>
        <v>0.15451967259839061</v>
      </c>
      <c r="W54" s="68">
        <f>K54-AVERAGE(K$21:K$97)+Forecast!$G$14</f>
        <v>6.1857142821068009E-2</v>
      </c>
      <c r="X54" s="68">
        <f>L54-AVERAGE(L$21:L$97)+Forecast!$G$15</f>
        <v>5.8833897618573168E-2</v>
      </c>
      <c r="Y54" s="68">
        <f>M54-AVERAGE(M$21:M$97)+Forecast!$G$16</f>
        <v>3.9408444068009328E-2</v>
      </c>
      <c r="Z54" s="68">
        <f>SUMPRODUCT($O54:$Y54,Risk!$B$56:$L$56)</f>
        <v>0.13463192536180138</v>
      </c>
      <c r="AA54" s="68">
        <f>SUMPRODUCT($O54:$Y54,Risk!$B$57:$L$57)</f>
        <v>0.14739269504331245</v>
      </c>
      <c r="AB54" s="314">
        <f>SUMPRODUCT($O54:$Y54,Risk!$B$58:$L$58)</f>
        <v>0.164948692720642</v>
      </c>
    </row>
    <row r="55" spans="1:28" x14ac:dyDescent="0.2">
      <c r="A55" s="312">
        <v>35</v>
      </c>
      <c r="B55" s="313">
        <f>'Quarterly returns'!A43</f>
        <v>42277</v>
      </c>
      <c r="C55" s="68">
        <f>(1+'Quarterly returns'!N40)*(1+'Quarterly returns'!N41)*(1+'Quarterly returns'!N42)*(1+'Quarterly returns'!N43)-1</f>
        <v>-1.565608676327046E-3</v>
      </c>
      <c r="D55" s="68">
        <f>(1+'Quarterly returns'!O40)*(1+'Quarterly returns'!O41)*(1+'Quarterly returns'!O42)*(1+'Quarterly returns'!O43)-1</f>
        <v>0.24317793761952222</v>
      </c>
      <c r="E55" s="68">
        <f>(1+'Quarterly returns'!P40)*(1+'Quarterly returns'!P41)*(1+'Quarterly returns'!P42)*(1+'Quarterly returns'!P43)-1</f>
        <v>0.16148454745227192</v>
      </c>
      <c r="F55" s="68">
        <f>(1+'Quarterly returns'!Q40)*(1+'Quarterly returns'!Q41)*(1+'Quarterly returns'!Q42)*(1+'Quarterly returns'!Q43)-1</f>
        <v>0.37513797344638755</v>
      </c>
      <c r="G55" s="68">
        <f>(1+'Quarterly returns'!R40)*(1+'Quarterly returns'!R41)*(1+'Quarterly returns'!R42)*(1+'Quarterly returns'!R43)-1</f>
        <v>-0.27409008354868847</v>
      </c>
      <c r="H55" s="68">
        <f>(1+'Quarterly returns'!S40)*(1+'Quarterly returns'!S41)*(1+'Quarterly returns'!S42)*(1+'Quarterly returns'!S43)-1</f>
        <v>0.13258322035847891</v>
      </c>
      <c r="I55" s="68">
        <f>(1+'Quarterly returns'!T40)*(1+'Quarterly returns'!T41)*(1+'Quarterly returns'!T42)*(1+'Quarterly returns'!T43)-1</f>
        <v>6.3272507544244405E-2</v>
      </c>
      <c r="J55" s="68">
        <f>(1+'Quarterly returns'!U40)*(1+'Quarterly returns'!U41)*(1+'Quarterly returns'!U42)*(1+'Quarterly returns'!U43)-1</f>
        <v>0.18241628975802326</v>
      </c>
      <c r="K55" s="68">
        <f>(1+'Quarterly returns'!V40)*(1+'Quarterly returns'!V41)*(1+'Quarterly returns'!V42)*(1+'Quarterly returns'!V43)-1</f>
        <v>6.9135756330000353E-2</v>
      </c>
      <c r="L55" s="68">
        <f>(1+'Quarterly returns'!W40)*(1+'Quarterly returns'!W41)*(1+'Quarterly returns'!W42)*(1+'Quarterly returns'!W43)-1</f>
        <v>5.7164360977707496E-2</v>
      </c>
      <c r="M55" s="68">
        <f>(1+'Quarterly returns'!X40)*(1+'Quarterly returns'!X41)*(1+'Quarterly returns'!X42)*(1+'Quarterly returns'!X43)-1</f>
        <v>2.4898668210770358E-2</v>
      </c>
      <c r="N55" s="77"/>
      <c r="O55" s="68">
        <f>C55-AVERAGE(C$21:C$97)+Forecast!$G$6</f>
        <v>-1.5000570919092432E-3</v>
      </c>
      <c r="P55" s="68">
        <f>D55-AVERAGE(D$21:D$97)+Forecast!$G$7</f>
        <v>0.21991540555485828</v>
      </c>
      <c r="Q55" s="68">
        <f>E55-AVERAGE(E$21:E$97)+Forecast!$G$8</f>
        <v>0.15116197164656081</v>
      </c>
      <c r="R55" s="68">
        <f>F55-AVERAGE(F$21:F$97)+Forecast!$G$9</f>
        <v>0.37588341172951467</v>
      </c>
      <c r="S55" s="68">
        <f>G55-AVERAGE(G$21:G$97)+Forecast!$G$10</f>
        <v>-0.24080127044042382</v>
      </c>
      <c r="T55" s="68">
        <f>H55-AVERAGE(H$21:H$97)+Forecast!$G$11</f>
        <v>0.12401965036792209</v>
      </c>
      <c r="U55" s="68">
        <f>I55-AVERAGE(I$21:I$97)+Forecast!$G$12</f>
        <v>1.6917857473773112E-2</v>
      </c>
      <c r="V55" s="68">
        <f>J55-AVERAGE(J$21:J$97)+Forecast!$G$13</f>
        <v>0.11774755911581834</v>
      </c>
      <c r="W55" s="68">
        <f>K55-AVERAGE(K$21:K$97)+Forecast!$G$14</f>
        <v>7.4716594318149684E-2</v>
      </c>
      <c r="X55" s="68">
        <f>L55-AVERAGE(L$21:L$97)+Forecast!$G$15</f>
        <v>5.9836789813984E-2</v>
      </c>
      <c r="Y55" s="68">
        <f>M55-AVERAGE(M$21:M$97)+Forecast!$G$16</f>
        <v>3.8268171047748566E-2</v>
      </c>
      <c r="Z55" s="68">
        <f>SUMPRODUCT($O55:$Y55,Risk!$B$56:$L$56)</f>
        <v>9.9644603753342983E-2</v>
      </c>
      <c r="AA55" s="68">
        <f>SUMPRODUCT($O55:$Y55,Risk!$B$57:$L$57)</f>
        <v>0.10686671585343857</v>
      </c>
      <c r="AB55" s="314">
        <f>SUMPRODUCT($O55:$Y55,Risk!$B$58:$L$58)</f>
        <v>0.11418430978294773</v>
      </c>
    </row>
    <row r="56" spans="1:28" x14ac:dyDescent="0.2">
      <c r="A56" s="312">
        <v>36</v>
      </c>
      <c r="B56" s="313">
        <f>'Quarterly returns'!A44</f>
        <v>42369</v>
      </c>
      <c r="C56" s="68">
        <f>(1+'Quarterly returns'!N41)*(1+'Quarterly returns'!N42)*(1+'Quarterly returns'!N43)*(1+'Quarterly returns'!N44)-1</f>
        <v>3.7815470112795957E-2</v>
      </c>
      <c r="D56" s="68">
        <f>(1+'Quarterly returns'!O41)*(1+'Quarterly returns'!O42)*(1+'Quarterly returns'!O43)*(1+'Quarterly returns'!O44)-1</f>
        <v>0.15455764843957942</v>
      </c>
      <c r="E56" s="68">
        <f>(1+'Quarterly returns'!P41)*(1+'Quarterly returns'!P42)*(1+'Quarterly returns'!P43)*(1+'Quarterly returns'!P44)-1</f>
        <v>6.4014874075031925E-2</v>
      </c>
      <c r="F56" s="68">
        <f>(1+'Quarterly returns'!Q41)*(1+'Quarterly returns'!Q42)*(1+'Quarterly returns'!Q43)*(1+'Quarterly returns'!Q44)-1</f>
        <v>0.16736079225617218</v>
      </c>
      <c r="G56" s="68">
        <f>(1+'Quarterly returns'!R41)*(1+'Quarterly returns'!R42)*(1+'Quarterly returns'!R43)*(1+'Quarterly returns'!R44)-1</f>
        <v>-0.24476780947218912</v>
      </c>
      <c r="H56" s="68">
        <f>(1+'Quarterly returns'!S41)*(1+'Quarterly returns'!S42)*(1+'Quarterly returns'!S43)*(1+'Quarterly returns'!S44)-1</f>
        <v>5.6842380805972148E-2</v>
      </c>
      <c r="I56" s="68">
        <f>(1+'Quarterly returns'!T41)*(1+'Quarterly returns'!T42)*(1+'Quarterly returns'!T43)*(1+'Quarterly returns'!T44)-1</f>
        <v>7.4259029858716463E-2</v>
      </c>
      <c r="J56" s="68">
        <f>(1+'Quarterly returns'!U41)*(1+'Quarterly returns'!U42)*(1+'Quarterly returns'!U43)*(1+'Quarterly returns'!U44)-1</f>
        <v>0.18929083900193988</v>
      </c>
      <c r="K56" s="68">
        <f>(1+'Quarterly returns'!V41)*(1+'Quarterly returns'!V42)*(1+'Quarterly returns'!V43)*(1+'Quarterly returns'!V44)-1</f>
        <v>2.5863174305308156E-2</v>
      </c>
      <c r="L56" s="68">
        <f>(1+'Quarterly returns'!W41)*(1+'Quarterly returns'!W42)*(1+'Quarterly returns'!W43)*(1+'Quarterly returns'!W44)-1</f>
        <v>3.3469548863451326E-2</v>
      </c>
      <c r="M56" s="68">
        <f>(1+'Quarterly returns'!X41)*(1+'Quarterly returns'!X42)*(1+'Quarterly returns'!X43)*(1+'Quarterly returns'!X44)-1</f>
        <v>2.3310268556216984E-2</v>
      </c>
      <c r="N56" s="77"/>
      <c r="O56" s="68">
        <f>C56-AVERAGE(C$21:C$97)+Forecast!$G$6</f>
        <v>3.788102169721376E-2</v>
      </c>
      <c r="P56" s="68">
        <f>D56-AVERAGE(D$21:D$97)+Forecast!$G$7</f>
        <v>0.13129511637491548</v>
      </c>
      <c r="Q56" s="68">
        <f>E56-AVERAGE(E$21:E$97)+Forecast!$G$8</f>
        <v>5.3692298269320815E-2</v>
      </c>
      <c r="R56" s="68">
        <f>F56-AVERAGE(F$21:F$97)+Forecast!$G$9</f>
        <v>0.1681062305392993</v>
      </c>
      <c r="S56" s="68">
        <f>G56-AVERAGE(G$21:G$97)+Forecast!$G$10</f>
        <v>-0.21147899636392448</v>
      </c>
      <c r="T56" s="68">
        <f>H56-AVERAGE(H$21:H$97)+Forecast!$G$11</f>
        <v>4.8278810815415324E-2</v>
      </c>
      <c r="U56" s="68">
        <f>I56-AVERAGE(I$21:I$97)+Forecast!$G$12</f>
        <v>2.7904379788245171E-2</v>
      </c>
      <c r="V56" s="68">
        <f>J56-AVERAGE(J$21:J$97)+Forecast!$G$13</f>
        <v>0.12462210835973496</v>
      </c>
      <c r="W56" s="68">
        <f>K56-AVERAGE(K$21:K$97)+Forecast!$G$14</f>
        <v>3.1444012293457488E-2</v>
      </c>
      <c r="X56" s="68">
        <f>L56-AVERAGE(L$21:L$97)+Forecast!$G$15</f>
        <v>3.614197769972783E-2</v>
      </c>
      <c r="Y56" s="68">
        <f>M56-AVERAGE(M$21:M$97)+Forecast!$G$16</f>
        <v>3.6679771393195192E-2</v>
      </c>
      <c r="Z56" s="68">
        <f>SUMPRODUCT($O56:$Y56,Risk!$B$56:$L$56)</f>
        <v>6.8397599065319045E-2</v>
      </c>
      <c r="AA56" s="68">
        <f>SUMPRODUCT($O56:$Y56,Risk!$B$57:$L$57)</f>
        <v>6.6597616107895399E-2</v>
      </c>
      <c r="AB56" s="314">
        <f>SUMPRODUCT($O56:$Y56,Risk!$B$58:$L$58)</f>
        <v>6.7368875674593792E-2</v>
      </c>
    </row>
    <row r="57" spans="1:28" x14ac:dyDescent="0.2">
      <c r="A57" s="312">
        <v>37</v>
      </c>
      <c r="B57" s="313">
        <f>'Quarterly returns'!A45</f>
        <v>42460</v>
      </c>
      <c r="C57" s="68">
        <f>(1+'Quarterly returns'!N42)*(1+'Quarterly returns'!N43)*(1+'Quarterly returns'!N44)*(1+'Quarterly returns'!N45)-1</f>
        <v>-8.0453089373093256E-2</v>
      </c>
      <c r="D57" s="68">
        <f>(1+'Quarterly returns'!O42)*(1+'Quarterly returns'!O43)*(1+'Quarterly returns'!O44)*(1+'Quarterly returns'!O45)-1</f>
        <v>-4.674421112677607E-2</v>
      </c>
      <c r="E57" s="68">
        <f>(1+'Quarterly returns'!P42)*(1+'Quarterly returns'!P43)*(1+'Quarterly returns'!P44)*(1+'Quarterly returns'!P45)-1</f>
        <v>-7.9976985033618275E-2</v>
      </c>
      <c r="F57" s="68">
        <f>(1+'Quarterly returns'!Q42)*(1+'Quarterly returns'!Q43)*(1+'Quarterly returns'!Q44)*(1+'Quarterly returns'!Q45)-1</f>
        <v>2.8096234188676128E-2</v>
      </c>
      <c r="G57" s="68">
        <f>(1+'Quarterly returns'!R42)*(1+'Quarterly returns'!R43)*(1+'Quarterly returns'!R44)*(1+'Quarterly returns'!R45)-1</f>
        <v>-0.29161833863518161</v>
      </c>
      <c r="H57" s="68">
        <f>(1+'Quarterly returns'!S42)*(1+'Quarterly returns'!S43)*(1+'Quarterly returns'!S44)*(1+'Quarterly returns'!S45)-1</f>
        <v>4.1579482327657624E-2</v>
      </c>
      <c r="I57" s="68">
        <f>(1+'Quarterly returns'!T42)*(1+'Quarterly returns'!T43)*(1+'Quarterly returns'!T44)*(1+'Quarterly returns'!T45)-1</f>
        <v>6.9454715935427735E-2</v>
      </c>
      <c r="J57" s="68">
        <f>(1+'Quarterly returns'!U42)*(1+'Quarterly returns'!U43)*(1+'Quarterly returns'!U44)*(1+'Quarterly returns'!U45)-1</f>
        <v>5.4146397346925834E-2</v>
      </c>
      <c r="K57" s="68">
        <f>(1+'Quarterly returns'!V42)*(1+'Quarterly returns'!V43)*(1+'Quarterly returns'!V44)*(1+'Quarterly returns'!V45)-1</f>
        <v>1.9658693508392888E-2</v>
      </c>
      <c r="L57" s="68">
        <f>(1+'Quarterly returns'!W42)*(1+'Quarterly returns'!W43)*(1+'Quarterly returns'!W44)*(1+'Quarterly returns'!W45)-1</f>
        <v>4.5074312622392254E-2</v>
      </c>
      <c r="M57" s="68">
        <f>(1+'Quarterly returns'!X42)*(1+'Quarterly returns'!X43)*(1+'Quarterly returns'!X44)*(1+'Quarterly returns'!X45)-1</f>
        <v>2.2434933192839956E-2</v>
      </c>
      <c r="N57" s="77"/>
      <c r="O57" s="68">
        <f>C57-AVERAGE(C$21:C$97)+Forecast!$G$6</f>
        <v>-8.0387537788675453E-2</v>
      </c>
      <c r="P57" s="68">
        <f>D57-AVERAGE(D$21:D$97)+Forecast!$G$7</f>
        <v>-7.0006743191439999E-2</v>
      </c>
      <c r="Q57" s="68">
        <f>E57-AVERAGE(E$21:E$97)+Forecast!$G$8</f>
        <v>-9.0299560839329385E-2</v>
      </c>
      <c r="R57" s="68">
        <f>F57-AVERAGE(F$21:F$97)+Forecast!$G$9</f>
        <v>2.8841672471803262E-2</v>
      </c>
      <c r="S57" s="68">
        <f>G57-AVERAGE(G$21:G$97)+Forecast!$G$10</f>
        <v>-0.25832952552691696</v>
      </c>
      <c r="T57" s="68">
        <f>H57-AVERAGE(H$21:H$97)+Forecast!$G$11</f>
        <v>3.30159123371008E-2</v>
      </c>
      <c r="U57" s="68">
        <f>I57-AVERAGE(I$21:I$97)+Forecast!$G$12</f>
        <v>2.3100065864956443E-2</v>
      </c>
      <c r="V57" s="68">
        <f>J57-AVERAGE(J$21:J$97)+Forecast!$G$13</f>
        <v>-1.0522333295279088E-2</v>
      </c>
      <c r="W57" s="68">
        <f>K57-AVERAGE(K$21:K$97)+Forecast!$G$14</f>
        <v>2.523953149654222E-2</v>
      </c>
      <c r="X57" s="68">
        <f>L57-AVERAGE(L$21:L$97)+Forecast!$G$15</f>
        <v>4.7746741458668758E-2</v>
      </c>
      <c r="Y57" s="68">
        <f>M57-AVERAGE(M$21:M$97)+Forecast!$G$16</f>
        <v>3.5804436029818164E-2</v>
      </c>
      <c r="Z57" s="68">
        <f>SUMPRODUCT($O57:$Y57,Risk!$B$56:$L$56)</f>
        <v>-3.3160216943315758E-2</v>
      </c>
      <c r="AA57" s="68">
        <f>SUMPRODUCT($O57:$Y57,Risk!$B$57:$L$57)</f>
        <v>-3.0867226430997076E-2</v>
      </c>
      <c r="AB57" s="314">
        <f>SUMPRODUCT($O57:$Y57,Risk!$B$58:$L$58)</f>
        <v>-4.473669787533982E-2</v>
      </c>
    </row>
    <row r="58" spans="1:28" x14ac:dyDescent="0.2">
      <c r="A58" s="312">
        <v>38</v>
      </c>
      <c r="B58" s="313">
        <f>'Quarterly returns'!A46</f>
        <v>42551</v>
      </c>
      <c r="C58" s="68">
        <f>(1+'Quarterly returns'!N43)*(1+'Quarterly returns'!N44)*(1+'Quarterly returns'!N45)*(1+'Quarterly returns'!N46)-1</f>
        <v>2.0082851517759792E-2</v>
      </c>
      <c r="D58" s="68">
        <f>(1+'Quarterly returns'!O43)*(1+'Quarterly returns'!O44)*(1+'Quarterly returns'!O45)*(1+'Quarterly returns'!O46)-1</f>
        <v>1.0744379129886239E-2</v>
      </c>
      <c r="E58" s="68">
        <f>(1+'Quarterly returns'!P43)*(1+'Quarterly returns'!P44)*(1+'Quarterly returns'!P45)*(1+'Quarterly returns'!P46)-1</f>
        <v>-4.3611030536990003E-2</v>
      </c>
      <c r="F58" s="68">
        <f>(1+'Quarterly returns'!Q43)*(1+'Quarterly returns'!Q44)*(1+'Quarterly returns'!Q45)*(1+'Quarterly returns'!Q46)-1</f>
        <v>0.21767994492328224</v>
      </c>
      <c r="G58" s="68">
        <f>(1+'Quarterly returns'!R43)*(1+'Quarterly returns'!R44)*(1+'Quarterly returns'!R45)*(1+'Quarterly returns'!R46)-1</f>
        <v>-0.23700119531987618</v>
      </c>
      <c r="H58" s="68">
        <f>(1+'Quarterly returns'!S43)*(1+'Quarterly returns'!S44)*(1+'Quarterly returns'!S45)*(1+'Quarterly returns'!S46)-1</f>
        <v>-1.334216767220342E-4</v>
      </c>
      <c r="I58" s="68">
        <f>(1+'Quarterly returns'!T43)*(1+'Quarterly returns'!T44)*(1+'Quarterly returns'!T45)*(1+'Quarterly returns'!T46)-1</f>
        <v>1.924487497681926E-2</v>
      </c>
      <c r="J58" s="68">
        <f>(1+'Quarterly returns'!U43)*(1+'Quarterly returns'!U44)*(1+'Quarterly returns'!U45)*(1+'Quarterly returns'!U46)-1</f>
        <v>0.11740706187216321</v>
      </c>
      <c r="K58" s="68">
        <f>(1+'Quarterly returns'!V43)*(1+'Quarterly returns'!V44)*(1+'Quarterly returns'!V45)*(1+'Quarterly returns'!V46)-1</f>
        <v>7.023427346696276E-2</v>
      </c>
      <c r="L58" s="68">
        <f>(1+'Quarterly returns'!W43)*(1+'Quarterly returns'!W44)*(1+'Quarterly returns'!W45)*(1+'Quarterly returns'!W46)-1</f>
        <v>9.3366642107202358E-2</v>
      </c>
      <c r="M58" s="68">
        <f>(1+'Quarterly returns'!X43)*(1+'Quarterly returns'!X44)*(1+'Quarterly returns'!X45)*(1+'Quarterly returns'!X46)-1</f>
        <v>2.2374395507383626E-2</v>
      </c>
      <c r="N58" s="77"/>
      <c r="O58" s="68">
        <f>C58-AVERAGE(C$21:C$97)+Forecast!$G$6</f>
        <v>2.0148403102177595E-2</v>
      </c>
      <c r="P58" s="68">
        <f>D58-AVERAGE(D$21:D$97)+Forecast!$G$7</f>
        <v>-1.2518152934777704E-2</v>
      </c>
      <c r="Q58" s="68">
        <f>E58-AVERAGE(E$21:E$97)+Forecast!$G$8</f>
        <v>-5.3933606342701113E-2</v>
      </c>
      <c r="R58" s="68">
        <f>F58-AVERAGE(F$21:F$97)+Forecast!$G$9</f>
        <v>0.21842538320640936</v>
      </c>
      <c r="S58" s="68">
        <f>G58-AVERAGE(G$21:G$97)+Forecast!$G$10</f>
        <v>-0.20371238221161153</v>
      </c>
      <c r="T58" s="68">
        <f>H58-AVERAGE(H$21:H$97)+Forecast!$G$11</f>
        <v>-8.6969916672788583E-3</v>
      </c>
      <c r="U58" s="68">
        <f>I58-AVERAGE(I$21:I$97)+Forecast!$G$12</f>
        <v>-2.7109775093652033E-2</v>
      </c>
      <c r="V58" s="68">
        <f>J58-AVERAGE(J$21:J$97)+Forecast!$G$13</f>
        <v>5.2738331229958288E-2</v>
      </c>
      <c r="W58" s="68">
        <f>K58-AVERAGE(K$21:K$97)+Forecast!$G$14</f>
        <v>7.5815111455112091E-2</v>
      </c>
      <c r="X58" s="68">
        <f>L58-AVERAGE(L$21:L$97)+Forecast!$G$15</f>
        <v>9.6039070943478855E-2</v>
      </c>
      <c r="Y58" s="68">
        <f>M58-AVERAGE(M$21:M$97)+Forecast!$G$16</f>
        <v>3.5743898344361834E-2</v>
      </c>
      <c r="Z58" s="68">
        <f>SUMPRODUCT($O58:$Y58,Risk!$B$56:$L$56)</f>
        <v>4.8955734252406895E-2</v>
      </c>
      <c r="AA58" s="68">
        <f>SUMPRODUCT($O58:$Y58,Risk!$B$57:$L$57)</f>
        <v>3.4215002519687607E-2</v>
      </c>
      <c r="AB58" s="314">
        <f>SUMPRODUCT($O58:$Y58,Risk!$B$58:$L$58)</f>
        <v>2.5062984917665346E-2</v>
      </c>
    </row>
    <row r="59" spans="1:28" x14ac:dyDescent="0.2">
      <c r="A59" s="312">
        <v>39</v>
      </c>
      <c r="B59" s="313">
        <f>'Quarterly returns'!A47</f>
        <v>42643</v>
      </c>
      <c r="C59" s="68">
        <f>(1+'Quarterly returns'!N44)*(1+'Quarterly returns'!N45)*(1+'Quarterly returns'!N46)*(1+'Quarterly returns'!N47)-1</f>
        <v>0.14011418219530603</v>
      </c>
      <c r="D59" s="68">
        <f>(1+'Quarterly returns'!O44)*(1+'Quarterly returns'!O45)*(1+'Quarterly returns'!O46)*(1+'Quarterly returns'!O47)-1</f>
        <v>2.0105669591184316E-2</v>
      </c>
      <c r="E59" s="68">
        <f>(1+'Quarterly returns'!P44)*(1+'Quarterly returns'!P45)*(1+'Quarterly returns'!P46)*(1+'Quarterly returns'!P47)-1</f>
        <v>4.0365070756476662E-2</v>
      </c>
      <c r="F59" s="68">
        <f>(1+'Quarterly returns'!Q44)*(1+'Quarterly returns'!Q45)*(1+'Quarterly returns'!Q46)*(1+'Quarterly returns'!Q47)-1</f>
        <v>6.8504206526821543E-2</v>
      </c>
      <c r="G59" s="68">
        <f>(1+'Quarterly returns'!R44)*(1+'Quarterly returns'!R45)*(1+'Quarterly returns'!R46)*(1+'Quarterly returns'!R47)-1</f>
        <v>-0.19441341210455998</v>
      </c>
      <c r="H59" s="68">
        <f>(1+'Quarterly returns'!S44)*(1+'Quarterly returns'!S45)*(1+'Quarterly returns'!S46)*(1+'Quarterly returns'!S47)-1</f>
        <v>3.5382488290790715E-2</v>
      </c>
      <c r="I59" s="68">
        <f>(1+'Quarterly returns'!T44)*(1+'Quarterly returns'!T45)*(1+'Quarterly returns'!T46)*(1+'Quarterly returns'!T47)-1</f>
        <v>1.4223674078965409E-2</v>
      </c>
      <c r="J59" s="68">
        <f>(1+'Quarterly returns'!U44)*(1+'Quarterly returns'!U45)*(1+'Quarterly returns'!U46)*(1+'Quarterly returns'!U47)-1</f>
        <v>0.10037459595489118</v>
      </c>
      <c r="K59" s="68">
        <f>(1+'Quarterly returns'!V44)*(1+'Quarterly returns'!V45)*(1+'Quarterly returns'!V46)*(1+'Quarterly returns'!V47)-1</f>
        <v>5.7043399258278171E-2</v>
      </c>
      <c r="L59" s="68">
        <f>(1+'Quarterly returns'!W44)*(1+'Quarterly returns'!W45)*(1+'Quarterly returns'!W46)*(1+'Quarterly returns'!W47)-1</f>
        <v>8.2147337017324462E-2</v>
      </c>
      <c r="M59" s="68">
        <f>(1+'Quarterly returns'!X44)*(1+'Quarterly returns'!X45)*(1+'Quarterly returns'!X46)*(1+'Quarterly returns'!X47)-1</f>
        <v>2.1788265282630448E-2</v>
      </c>
      <c r="N59" s="77"/>
      <c r="O59" s="68">
        <f>C59-AVERAGE(C$21:C$97)+Forecast!$G$6</f>
        <v>0.14017973377972381</v>
      </c>
      <c r="P59" s="68">
        <f>D59-AVERAGE(D$21:D$97)+Forecast!$G$7</f>
        <v>-3.1568624734796269E-3</v>
      </c>
      <c r="Q59" s="68">
        <f>E59-AVERAGE(E$21:E$97)+Forecast!$G$8</f>
        <v>3.0042494950765553E-2</v>
      </c>
      <c r="R59" s="68">
        <f>F59-AVERAGE(F$21:F$97)+Forecast!$G$9</f>
        <v>6.9249644809948677E-2</v>
      </c>
      <c r="S59" s="68">
        <f>G59-AVERAGE(G$21:G$97)+Forecast!$G$10</f>
        <v>-0.16112459899629533</v>
      </c>
      <c r="T59" s="68">
        <f>H59-AVERAGE(H$21:H$97)+Forecast!$G$11</f>
        <v>2.681891830023389E-2</v>
      </c>
      <c r="U59" s="68">
        <f>I59-AVERAGE(I$21:I$97)+Forecast!$G$12</f>
        <v>-3.2130975991505883E-2</v>
      </c>
      <c r="V59" s="68">
        <f>J59-AVERAGE(J$21:J$97)+Forecast!$G$13</f>
        <v>3.5705865312686255E-2</v>
      </c>
      <c r="W59" s="68">
        <f>K59-AVERAGE(K$21:K$97)+Forecast!$G$14</f>
        <v>6.2624237246427503E-2</v>
      </c>
      <c r="X59" s="68">
        <f>L59-AVERAGE(L$21:L$97)+Forecast!$G$15</f>
        <v>8.4819765853600959E-2</v>
      </c>
      <c r="Y59" s="68">
        <f>M59-AVERAGE(M$21:M$97)+Forecast!$G$16</f>
        <v>3.5157768119608655E-2</v>
      </c>
      <c r="Z59" s="68">
        <f>SUMPRODUCT($O59:$Y59,Risk!$B$56:$L$56)</f>
        <v>8.1005746121813271E-2</v>
      </c>
      <c r="AA59" s="68">
        <f>SUMPRODUCT($O59:$Y59,Risk!$B$57:$L$57)</f>
        <v>5.7414037553220637E-2</v>
      </c>
      <c r="AB59" s="314">
        <f>SUMPRODUCT($O59:$Y59,Risk!$B$58:$L$58)</f>
        <v>5.5649672653084646E-2</v>
      </c>
    </row>
    <row r="60" spans="1:28" x14ac:dyDescent="0.2">
      <c r="A60" s="312">
        <v>40</v>
      </c>
      <c r="B60" s="313">
        <f>'Quarterly returns'!A48</f>
        <v>42734</v>
      </c>
      <c r="C60" s="68">
        <f>(1+'Quarterly returns'!N45)*(1+'Quarterly returns'!N46)*(1+'Quarterly returns'!N47)*(1+'Quarterly returns'!N48)-1</f>
        <v>0.11646723355399624</v>
      </c>
      <c r="D60" s="68">
        <f>(1+'Quarterly returns'!O45)*(1+'Quarterly returns'!O46)*(1+'Quarterly returns'!O47)*(1+'Quarterly returns'!O48)-1</f>
        <v>0.10170398556758919</v>
      </c>
      <c r="E60" s="68">
        <f>(1+'Quarterly returns'!P45)*(1+'Quarterly returns'!P46)*(1+'Quarterly returns'!P47)*(1+'Quarterly returns'!P48)-1</f>
        <v>0.10631015262131793</v>
      </c>
      <c r="F60" s="68">
        <f>(1+'Quarterly returns'!Q45)*(1+'Quarterly returns'!Q46)*(1+'Quarterly returns'!Q47)*(1+'Quarterly returns'!Q48)-1</f>
        <v>8.2384051814082371E-2</v>
      </c>
      <c r="G60" s="68">
        <f>(1+'Quarterly returns'!R45)*(1+'Quarterly returns'!R46)*(1+'Quarterly returns'!R47)*(1+'Quarterly returns'!R48)-1</f>
        <v>0.11895858743272547</v>
      </c>
      <c r="H60" s="68">
        <f>(1+'Quarterly returns'!S45)*(1+'Quarterly returns'!S46)*(1+'Quarterly returns'!S47)*(1+'Quarterly returns'!S48)-1</f>
        <v>0.16819633705878445</v>
      </c>
      <c r="I60" s="68">
        <f>(1+'Quarterly returns'!T45)*(1+'Quarterly returns'!T46)*(1+'Quarterly returns'!T47)*(1+'Quarterly returns'!T48)-1</f>
        <v>7.8825410270901841E-3</v>
      </c>
      <c r="J60" s="68">
        <f>(1+'Quarterly returns'!U45)*(1+'Quarterly returns'!U46)*(1+'Quarterly returns'!U47)*(1+'Quarterly returns'!U48)-1</f>
        <v>6.7929704849645223E-2</v>
      </c>
      <c r="K60" s="68">
        <f>(1+'Quarterly returns'!V45)*(1+'Quarterly returns'!V46)*(1+'Quarterly returns'!V47)*(1+'Quarterly returns'!V48)-1</f>
        <v>2.9295206766141835E-2</v>
      </c>
      <c r="L60" s="68">
        <f>(1+'Quarterly returns'!W45)*(1+'Quarterly returns'!W46)*(1+'Quarterly returns'!W47)*(1+'Quarterly returns'!W48)-1</f>
        <v>5.2376405567226003E-2</v>
      </c>
      <c r="M60" s="68">
        <f>(1+'Quarterly returns'!X45)*(1+'Quarterly returns'!X46)*(1+'Quarterly returns'!X47)*(1+'Quarterly returns'!X48)-1</f>
        <v>2.0693415990690189E-2</v>
      </c>
      <c r="N60" s="77"/>
      <c r="O60" s="68">
        <f>C60-AVERAGE(C$21:C$97)+Forecast!$G$6</f>
        <v>0.11653278513841404</v>
      </c>
      <c r="P60" s="68">
        <f>D60-AVERAGE(D$21:D$97)+Forecast!$G$7</f>
        <v>7.8441453502925251E-2</v>
      </c>
      <c r="Q60" s="68">
        <f>E60-AVERAGE(E$21:E$97)+Forecast!$G$8</f>
        <v>9.5987576815606823E-2</v>
      </c>
      <c r="R60" s="68">
        <f>F60-AVERAGE(F$21:F$97)+Forecast!$G$9</f>
        <v>8.3129490097209505E-2</v>
      </c>
      <c r="S60" s="68">
        <f>G60-AVERAGE(G$21:G$97)+Forecast!$G$10</f>
        <v>0.15224740054099012</v>
      </c>
      <c r="T60" s="68">
        <f>H60-AVERAGE(H$21:H$97)+Forecast!$G$11</f>
        <v>0.15963276706822763</v>
      </c>
      <c r="U60" s="68">
        <f>I60-AVERAGE(I$21:I$97)+Forecast!$G$12</f>
        <v>-3.8472109043381109E-2</v>
      </c>
      <c r="V60" s="68">
        <f>J60-AVERAGE(J$21:J$97)+Forecast!$G$13</f>
        <v>3.2609742074403009E-3</v>
      </c>
      <c r="W60" s="68">
        <f>K60-AVERAGE(K$21:K$97)+Forecast!$G$14</f>
        <v>3.4876044754291166E-2</v>
      </c>
      <c r="X60" s="68">
        <f>L60-AVERAGE(L$21:L$97)+Forecast!$G$15</f>
        <v>5.5048834403502507E-2</v>
      </c>
      <c r="Y60" s="68">
        <f>M60-AVERAGE(M$21:M$97)+Forecast!$G$16</f>
        <v>3.4062918827668397E-2</v>
      </c>
      <c r="Z60" s="68">
        <f>SUMPRODUCT($O60:$Y60,Risk!$B$56:$L$56)</f>
        <v>8.2634071549032281E-2</v>
      </c>
      <c r="AA60" s="68">
        <f>SUMPRODUCT($O60:$Y60,Risk!$B$57:$L$57)</f>
        <v>7.8587994670547487E-2</v>
      </c>
      <c r="AB60" s="314">
        <f>SUMPRODUCT($O60:$Y60,Risk!$B$58:$L$58)</f>
        <v>8.7862516472751007E-2</v>
      </c>
    </row>
    <row r="61" spans="1:28" x14ac:dyDescent="0.2">
      <c r="A61" s="312">
        <v>41</v>
      </c>
      <c r="B61" s="313">
        <f>'Quarterly returns'!A49</f>
        <v>42825</v>
      </c>
      <c r="C61" s="68">
        <f>(1+'Quarterly returns'!N46)*(1+'Quarterly returns'!N47)*(1+'Quarterly returns'!N48)*(1+'Quarterly returns'!N49)-1</f>
        <v>0.19487746076354551</v>
      </c>
      <c r="D61" s="68">
        <f>(1+'Quarterly returns'!O46)*(1+'Quarterly returns'!O47)*(1+'Quarterly returns'!O48)*(1+'Quarterly returns'!O49)-1</f>
        <v>0.18885167196505703</v>
      </c>
      <c r="E61" s="68">
        <f>(1+'Quarterly returns'!P46)*(1+'Quarterly returns'!P47)*(1+'Quarterly returns'!P48)*(1+'Quarterly returns'!P49)-1</f>
        <v>0.16462686079863942</v>
      </c>
      <c r="F61" s="68">
        <f>(1+'Quarterly returns'!Q46)*(1+'Quarterly returns'!Q47)*(1+'Quarterly returns'!Q48)*(1+'Quarterly returns'!Q49)-1</f>
        <v>3.4688068623103696E-2</v>
      </c>
      <c r="G61" s="68">
        <f>(1+'Quarterly returns'!R46)*(1+'Quarterly returns'!R47)*(1+'Quarterly returns'!R48)*(1+'Quarterly returns'!R49)-1</f>
        <v>9.3556662190318329E-2</v>
      </c>
      <c r="H61" s="68">
        <f>(1+'Quarterly returns'!S46)*(1+'Quarterly returns'!S47)*(1+'Quarterly returns'!S48)*(1+'Quarterly returns'!S49)-1</f>
        <v>0.16017376742445344</v>
      </c>
      <c r="I61" s="68">
        <f>(1+'Quarterly returns'!T46)*(1+'Quarterly returns'!T47)*(1+'Quarterly returns'!T48)*(1+'Quarterly returns'!T49)-1</f>
        <v>2.800640541722621E-2</v>
      </c>
      <c r="J61" s="68">
        <f>(1+'Quarterly returns'!U46)*(1+'Quarterly returns'!U47)*(1+'Quarterly returns'!U48)*(1+'Quarterly returns'!U49)-1</f>
        <v>0.1397478924738822</v>
      </c>
      <c r="K61" s="68">
        <f>(1+'Quarterly returns'!V46)*(1+'Quarterly returns'!V47)*(1+'Quarterly returns'!V48)*(1+'Quarterly returns'!V49)-1</f>
        <v>2.0990658568956766E-2</v>
      </c>
      <c r="L61" s="68">
        <f>(1+'Quarterly returns'!W46)*(1+'Quarterly returns'!W47)*(1+'Quarterly returns'!W48)*(1+'Quarterly returns'!W49)-1</f>
        <v>2.1623612239372036E-2</v>
      </c>
      <c r="M61" s="68">
        <f>(1+'Quarterly returns'!X46)*(1+'Quarterly returns'!X47)*(1+'Quarterly returns'!X48)*(1+'Quarterly returns'!X49)-1</f>
        <v>1.9267856557522167E-2</v>
      </c>
      <c r="N61" s="77"/>
      <c r="O61" s="68">
        <f>C61-AVERAGE(C$21:C$97)+Forecast!$G$6</f>
        <v>0.1949430123479633</v>
      </c>
      <c r="P61" s="68">
        <f>D61-AVERAGE(D$21:D$97)+Forecast!$G$7</f>
        <v>0.16558913990039309</v>
      </c>
      <c r="Q61" s="68">
        <f>E61-AVERAGE(E$21:E$97)+Forecast!$G$8</f>
        <v>0.15430428499292831</v>
      </c>
      <c r="R61" s="68">
        <f>F61-AVERAGE(F$21:F$97)+Forecast!$G$9</f>
        <v>3.543350690623083E-2</v>
      </c>
      <c r="S61" s="68">
        <f>G61-AVERAGE(G$21:G$97)+Forecast!$G$10</f>
        <v>0.12684547529858298</v>
      </c>
      <c r="T61" s="68">
        <f>H61-AVERAGE(H$21:H$97)+Forecast!$G$11</f>
        <v>0.15161019743389662</v>
      </c>
      <c r="U61" s="68">
        <f>I61-AVERAGE(I$21:I$97)+Forecast!$G$12</f>
        <v>-1.8348244653245083E-2</v>
      </c>
      <c r="V61" s="68">
        <f>J61-AVERAGE(J$21:J$97)+Forecast!$G$13</f>
        <v>7.5079161831677274E-2</v>
      </c>
      <c r="W61" s="68">
        <f>K61-AVERAGE(K$21:K$97)+Forecast!$G$14</f>
        <v>2.6571496557106097E-2</v>
      </c>
      <c r="X61" s="68">
        <f>L61-AVERAGE(L$21:L$97)+Forecast!$G$15</f>
        <v>2.429604107564854E-2</v>
      </c>
      <c r="Y61" s="68">
        <f>M61-AVERAGE(M$21:M$97)+Forecast!$G$16</f>
        <v>3.2637359394500375E-2</v>
      </c>
      <c r="Z61" s="68">
        <f>SUMPRODUCT($O61:$Y61,Risk!$B$56:$L$56)</f>
        <v>0.12285240653711985</v>
      </c>
      <c r="AA61" s="68">
        <f>SUMPRODUCT($O61:$Y61,Risk!$B$57:$L$57)</f>
        <v>0.11477766240747983</v>
      </c>
      <c r="AB61" s="314">
        <f>SUMPRODUCT($O61:$Y61,Risk!$B$58:$L$58)</f>
        <v>0.13019890989742078</v>
      </c>
    </row>
    <row r="62" spans="1:28" x14ac:dyDescent="0.2">
      <c r="A62" s="312">
        <v>42</v>
      </c>
      <c r="B62" s="313">
        <f>'Quarterly returns'!A50</f>
        <v>42916</v>
      </c>
      <c r="C62" s="68">
        <f>(1+'Quarterly returns'!N47)*(1+'Quarterly returns'!N48)*(1+'Quarterly returns'!N49)*(1+'Quarterly returns'!N50)-1</f>
        <v>0.13119109521731742</v>
      </c>
      <c r="D62" s="68">
        <f>(1+'Quarterly returns'!O47)*(1+'Quarterly returns'!O48)*(1+'Quarterly returns'!O49)*(1+'Quarterly returns'!O50)-1</f>
        <v>0.15991993899593182</v>
      </c>
      <c r="E62" s="68">
        <f>(1+'Quarterly returns'!P47)*(1+'Quarterly returns'!P48)*(1+'Quarterly returns'!P49)*(1+'Quarterly returns'!P50)-1</f>
        <v>0.1861288626375035</v>
      </c>
      <c r="F62" s="68">
        <f>(1+'Quarterly returns'!Q47)*(1+'Quarterly returns'!Q48)*(1+'Quarterly returns'!Q49)*(1+'Quarterly returns'!Q50)-1</f>
        <v>-3.7490358850879035E-2</v>
      </c>
      <c r="G62" s="68">
        <f>(1+'Quarterly returns'!R47)*(1+'Quarterly returns'!R48)*(1+'Quarterly returns'!R49)*(1+'Quarterly returns'!R50)-1</f>
        <v>-0.11672682657087652</v>
      </c>
      <c r="H62" s="68">
        <f>(1+'Quarterly returns'!S47)*(1+'Quarterly returns'!S48)*(1+'Quarterly returns'!S49)*(1+'Quarterly returns'!S50)-1</f>
        <v>0.1108173531289609</v>
      </c>
      <c r="I62" s="68">
        <f>(1+'Quarterly returns'!T47)*(1+'Quarterly returns'!T48)*(1+'Quarterly returns'!T49)*(1+'Quarterly returns'!T50)-1</f>
        <v>6.3868821705546752E-2</v>
      </c>
      <c r="J62" s="68">
        <f>(1+'Quarterly returns'!U47)*(1+'Quarterly returns'!U48)*(1+'Quarterly returns'!U49)*(1+'Quarterly returns'!U50)-1</f>
        <v>0.11260787482423429</v>
      </c>
      <c r="K62" s="68">
        <f>(1+'Quarterly returns'!V47)*(1+'Quarterly returns'!V48)*(1+'Quarterly returns'!V49)*(1+'Quarterly returns'!V50)-1</f>
        <v>2.6108117191543379E-3</v>
      </c>
      <c r="L62" s="68">
        <f>(1+'Quarterly returns'!W47)*(1+'Quarterly returns'!W48)*(1+'Quarterly returns'!W49)*(1+'Quarterly returns'!W50)-1</f>
        <v>4.7254938709673233E-3</v>
      </c>
      <c r="M62" s="68">
        <f>(1+'Quarterly returns'!X47)*(1+'Quarterly returns'!X48)*(1+'Quarterly returns'!X49)*(1+'Quarterly returns'!X50)-1</f>
        <v>1.8149163805859736E-2</v>
      </c>
      <c r="N62" s="77"/>
      <c r="O62" s="68">
        <f>C62-AVERAGE(C$21:C$97)+Forecast!$G$6</f>
        <v>0.13125664680173521</v>
      </c>
      <c r="P62" s="68">
        <f>D62-AVERAGE(D$21:D$97)+Forecast!$G$7</f>
        <v>0.13665740693126788</v>
      </c>
      <c r="Q62" s="68">
        <f>E62-AVERAGE(E$21:E$97)+Forecast!$G$8</f>
        <v>0.17580628683179239</v>
      </c>
      <c r="R62" s="68">
        <f>F62-AVERAGE(F$21:F$97)+Forecast!$G$9</f>
        <v>-3.6744920567751901E-2</v>
      </c>
      <c r="S62" s="68">
        <f>G62-AVERAGE(G$21:G$97)+Forecast!$G$10</f>
        <v>-8.3438013462611885E-2</v>
      </c>
      <c r="T62" s="68">
        <f>H62-AVERAGE(H$21:H$97)+Forecast!$G$11</f>
        <v>0.10225378313840408</v>
      </c>
      <c r="U62" s="68">
        <f>I62-AVERAGE(I$21:I$97)+Forecast!$G$12</f>
        <v>1.7514171635075459E-2</v>
      </c>
      <c r="V62" s="68">
        <f>J62-AVERAGE(J$21:J$97)+Forecast!$G$13</f>
        <v>4.7939144182029367E-2</v>
      </c>
      <c r="W62" s="68">
        <f>K62-AVERAGE(K$21:K$97)+Forecast!$G$14</f>
        <v>8.1916497073036693E-3</v>
      </c>
      <c r="X62" s="68">
        <f>L62-AVERAGE(L$21:L$97)+Forecast!$G$15</f>
        <v>7.3979227072438272E-3</v>
      </c>
      <c r="Y62" s="68">
        <f>M62-AVERAGE(M$21:M$97)+Forecast!$G$16</f>
        <v>3.1518666642837943E-2</v>
      </c>
      <c r="Z62" s="68">
        <f>SUMPRODUCT($O62:$Y62,Risk!$B$56:$L$56)</f>
        <v>8.0186535987846197E-2</v>
      </c>
      <c r="AA62" s="68">
        <f>SUMPRODUCT($O62:$Y62,Risk!$B$57:$L$57)</f>
        <v>7.662767434743481E-2</v>
      </c>
      <c r="AB62" s="314">
        <f>SUMPRODUCT($O62:$Y62,Risk!$B$58:$L$58)</f>
        <v>8.8781667070829462E-2</v>
      </c>
    </row>
    <row r="63" spans="1:28" x14ac:dyDescent="0.2">
      <c r="A63" s="312">
        <v>43</v>
      </c>
      <c r="B63" s="313">
        <f>'Quarterly returns'!A51</f>
        <v>43007</v>
      </c>
      <c r="C63" s="68">
        <f>(1+'Quarterly returns'!N48)*(1+'Quarterly returns'!N49)*(1+'Quarterly returns'!N50)*(1+'Quarterly returns'!N51)-1</f>
        <v>8.5310664123549929E-2</v>
      </c>
      <c r="D63" s="68">
        <f>(1+'Quarterly returns'!O48)*(1+'Quarterly returns'!O49)*(1+'Quarterly returns'!O50)*(1+'Quarterly returns'!O51)-1</f>
        <v>0.15617267365129095</v>
      </c>
      <c r="E63" s="68">
        <f>(1+'Quarterly returns'!P48)*(1+'Quarterly returns'!P49)*(1+'Quarterly returns'!P50)*(1+'Quarterly returns'!P51)-1</f>
        <v>0.19178136333439433</v>
      </c>
      <c r="F63" s="68">
        <f>(1+'Quarterly returns'!Q48)*(1+'Quarterly returns'!Q49)*(1+'Quarterly returns'!Q50)*(1+'Quarterly returns'!Q51)-1</f>
        <v>-2.3048118455719302E-2</v>
      </c>
      <c r="G63" s="68">
        <f>(1+'Quarterly returns'!R48)*(1+'Quarterly returns'!R49)*(1+'Quarterly returns'!R50)*(1+'Quarterly returns'!R51)-1</f>
        <v>-7.2945025431022659E-3</v>
      </c>
      <c r="H63" s="68">
        <f>(1+'Quarterly returns'!S48)*(1+'Quarterly returns'!S49)*(1+'Quarterly returns'!S50)*(1+'Quarterly returns'!S51)-1</f>
        <v>5.7841147071029608E-2</v>
      </c>
      <c r="I63" s="68">
        <f>(1+'Quarterly returns'!T48)*(1+'Quarterly returns'!T49)*(1+'Quarterly returns'!T50)*(1+'Quarterly returns'!T51)-1</f>
        <v>8.9574214793934903E-2</v>
      </c>
      <c r="J63" s="68">
        <f>(1+'Quarterly returns'!U48)*(1+'Quarterly returns'!U49)*(1+'Quarterly returns'!U50)*(1+'Quarterly returns'!U51)-1</f>
        <v>0.11115395965112085</v>
      </c>
      <c r="K63" s="68">
        <f>(1+'Quarterly returns'!V48)*(1+'Quarterly returns'!V49)*(1+'Quarterly returns'!V50)*(1+'Quarterly returns'!V51)-1</f>
        <v>-7.4073690429785621E-3</v>
      </c>
      <c r="L63" s="68">
        <f>(1+'Quarterly returns'!W48)*(1+'Quarterly returns'!W49)*(1+'Quarterly returns'!W50)*(1+'Quarterly returns'!W51)-1</f>
        <v>5.3163993847133995E-3</v>
      </c>
      <c r="M63" s="68">
        <f>(1+'Quarterly returns'!X48)*(1+'Quarterly returns'!X49)*(1+'Quarterly returns'!X50)*(1+'Quarterly returns'!X51)-1</f>
        <v>1.7678545579060012E-2</v>
      </c>
      <c r="N63" s="77"/>
      <c r="O63" s="68">
        <f>C63-AVERAGE(C$21:C$97)+Forecast!$G$6</f>
        <v>8.5376215707967731E-2</v>
      </c>
      <c r="P63" s="68">
        <f>D63-AVERAGE(D$21:D$97)+Forecast!$G$7</f>
        <v>0.13291014158662701</v>
      </c>
      <c r="Q63" s="68">
        <f>E63-AVERAGE(E$21:E$97)+Forecast!$G$8</f>
        <v>0.18145878752868322</v>
      </c>
      <c r="R63" s="68">
        <f>F63-AVERAGE(F$21:F$97)+Forecast!$G$9</f>
        <v>-2.2302680172592168E-2</v>
      </c>
      <c r="S63" s="68">
        <f>G63-AVERAGE(G$21:G$97)+Forecast!$G$10</f>
        <v>2.5994310565162371E-2</v>
      </c>
      <c r="T63" s="68">
        <f>H63-AVERAGE(H$21:H$97)+Forecast!$G$11</f>
        <v>4.9277577080472784E-2</v>
      </c>
      <c r="U63" s="68">
        <f>I63-AVERAGE(I$21:I$97)+Forecast!$G$12</f>
        <v>4.321956472346361E-2</v>
      </c>
      <c r="V63" s="68">
        <f>J63-AVERAGE(J$21:J$97)+Forecast!$G$13</f>
        <v>4.6485229008915926E-2</v>
      </c>
      <c r="W63" s="68">
        <f>K63-AVERAGE(K$21:K$97)+Forecast!$G$14</f>
        <v>-1.8265310548292307E-3</v>
      </c>
      <c r="X63" s="68">
        <f>L63-AVERAGE(L$21:L$97)+Forecast!$G$15</f>
        <v>7.9888282209899034E-3</v>
      </c>
      <c r="Y63" s="68">
        <f>M63-AVERAGE(M$21:M$97)+Forecast!$G$16</f>
        <v>3.1048048416038219E-2</v>
      </c>
      <c r="Z63" s="68">
        <f>SUMPRODUCT($O63:$Y63,Risk!$B$56:$L$56)</f>
        <v>6.1040736571830762E-2</v>
      </c>
      <c r="AA63" s="68">
        <f>SUMPRODUCT($O63:$Y63,Risk!$B$57:$L$57)</f>
        <v>6.4354471007973674E-2</v>
      </c>
      <c r="AB63" s="314">
        <f>SUMPRODUCT($O63:$Y63,Risk!$B$58:$L$58)</f>
        <v>7.6245183363341754E-2</v>
      </c>
    </row>
    <row r="64" spans="1:28" x14ac:dyDescent="0.2">
      <c r="A64" s="312">
        <v>44</v>
      </c>
      <c r="B64" s="313">
        <f>'Quarterly returns'!A52</f>
        <v>43098</v>
      </c>
      <c r="C64" s="68">
        <f>(1+'Quarterly returns'!N49)*(1+'Quarterly returns'!N50)*(1+'Quarterly returns'!N51)*(1+'Quarterly returns'!N52)-1</f>
        <v>0.12471048000266438</v>
      </c>
      <c r="D64" s="68">
        <f>(1+'Quarterly returns'!O49)*(1+'Quarterly returns'!O50)*(1+'Quarterly returns'!O51)*(1+'Quarterly returns'!O52)-1</f>
        <v>0.10291005773840478</v>
      </c>
      <c r="E64" s="68">
        <f>(1+'Quarterly returns'!P49)*(1+'Quarterly returns'!P50)*(1+'Quarterly returns'!P51)*(1+'Quarterly returns'!P52)-1</f>
        <v>0.21274460107992699</v>
      </c>
      <c r="F64" s="68">
        <f>(1+'Quarterly returns'!Q49)*(1+'Quarterly returns'!Q50)*(1+'Quarterly returns'!Q51)*(1+'Quarterly returns'!Q52)-1</f>
        <v>-2.0944640307753115E-2</v>
      </c>
      <c r="G64" s="68">
        <f>(1+'Quarterly returns'!R49)*(1+'Quarterly returns'!R50)*(1+'Quarterly returns'!R51)*(1+'Quarterly returns'!R52)-1</f>
        <v>-2.0832266341675232E-2</v>
      </c>
      <c r="H64" s="68">
        <f>(1+'Quarterly returns'!S49)*(1+'Quarterly returns'!S50)*(1+'Quarterly returns'!S51)*(1+'Quarterly returns'!S52)-1</f>
        <v>1.990569847454271E-4</v>
      </c>
      <c r="I64" s="68">
        <f>(1+'Quarterly returns'!T49)*(1+'Quarterly returns'!T50)*(1+'Quarterly returns'!T51)*(1+'Quarterly returns'!T52)-1</f>
        <v>7.7916256349662261E-2</v>
      </c>
      <c r="J64" s="68">
        <f>(1+'Quarterly returns'!U49)*(1+'Quarterly returns'!U50)*(1+'Quarterly returns'!U51)*(1+'Quarterly returns'!U52)-1</f>
        <v>0.15869634281249878</v>
      </c>
      <c r="K64" s="68">
        <f>(1+'Quarterly returns'!V49)*(1+'Quarterly returns'!V50)*(1+'Quarterly returns'!V51)*(1+'Quarterly returns'!V52)-1</f>
        <v>3.6638332852821476E-2</v>
      </c>
      <c r="L64" s="68">
        <f>(1+'Quarterly returns'!W49)*(1+'Quarterly returns'!W50)*(1+'Quarterly returns'!W51)*(1+'Quarterly returns'!W52)-1</f>
        <v>3.6801531965039658E-2</v>
      </c>
      <c r="M64" s="68">
        <f>(1+'Quarterly returns'!X49)*(1+'Quarterly returns'!X50)*(1+'Quarterly returns'!X51)*(1+'Quarterly returns'!X52)-1</f>
        <v>1.7509287201841417E-2</v>
      </c>
      <c r="N64" s="77"/>
      <c r="O64" s="68">
        <f>C64-AVERAGE(C$21:C$97)+Forecast!$G$6</f>
        <v>0.12477603158708218</v>
      </c>
      <c r="P64" s="68">
        <f>D64-AVERAGE(D$21:D$97)+Forecast!$G$7</f>
        <v>7.9647525673740838E-2</v>
      </c>
      <c r="Q64" s="68">
        <f>E64-AVERAGE(E$21:E$97)+Forecast!$G$8</f>
        <v>0.20242202527421588</v>
      </c>
      <c r="R64" s="68">
        <f>F64-AVERAGE(F$21:F$97)+Forecast!$G$9</f>
        <v>-2.0199202024625981E-2</v>
      </c>
      <c r="S64" s="68">
        <f>G64-AVERAGE(G$21:G$97)+Forecast!$G$10</f>
        <v>1.2456546766589402E-2</v>
      </c>
      <c r="T64" s="68">
        <f>H64-AVERAGE(H$21:H$97)+Forecast!$G$11</f>
        <v>-8.364513005811397E-3</v>
      </c>
      <c r="U64" s="68">
        <f>I64-AVERAGE(I$21:I$97)+Forecast!$G$12</f>
        <v>3.1561606279190968E-2</v>
      </c>
      <c r="V64" s="68">
        <f>J64-AVERAGE(J$21:J$97)+Forecast!$G$13</f>
        <v>9.4027612170293859E-2</v>
      </c>
      <c r="W64" s="68">
        <f>K64-AVERAGE(K$21:K$97)+Forecast!$G$14</f>
        <v>4.2219170840970807E-2</v>
      </c>
      <c r="X64" s="68">
        <f>L64-AVERAGE(L$21:L$97)+Forecast!$G$15</f>
        <v>3.9473960801316162E-2</v>
      </c>
      <c r="Y64" s="68">
        <f>M64-AVERAGE(M$21:M$97)+Forecast!$G$16</f>
        <v>3.0878790038819624E-2</v>
      </c>
      <c r="Z64" s="68">
        <f>SUMPRODUCT($O64:$Y64,Risk!$B$56:$L$56)</f>
        <v>7.5472305360086728E-2</v>
      </c>
      <c r="AA64" s="68">
        <f>SUMPRODUCT($O64:$Y64,Risk!$B$57:$L$57)</f>
        <v>6.9745895820542039E-2</v>
      </c>
      <c r="AB64" s="314">
        <f>SUMPRODUCT($O64:$Y64,Risk!$B$58:$L$58)</f>
        <v>7.9049821490400685E-2</v>
      </c>
    </row>
    <row r="65" spans="1:28" x14ac:dyDescent="0.2">
      <c r="A65" s="312">
        <v>45</v>
      </c>
      <c r="B65" s="313">
        <f>'Quarterly returns'!A53</f>
        <v>43189</v>
      </c>
      <c r="C65" s="68">
        <f>(1+'Quarterly returns'!N50)*(1+'Quarterly returns'!N51)*(1+'Quarterly returns'!N52)*(1+'Quarterly returns'!N53)-1</f>
        <v>3.6478062886199814E-2</v>
      </c>
      <c r="D65" s="68">
        <f>(1+'Quarterly returns'!O50)*(1+'Quarterly returns'!O51)*(1+'Quarterly returns'!O52)*(1+'Quarterly returns'!O53)-1</f>
        <v>9.8821081239722997E-2</v>
      </c>
      <c r="E65" s="68">
        <f>(1+'Quarterly returns'!P50)*(1+'Quarterly returns'!P51)*(1+'Quarterly returns'!P52)*(1+'Quarterly returns'!P53)-1</f>
        <v>0.21771271822048344</v>
      </c>
      <c r="F65" s="68">
        <f>(1+'Quarterly returns'!Q50)*(1+'Quarterly returns'!Q51)*(1+'Quarterly returns'!Q52)*(1+'Quarterly returns'!Q53)-1</f>
        <v>-2.057904033439506E-2</v>
      </c>
      <c r="G65" s="68">
        <f>(1+'Quarterly returns'!R50)*(1+'Quarterly returns'!R51)*(1+'Quarterly returns'!R52)*(1+'Quarterly returns'!R53)-1</f>
        <v>0.1320483224301543</v>
      </c>
      <c r="H65" s="68">
        <f>(1+'Quarterly returns'!S50)*(1+'Quarterly returns'!S51)*(1+'Quarterly returns'!S52)*(1+'Quarterly returns'!S53)-1</f>
        <v>-2.323337323450414E-2</v>
      </c>
      <c r="I65" s="68">
        <f>(1+'Quarterly returns'!T50)*(1+'Quarterly returns'!T51)*(1+'Quarterly returns'!T52)*(1+'Quarterly returns'!T53)-1</f>
        <v>7.1881183830712292E-2</v>
      </c>
      <c r="J65" s="68">
        <f>(1+'Quarterly returns'!U50)*(1+'Quarterly returns'!U51)*(1+'Quarterly returns'!U52)*(1+'Quarterly returns'!U53)-1</f>
        <v>0.18522885275378465</v>
      </c>
      <c r="K65" s="68">
        <f>(1+'Quarterly returns'!V50)*(1+'Quarterly returns'!V51)*(1+'Quarterly returns'!V52)*(1+'Quarterly returns'!V53)-1</f>
        <v>3.0551243557512819E-2</v>
      </c>
      <c r="L65" s="68">
        <f>(1+'Quarterly returns'!W50)*(1+'Quarterly returns'!W51)*(1+'Quarterly returns'!W52)*(1+'Quarterly returns'!W53)-1</f>
        <v>2.8902242757210983E-2</v>
      </c>
      <c r="M65" s="68">
        <f>(1+'Quarterly returns'!X50)*(1+'Quarterly returns'!X51)*(1+'Quarterly returns'!X52)*(1+'Quarterly returns'!X53)-1</f>
        <v>2.1865040140884417E-2</v>
      </c>
      <c r="N65" s="77"/>
      <c r="O65" s="68">
        <f>C65-AVERAGE(C$21:C$97)+Forecast!$G$6</f>
        <v>3.6543614470617616E-2</v>
      </c>
      <c r="P65" s="68">
        <f>D65-AVERAGE(D$21:D$97)+Forecast!$G$7</f>
        <v>7.5558549175059053E-2</v>
      </c>
      <c r="Q65" s="68">
        <f>E65-AVERAGE(E$21:E$97)+Forecast!$G$8</f>
        <v>0.20739014241477233</v>
      </c>
      <c r="R65" s="68">
        <f>F65-AVERAGE(F$21:F$97)+Forecast!$G$9</f>
        <v>-1.9833602051267926E-2</v>
      </c>
      <c r="S65" s="68">
        <f>G65-AVERAGE(G$21:G$97)+Forecast!$G$10</f>
        <v>0.16533713553841894</v>
      </c>
      <c r="T65" s="68">
        <f>H65-AVERAGE(H$21:H$97)+Forecast!$G$11</f>
        <v>-3.1796943225060964E-2</v>
      </c>
      <c r="U65" s="68">
        <f>I65-AVERAGE(I$21:I$97)+Forecast!$G$12</f>
        <v>2.5526533760240999E-2</v>
      </c>
      <c r="V65" s="68">
        <f>J65-AVERAGE(J$21:J$97)+Forecast!$G$13</f>
        <v>0.12056012211157972</v>
      </c>
      <c r="W65" s="68">
        <f>K65-AVERAGE(K$21:K$97)+Forecast!$G$14</f>
        <v>3.6132081545662151E-2</v>
      </c>
      <c r="X65" s="68">
        <f>L65-AVERAGE(L$21:L$97)+Forecast!$G$15</f>
        <v>3.1574671593487487E-2</v>
      </c>
      <c r="Y65" s="68">
        <f>M65-AVERAGE(M$21:M$97)+Forecast!$G$16</f>
        <v>3.5234542977862625E-2</v>
      </c>
      <c r="Z65" s="68">
        <f>SUMPRODUCT($O65:$Y65,Risk!$B$56:$L$56)</f>
        <v>3.8157999385910774E-2</v>
      </c>
      <c r="AA65" s="68">
        <f>SUMPRODUCT($O65:$Y65,Risk!$B$57:$L$57)</f>
        <v>4.7791544355205141E-2</v>
      </c>
      <c r="AB65" s="314">
        <f>SUMPRODUCT($O65:$Y65,Risk!$B$58:$L$58)</f>
        <v>5.7014289883269953E-2</v>
      </c>
    </row>
    <row r="66" spans="1:28" x14ac:dyDescent="0.2">
      <c r="A66" s="312">
        <v>46</v>
      </c>
      <c r="B66" s="313">
        <f>'Quarterly returns'!A54</f>
        <v>43280</v>
      </c>
      <c r="C66" s="68">
        <f>(1+'Quarterly returns'!N51)*(1+'Quarterly returns'!N52)*(1+'Quarterly returns'!N53)*(1+'Quarterly returns'!N54)-1</f>
        <v>0.13730759517612712</v>
      </c>
      <c r="D66" s="68">
        <f>(1+'Quarterly returns'!O51)*(1+'Quarterly returns'!O52)*(1+'Quarterly returns'!O53)*(1+'Quarterly returns'!O54)-1</f>
        <v>0.15724994263799275</v>
      </c>
      <c r="E66" s="68">
        <f>(1+'Quarterly returns'!P51)*(1+'Quarterly returns'!P52)*(1+'Quarterly returns'!P53)*(1+'Quarterly returns'!P54)-1</f>
        <v>0.15101726542960381</v>
      </c>
      <c r="F66" s="68">
        <f>(1+'Quarterly returns'!Q51)*(1+'Quarterly returns'!Q52)*(1+'Quarterly returns'!Q53)*(1+'Quarterly returns'!Q54)-1</f>
        <v>9.4257158810051367E-2</v>
      </c>
      <c r="G66" s="68">
        <f>(1+'Quarterly returns'!R51)*(1+'Quarterly returns'!R52)*(1+'Quarterly returns'!R53)*(1+'Quarterly returns'!R54)-1</f>
        <v>0.35004303149794924</v>
      </c>
      <c r="H66" s="68">
        <f>(1+'Quarterly returns'!S51)*(1+'Quarterly returns'!S52)*(1+'Quarterly returns'!S53)*(1+'Quarterly returns'!S54)-1</f>
        <v>-4.4056576151590976E-2</v>
      </c>
      <c r="I66" s="68">
        <f>(1+'Quarterly returns'!T51)*(1+'Quarterly returns'!T52)*(1+'Quarterly returns'!T53)*(1+'Quarterly returns'!T54)-1</f>
        <v>8.7560890495014032E-2</v>
      </c>
      <c r="J66" s="68">
        <f>(1+'Quarterly returns'!U51)*(1+'Quarterly returns'!U52)*(1+'Quarterly returns'!U53)*(1+'Quarterly returns'!U54)-1</f>
        <v>0.17456339749743832</v>
      </c>
      <c r="K66" s="68">
        <f>(1+'Quarterly returns'!V51)*(1+'Quarterly returns'!V52)*(1+'Quarterly returns'!V53)*(1+'Quarterly returns'!V54)-1</f>
        <v>2.8486465781515147E-2</v>
      </c>
      <c r="L66" s="68">
        <f>(1+'Quarterly returns'!W51)*(1+'Quarterly returns'!W52)*(1+'Quarterly returns'!W53)*(1+'Quarterly returns'!W54)-1</f>
        <v>1.8546891210714289E-2</v>
      </c>
      <c r="M66" s="68">
        <f>(1+'Quarterly returns'!X51)*(1+'Quarterly returns'!X52)*(1+'Quarterly returns'!X53)*(1+'Quarterly returns'!X54)-1</f>
        <v>2.2273235090701116E-2</v>
      </c>
      <c r="N66" s="77"/>
      <c r="O66" s="68">
        <f>C66-AVERAGE(C$21:C$97)+Forecast!$G$6</f>
        <v>0.13737314676054491</v>
      </c>
      <c r="P66" s="68">
        <f>D66-AVERAGE(D$21:D$97)+Forecast!$G$7</f>
        <v>0.1339874105733288</v>
      </c>
      <c r="Q66" s="68">
        <f>E66-AVERAGE(E$21:E$97)+Forecast!$G$8</f>
        <v>0.1406946896238927</v>
      </c>
      <c r="R66" s="68">
        <f>F66-AVERAGE(F$21:F$97)+Forecast!$G$9</f>
        <v>9.5002597093178501E-2</v>
      </c>
      <c r="S66" s="68">
        <f>G66-AVERAGE(G$21:G$97)+Forecast!$G$10</f>
        <v>0.38333184460621389</v>
      </c>
      <c r="T66" s="68">
        <f>H66-AVERAGE(H$21:H$97)+Forecast!$G$11</f>
        <v>-5.26201461421478E-2</v>
      </c>
      <c r="U66" s="68">
        <f>I66-AVERAGE(I$21:I$97)+Forecast!$G$12</f>
        <v>4.1206240424542739E-2</v>
      </c>
      <c r="V66" s="68">
        <f>J66-AVERAGE(J$21:J$97)+Forecast!$G$13</f>
        <v>0.1098946668552334</v>
      </c>
      <c r="W66" s="68">
        <f>K66-AVERAGE(K$21:K$97)+Forecast!$G$14</f>
        <v>3.4067303769664478E-2</v>
      </c>
      <c r="X66" s="68">
        <f>L66-AVERAGE(L$21:L$97)+Forecast!$G$15</f>
        <v>2.1219320046990793E-2</v>
      </c>
      <c r="Y66" s="68">
        <f>M66-AVERAGE(M$21:M$97)+Forecast!$G$16</f>
        <v>3.5642737927679323E-2</v>
      </c>
      <c r="Z66" s="68">
        <f>SUMPRODUCT($O66:$Y66,Risk!$B$56:$L$56)</f>
        <v>0.10054963335234805</v>
      </c>
      <c r="AA66" s="68">
        <f>SUMPRODUCT($O66:$Y66,Risk!$B$57:$L$57)</f>
        <v>9.5112774387136986E-2</v>
      </c>
      <c r="AB66" s="314">
        <f>SUMPRODUCT($O66:$Y66,Risk!$B$58:$L$58)</f>
        <v>0.1081574848494075</v>
      </c>
    </row>
    <row r="67" spans="1:28" x14ac:dyDescent="0.2">
      <c r="A67" s="312">
        <v>47</v>
      </c>
      <c r="B67" s="313">
        <f>'Quarterly returns'!A55</f>
        <v>43371</v>
      </c>
      <c r="C67" s="68">
        <f>(1+'Quarterly returns'!N52)*(1+'Quarterly returns'!N53)*(1+'Quarterly returns'!N54)*(1+'Quarterly returns'!N55)-1</f>
        <v>0.14676187043453148</v>
      </c>
      <c r="D67" s="68">
        <f>(1+'Quarterly returns'!O52)*(1+'Quarterly returns'!O53)*(1+'Quarterly returns'!O54)*(1+'Quarterly returns'!O55)-1</f>
        <v>0.22443614219663166</v>
      </c>
      <c r="E67" s="68">
        <f>(1+'Quarterly returns'!P52)*(1+'Quarterly returns'!P53)*(1+'Quarterly returns'!P54)*(1+'Quarterly returns'!P55)-1</f>
        <v>0.11738692310479637</v>
      </c>
      <c r="F67" s="68">
        <f>(1+'Quarterly returns'!Q52)*(1+'Quarterly returns'!Q53)*(1+'Quarterly returns'!Q54)*(1+'Quarterly returns'!Q55)-1</f>
        <v>0.14157547576792173</v>
      </c>
      <c r="G67" s="68">
        <f>(1+'Quarterly returns'!R52)*(1+'Quarterly returns'!R53)*(1+'Quarterly returns'!R54)*(1+'Quarterly returns'!R55)-1</f>
        <v>0.33288923474128618</v>
      </c>
      <c r="H67" s="68">
        <f>(1+'Quarterly returns'!S52)*(1+'Quarterly returns'!S53)*(1+'Quarterly returns'!S54)*(1+'Quarterly returns'!S55)-1</f>
        <v>-3.2545903171962598E-2</v>
      </c>
      <c r="I67" s="68">
        <f>(1+'Quarterly returns'!T52)*(1+'Quarterly returns'!T53)*(1+'Quarterly returns'!T54)*(1+'Quarterly returns'!T55)-1</f>
        <v>6.0306776073247859E-2</v>
      </c>
      <c r="J67" s="68">
        <f>(1+'Quarterly returns'!U52)*(1+'Quarterly returns'!U53)*(1+'Quarterly returns'!U54)*(1+'Quarterly returns'!U55)-1</f>
        <v>0.18747455670362245</v>
      </c>
      <c r="K67" s="68">
        <f>(1+'Quarterly returns'!V52)*(1+'Quarterly returns'!V53)*(1+'Quarterly returns'!V54)*(1+'Quarterly returns'!V55)-1</f>
        <v>3.4818793271722104E-2</v>
      </c>
      <c r="L67" s="68">
        <f>(1+'Quarterly returns'!W52)*(1+'Quarterly returns'!W53)*(1+'Quarterly returns'!W54)*(1+'Quarterly returns'!W55)-1</f>
        <v>8.8823655284024916E-3</v>
      </c>
      <c r="M67" s="68">
        <f>(1+'Quarterly returns'!X52)*(1+'Quarterly returns'!X53)*(1+'Quarterly returns'!X54)*(1+'Quarterly returns'!X55)-1</f>
        <v>2.315448416163024E-2</v>
      </c>
      <c r="N67" s="77"/>
      <c r="O67" s="68">
        <f>C67-AVERAGE(C$21:C$97)+Forecast!$G$6</f>
        <v>0.14682742201894927</v>
      </c>
      <c r="P67" s="68">
        <f>D67-AVERAGE(D$21:D$97)+Forecast!$G$7</f>
        <v>0.20117361013196772</v>
      </c>
      <c r="Q67" s="68">
        <f>E67-AVERAGE(E$21:E$97)+Forecast!$G$8</f>
        <v>0.10706434729908526</v>
      </c>
      <c r="R67" s="68">
        <f>F67-AVERAGE(F$21:F$97)+Forecast!$G$9</f>
        <v>0.14232091405104885</v>
      </c>
      <c r="S67" s="68">
        <f>G67-AVERAGE(G$21:G$97)+Forecast!$G$10</f>
        <v>0.36617804784955083</v>
      </c>
      <c r="T67" s="68">
        <f>H67-AVERAGE(H$21:H$97)+Forecast!$G$11</f>
        <v>-4.1109473162519422E-2</v>
      </c>
      <c r="U67" s="68">
        <f>I67-AVERAGE(I$21:I$97)+Forecast!$G$12</f>
        <v>1.3952126002776566E-2</v>
      </c>
      <c r="V67" s="68">
        <f>J67-AVERAGE(J$21:J$97)+Forecast!$G$13</f>
        <v>0.12280582606141753</v>
      </c>
      <c r="W67" s="68">
        <f>K67-AVERAGE(K$21:K$97)+Forecast!$G$14</f>
        <v>4.0399631259871435E-2</v>
      </c>
      <c r="X67" s="68">
        <f>L67-AVERAGE(L$21:L$97)+Forecast!$G$15</f>
        <v>1.1554794364678996E-2</v>
      </c>
      <c r="Y67" s="68">
        <f>M67-AVERAGE(M$21:M$97)+Forecast!$G$16</f>
        <v>3.6523986998608447E-2</v>
      </c>
      <c r="Z67" s="68">
        <f>SUMPRODUCT($O67:$Y67,Risk!$B$56:$L$56)</f>
        <v>0.12273878956713577</v>
      </c>
      <c r="AA67" s="68">
        <f>SUMPRODUCT($O67:$Y67,Risk!$B$57:$L$57)</f>
        <v>0.11555643756620136</v>
      </c>
      <c r="AB67" s="314">
        <f>SUMPRODUCT($O67:$Y67,Risk!$B$58:$L$58)</f>
        <v>0.1304584020136669</v>
      </c>
    </row>
    <row r="68" spans="1:28" x14ac:dyDescent="0.2">
      <c r="A68" s="312">
        <v>48</v>
      </c>
      <c r="B68" s="313">
        <f>'Quarterly returns'!A56</f>
        <v>43465</v>
      </c>
      <c r="C68" s="68">
        <f>(1+'Quarterly returns'!N53)*(1+'Quarterly returns'!N54)*(1+'Quarterly returns'!N55)*(1+'Quarterly returns'!N56)-1</f>
        <v>-3.5326414637103287E-2</v>
      </c>
      <c r="D68" s="68">
        <f>(1+'Quarterly returns'!O53)*(1+'Quarterly returns'!O54)*(1+'Quarterly returns'!O55)*(1+'Quarterly returns'!O56)-1</f>
        <v>3.4782173959872598E-2</v>
      </c>
      <c r="E68" s="68">
        <f>(1+'Quarterly returns'!P53)*(1+'Quarterly returns'!P54)*(1+'Quarterly returns'!P55)*(1+'Quarterly returns'!P56)-1</f>
        <v>3.0181414400325401E-3</v>
      </c>
      <c r="F68" s="68">
        <f>(1+'Quarterly returns'!Q53)*(1+'Quarterly returns'!Q54)*(1+'Quarterly returns'!Q55)*(1+'Quarterly returns'!Q56)-1</f>
        <v>7.5010141346610659E-2</v>
      </c>
      <c r="G68" s="68">
        <f>(1+'Quarterly returns'!R53)*(1+'Quarterly returns'!R54)*(1+'Quarterly returns'!R55)*(1+'Quarterly returns'!R56)-1</f>
        <v>-4.2490252867209422E-2</v>
      </c>
      <c r="H68" s="68">
        <f>(1+'Quarterly returns'!S53)*(1+'Quarterly returns'!S54)*(1+'Quarterly returns'!S55)*(1+'Quarterly returns'!S56)-1</f>
        <v>-9.9014052314445822E-2</v>
      </c>
      <c r="I68" s="68">
        <f>(1+'Quarterly returns'!T53)*(1+'Quarterly returns'!T54)*(1+'Quarterly returns'!T55)*(1+'Quarterly returns'!T56)-1</f>
        <v>4.8304331830381519E-2</v>
      </c>
      <c r="J68" s="68">
        <f>(1+'Quarterly returns'!U53)*(1+'Quarterly returns'!U54)*(1+'Quarterly returns'!U55)*(1+'Quarterly returns'!U56)-1</f>
        <v>9.3296226787426662E-2</v>
      </c>
      <c r="K68" s="68">
        <f>(1+'Quarterly returns'!V53)*(1+'Quarterly returns'!V54)*(1+'Quarterly returns'!V55)*(1+'Quarterly returns'!V56)-1</f>
        <v>4.2864547681724652E-2</v>
      </c>
      <c r="L68" s="68">
        <f>(1+'Quarterly returns'!W53)*(1+'Quarterly returns'!W54)*(1+'Quarterly returns'!W55)*(1+'Quarterly returns'!W56)-1</f>
        <v>1.6496227271744379E-2</v>
      </c>
      <c r="M68" s="68">
        <f>(1+'Quarterly returns'!X53)*(1+'Quarterly returns'!X54)*(1+'Quarterly returns'!X55)*(1+'Quarterly returns'!X56)-1</f>
        <v>2.3631249802532617E-2</v>
      </c>
      <c r="N68" s="77"/>
      <c r="O68" s="68">
        <f>C68-AVERAGE(C$21:C$97)+Forecast!$G$6</f>
        <v>-3.5260863052685484E-2</v>
      </c>
      <c r="P68" s="68">
        <f>D68-AVERAGE(D$21:D$97)+Forecast!$G$7</f>
        <v>1.1519641895208654E-2</v>
      </c>
      <c r="Q68" s="68">
        <f>E68-AVERAGE(E$21:E$97)+Forecast!$G$8</f>
        <v>-7.3044343656785693E-3</v>
      </c>
      <c r="R68" s="68">
        <f>F68-AVERAGE(F$21:F$97)+Forecast!$G$9</f>
        <v>7.5755579629737793E-2</v>
      </c>
      <c r="S68" s="68">
        <f>G68-AVERAGE(G$21:G$97)+Forecast!$G$10</f>
        <v>-9.2014397589447877E-3</v>
      </c>
      <c r="T68" s="68">
        <f>H68-AVERAGE(H$21:H$97)+Forecast!$G$11</f>
        <v>-0.10757762230500266</v>
      </c>
      <c r="U68" s="68">
        <f>I68-AVERAGE(I$21:I$97)+Forecast!$G$12</f>
        <v>1.9496817599102267E-3</v>
      </c>
      <c r="V68" s="68">
        <f>J68-AVERAGE(J$21:J$97)+Forecast!$G$13</f>
        <v>2.862749614522174E-2</v>
      </c>
      <c r="W68" s="68">
        <f>K68-AVERAGE(K$21:K$97)+Forecast!$G$14</f>
        <v>4.8445385669873983E-2</v>
      </c>
      <c r="X68" s="68">
        <f>L68-AVERAGE(L$21:L$97)+Forecast!$G$15</f>
        <v>1.9168656108020883E-2</v>
      </c>
      <c r="Y68" s="68">
        <f>M68-AVERAGE(M$21:M$97)+Forecast!$G$16</f>
        <v>3.7000752639510824E-2</v>
      </c>
      <c r="Z68" s="68">
        <f>SUMPRODUCT($O68:$Y68,Risk!$B$56:$L$56)</f>
        <v>7.1654941448298414E-3</v>
      </c>
      <c r="AA68" s="68">
        <f>SUMPRODUCT($O68:$Y68,Risk!$B$57:$L$57)</f>
        <v>4.3885900063649046E-3</v>
      </c>
      <c r="AB68" s="314">
        <f>SUMPRODUCT($O68:$Y68,Risk!$B$58:$L$58)</f>
        <v>1.7200202994415335E-3</v>
      </c>
    </row>
    <row r="69" spans="1:28" x14ac:dyDescent="0.2">
      <c r="A69" s="312">
        <v>49</v>
      </c>
      <c r="B69" s="313">
        <f>'Quarterly returns'!A57</f>
        <v>43553</v>
      </c>
      <c r="C69" s="68">
        <f>(1+'Quarterly returns'!N54)*(1+'Quarterly returns'!N55)*(1+'Quarterly returns'!N56)*(1+'Quarterly returns'!N57)-1</f>
        <v>0.11248783632674919</v>
      </c>
      <c r="D69" s="68">
        <f>(1+'Quarterly returns'!O54)*(1+'Quarterly returns'!O55)*(1+'Quarterly returns'!O56)*(1+'Quarterly returns'!O57)-1</f>
        <v>0.15832505318728418</v>
      </c>
      <c r="E69" s="68">
        <f>(1+'Quarterly returns'!P54)*(1+'Quarterly returns'!P55)*(1+'Quarterly returns'!P56)*(1+'Quarterly returns'!P57)-1</f>
        <v>6.2915076930033065E-2</v>
      </c>
      <c r="F69" s="68">
        <f>(1+'Quarterly returns'!Q54)*(1+'Quarterly returns'!Q55)*(1+'Quarterly returns'!Q56)*(1+'Quarterly returns'!Q57)-1</f>
        <v>0.27492279784405227</v>
      </c>
      <c r="G69" s="68">
        <f>(1+'Quarterly returns'!R54)*(1+'Quarterly returns'!R55)*(1+'Quarterly returns'!R56)*(1+'Quarterly returns'!R57)-1</f>
        <v>4.702933266643039E-2</v>
      </c>
      <c r="H69" s="68">
        <f>(1+'Quarterly returns'!S54)*(1+'Quarterly returns'!S55)*(1+'Quarterly returns'!S56)*(1+'Quarterly returns'!S57)-1</f>
        <v>-0.1032646302986443</v>
      </c>
      <c r="I69" s="68">
        <f>(1+'Quarterly returns'!T54)*(1+'Quarterly returns'!T55)*(1+'Quarterly returns'!T56)*(1+'Quarterly returns'!T57)-1</f>
        <v>3.3494843676796338E-2</v>
      </c>
      <c r="J69" s="68">
        <f>(1+'Quarterly returns'!U54)*(1+'Quarterly returns'!U55)*(1+'Quarterly returns'!U56)*(1+'Quarterly returns'!U57)-1</f>
        <v>8.1301238962649736E-2</v>
      </c>
      <c r="K69" s="68">
        <f>(1+'Quarterly returns'!V54)*(1+'Quarterly returns'!V55)*(1+'Quarterly returns'!V56)*(1+'Quarterly returns'!V57)-1</f>
        <v>7.1931592031261316E-2</v>
      </c>
      <c r="L69" s="68">
        <f>(1+'Quarterly returns'!W54)*(1+'Quarterly returns'!W55)*(1+'Quarterly returns'!W56)*(1+'Quarterly returns'!W57)-1</f>
        <v>4.5783765681753907E-2</v>
      </c>
      <c r="M69" s="68">
        <f>(1+'Quarterly returns'!X54)*(1+'Quarterly returns'!X55)*(1+'Quarterly returns'!X56)*(1+'Quarterly returns'!X57)-1</f>
        <v>2.0082425659092573E-2</v>
      </c>
      <c r="N69" s="77"/>
      <c r="O69" s="68">
        <f>C69-AVERAGE(C$21:C$97)+Forecast!$G$6</f>
        <v>0.11255338791116699</v>
      </c>
      <c r="P69" s="68">
        <f>D69-AVERAGE(D$21:D$97)+Forecast!$G$7</f>
        <v>0.13506252112262024</v>
      </c>
      <c r="Q69" s="68">
        <f>E69-AVERAGE(E$21:E$97)+Forecast!$G$8</f>
        <v>5.2592501124321955E-2</v>
      </c>
      <c r="R69" s="68">
        <f>F69-AVERAGE(F$21:F$97)+Forecast!$G$9</f>
        <v>0.27566823612717939</v>
      </c>
      <c r="S69" s="68">
        <f>G69-AVERAGE(G$21:G$97)+Forecast!$G$10</f>
        <v>8.0318145774695024E-2</v>
      </c>
      <c r="T69" s="68">
        <f>H69-AVERAGE(H$21:H$97)+Forecast!$G$11</f>
        <v>-0.11182820028920114</v>
      </c>
      <c r="U69" s="68">
        <f>I69-AVERAGE(I$21:I$97)+Forecast!$G$12</f>
        <v>-1.2859806393674955E-2</v>
      </c>
      <c r="V69" s="68">
        <f>J69-AVERAGE(J$21:J$97)+Forecast!$G$13</f>
        <v>1.6632508320444814E-2</v>
      </c>
      <c r="W69" s="68">
        <f>K69-AVERAGE(K$21:K$97)+Forecast!$G$14</f>
        <v>7.7512430019410647E-2</v>
      </c>
      <c r="X69" s="68">
        <f>L69-AVERAGE(L$21:L$97)+Forecast!$G$15</f>
        <v>4.8456194518030411E-2</v>
      </c>
      <c r="Y69" s="68">
        <f>M69-AVERAGE(M$21:M$97)+Forecast!$G$16</f>
        <v>3.3451928496070781E-2</v>
      </c>
      <c r="Z69" s="68">
        <f>SUMPRODUCT($O69:$Y69,Risk!$B$56:$L$56)</f>
        <v>0.11744567806078776</v>
      </c>
      <c r="AA69" s="68">
        <f>SUMPRODUCT($O69:$Y69,Risk!$B$57:$L$57)</f>
        <v>9.4741517023272742E-2</v>
      </c>
      <c r="AB69" s="314">
        <f>SUMPRODUCT($O69:$Y69,Risk!$B$58:$L$58)</f>
        <v>0.10298153102326217</v>
      </c>
    </row>
    <row r="70" spans="1:28" x14ac:dyDescent="0.2">
      <c r="A70" s="312">
        <v>50</v>
      </c>
      <c r="B70" s="313">
        <f>'Quarterly returns'!A58</f>
        <v>43644</v>
      </c>
      <c r="C70" s="68">
        <f>(1+'Quarterly returns'!N55)*(1+'Quarterly returns'!N56)*(1+'Quarterly returns'!N57)*(1+'Quarterly returns'!N58)-1</f>
        <v>0.11038695300812473</v>
      </c>
      <c r="D70" s="68">
        <f>(1+'Quarterly returns'!O55)*(1+'Quarterly returns'!O56)*(1+'Quarterly returns'!O57)*(1+'Quarterly returns'!O58)-1</f>
        <v>0.12989457625934886</v>
      </c>
      <c r="E70" s="68">
        <f>(1+'Quarterly returns'!P55)*(1+'Quarterly returns'!P56)*(1+'Quarterly returns'!P57)*(1+'Quarterly returns'!P58)-1</f>
        <v>7.6450674628910642E-2</v>
      </c>
      <c r="F70" s="68">
        <f>(1+'Quarterly returns'!Q55)*(1+'Quarterly returns'!Q56)*(1+'Quarterly returns'!Q57)*(1+'Quarterly returns'!Q58)-1</f>
        <v>0.1627650427517453</v>
      </c>
      <c r="G70" s="68">
        <f>(1+'Quarterly returns'!R55)*(1+'Quarterly returns'!R56)*(1+'Quarterly returns'!R57)*(1+'Quarterly returns'!R58)-1</f>
        <v>-6.8134257701058298E-2</v>
      </c>
      <c r="H70" s="68">
        <f>(1+'Quarterly returns'!S55)*(1+'Quarterly returns'!S56)*(1+'Quarterly returns'!S57)*(1+'Quarterly returns'!S58)-1</f>
        <v>-6.5716071358694839E-2</v>
      </c>
      <c r="I70" s="68">
        <f>(1+'Quarterly returns'!T55)*(1+'Quarterly returns'!T56)*(1+'Quarterly returns'!T57)*(1+'Quarterly returns'!T58)-1</f>
        <v>8.9952973231830491E-3</v>
      </c>
      <c r="J70" s="68">
        <f>(1+'Quarterly returns'!U55)*(1+'Quarterly returns'!U56)*(1+'Quarterly returns'!U57)*(1+'Quarterly returns'!U58)-1</f>
        <v>9.9761012303799967E-2</v>
      </c>
      <c r="K70" s="68">
        <f>(1+'Quarterly returns'!V55)*(1+'Quarterly returns'!V56)*(1+'Quarterly returns'!V57)*(1+'Quarterly returns'!V58)-1</f>
        <v>9.5600990294240518E-2</v>
      </c>
      <c r="L70" s="68">
        <f>(1+'Quarterly returns'!W55)*(1+'Quarterly returns'!W56)*(1+'Quarterly returns'!W57)*(1+'Quarterly returns'!W58)-1</f>
        <v>7.2255352248314475E-2</v>
      </c>
      <c r="M70" s="68">
        <f>(1+'Quarterly returns'!X55)*(1+'Quarterly returns'!X56)*(1+'Quarterly returns'!X57)*(1+'Quarterly returns'!X58)-1</f>
        <v>1.9675085167664585E-2</v>
      </c>
      <c r="N70" s="77"/>
      <c r="O70" s="68">
        <f>C70-AVERAGE(C$21:C$97)+Forecast!$G$6</f>
        <v>0.11045250459254254</v>
      </c>
      <c r="P70" s="68">
        <f>D70-AVERAGE(D$21:D$97)+Forecast!$G$7</f>
        <v>0.10663204419468492</v>
      </c>
      <c r="Q70" s="68">
        <f>E70-AVERAGE(E$21:E$97)+Forecast!$G$8</f>
        <v>6.6128098823199533E-2</v>
      </c>
      <c r="R70" s="68">
        <f>F70-AVERAGE(F$21:F$97)+Forecast!$G$9</f>
        <v>0.16351048103487242</v>
      </c>
      <c r="S70" s="68">
        <f>G70-AVERAGE(G$21:G$97)+Forecast!$G$10</f>
        <v>-3.4845444592793665E-2</v>
      </c>
      <c r="T70" s="68">
        <f>H70-AVERAGE(H$21:H$97)+Forecast!$G$11</f>
        <v>-7.4279641349251677E-2</v>
      </c>
      <c r="U70" s="68">
        <f>I70-AVERAGE(I$21:I$97)+Forecast!$G$12</f>
        <v>-3.7359352747288244E-2</v>
      </c>
      <c r="V70" s="68">
        <f>J70-AVERAGE(J$21:J$97)+Forecast!$G$13</f>
        <v>3.5092281661595046E-2</v>
      </c>
      <c r="W70" s="68">
        <f>K70-AVERAGE(K$21:K$97)+Forecast!$G$14</f>
        <v>0.10118182828238985</v>
      </c>
      <c r="X70" s="68">
        <f>L70-AVERAGE(L$21:L$97)+Forecast!$G$15</f>
        <v>7.4927781084590972E-2</v>
      </c>
      <c r="Y70" s="68">
        <f>M70-AVERAGE(M$21:M$97)+Forecast!$G$16</f>
        <v>3.3044588004642793E-2</v>
      </c>
      <c r="Z70" s="68">
        <f>SUMPRODUCT($O70:$Y70,Risk!$B$56:$L$56)</f>
        <v>0.10534307666889198</v>
      </c>
      <c r="AA70" s="68">
        <f>SUMPRODUCT($O70:$Y70,Risk!$B$57:$L$57)</f>
        <v>8.5554339819086681E-2</v>
      </c>
      <c r="AB70" s="314">
        <f>SUMPRODUCT($O70:$Y70,Risk!$B$58:$L$58)</f>
        <v>9.0618151800610391E-2</v>
      </c>
    </row>
    <row r="71" spans="1:28" x14ac:dyDescent="0.2">
      <c r="A71" s="312">
        <v>51</v>
      </c>
      <c r="B71" s="313">
        <f>'Quarterly returns'!A59</f>
        <v>43738</v>
      </c>
      <c r="C71" s="68">
        <f>(1+'Quarterly returns'!N56)*(1+'Quarterly returns'!N57)*(1+'Quarterly returns'!N58)*(1+'Quarterly returns'!N59)-1</f>
        <v>0.1208102565911866</v>
      </c>
      <c r="D71" s="68">
        <f>(1+'Quarterly returns'!O56)*(1+'Quarterly returns'!O57)*(1+'Quarterly returns'!O58)*(1+'Quarterly returns'!O59)-1</f>
        <v>0.11033672337108347</v>
      </c>
      <c r="E71" s="68">
        <f>(1+'Quarterly returns'!P56)*(1+'Quarterly returns'!P57)*(1+'Quarterly returns'!P58)*(1+'Quarterly returns'!P59)-1</f>
        <v>7.4472372783441765E-2</v>
      </c>
      <c r="F71" s="68">
        <f>(1+'Quarterly returns'!Q56)*(1+'Quarterly returns'!Q57)*(1+'Quarterly returns'!Q58)*(1+'Quarterly returns'!Q59)-1</f>
        <v>0.25881913366624709</v>
      </c>
      <c r="G71" s="68">
        <f>(1+'Quarterly returns'!R56)*(1+'Quarterly returns'!R57)*(1+'Quarterly returns'!R58)*(1+'Quarterly returns'!R59)-1</f>
        <v>-0.10216532230642561</v>
      </c>
      <c r="H71" s="68">
        <f>(1+'Quarterly returns'!S56)*(1+'Quarterly returns'!S57)*(1+'Quarterly returns'!S58)*(1+'Quarterly returns'!S59)-1</f>
        <v>4.4264475790973812E-2</v>
      </c>
      <c r="I71" s="68">
        <f>(1+'Quarterly returns'!T56)*(1+'Quarterly returns'!T57)*(1+'Quarterly returns'!T58)*(1+'Quarterly returns'!T59)-1</f>
        <v>3.9770981746167777E-2</v>
      </c>
      <c r="J71" s="68">
        <f>(1+'Quarterly returns'!U56)*(1+'Quarterly returns'!U57)*(1+'Quarterly returns'!U58)*(1+'Quarterly returns'!U59)-1</f>
        <v>6.8048070526675053E-2</v>
      </c>
      <c r="K71" s="68">
        <f>(1+'Quarterly returns'!V56)*(1+'Quarterly returns'!V57)*(1+'Quarterly returns'!V58)*(1+'Quarterly returns'!V59)-1</f>
        <v>0.11112838144772486</v>
      </c>
      <c r="L71" s="68">
        <f>(1+'Quarterly returns'!W56)*(1+'Quarterly returns'!W57)*(1+'Quarterly returns'!W58)*(1+'Quarterly returns'!W59)-1</f>
        <v>9.8077210178688201E-2</v>
      </c>
      <c r="M71" s="68">
        <f>(1+'Quarterly returns'!X56)*(1+'Quarterly returns'!X57)*(1+'Quarterly returns'!X58)*(1+'Quarterly returns'!X59)-1</f>
        <v>1.7234019465342421E-2</v>
      </c>
      <c r="N71" s="77"/>
      <c r="O71" s="68">
        <f>C71-AVERAGE(C$21:C$97)+Forecast!$G$6</f>
        <v>0.12087580817560441</v>
      </c>
      <c r="P71" s="68">
        <f>D71-AVERAGE(D$21:D$97)+Forecast!$G$7</f>
        <v>8.7074191306419524E-2</v>
      </c>
      <c r="Q71" s="68">
        <f>E71-AVERAGE(E$21:E$97)+Forecast!$G$8</f>
        <v>6.4149796977730655E-2</v>
      </c>
      <c r="R71" s="68">
        <f>F71-AVERAGE(F$21:F$97)+Forecast!$G$9</f>
        <v>0.25956457194937421</v>
      </c>
      <c r="S71" s="68">
        <f>G71-AVERAGE(G$21:G$97)+Forecast!$G$10</f>
        <v>-6.8876509198160976E-2</v>
      </c>
      <c r="T71" s="68">
        <f>H71-AVERAGE(H$21:H$97)+Forecast!$G$11</f>
        <v>3.5700905800416988E-2</v>
      </c>
      <c r="U71" s="68">
        <f>I71-AVERAGE(I$21:I$97)+Forecast!$G$12</f>
        <v>-6.5836683243035155E-3</v>
      </c>
      <c r="V71" s="68">
        <f>J71-AVERAGE(J$21:J$97)+Forecast!$G$13</f>
        <v>3.3793398844701311E-3</v>
      </c>
      <c r="W71" s="68">
        <f>K71-AVERAGE(K$21:K$97)+Forecast!$G$14</f>
        <v>0.11670921943587417</v>
      </c>
      <c r="X71" s="68">
        <f>L71-AVERAGE(L$21:L$97)+Forecast!$G$15</f>
        <v>0.1007496390149647</v>
      </c>
      <c r="Y71" s="68">
        <f>M71-AVERAGE(M$21:M$97)+Forecast!$G$16</f>
        <v>3.0603522302320628E-2</v>
      </c>
      <c r="Z71" s="68">
        <f>SUMPRODUCT($O71:$Y71,Risk!$B$56:$L$56)</f>
        <v>0.11943021932420383</v>
      </c>
      <c r="AA71" s="68">
        <f>SUMPRODUCT($O71:$Y71,Risk!$B$57:$L$57)</f>
        <v>9.9862013837830665E-2</v>
      </c>
      <c r="AB71" s="314">
        <f>SUMPRODUCT($O71:$Y71,Risk!$B$58:$L$58)</f>
        <v>0.10296559529021647</v>
      </c>
    </row>
    <row r="72" spans="1:28" x14ac:dyDescent="0.2">
      <c r="A72" s="312">
        <v>52</v>
      </c>
      <c r="B72" s="313">
        <f>'Quarterly returns'!A60</f>
        <v>43830</v>
      </c>
      <c r="C72" s="68">
        <f>(1+'Quarterly returns'!N57)*(1+'Quarterly returns'!N58)*(1+'Quarterly returns'!N59)*(1+'Quarterly returns'!N60)-1</f>
        <v>0.24056764966064348</v>
      </c>
      <c r="D72" s="68">
        <f>(1+'Quarterly returns'!O57)*(1+'Quarterly returns'!O58)*(1+'Quarterly returns'!O59)*(1+'Quarterly returns'!O60)-1</f>
        <v>0.28256860843535425</v>
      </c>
      <c r="E72" s="68">
        <f>(1+'Quarterly returns'!P57)*(1+'Quarterly returns'!P58)*(1+'Quarterly returns'!P59)*(1+'Quarterly returns'!P60)-1</f>
        <v>0.18683127752717366</v>
      </c>
      <c r="F72" s="68">
        <f>(1+'Quarterly returns'!Q57)*(1+'Quarterly returns'!Q58)*(1+'Quarterly returns'!Q59)*(1+'Quarterly returns'!Q60)-1</f>
        <v>0.24247817738852673</v>
      </c>
      <c r="G72" s="68">
        <f>(1+'Quarterly returns'!R57)*(1+'Quarterly returns'!R58)*(1+'Quarterly returns'!R59)*(1+'Quarterly returns'!R60)-1</f>
        <v>0.1780209230242995</v>
      </c>
      <c r="H72" s="68">
        <f>(1+'Quarterly returns'!S57)*(1+'Quarterly returns'!S58)*(1+'Quarterly returns'!S59)*(1+'Quarterly returns'!S60)-1</f>
        <v>0.15946074664423393</v>
      </c>
      <c r="I72" s="68">
        <f>(1+'Quarterly returns'!T57)*(1+'Quarterly returns'!T58)*(1+'Quarterly returns'!T59)*(1+'Quarterly returns'!T60)-1</f>
        <v>4.9785230234354882E-2</v>
      </c>
      <c r="J72" s="68">
        <f>(1+'Quarterly returns'!U57)*(1+'Quarterly returns'!U58)*(1+'Quarterly returns'!U59)*(1+'Quarterly returns'!U60)-1</f>
        <v>0.10786024786476855</v>
      </c>
      <c r="K72" s="68">
        <f>(1+'Quarterly returns'!V57)*(1+'Quarterly returns'!V58)*(1+'Quarterly returns'!V59)*(1+'Quarterly returns'!V60)-1</f>
        <v>7.2530012037208103E-2</v>
      </c>
      <c r="L72" s="68">
        <f>(1+'Quarterly returns'!W57)*(1+'Quarterly returns'!W58)*(1+'Quarterly returns'!W59)*(1+'Quarterly returns'!W60)-1</f>
        <v>7.1939035951287478E-2</v>
      </c>
      <c r="M72" s="68">
        <f>(1+'Quarterly returns'!X57)*(1+'Quarterly returns'!X58)*(1+'Quarterly returns'!X59)*(1+'Quarterly returns'!X60)-1</f>
        <v>1.4798433211524964E-2</v>
      </c>
      <c r="N72" s="77"/>
      <c r="O72" s="68">
        <f>C72-AVERAGE(C$21:C$97)+Forecast!$G$6</f>
        <v>0.24063320124506127</v>
      </c>
      <c r="P72" s="68">
        <f>D72-AVERAGE(D$21:D$97)+Forecast!$G$7</f>
        <v>0.25930607637069031</v>
      </c>
      <c r="Q72" s="68">
        <f>E72-AVERAGE(E$21:E$97)+Forecast!$G$8</f>
        <v>0.17650870172146255</v>
      </c>
      <c r="R72" s="68">
        <f>F72-AVERAGE(F$21:F$97)+Forecast!$G$9</f>
        <v>0.24322361567165385</v>
      </c>
      <c r="S72" s="68">
        <f>G72-AVERAGE(G$21:G$97)+Forecast!$G$10</f>
        <v>0.21130973613256415</v>
      </c>
      <c r="T72" s="68">
        <f>H72-AVERAGE(H$21:H$97)+Forecast!$G$11</f>
        <v>0.15089717665367711</v>
      </c>
      <c r="U72" s="68">
        <f>I72-AVERAGE(I$21:I$97)+Forecast!$G$12</f>
        <v>3.4305801638835898E-3</v>
      </c>
      <c r="V72" s="68">
        <f>J72-AVERAGE(J$21:J$97)+Forecast!$G$13</f>
        <v>4.3191517222563633E-2</v>
      </c>
      <c r="W72" s="68">
        <f>K72-AVERAGE(K$21:K$97)+Forecast!$G$14</f>
        <v>7.8110850025357434E-2</v>
      </c>
      <c r="X72" s="68">
        <f>L72-AVERAGE(L$21:L$97)+Forecast!$G$15</f>
        <v>7.4611464787563975E-2</v>
      </c>
      <c r="Y72" s="68">
        <f>M72-AVERAGE(M$21:M$97)+Forecast!$G$16</f>
        <v>2.8167936048503171E-2</v>
      </c>
      <c r="Z72" s="68">
        <f>SUMPRODUCT($O72:$Y72,Risk!$B$56:$L$56)</f>
        <v>0.19209415754953194</v>
      </c>
      <c r="AA72" s="68">
        <f>SUMPRODUCT($O72:$Y72,Risk!$B$57:$L$57)</f>
        <v>0.17787020747745638</v>
      </c>
      <c r="AB72" s="314">
        <f>SUMPRODUCT($O72:$Y72,Risk!$B$58:$L$58)</f>
        <v>0.19754596134977664</v>
      </c>
    </row>
    <row r="73" spans="1:28" x14ac:dyDescent="0.2">
      <c r="A73" s="312">
        <v>53</v>
      </c>
      <c r="B73" s="313">
        <f>'Quarterly returns'!A61</f>
        <v>43921</v>
      </c>
      <c r="C73" s="68">
        <f>(1+'Quarterly returns'!N58)*(1+'Quarterly returns'!N59)*(1+'Quarterly returns'!N60)*(1+'Quarterly returns'!N61)-1</f>
        <v>-0.15022672948700444</v>
      </c>
      <c r="D73" s="68">
        <f>(1+'Quarterly returns'!O58)*(1+'Quarterly returns'!O59)*(1+'Quarterly returns'!O60)*(1+'Quarterly returns'!O61)-1</f>
        <v>5.4711531044443262E-2</v>
      </c>
      <c r="E73" s="68">
        <f>(1+'Quarterly returns'!P58)*(1+'Quarterly returns'!P59)*(1+'Quarterly returns'!P60)*(1+'Quarterly returns'!P61)-1</f>
        <v>1.3766754324188168E-2</v>
      </c>
      <c r="F73" s="68">
        <f>(1+'Quarterly returns'!Q58)*(1+'Quarterly returns'!Q59)*(1+'Quarterly returns'!Q60)*(1+'Quarterly returns'!Q61)-1</f>
        <v>-8.5958272281820625E-2</v>
      </c>
      <c r="G73" s="68">
        <f>(1+'Quarterly returns'!R58)*(1+'Quarterly returns'!R59)*(1+'Quarterly returns'!R60)*(1+'Quarterly returns'!R61)-1</f>
        <v>-0.31536256840488897</v>
      </c>
      <c r="H73" s="68">
        <f>(1+'Quarterly returns'!S58)*(1+'Quarterly returns'!S59)*(1+'Quarterly returns'!S60)*(1+'Quarterly returns'!S61)-1</f>
        <v>0.17743774275422264</v>
      </c>
      <c r="I73" s="68">
        <f>(1+'Quarterly returns'!T58)*(1+'Quarterly returns'!T59)*(1+'Quarterly returns'!T60)*(1+'Quarterly returns'!T61)-1</f>
        <v>0.17699277418360282</v>
      </c>
      <c r="J73" s="68">
        <f>(1+'Quarterly returns'!U58)*(1+'Quarterly returns'!U59)*(1+'Quarterly returns'!U60)*(1+'Quarterly returns'!U61)-1</f>
        <v>-1.9732905433185621E-2</v>
      </c>
      <c r="K73" s="68">
        <f>(1+'Quarterly returns'!V58)*(1+'Quarterly returns'!V59)*(1+'Quarterly returns'!V60)*(1+'Quarterly returns'!V61)-1</f>
        <v>7.1245186632118429E-2</v>
      </c>
      <c r="L73" s="68">
        <f>(1+'Quarterly returns'!W58)*(1+'Quarterly returns'!W59)*(1+'Quarterly returns'!W60)*(1+'Quarterly returns'!W61)-1</f>
        <v>7.4721476043376089E-2</v>
      </c>
      <c r="M73" s="68">
        <f>(1+'Quarterly returns'!X58)*(1+'Quarterly returns'!X59)*(1+'Quarterly returns'!X60)*(1+'Quarterly returns'!X61)-1</f>
        <v>1.2125432684822135E-2</v>
      </c>
      <c r="N73" s="77"/>
      <c r="O73" s="68">
        <f>C73-AVERAGE(C$21:C$97)+Forecast!$G$6</f>
        <v>-0.15016117790258665</v>
      </c>
      <c r="P73" s="68">
        <f>D73-AVERAGE(D$21:D$97)+Forecast!$G$7</f>
        <v>3.1448998979779319E-2</v>
      </c>
      <c r="Q73" s="68">
        <f>E73-AVERAGE(E$21:E$97)+Forecast!$G$8</f>
        <v>3.444178518477059E-3</v>
      </c>
      <c r="R73" s="68">
        <f>F73-AVERAGE(F$21:F$97)+Forecast!$G$9</f>
        <v>-8.5212833998693505E-2</v>
      </c>
      <c r="S73" s="68">
        <f>G73-AVERAGE(G$21:G$97)+Forecast!$G$10</f>
        <v>-0.28207375529662432</v>
      </c>
      <c r="T73" s="68">
        <f>H73-AVERAGE(H$21:H$97)+Forecast!$G$11</f>
        <v>0.16887417276366581</v>
      </c>
      <c r="U73" s="68">
        <f>I73-AVERAGE(I$21:I$97)+Forecast!$G$12</f>
        <v>0.13063812411313153</v>
      </c>
      <c r="V73" s="68">
        <f>J73-AVERAGE(J$21:J$97)+Forecast!$G$13</f>
        <v>-8.4401636075390529E-2</v>
      </c>
      <c r="W73" s="68">
        <f>K73-AVERAGE(K$21:K$97)+Forecast!$G$14</f>
        <v>7.682602462026776E-2</v>
      </c>
      <c r="X73" s="68">
        <f>L73-AVERAGE(L$21:L$97)+Forecast!$G$15</f>
        <v>7.7393904879652586E-2</v>
      </c>
      <c r="Y73" s="68">
        <f>M73-AVERAGE(M$21:M$97)+Forecast!$G$16</f>
        <v>2.5494935521800342E-2</v>
      </c>
      <c r="Z73" s="68">
        <f>SUMPRODUCT($O73:$Y73,Risk!$B$56:$L$56)</f>
        <v>-4.279589319500976E-2</v>
      </c>
      <c r="AA73" s="68">
        <f>SUMPRODUCT($O73:$Y73,Risk!$B$57:$L$57)</f>
        <v>-1.1630958522217546E-2</v>
      </c>
      <c r="AB73" s="314">
        <f>SUMPRODUCT($O73:$Y73,Risk!$B$58:$L$58)</f>
        <v>-2.3432207986185224E-2</v>
      </c>
    </row>
    <row r="74" spans="1:28" x14ac:dyDescent="0.2">
      <c r="A74" s="312">
        <v>54</v>
      </c>
      <c r="B74" s="313">
        <f>'Quarterly returns'!A62</f>
        <v>44012</v>
      </c>
      <c r="C74" s="68">
        <f>(1+'Quarterly returns'!N59)*(1+'Quarterly returns'!N60)*(1+'Quarterly returns'!N61)*(1+'Quarterly returns'!N62)-1</f>
        <v>-7.2053217721053886E-2</v>
      </c>
      <c r="D74" s="68">
        <f>(1+'Quarterly returns'!O59)*(1+'Quarterly returns'!O60)*(1+'Quarterly returns'!O61)*(1+'Quarterly returns'!O62)-1</f>
        <v>5.8508839547840585E-2</v>
      </c>
      <c r="E74" s="68">
        <f>(1+'Quarterly returns'!P59)*(1+'Quarterly returns'!P60)*(1+'Quarterly returns'!P61)*(1+'Quarterly returns'!P62)-1</f>
        <v>3.6840210694008668E-2</v>
      </c>
      <c r="F74" s="68">
        <f>(1+'Quarterly returns'!Q59)*(1+'Quarterly returns'!Q60)*(1+'Quarterly returns'!Q61)*(1+'Quarterly returns'!Q62)-1</f>
        <v>-0.12495045029143126</v>
      </c>
      <c r="G74" s="68">
        <f>(1+'Quarterly returns'!R59)*(1+'Quarterly returns'!R60)*(1+'Quarterly returns'!R61)*(1+'Quarterly returns'!R62)-1</f>
        <v>-0.32626624048696984</v>
      </c>
      <c r="H74" s="68">
        <f>(1+'Quarterly returns'!S59)*(1+'Quarterly returns'!S60)*(1+'Quarterly returns'!S61)*(1+'Quarterly returns'!S62)-1</f>
        <v>4.6125678249191226E-2</v>
      </c>
      <c r="I74" s="68">
        <f>(1+'Quarterly returns'!T59)*(1+'Quarterly returns'!T60)*(1+'Quarterly returns'!T61)*(1+'Quarterly returns'!T62)-1</f>
        <v>5.842312400444527E-2</v>
      </c>
      <c r="J74" s="68">
        <f>(1+'Quarterly returns'!U59)*(1+'Quarterly returns'!U60)*(1+'Quarterly returns'!U61)*(1+'Quarterly returns'!U62)-1</f>
        <v>-2.6061853320421546E-3</v>
      </c>
      <c r="K74" s="68">
        <f>(1+'Quarterly returns'!V59)*(1+'Quarterly returns'!V60)*(1+'Quarterly returns'!V61)*(1+'Quarterly returns'!V62)-1</f>
        <v>4.4628329593171534E-2</v>
      </c>
      <c r="L74" s="68">
        <f>(1+'Quarterly returns'!W59)*(1+'Quarterly returns'!W60)*(1+'Quarterly returns'!W61)*(1+'Quarterly returns'!W62)-1</f>
        <v>5.7235925207440141E-2</v>
      </c>
      <c r="M74" s="68">
        <f>(1+'Quarterly returns'!X59)*(1+'Quarterly returns'!X60)*(1+'Quarterly returns'!X61)*(1+'Quarterly returns'!X62)-1</f>
        <v>8.3411486201259155E-3</v>
      </c>
      <c r="N74" s="77"/>
      <c r="O74" s="68">
        <f>C74-AVERAGE(C$21:C$97)+Forecast!$G$6</f>
        <v>-7.1987666136636083E-2</v>
      </c>
      <c r="P74" s="68">
        <f>D74-AVERAGE(D$21:D$97)+Forecast!$G$7</f>
        <v>3.5246307483176642E-2</v>
      </c>
      <c r="Q74" s="68">
        <f>E74-AVERAGE(E$21:E$97)+Forecast!$G$8</f>
        <v>2.6517634888297559E-2</v>
      </c>
      <c r="R74" s="68">
        <f>F74-AVERAGE(F$21:F$97)+Forecast!$G$9</f>
        <v>-0.12420501200830414</v>
      </c>
      <c r="S74" s="68">
        <f>G74-AVERAGE(G$21:G$97)+Forecast!$G$10</f>
        <v>-0.29297742737870519</v>
      </c>
      <c r="T74" s="68">
        <f>H74-AVERAGE(H$21:H$97)+Forecast!$G$11</f>
        <v>3.7562108258634402E-2</v>
      </c>
      <c r="U74" s="68">
        <f>I74-AVERAGE(I$21:I$97)+Forecast!$G$12</f>
        <v>1.2068473933973978E-2</v>
      </c>
      <c r="V74" s="68">
        <f>J74-AVERAGE(J$21:J$97)+Forecast!$G$13</f>
        <v>-6.7274915974247063E-2</v>
      </c>
      <c r="W74" s="68">
        <f>K74-AVERAGE(K$21:K$97)+Forecast!$G$14</f>
        <v>5.0209167581320865E-2</v>
      </c>
      <c r="X74" s="68">
        <f>L74-AVERAGE(L$21:L$97)+Forecast!$G$15</f>
        <v>5.9908354043716645E-2</v>
      </c>
      <c r="Y74" s="68">
        <f>M74-AVERAGE(M$21:M$97)+Forecast!$G$16</f>
        <v>2.1710651457104123E-2</v>
      </c>
      <c r="Z74" s="68">
        <f>SUMPRODUCT($O74:$Y74,Risk!$B$56:$L$56)</f>
        <v>-2.0322517096156775E-2</v>
      </c>
      <c r="AA74" s="68">
        <f>SUMPRODUCT($O74:$Y74,Risk!$B$57:$L$57)</f>
        <v>-8.8037389780726907E-3</v>
      </c>
      <c r="AB74" s="314">
        <f>SUMPRODUCT($O74:$Y74,Risk!$B$58:$L$58)</f>
        <v>-1.3867541958235453E-2</v>
      </c>
    </row>
    <row r="75" spans="1:28" x14ac:dyDescent="0.2">
      <c r="A75" s="312">
        <v>55</v>
      </c>
      <c r="B75" s="313">
        <f>'Quarterly returns'!A63</f>
        <v>44104</v>
      </c>
      <c r="C75" s="68">
        <f>(1+'Quarterly returns'!N60)*(1+'Quarterly returns'!N61)*(1+'Quarterly returns'!N62)*(1+'Quarterly returns'!N63)-1</f>
        <v>-8.7575253976222567E-2</v>
      </c>
      <c r="D75" s="68">
        <f>(1+'Quarterly returns'!O60)*(1+'Quarterly returns'!O61)*(1+'Quarterly returns'!O62)*(1+'Quarterly returns'!O63)-1</f>
        <v>2.6804235056230086E-2</v>
      </c>
      <c r="E75" s="68">
        <f>(1+'Quarterly returns'!P60)*(1+'Quarterly returns'!P61)*(1+'Quarterly returns'!P62)*(1+'Quarterly returns'!P63)-1</f>
        <v>6.1816603803583892E-2</v>
      </c>
      <c r="F75" s="68">
        <f>(1+'Quarterly returns'!Q60)*(1+'Quarterly returns'!Q61)*(1+'Quarterly returns'!Q62)*(1+'Quarterly returns'!Q63)-1</f>
        <v>-0.23254757722682295</v>
      </c>
      <c r="G75" s="68">
        <f>(1+'Quarterly returns'!R60)*(1+'Quarterly returns'!R61)*(1+'Quarterly returns'!R62)*(1+'Quarterly returns'!R63)-1</f>
        <v>-0.32100338486922275</v>
      </c>
      <c r="H75" s="68">
        <f>(1+'Quarterly returns'!S60)*(1+'Quarterly returns'!S61)*(1+'Quarterly returns'!S62)*(1+'Quarterly returns'!S63)-1</f>
        <v>1.8554173262724794E-2</v>
      </c>
      <c r="I75" s="68">
        <f>(1+'Quarterly returns'!T60)*(1+'Quarterly returns'!T61)*(1+'Quarterly returns'!T62)*(1+'Quarterly returns'!T63)-1</f>
        <v>0.10609257423521012</v>
      </c>
      <c r="J75" s="68">
        <f>(1+'Quarterly returns'!U60)*(1+'Quarterly returns'!U61)*(1+'Quarterly returns'!U62)*(1+'Quarterly returns'!U63)-1</f>
        <v>5.6248911101088428E-2</v>
      </c>
      <c r="K75" s="68">
        <f>(1+'Quarterly returns'!V60)*(1+'Quarterly returns'!V61)*(1+'Quarterly returns'!V62)*(1+'Quarterly returns'!V63)-1</f>
        <v>3.5961395440672783E-2</v>
      </c>
      <c r="L75" s="68">
        <f>(1+'Quarterly returns'!W60)*(1+'Quarterly returns'!W61)*(1+'Quarterly returns'!W62)*(1+'Quarterly returns'!W63)-1</f>
        <v>3.7889828373657286E-2</v>
      </c>
      <c r="M75" s="68">
        <f>(1+'Quarterly returns'!X60)*(1+'Quarterly returns'!X61)*(1+'Quarterly returns'!X62)*(1+'Quarterly returns'!X63)-1</f>
        <v>5.777795121336915E-3</v>
      </c>
      <c r="N75" s="77"/>
      <c r="O75" s="68">
        <f>C75-AVERAGE(C$21:C$97)+Forecast!$G$6</f>
        <v>-8.7509702391804764E-2</v>
      </c>
      <c r="P75" s="68">
        <f>D75-AVERAGE(D$21:D$97)+Forecast!$G$7</f>
        <v>3.5417029915661424E-3</v>
      </c>
      <c r="Q75" s="68">
        <f>E75-AVERAGE(E$21:E$97)+Forecast!$G$8</f>
        <v>5.1494027997872782E-2</v>
      </c>
      <c r="R75" s="68">
        <f>F75-AVERAGE(F$21:F$97)+Forecast!$G$9</f>
        <v>-0.23180213894369583</v>
      </c>
      <c r="S75" s="68">
        <f>G75-AVERAGE(G$21:G$97)+Forecast!$G$10</f>
        <v>-0.2877145717609581</v>
      </c>
      <c r="T75" s="68">
        <f>H75-AVERAGE(H$21:H$97)+Forecast!$G$11</f>
        <v>9.9906032721679694E-3</v>
      </c>
      <c r="U75" s="68">
        <f>I75-AVERAGE(I$21:I$97)+Forecast!$G$12</f>
        <v>5.9737924164738831E-2</v>
      </c>
      <c r="V75" s="68">
        <f>J75-AVERAGE(J$21:J$97)+Forecast!$G$13</f>
        <v>-8.4198195411164939E-3</v>
      </c>
      <c r="W75" s="68">
        <f>K75-AVERAGE(K$21:K$97)+Forecast!$G$14</f>
        <v>4.1542233428822115E-2</v>
      </c>
      <c r="X75" s="68">
        <f>L75-AVERAGE(L$21:L$97)+Forecast!$G$15</f>
        <v>4.056225720993379E-2</v>
      </c>
      <c r="Y75" s="68">
        <f>M75-AVERAGE(M$21:M$97)+Forecast!$G$16</f>
        <v>1.9147297958315122E-2</v>
      </c>
      <c r="Z75" s="68">
        <f>SUMPRODUCT($O75:$Y75,Risk!$B$56:$L$56)</f>
        <v>-4.6659127804578183E-2</v>
      </c>
      <c r="AA75" s="68">
        <f>SUMPRODUCT($O75:$Y75,Risk!$B$57:$L$57)</f>
        <v>-2.8571783987122668E-2</v>
      </c>
      <c r="AB75" s="314">
        <f>SUMPRODUCT($O75:$Y75,Risk!$B$58:$L$58)</f>
        <v>-3.5952930280852162E-2</v>
      </c>
    </row>
    <row r="76" spans="1:28" x14ac:dyDescent="0.2">
      <c r="A76" s="312">
        <v>56</v>
      </c>
      <c r="B76" s="313">
        <f>'Quarterly returns'!A64</f>
        <v>44196</v>
      </c>
      <c r="C76" s="68">
        <f>(1+'Quarterly returns'!N61)*(1+'Quarterly returns'!N62)*(1+'Quarterly returns'!N63)*(1+'Quarterly returns'!N64)-1</f>
        <v>3.6353428306390212E-2</v>
      </c>
      <c r="D76" s="68">
        <f>(1+'Quarterly returns'!O61)*(1+'Quarterly returns'!O62)*(1+'Quarterly returns'!O63)*(1+'Quarterly returns'!O64)-1</f>
        <v>3.9064990984692738E-2</v>
      </c>
      <c r="E76" s="68">
        <f>(1+'Quarterly returns'!P61)*(1+'Quarterly returns'!P62)*(1+'Quarterly returns'!P63)*(1+'Quarterly returns'!P64)-1</f>
        <v>8.8602943837351456E-2</v>
      </c>
      <c r="F76" s="68">
        <f>(1+'Quarterly returns'!Q61)*(1+'Quarterly returns'!Q62)*(1+'Quarterly returns'!Q63)*(1+'Quarterly returns'!Q64)-1</f>
        <v>-0.17589737847385489</v>
      </c>
      <c r="G76" s="68">
        <f>(1+'Quarterly returns'!R61)*(1+'Quarterly returns'!R62)*(1+'Quarterly returns'!R63)*(1+'Quarterly returns'!R64)-1</f>
        <v>-0.30515307269012604</v>
      </c>
      <c r="H76" s="68">
        <f>(1+'Quarterly returns'!S61)*(1+'Quarterly returns'!S62)*(1+'Quarterly returns'!S63)*(1+'Quarterly returns'!S64)-1</f>
        <v>2.4859838099243747E-2</v>
      </c>
      <c r="I76" s="68">
        <f>(1+'Quarterly returns'!T61)*(1+'Quarterly returns'!T62)*(1+'Quarterly returns'!T63)*(1+'Quarterly returns'!T64)-1</f>
        <v>0.10105471003583677</v>
      </c>
      <c r="J76" s="68">
        <f>(1+'Quarterly returns'!U61)*(1+'Quarterly returns'!U62)*(1+'Quarterly returns'!U63)*(1+'Quarterly returns'!U64)-1</f>
        <v>8.0311135216065033E-2</v>
      </c>
      <c r="K76" s="68">
        <f>(1+'Quarterly returns'!V61)*(1+'Quarterly returns'!V62)*(1+'Quarterly returns'!V63)*(1+'Quarterly returns'!V64)-1</f>
        <v>4.888120654583239E-2</v>
      </c>
      <c r="L76" s="68">
        <f>(1+'Quarterly returns'!W61)*(1+'Quarterly returns'!W62)*(1+'Quarterly returns'!W63)*(1+'Quarterly returns'!W64)-1</f>
        <v>4.5576329523371539E-2</v>
      </c>
      <c r="M76" s="68">
        <f>(1+'Quarterly returns'!X61)*(1+'Quarterly returns'!X62)*(1+'Quarterly returns'!X63)*(1+'Quarterly returns'!X64)-1</f>
        <v>3.6728173927729202E-3</v>
      </c>
      <c r="N76" s="77"/>
      <c r="O76" s="68">
        <f>C76-AVERAGE(C$21:C$97)+Forecast!$G$6</f>
        <v>3.6418979890808015E-2</v>
      </c>
      <c r="P76" s="68">
        <f>D76-AVERAGE(D$21:D$97)+Forecast!$G$7</f>
        <v>1.5802458920028795E-2</v>
      </c>
      <c r="Q76" s="68">
        <f>E76-AVERAGE(E$21:E$97)+Forecast!$G$8</f>
        <v>7.8280368031640346E-2</v>
      </c>
      <c r="R76" s="68">
        <f>F76-AVERAGE(F$21:F$97)+Forecast!$G$9</f>
        <v>-0.17515194019072777</v>
      </c>
      <c r="S76" s="68">
        <f>G76-AVERAGE(G$21:G$97)+Forecast!$G$10</f>
        <v>-0.27186425958186139</v>
      </c>
      <c r="T76" s="68">
        <f>H76-AVERAGE(H$21:H$97)+Forecast!$G$11</f>
        <v>1.6296268108686923E-2</v>
      </c>
      <c r="U76" s="68">
        <f>I76-AVERAGE(I$21:I$97)+Forecast!$G$12</f>
        <v>5.4700059965365477E-2</v>
      </c>
      <c r="V76" s="68">
        <f>J76-AVERAGE(J$21:J$97)+Forecast!$G$13</f>
        <v>1.5642404573860111E-2</v>
      </c>
      <c r="W76" s="68">
        <f>K76-AVERAGE(K$21:K$97)+Forecast!$G$14</f>
        <v>5.4462044533981721E-2</v>
      </c>
      <c r="X76" s="68">
        <f>L76-AVERAGE(L$21:L$97)+Forecast!$G$15</f>
        <v>4.8248758359648043E-2</v>
      </c>
      <c r="Y76" s="68">
        <f>M76-AVERAGE(M$21:M$97)+Forecast!$G$16</f>
        <v>1.7042320229751128E-2</v>
      </c>
      <c r="Z76" s="68">
        <f>SUMPRODUCT($O76:$Y76,Risk!$B$56:$L$56)</f>
        <v>1.3435059486207863E-2</v>
      </c>
      <c r="AA76" s="68">
        <f>SUMPRODUCT($O76:$Y76,Risk!$B$57:$L$57)</f>
        <v>1.3916231752292327E-2</v>
      </c>
      <c r="AB76" s="314">
        <f>SUMPRODUCT($O76:$Y76,Risk!$B$58:$L$58)</f>
        <v>1.0327074343681299E-2</v>
      </c>
    </row>
    <row r="77" spans="1:28" x14ac:dyDescent="0.2">
      <c r="A77" s="312">
        <v>57</v>
      </c>
      <c r="B77" s="313">
        <f>'Quarterly returns'!A65</f>
        <v>44286</v>
      </c>
      <c r="C77" s="68">
        <f>(1+'Quarterly returns'!N62)*(1+'Quarterly returns'!N63)*(1+'Quarterly returns'!N64)*(1+'Quarterly returns'!N65)-1</f>
        <v>0.41137411935918333</v>
      </c>
      <c r="D77" s="68">
        <f>(1+'Quarterly returns'!O62)*(1+'Quarterly returns'!O63)*(1+'Quarterly returns'!O64)*(1+'Quarterly returns'!O65)-1</f>
        <v>0.21709438123587499</v>
      </c>
      <c r="E77" s="68">
        <f>(1+'Quarterly returns'!P62)*(1+'Quarterly returns'!P63)*(1+'Quarterly returns'!P64)*(1+'Quarterly returns'!P65)-1</f>
        <v>0.23353988511842605</v>
      </c>
      <c r="F77" s="68">
        <f>(1+'Quarterly returns'!Q62)*(1+'Quarterly returns'!Q63)*(1+'Quarterly returns'!Q64)*(1+'Quarterly returns'!Q65)-1</f>
        <v>7.6629107741191582E-2</v>
      </c>
      <c r="G77" s="68">
        <f>(1+'Quarterly returns'!R62)*(1+'Quarterly returns'!R63)*(1+'Quarterly returns'!R64)*(1+'Quarterly returns'!R65)-1</f>
        <v>0.20716049311009566</v>
      </c>
      <c r="H77" s="68">
        <f>(1+'Quarterly returns'!S62)*(1+'Quarterly returns'!S63)*(1+'Quarterly returns'!S64)*(1+'Quarterly returns'!S65)-1</f>
        <v>0.15535168106258967</v>
      </c>
      <c r="I77" s="68">
        <f>(1+'Quarterly returns'!T62)*(1+'Quarterly returns'!T63)*(1+'Quarterly returns'!T64)*(1+'Quarterly returns'!T65)-1</f>
        <v>2.9402279252757957E-2</v>
      </c>
      <c r="J77" s="68">
        <f>(1+'Quarterly returns'!U62)*(1+'Quarterly returns'!U63)*(1+'Quarterly returns'!U64)*(1+'Quarterly returns'!U65)-1</f>
        <v>0.20998738929900052</v>
      </c>
      <c r="K77" s="68">
        <f>(1+'Quarterly returns'!V62)*(1+'Quarterly returns'!V63)*(1+'Quarterly returns'!V64)*(1+'Quarterly returns'!V65)-1</f>
        <v>-2.0201364296055235E-2</v>
      </c>
      <c r="L77" s="68">
        <f>(1+'Quarterly returns'!W62)*(1+'Quarterly returns'!W63)*(1+'Quarterly returns'!W64)*(1+'Quarterly returns'!W65)-1</f>
        <v>-1.5796365181740213E-2</v>
      </c>
      <c r="M77" s="68">
        <f>(1+'Quarterly returns'!X62)*(1+'Quarterly returns'!X63)*(1+'Quarterly returns'!X64)*(1+'Quarterly returns'!X65)-1</f>
        <v>1.1413628076557547E-3</v>
      </c>
      <c r="N77" s="77"/>
      <c r="O77" s="68">
        <f>C77-AVERAGE(C$21:C$97)+Forecast!$G$6</f>
        <v>0.41143967094360112</v>
      </c>
      <c r="P77" s="68">
        <f>D77-AVERAGE(D$21:D$97)+Forecast!$G$7</f>
        <v>0.19383184917121105</v>
      </c>
      <c r="Q77" s="68">
        <f>E77-AVERAGE(E$21:E$97)+Forecast!$G$8</f>
        <v>0.22321730931271494</v>
      </c>
      <c r="R77" s="68">
        <f>F77-AVERAGE(F$21:F$97)+Forecast!$G$9</f>
        <v>7.7374546024318716E-2</v>
      </c>
      <c r="S77" s="68">
        <f>G77-AVERAGE(G$21:G$97)+Forecast!$G$10</f>
        <v>0.2404493062183603</v>
      </c>
      <c r="T77" s="68">
        <f>H77-AVERAGE(H$21:H$97)+Forecast!$G$11</f>
        <v>0.14678811107203285</v>
      </c>
      <c r="U77" s="68">
        <f>I77-AVERAGE(I$21:I$97)+Forecast!$G$12</f>
        <v>-1.6952370817713336E-2</v>
      </c>
      <c r="V77" s="68">
        <f>J77-AVERAGE(J$21:J$97)+Forecast!$G$13</f>
        <v>0.14531865865679561</v>
      </c>
      <c r="W77" s="68">
        <f>K77-AVERAGE(K$21:K$97)+Forecast!$G$14</f>
        <v>-1.4620526307905904E-2</v>
      </c>
      <c r="X77" s="68">
        <f>L77-AVERAGE(L$21:L$97)+Forecast!$G$15</f>
        <v>-1.3123936345463709E-2</v>
      </c>
      <c r="Y77" s="68">
        <f>M77-AVERAGE(M$21:M$97)+Forecast!$G$16</f>
        <v>1.4510865644633962E-2</v>
      </c>
      <c r="Z77" s="68">
        <f>SUMPRODUCT($O77:$Y77,Risk!$B$56:$L$56)</f>
        <v>0.20885245955541593</v>
      </c>
      <c r="AA77" s="68">
        <f>SUMPRODUCT($O77:$Y77,Risk!$B$57:$L$57)</f>
        <v>0.17443649863944719</v>
      </c>
      <c r="AB77" s="314">
        <f>SUMPRODUCT($O77:$Y77,Risk!$B$58:$L$58)</f>
        <v>0.20051070276601016</v>
      </c>
    </row>
    <row r="78" spans="1:28" x14ac:dyDescent="0.2">
      <c r="A78" s="312">
        <v>58</v>
      </c>
      <c r="B78" s="313">
        <f>'Quarterly returns'!A66</f>
        <v>44377</v>
      </c>
      <c r="C78" s="68">
        <f>(1+'Quarterly returns'!N63)*(1+'Quarterly returns'!N64)*(1+'Quarterly returns'!N65)*(1+'Quarterly returns'!N66)-1</f>
        <v>0.30241164901354889</v>
      </c>
      <c r="D78" s="68">
        <f>(1+'Quarterly returns'!O63)*(1+'Quarterly returns'!O64)*(1+'Quarterly returns'!O65)*(1+'Quarterly returns'!O66)-1</f>
        <v>0.26111462139806263</v>
      </c>
      <c r="E78" s="68">
        <f>(1+'Quarterly returns'!P63)*(1+'Quarterly returns'!P64)*(1+'Quarterly returns'!P65)*(1+'Quarterly returns'!P66)-1</f>
        <v>0.25184476444477188</v>
      </c>
      <c r="F78" s="68">
        <f>(1+'Quarterly returns'!Q63)*(1+'Quarterly returns'!Q64)*(1+'Quarterly returns'!Q65)*(1+'Quarterly returns'!Q66)-1</f>
        <v>0.22847768720557116</v>
      </c>
      <c r="G78" s="68">
        <f>(1+'Quarterly returns'!R63)*(1+'Quarterly returns'!R64)*(1+'Quarterly returns'!R65)*(1+'Quarterly returns'!R66)-1</f>
        <v>0.44318259871340926</v>
      </c>
      <c r="H78" s="68">
        <f>(1+'Quarterly returns'!S63)*(1+'Quarterly returns'!S64)*(1+'Quarterly returns'!S65)*(1+'Quarterly returns'!S66)-1</f>
        <v>0.37183191882382216</v>
      </c>
      <c r="I78" s="68">
        <f>(1+'Quarterly returns'!T63)*(1+'Quarterly returns'!T64)*(1+'Quarterly returns'!T65)*(1+'Quarterly returns'!T66)-1</f>
        <v>0.22600411079763294</v>
      </c>
      <c r="J78" s="68">
        <f>(1+'Quarterly returns'!U63)*(1+'Quarterly returns'!U64)*(1+'Quarterly returns'!U65)*(1+'Quarterly returns'!U66)-1</f>
        <v>0.23696699175203095</v>
      </c>
      <c r="K78" s="68">
        <f>(1+'Quarterly returns'!V63)*(1+'Quarterly returns'!V64)*(1+'Quarterly returns'!V65)*(1+'Quarterly returns'!V66)-1</f>
        <v>-7.8973790654381926E-3</v>
      </c>
      <c r="L78" s="68">
        <f>(1+'Quarterly returns'!W63)*(1+'Quarterly returns'!W64)*(1+'Quarterly returns'!W65)*(1+'Quarterly returns'!W66)-1</f>
        <v>-2.0988361690318258E-2</v>
      </c>
      <c r="M78" s="68">
        <f>(1+'Quarterly returns'!X63)*(1+'Quarterly returns'!X64)*(1+'Quarterly returns'!X65)*(1+'Quarterly returns'!X66)-1</f>
        <v>5.8485208064262828E-4</v>
      </c>
      <c r="N78" s="77"/>
      <c r="O78" s="68">
        <f>C78-AVERAGE(C$21:C$97)+Forecast!$G$6</f>
        <v>0.30247720059796668</v>
      </c>
      <c r="P78" s="68">
        <f>D78-AVERAGE(D$21:D$97)+Forecast!$G$7</f>
        <v>0.23785208933339869</v>
      </c>
      <c r="Q78" s="68">
        <f>E78-AVERAGE(E$21:E$97)+Forecast!$G$8</f>
        <v>0.24152218863906078</v>
      </c>
      <c r="R78" s="68">
        <f>F78-AVERAGE(F$21:F$97)+Forecast!$G$9</f>
        <v>0.22922312548869828</v>
      </c>
      <c r="S78" s="68">
        <f>G78-AVERAGE(G$21:G$97)+Forecast!$G$10</f>
        <v>0.47647141182167391</v>
      </c>
      <c r="T78" s="68">
        <f>H78-AVERAGE(H$21:H$97)+Forecast!$G$11</f>
        <v>0.36326834883326531</v>
      </c>
      <c r="U78" s="68">
        <f>I78-AVERAGE(I$21:I$97)+Forecast!$G$12</f>
        <v>0.17964946072716165</v>
      </c>
      <c r="V78" s="68">
        <f>J78-AVERAGE(J$21:J$97)+Forecast!$G$13</f>
        <v>0.17229826110982605</v>
      </c>
      <c r="W78" s="68">
        <f>K78-AVERAGE(K$21:K$97)+Forecast!$G$14</f>
        <v>-2.3165410772888612E-3</v>
      </c>
      <c r="X78" s="68">
        <f>L78-AVERAGE(L$21:L$97)+Forecast!$G$15</f>
        <v>-1.8315932854041754E-2</v>
      </c>
      <c r="Y78" s="68">
        <f>M78-AVERAGE(M$21:M$97)+Forecast!$G$16</f>
        <v>1.3954354917620836E-2</v>
      </c>
      <c r="Z78" s="68">
        <f>SUMPRODUCT($O78:$Y78,Risk!$B$56:$L$56)</f>
        <v>0.19064765970905306</v>
      </c>
      <c r="AA78" s="68">
        <f>SUMPRODUCT($O78:$Y78,Risk!$B$57:$L$57)</f>
        <v>0.19232592564885798</v>
      </c>
      <c r="AB78" s="314">
        <f>SUMPRODUCT($O78:$Y78,Risk!$B$58:$L$58)</f>
        <v>0.21545374556902017</v>
      </c>
    </row>
    <row r="79" spans="1:28" x14ac:dyDescent="0.2">
      <c r="A79" s="312">
        <v>59</v>
      </c>
      <c r="B79" s="313">
        <f>'Quarterly returns'!A67</f>
        <v>44469</v>
      </c>
      <c r="C79" s="68">
        <f>(1+'Quarterly returns'!N64)*(1+'Quarterly returns'!N65)*(1+'Quarterly returns'!N66)*(1+'Quarterly returns'!N67)-1</f>
        <v>0.31460575255955736</v>
      </c>
      <c r="D79" s="68">
        <f>(1+'Quarterly returns'!O64)*(1+'Quarterly returns'!O65)*(1+'Quarterly returns'!O66)*(1+'Quarterly returns'!O67)-1</f>
        <v>0.28617194336758023</v>
      </c>
      <c r="E79" s="68">
        <f>(1+'Quarterly returns'!P64)*(1+'Quarterly returns'!P65)*(1+'Quarterly returns'!P66)*(1+'Quarterly returns'!P67)-1</f>
        <v>0.16325854949777518</v>
      </c>
      <c r="F79" s="68">
        <f>(1+'Quarterly returns'!Q64)*(1+'Quarterly returns'!Q65)*(1+'Quarterly returns'!Q66)*(1+'Quarterly returns'!Q67)-1</f>
        <v>0.31812328195327089</v>
      </c>
      <c r="G79" s="68">
        <f>(1+'Quarterly returns'!R64)*(1+'Quarterly returns'!R65)*(1+'Quarterly returns'!R66)*(1+'Quarterly returns'!R67)-1</f>
        <v>0.57069822447413521</v>
      </c>
      <c r="H79" s="68">
        <f>(1+'Quarterly returns'!S64)*(1+'Quarterly returns'!S65)*(1+'Quarterly returns'!S66)*(1+'Quarterly returns'!S67)-1</f>
        <v>0.32507292539420707</v>
      </c>
      <c r="I79" s="68">
        <f>(1+'Quarterly returns'!T64)*(1+'Quarterly returns'!T65)*(1+'Quarterly returns'!T66)*(1+'Quarterly returns'!T67)-1</f>
        <v>0.16324554436879635</v>
      </c>
      <c r="J79" s="68">
        <f>(1+'Quarterly returns'!U64)*(1+'Quarterly returns'!U65)*(1+'Quarterly returns'!U66)*(1+'Quarterly returns'!U67)-1</f>
        <v>0.31981243452919617</v>
      </c>
      <c r="K79" s="68">
        <f>(1+'Quarterly returns'!V64)*(1+'Quarterly returns'!V65)*(1+'Quarterly returns'!V66)*(1+'Quarterly returns'!V67)-1</f>
        <v>-1.651348203887848E-2</v>
      </c>
      <c r="L79" s="68">
        <f>(1+'Quarterly returns'!W64)*(1+'Quarterly returns'!W65)*(1+'Quarterly returns'!W66)*(1+'Quarterly returns'!W67)-1</f>
        <v>-2.3352080223275173E-2</v>
      </c>
      <c r="M79" s="68">
        <f>(1+'Quarterly returns'!X64)*(1+'Quarterly returns'!X65)*(1+'Quarterly returns'!X66)*(1+'Quarterly returns'!X67)-1</f>
        <v>3.8142947275221495E-4</v>
      </c>
      <c r="N79" s="77"/>
      <c r="O79" s="68">
        <f>C79-AVERAGE(C$21:C$97)+Forecast!$G$6</f>
        <v>0.31467130414397515</v>
      </c>
      <c r="P79" s="68">
        <f>D79-AVERAGE(D$21:D$97)+Forecast!$G$7</f>
        <v>0.26290941130291628</v>
      </c>
      <c r="Q79" s="68">
        <f>E79-AVERAGE(E$21:E$97)+Forecast!$G$8</f>
        <v>0.15293597369206408</v>
      </c>
      <c r="R79" s="68">
        <f>F79-AVERAGE(F$21:F$97)+Forecast!$G$9</f>
        <v>0.31886872023639801</v>
      </c>
      <c r="S79" s="68">
        <f>G79-AVERAGE(G$21:G$97)+Forecast!$G$10</f>
        <v>0.60398703758239991</v>
      </c>
      <c r="T79" s="68">
        <f>H79-AVERAGE(H$21:H$97)+Forecast!$G$11</f>
        <v>0.31650935540365022</v>
      </c>
      <c r="U79" s="68">
        <f>I79-AVERAGE(I$21:I$97)+Forecast!$G$12</f>
        <v>0.11689089429832505</v>
      </c>
      <c r="V79" s="68">
        <f>J79-AVERAGE(J$21:J$97)+Forecast!$G$13</f>
        <v>0.25514370388699126</v>
      </c>
      <c r="W79" s="68">
        <f>K79-AVERAGE(K$21:K$97)+Forecast!$G$14</f>
        <v>-1.0932644050729148E-2</v>
      </c>
      <c r="X79" s="68">
        <f>L79-AVERAGE(L$21:L$97)+Forecast!$G$15</f>
        <v>-2.067965138699867E-2</v>
      </c>
      <c r="Y79" s="68">
        <f>M79-AVERAGE(M$21:M$97)+Forecast!$G$16</f>
        <v>1.3750932309730422E-2</v>
      </c>
      <c r="Z79" s="68">
        <f>SUMPRODUCT($O79:$Y79,Risk!$B$56:$L$56)</f>
        <v>0.20800557248492499</v>
      </c>
      <c r="AA79" s="68">
        <f>SUMPRODUCT($O79:$Y79,Risk!$B$57:$L$57)</f>
        <v>0.20434841699301348</v>
      </c>
      <c r="AB79" s="314">
        <f>SUMPRODUCT($O79:$Y79,Risk!$B$58:$L$58)</f>
        <v>0.22655092465619617</v>
      </c>
    </row>
    <row r="80" spans="1:28" x14ac:dyDescent="0.2">
      <c r="A80" s="312">
        <v>60</v>
      </c>
      <c r="B80" s="313">
        <f>'Quarterly returns'!A68</f>
        <v>44561</v>
      </c>
      <c r="C80" s="68">
        <f>(1+'Quarterly returns'!N65)*(1+'Quarterly returns'!N66)*(1+'Quarterly returns'!N67)*(1+'Quarterly returns'!N68)-1</f>
        <v>0.17738131805806301</v>
      </c>
      <c r="D80" s="68">
        <f>(1+'Quarterly returns'!O65)*(1+'Quarterly returns'!O66)*(1+'Quarterly returns'!O67)*(1+'Quarterly returns'!O68)-1</f>
        <v>0.32358889244139277</v>
      </c>
      <c r="E80" s="68">
        <f>(1+'Quarterly returns'!P65)*(1+'Quarterly returns'!P66)*(1+'Quarterly returns'!P67)*(1+'Quarterly returns'!P68)-1</f>
        <v>6.2785371329416417E-2</v>
      </c>
      <c r="F80" s="68">
        <f>(1+'Quarterly returns'!Q65)*(1+'Quarterly returns'!Q66)*(1+'Quarterly returns'!Q67)*(1+'Quarterly returns'!Q68)-1</f>
        <v>0.43357867166124042</v>
      </c>
      <c r="G80" s="68">
        <f>(1+'Quarterly returns'!R65)*(1+'Quarterly returns'!R66)*(1+'Quarterly returns'!R67)*(1+'Quarterly returns'!R68)-1</f>
        <v>0.48963339665099359</v>
      </c>
      <c r="H80" s="68">
        <f>(1+'Quarterly returns'!S65)*(1+'Quarterly returns'!S66)*(1+'Quarterly returns'!S67)*(1+'Quarterly returns'!S68)-1</f>
        <v>0.28664928880688567</v>
      </c>
      <c r="I80" s="68">
        <f>(1+'Quarterly returns'!T65)*(1+'Quarterly returns'!T66)*(1+'Quarterly returns'!T67)*(1+'Quarterly returns'!T68)-1</f>
        <v>0.12639375133887865</v>
      </c>
      <c r="J80" s="68">
        <f>(1+'Quarterly returns'!U65)*(1+'Quarterly returns'!U66)*(1+'Quarterly returns'!U67)*(1+'Quarterly returns'!U68)-1</f>
        <v>0.35971074469011022</v>
      </c>
      <c r="K80" s="68">
        <f>(1+'Quarterly returns'!V65)*(1+'Quarterly returns'!V66)*(1+'Quarterly returns'!V67)*(1+'Quarterly returns'!V68)-1</f>
        <v>-3.0483602466280013E-2</v>
      </c>
      <c r="L80" s="68">
        <f>(1+'Quarterly returns'!W65)*(1+'Quarterly returns'!W66)*(1+'Quarterly returns'!W67)*(1+'Quarterly returns'!W68)-1</f>
        <v>-2.3952538612141971E-2</v>
      </c>
      <c r="M80" s="68">
        <f>(1+'Quarterly returns'!X65)*(1+'Quarterly returns'!X66)*(1+'Quarterly returns'!X67)*(1+'Quarterly returns'!X68)-1</f>
        <v>2.6811909629875785E-4</v>
      </c>
      <c r="N80" s="77"/>
      <c r="O80" s="68">
        <f>C80-AVERAGE(C$21:C$97)+Forecast!$G$6</f>
        <v>0.1774468696424808</v>
      </c>
      <c r="P80" s="68">
        <f>D80-AVERAGE(D$21:D$97)+Forecast!$G$7</f>
        <v>0.30032636037672883</v>
      </c>
      <c r="Q80" s="68">
        <f>E80-AVERAGE(E$21:E$97)+Forecast!$G$8</f>
        <v>5.2462795523705308E-2</v>
      </c>
      <c r="R80" s="68">
        <f>F80-AVERAGE(F$21:F$97)+Forecast!$G$9</f>
        <v>0.43432410994436754</v>
      </c>
      <c r="S80" s="68">
        <f>G80-AVERAGE(G$21:G$97)+Forecast!$G$10</f>
        <v>0.52292220975925818</v>
      </c>
      <c r="T80" s="68">
        <f>H80-AVERAGE(H$21:H$97)+Forecast!$G$11</f>
        <v>0.27808571881632882</v>
      </c>
      <c r="U80" s="68">
        <f>I80-AVERAGE(I$21:I$97)+Forecast!$G$12</f>
        <v>8.0039101268407353E-2</v>
      </c>
      <c r="V80" s="68">
        <f>J80-AVERAGE(J$21:J$97)+Forecast!$G$13</f>
        <v>0.29504201404790531</v>
      </c>
      <c r="W80" s="68">
        <f>K80-AVERAGE(K$21:K$97)+Forecast!$G$14</f>
        <v>-2.4902764478130689E-2</v>
      </c>
      <c r="X80" s="68">
        <f>L80-AVERAGE(L$21:L$97)+Forecast!$G$15</f>
        <v>-2.1280109775865468E-2</v>
      </c>
      <c r="Y80" s="68">
        <f>M80-AVERAGE(M$21:M$97)+Forecast!$G$16</f>
        <v>1.3637621933276965E-2</v>
      </c>
      <c r="Z80" s="68">
        <f>SUMPRODUCT($O80:$Y80,Risk!$B$56:$L$56)</f>
        <v>0.16999324100831537</v>
      </c>
      <c r="AA80" s="68">
        <f>SUMPRODUCT($O80:$Y80,Risk!$B$57:$L$57)</f>
        <v>0.17861370861405779</v>
      </c>
      <c r="AB80" s="314">
        <f>SUMPRODUCT($O80:$Y80,Risk!$B$58:$L$58)</f>
        <v>0.1948993117720112</v>
      </c>
    </row>
    <row r="81" spans="1:28" x14ac:dyDescent="0.2">
      <c r="A81" s="312">
        <v>61</v>
      </c>
      <c r="B81" s="313">
        <f>'Quarterly returns'!A69</f>
        <v>44651</v>
      </c>
      <c r="C81" s="68">
        <f>(1+'Quarterly returns'!N66)*(1+'Quarterly returns'!N67)*(1+'Quarterly returns'!N68)*(1+'Quarterly returns'!N69)-1</f>
        <v>0.154804030481698</v>
      </c>
      <c r="D81" s="68">
        <f>(1+'Quarterly returns'!O66)*(1+'Quarterly returns'!O67)*(1+'Quarterly returns'!O68)*(1+'Quarterly returns'!O69)-1</f>
        <v>0.13716011112056048</v>
      </c>
      <c r="E81" s="68">
        <f>(1+'Quarterly returns'!P66)*(1+'Quarterly returns'!P67)*(1+'Quarterly returns'!P68)*(1+'Quarterly returns'!P69)-1</f>
        <v>-8.2770946593146433E-2</v>
      </c>
      <c r="F81" s="68">
        <f>(1+'Quarterly returns'!Q66)*(1+'Quarterly returns'!Q67)*(1+'Quarterly returns'!Q68)*(1+'Quarterly returns'!Q69)-1</f>
        <v>0.23281385810664235</v>
      </c>
      <c r="G81" s="68">
        <f>(1+'Quarterly returns'!R66)*(1+'Quarterly returns'!R67)*(1+'Quarterly returns'!R68)*(1+'Quarterly returns'!R69)-1</f>
        <v>0.66894882878279693</v>
      </c>
      <c r="H81" s="68">
        <f>(1+'Quarterly returns'!S66)*(1+'Quarterly returns'!S67)*(1+'Quarterly returns'!S68)*(1+'Quarterly returns'!S69)-1</f>
        <v>0.1619235683857998</v>
      </c>
      <c r="I81" s="68">
        <f>(1+'Quarterly returns'!T66)*(1+'Quarterly returns'!T67)*(1+'Quarterly returns'!T68)*(1+'Quarterly returns'!T69)-1</f>
        <v>2.2983643502025863E-3</v>
      </c>
      <c r="J81" s="68">
        <f>(1+'Quarterly returns'!U66)*(1+'Quarterly returns'!U67)*(1+'Quarterly returns'!U68)*(1+'Quarterly returns'!U69)-1</f>
        <v>0.367020030132996</v>
      </c>
      <c r="K81" s="68">
        <f>(1+'Quarterly returns'!V66)*(1+'Quarterly returns'!V67)*(1+'Quarterly returns'!V68)*(1+'Quarterly returns'!V69)-1</f>
        <v>-5.9972877412905468E-2</v>
      </c>
      <c r="L81" s="68">
        <f>(1+'Quarterly returns'!W66)*(1+'Quarterly returns'!W67)*(1+'Quarterly returns'!W68)*(1+'Quarterly returns'!W69)-1</f>
        <v>-4.4069642716421109E-2</v>
      </c>
      <c r="M81" s="68">
        <f>(1+'Quarterly returns'!X66)*(1+'Quarterly returns'!X67)*(1+'Quarterly returns'!X68)*(1+'Quarterly returns'!X69)-1</f>
        <v>3.8664730944426573E-4</v>
      </c>
      <c r="N81" s="77"/>
      <c r="O81" s="68">
        <f>C81-AVERAGE(C$21:C$97)+Forecast!$G$6</f>
        <v>0.15486958206611579</v>
      </c>
      <c r="P81" s="68">
        <f>D81-AVERAGE(D$21:D$97)+Forecast!$G$7</f>
        <v>0.11389757905589654</v>
      </c>
      <c r="Q81" s="68">
        <f>E81-AVERAGE(E$21:E$97)+Forecast!$G$8</f>
        <v>-9.3093522398857542E-2</v>
      </c>
      <c r="R81" s="68">
        <f>F81-AVERAGE(F$21:F$97)+Forecast!$G$9</f>
        <v>0.23355929638976947</v>
      </c>
      <c r="S81" s="68">
        <f>G81-AVERAGE(G$21:G$97)+Forecast!$G$10</f>
        <v>0.70223764189106164</v>
      </c>
      <c r="T81" s="68">
        <f>H81-AVERAGE(H$21:H$97)+Forecast!$G$11</f>
        <v>0.15335999839524297</v>
      </c>
      <c r="U81" s="68">
        <f>I81-AVERAGE(I$21:I$97)+Forecast!$G$12</f>
        <v>-4.4056285720268706E-2</v>
      </c>
      <c r="V81" s="68">
        <f>J81-AVERAGE(J$21:J$97)+Forecast!$G$13</f>
        <v>0.30235129949079109</v>
      </c>
      <c r="W81" s="68">
        <f>K81-AVERAGE(K$21:K$97)+Forecast!$G$14</f>
        <v>-5.4392039424756143E-2</v>
      </c>
      <c r="X81" s="68">
        <f>L81-AVERAGE(L$21:L$97)+Forecast!$G$15</f>
        <v>-4.1397213880144605E-2</v>
      </c>
      <c r="Y81" s="68">
        <f>M81-AVERAGE(M$21:M$97)+Forecast!$G$16</f>
        <v>1.3756150146422473E-2</v>
      </c>
      <c r="Z81" s="68">
        <f>SUMPRODUCT($O81:$Y81,Risk!$B$56:$L$56)</f>
        <v>9.7575625762727172E-2</v>
      </c>
      <c r="AA81" s="68">
        <f>SUMPRODUCT($O81:$Y81,Risk!$B$57:$L$57)</f>
        <v>9.7314868194072215E-2</v>
      </c>
      <c r="AB81" s="314">
        <f>SUMPRODUCT($O81:$Y81,Risk!$B$58:$L$58)</f>
        <v>0.10559484994160363</v>
      </c>
    </row>
    <row r="82" spans="1:28" x14ac:dyDescent="0.2">
      <c r="A82" s="312">
        <v>62</v>
      </c>
      <c r="B82" s="313">
        <f>'Quarterly returns'!A70</f>
        <v>44742</v>
      </c>
      <c r="C82" s="68">
        <f>(1+'Quarterly returns'!N67)*(1+'Quarterly returns'!N68)*(1+'Quarterly returns'!N69)*(1+'Quarterly returns'!N70)-1</f>
        <v>-7.4420443290013072E-2</v>
      </c>
      <c r="D82" s="68">
        <f>(1+'Quarterly returns'!O67)*(1+'Quarterly returns'!O68)*(1+'Quarterly returns'!O69)*(1+'Quarterly returns'!O70)-1</f>
        <v>-2.5007672621062071E-2</v>
      </c>
      <c r="E82" s="68">
        <f>(1+'Quarterly returns'!P67)*(1+'Quarterly returns'!P68)*(1+'Quarterly returns'!P69)*(1+'Quarterly returns'!P70)-1</f>
        <v>-0.12532729252858998</v>
      </c>
      <c r="F82" s="68">
        <f>(1+'Quarterly returns'!Q67)*(1+'Quarterly returns'!Q68)*(1+'Quarterly returns'!Q69)*(1+'Quarterly returns'!Q70)-1</f>
        <v>2.0349564303026924E-2</v>
      </c>
      <c r="G82" s="68">
        <f>(1+'Quarterly returns'!R67)*(1+'Quarterly returns'!R68)*(1+'Quarterly returns'!R69)*(1+'Quarterly returns'!R70)-1</f>
        <v>0.58356620441954243</v>
      </c>
      <c r="H82" s="68">
        <f>(1+'Quarterly returns'!S67)*(1+'Quarterly returns'!S68)*(1+'Quarterly returns'!S69)*(1+'Quarterly returns'!S70)-1</f>
        <v>1.9491985720892391E-2</v>
      </c>
      <c r="I82" s="68">
        <f>(1+'Quarterly returns'!T67)*(1+'Quarterly returns'!T68)*(1+'Quarterly returns'!T69)*(1+'Quarterly returns'!T70)-1</f>
        <v>-8.9966451772003353E-3</v>
      </c>
      <c r="J82" s="68">
        <f>(1+'Quarterly returns'!U67)*(1+'Quarterly returns'!U68)*(1+'Quarterly returns'!U69)*(1+'Quarterly returns'!U70)-1</f>
        <v>6.3400376705495365E-2</v>
      </c>
      <c r="K82" s="68">
        <f>(1+'Quarterly returns'!V67)*(1+'Quarterly returns'!V68)*(1+'Quarterly returns'!V69)*(1+'Quarterly returns'!V70)-1</f>
        <v>-0.11734428017819176</v>
      </c>
      <c r="L82" s="68">
        <f>(1+'Quarterly returns'!W67)*(1+'Quarterly returns'!W68)*(1+'Quarterly returns'!W69)*(1+'Quarterly returns'!W70)-1</f>
        <v>-9.321402313842686E-2</v>
      </c>
      <c r="M82" s="68">
        <f>(1+'Quarterly returns'!X67)*(1+'Quarterly returns'!X68)*(1+'Quarterly returns'!X69)*(1+'Quarterly returns'!X70)-1</f>
        <v>9.6317252383548713E-4</v>
      </c>
      <c r="N82" s="77"/>
      <c r="O82" s="68">
        <f>C82-AVERAGE(C$21:C$97)+Forecast!$G$6</f>
        <v>-7.4354891705595269E-2</v>
      </c>
      <c r="P82" s="68">
        <f>D82-AVERAGE(D$21:D$97)+Forecast!$G$7</f>
        <v>-4.8270204685726001E-2</v>
      </c>
      <c r="Q82" s="68">
        <f>E82-AVERAGE(E$21:E$97)+Forecast!$G$8</f>
        <v>-0.13564986833430109</v>
      </c>
      <c r="R82" s="68">
        <f>F82-AVERAGE(F$21:F$97)+Forecast!$G$9</f>
        <v>2.1095002586154057E-2</v>
      </c>
      <c r="S82" s="68">
        <f>G82-AVERAGE(G$21:G$97)+Forecast!$G$10</f>
        <v>0.61685501752780714</v>
      </c>
      <c r="T82" s="68">
        <f>H82-AVERAGE(H$21:H$97)+Forecast!$G$11</f>
        <v>1.0928415730335567E-2</v>
      </c>
      <c r="U82" s="68">
        <f>I82-AVERAGE(I$21:I$97)+Forecast!$G$12</f>
        <v>-5.5351295247671628E-2</v>
      </c>
      <c r="V82" s="68">
        <f>J82-AVERAGE(J$21:J$97)+Forecast!$G$13</f>
        <v>-1.268353936709557E-3</v>
      </c>
      <c r="W82" s="68">
        <f>K82-AVERAGE(K$21:K$97)+Forecast!$G$14</f>
        <v>-0.11176344219004244</v>
      </c>
      <c r="X82" s="68">
        <f>L82-AVERAGE(L$21:L$97)+Forecast!$G$15</f>
        <v>-9.0541594302150363E-2</v>
      </c>
      <c r="Y82" s="68">
        <f>M82-AVERAGE(M$21:M$97)+Forecast!$G$16</f>
        <v>1.4332675360813694E-2</v>
      </c>
      <c r="Z82" s="68">
        <f>SUMPRODUCT($O82:$Y82,Risk!$B$56:$L$56)</f>
        <v>-6.0291053958189338E-2</v>
      </c>
      <c r="AA82" s="68">
        <f>SUMPRODUCT($O82:$Y82,Risk!$B$57:$L$57)</f>
        <v>-4.6757963277447884E-2</v>
      </c>
      <c r="AB82" s="314">
        <f>SUMPRODUCT($O82:$Y82,Risk!$B$58:$L$58)</f>
        <v>-4.3180268726241353E-2</v>
      </c>
    </row>
    <row r="83" spans="1:28" x14ac:dyDescent="0.2">
      <c r="A83" s="312">
        <v>63</v>
      </c>
      <c r="B83" s="313">
        <f>'Quarterly returns'!A71</f>
        <v>44834</v>
      </c>
      <c r="C83" s="68">
        <f>(1+'Quarterly returns'!N68)*(1+'Quarterly returns'!N69)*(1+'Quarterly returns'!N70)*(1+'Quarterly returns'!N71)-1</f>
        <v>-8.5704203384106559E-2</v>
      </c>
      <c r="D83" s="68">
        <f>(1+'Quarterly returns'!O68)*(1+'Quarterly returns'!O69)*(1+'Quarterly returns'!O70)*(1+'Quarterly returns'!O71)-1</f>
        <v>-4.6413618241706089E-2</v>
      </c>
      <c r="E83" s="68">
        <f>(1+'Quarterly returns'!P68)*(1+'Quarterly returns'!P69)*(1+'Quarterly returns'!P70)*(1+'Quarterly returns'!P71)-1</f>
        <v>-0.1138977113783981</v>
      </c>
      <c r="F83" s="68">
        <f>(1+'Quarterly returns'!Q68)*(1+'Quarterly returns'!Q69)*(1+'Quarterly returns'!Q70)*(1+'Quarterly returns'!Q71)-1</f>
        <v>-5.4477649616736845E-2</v>
      </c>
      <c r="G83" s="68">
        <f>(1+'Quarterly returns'!R68)*(1+'Quarterly returns'!R69)*(1+'Quarterly returns'!R70)*(1+'Quarterly returns'!R71)-1</f>
        <v>0.38904406994025065</v>
      </c>
      <c r="H83" s="68">
        <f>(1+'Quarterly returns'!S68)*(1+'Quarterly returns'!S69)*(1+'Quarterly returns'!S70)*(1+'Quarterly returns'!S71)-1</f>
        <v>-0.10417185077955127</v>
      </c>
      <c r="I83" s="68">
        <f>(1+'Quarterly returns'!T68)*(1+'Quarterly returns'!T69)*(1+'Quarterly returns'!T70)*(1+'Quarterly returns'!T71)-1</f>
        <v>-3.8078777418447673E-2</v>
      </c>
      <c r="J83" s="68">
        <f>(1+'Quarterly returns'!U68)*(1+'Quarterly returns'!U69)*(1+'Quarterly returns'!U70)*(1+'Quarterly returns'!U71)-1</f>
        <v>-3.3948383863123044E-2</v>
      </c>
      <c r="K83" s="68">
        <f>(1+'Quarterly returns'!V68)*(1+'Quarterly returns'!V69)*(1+'Quarterly returns'!V70)*(1+'Quarterly returns'!V71)-1</f>
        <v>-0.12563130048050808</v>
      </c>
      <c r="L83" s="68">
        <f>(1+'Quarterly returns'!W68)*(1+'Quarterly returns'!W69)*(1+'Quarterly returns'!W70)*(1+'Quarterly returns'!W71)-1</f>
        <v>-0.12676449185993877</v>
      </c>
      <c r="M83" s="68">
        <f>(1+'Quarterly returns'!X68)*(1+'Quarterly returns'!X69)*(1+'Quarterly returns'!X70)*(1+'Quarterly returns'!X71)-1</f>
        <v>5.1484172907800829E-3</v>
      </c>
      <c r="N83" s="77"/>
      <c r="O83" s="68">
        <f>C83-AVERAGE(C$21:C$97)+Forecast!$G$6</f>
        <v>-8.5638651799688756E-2</v>
      </c>
      <c r="P83" s="68">
        <f>D83-AVERAGE(D$21:D$97)+Forecast!$G$7</f>
        <v>-6.9676150306370019E-2</v>
      </c>
      <c r="Q83" s="68">
        <f>E83-AVERAGE(E$21:E$97)+Forecast!$G$8</f>
        <v>-0.12422028718410921</v>
      </c>
      <c r="R83" s="68">
        <f>F83-AVERAGE(F$21:F$97)+Forecast!$G$9</f>
        <v>-5.3732211333609725E-2</v>
      </c>
      <c r="S83" s="68">
        <f>G83-AVERAGE(G$21:G$97)+Forecast!$G$10</f>
        <v>0.4223328830485153</v>
      </c>
      <c r="T83" s="68">
        <f>H83-AVERAGE(H$21:H$97)+Forecast!$G$11</f>
        <v>-0.11273542077010811</v>
      </c>
      <c r="U83" s="68">
        <f>I83-AVERAGE(I$21:I$97)+Forecast!$G$12</f>
        <v>-8.4433427488918966E-2</v>
      </c>
      <c r="V83" s="68">
        <f>J83-AVERAGE(J$21:J$97)+Forecast!$G$13</f>
        <v>-9.8617114505327952E-2</v>
      </c>
      <c r="W83" s="68">
        <f>K83-AVERAGE(K$21:K$97)+Forecast!$G$14</f>
        <v>-0.12005046249235876</v>
      </c>
      <c r="X83" s="68">
        <f>L83-AVERAGE(L$21:L$97)+Forecast!$G$15</f>
        <v>-0.12409206302366227</v>
      </c>
      <c r="Y83" s="68">
        <f>M83-AVERAGE(M$21:M$97)+Forecast!$G$16</f>
        <v>1.851792012775829E-2</v>
      </c>
      <c r="Z83" s="68">
        <f>SUMPRODUCT($O83:$Y83,Risk!$B$56:$L$56)</f>
        <v>-8.0202591921314195E-2</v>
      </c>
      <c r="AA83" s="68">
        <f>SUMPRODUCT($O83:$Y83,Risk!$B$57:$L$57)</f>
        <v>-7.82030861473898E-2</v>
      </c>
      <c r="AB83" s="314">
        <f>SUMPRODUCT($O83:$Y83,Risk!$B$58:$L$58)</f>
        <v>-7.2962928774930449E-2</v>
      </c>
    </row>
    <row r="84" spans="1:28" x14ac:dyDescent="0.2">
      <c r="A84" s="312">
        <v>64</v>
      </c>
      <c r="B84" s="313">
        <f>'Quarterly returns'!A72</f>
        <v>44925</v>
      </c>
      <c r="C84" s="68">
        <f>(1+'Quarterly returns'!N69)*(1+'Quarterly returns'!N70)*(1+'Quarterly returns'!N71)*(1+'Quarterly returns'!N72)-1</f>
        <v>-2.9586587940056419E-2</v>
      </c>
      <c r="D84" s="68">
        <f>(1+'Quarterly returns'!O69)*(1+'Quarterly returns'!O70)*(1+'Quarterly returns'!O71)*(1+'Quarterly returns'!O72)-1</f>
        <v>-9.5374399127615361E-2</v>
      </c>
      <c r="E84" s="68">
        <f>(1+'Quarterly returns'!P69)*(1+'Quarterly returns'!P70)*(1+'Quarterly returns'!P71)*(1+'Quarterly returns'!P72)-1</f>
        <v>-9.0464646130854698E-2</v>
      </c>
      <c r="F84" s="68">
        <f>(1+'Quarterly returns'!Q69)*(1+'Quarterly returns'!Q70)*(1+'Quarterly returns'!Q71)*(1+'Quarterly returns'!Q72)-1</f>
        <v>-0.1602728930450803</v>
      </c>
      <c r="G84" s="68">
        <f>(1+'Quarterly returns'!R69)*(1+'Quarterly returns'!R70)*(1+'Quarterly returns'!R71)*(1+'Quarterly returns'!R72)-1</f>
        <v>0.35070541736577954</v>
      </c>
      <c r="H84" s="68">
        <f>(1+'Quarterly returns'!S69)*(1+'Quarterly returns'!S70)*(1+'Quarterly returns'!S71)*(1+'Quarterly returns'!S72)-1</f>
        <v>-0.14837279431934303</v>
      </c>
      <c r="I84" s="68">
        <f>(1+'Quarterly returns'!T69)*(1+'Quarterly returns'!T70)*(1+'Quarterly returns'!T71)*(1+'Quarterly returns'!T72)-1</f>
        <v>2.3911744698201343E-2</v>
      </c>
      <c r="J84" s="68">
        <f>(1+'Quarterly returns'!U69)*(1+'Quarterly returns'!U70)*(1+'Quarterly returns'!U71)*(1+'Quarterly returns'!U72)-1</f>
        <v>9.4939572138603712E-3</v>
      </c>
      <c r="K84" s="68">
        <f>(1+'Quarterly returns'!V69)*(1+'Quarterly returns'!V70)*(1+'Quarterly returns'!V71)*(1+'Quarterly returns'!V72)-1</f>
        <v>-0.11082469618679014</v>
      </c>
      <c r="L84" s="68">
        <f>(1+'Quarterly returns'!W69)*(1+'Quarterly returns'!W70)*(1+'Quarterly returns'!W71)*(1+'Quarterly returns'!W72)-1</f>
        <v>-0.12590992857064454</v>
      </c>
      <c r="M84" s="68">
        <f>(1+'Quarterly returns'!X69)*(1+'Quarterly returns'!X70)*(1+'Quarterly returns'!X71)*(1+'Quarterly returns'!X72)-1</f>
        <v>1.2555221974734021E-2</v>
      </c>
      <c r="N84" s="77"/>
      <c r="O84" s="68">
        <f>C84-AVERAGE(C$21:C$97)+Forecast!$G$6</f>
        <v>-2.9521036355638616E-2</v>
      </c>
      <c r="P84" s="68">
        <f>D84-AVERAGE(D$21:D$97)+Forecast!$G$7</f>
        <v>-0.11863693119227929</v>
      </c>
      <c r="Q84" s="68">
        <f>E84-AVERAGE(E$21:E$97)+Forecast!$G$8</f>
        <v>-0.10078722193656581</v>
      </c>
      <c r="R84" s="68">
        <f>F84-AVERAGE(F$21:F$97)+Forecast!$G$9</f>
        <v>-0.15952745476195318</v>
      </c>
      <c r="S84" s="68">
        <f>G84-AVERAGE(G$21:G$97)+Forecast!$G$10</f>
        <v>0.38399423047404418</v>
      </c>
      <c r="T84" s="68">
        <f>H84-AVERAGE(H$21:H$97)+Forecast!$G$11</f>
        <v>-0.15693636430989988</v>
      </c>
      <c r="U84" s="68">
        <f>I84-AVERAGE(I$21:I$97)+Forecast!$G$12</f>
        <v>-2.244290537226995E-2</v>
      </c>
      <c r="V84" s="68">
        <f>J84-AVERAGE(J$21:J$97)+Forecast!$G$13</f>
        <v>-5.5174773428344551E-2</v>
      </c>
      <c r="W84" s="68">
        <f>K84-AVERAGE(K$21:K$97)+Forecast!$G$14</f>
        <v>-0.10524385819864082</v>
      </c>
      <c r="X84" s="68">
        <f>L84-AVERAGE(L$21:L$97)+Forecast!$G$15</f>
        <v>-0.12323749973436804</v>
      </c>
      <c r="Y84" s="68">
        <f>M84-AVERAGE(M$21:M$97)+Forecast!$G$16</f>
        <v>2.5924724811712228E-2</v>
      </c>
      <c r="Z84" s="68">
        <f>SUMPRODUCT($O84:$Y84,Risk!$B$56:$L$56)</f>
        <v>-7.5319394228632333E-2</v>
      </c>
      <c r="AA84" s="68">
        <f>SUMPRODUCT($O84:$Y84,Risk!$B$57:$L$57)</f>
        <v>-8.0051648410761747E-2</v>
      </c>
      <c r="AB84" s="314">
        <f>SUMPRODUCT($O84:$Y84,Risk!$B$58:$L$58)</f>
        <v>-7.8159392317811133E-2</v>
      </c>
    </row>
    <row r="85" spans="1:28" x14ac:dyDescent="0.2">
      <c r="A85" s="312">
        <v>65</v>
      </c>
      <c r="B85" s="313">
        <f>'Quarterly returns'!A73</f>
        <v>45016</v>
      </c>
      <c r="C85" s="68">
        <f>(1+'Quarterly returns'!N70)*(1+'Quarterly returns'!N71)*(1+'Quarterly returns'!N72)*(1+'Quarterly returns'!N73)-1</f>
        <v>-1.0557555825875031E-2</v>
      </c>
      <c r="D85" s="68">
        <f>(1+'Quarterly returns'!O70)*(1+'Quarterly returns'!O71)*(1+'Quarterly returns'!O72)*(1+'Quarterly returns'!O73)-1</f>
        <v>6.5395240655937714E-2</v>
      </c>
      <c r="E85" s="68">
        <f>(1+'Quarterly returns'!P70)*(1+'Quarterly returns'!P71)*(1+'Quarterly returns'!P72)*(1+'Quarterly returns'!P73)-1</f>
        <v>5.1412786426528134E-2</v>
      </c>
      <c r="F85" s="68">
        <f>(1+'Quarterly returns'!Q70)*(1+'Quarterly returns'!Q71)*(1+'Quarterly returns'!Q72)*(1+'Quarterly returns'!Q73)-1</f>
        <v>-7.7880051872388334E-2</v>
      </c>
      <c r="G85" s="68">
        <f>(1+'Quarterly returns'!R70)*(1+'Quarterly returns'!R71)*(1+'Quarterly returns'!R72)*(1+'Quarterly returns'!R73)-1</f>
        <v>8.6671852902162616E-3</v>
      </c>
      <c r="H85" s="68">
        <f>(1+'Quarterly returns'!S70)*(1+'Quarterly returns'!S71)*(1+'Quarterly returns'!S72)*(1+'Quarterly returns'!S73)-1</f>
        <v>-0.11122756387441513</v>
      </c>
      <c r="I85" s="68">
        <f>(1+'Quarterly returns'!T70)*(1+'Quarterly returns'!T71)*(1+'Quarterly returns'!T72)*(1+'Quarterly returns'!T73)-1</f>
        <v>0.14427782436186098</v>
      </c>
      <c r="J85" s="68">
        <f>(1+'Quarterly returns'!U70)*(1+'Quarterly returns'!U71)*(1+'Quarterly returns'!U72)*(1+'Quarterly returns'!U73)-1</f>
        <v>1.0161186047906945E-2</v>
      </c>
      <c r="K85" s="68">
        <f>(1+'Quarterly returns'!V70)*(1+'Quarterly returns'!V71)*(1+'Quarterly returns'!V72)*(1+'Quarterly returns'!V73)-1</f>
        <v>-2.0221467568558582E-3</v>
      </c>
      <c r="L85" s="68">
        <f>(1+'Quarterly returns'!W70)*(1+'Quarterly returns'!W71)*(1+'Quarterly returns'!W72)*(1+'Quarterly returns'!W73)-1</f>
        <v>-5.8221270596613528E-2</v>
      </c>
      <c r="M85" s="68">
        <f>(1+'Quarterly returns'!X70)*(1+'Quarterly returns'!X71)*(1+'Quarterly returns'!X72)*(1+'Quarterly returns'!X73)-1</f>
        <v>2.0392395498678884E-2</v>
      </c>
      <c r="N85" s="77"/>
      <c r="O85" s="68">
        <f>C85-AVERAGE(C$21:C$97)+Forecast!$G$6</f>
        <v>-1.0492004241457228E-2</v>
      </c>
      <c r="P85" s="68">
        <f>D85-AVERAGE(D$21:D$97)+Forecast!$G$7</f>
        <v>4.2132708591273771E-2</v>
      </c>
      <c r="Q85" s="68">
        <f>E85-AVERAGE(E$21:E$97)+Forecast!$G$8</f>
        <v>4.1090210620817025E-2</v>
      </c>
      <c r="R85" s="68">
        <f>F85-AVERAGE(F$21:F$97)+Forecast!$G$9</f>
        <v>-7.7134613589261214E-2</v>
      </c>
      <c r="S85" s="68">
        <f>G85-AVERAGE(G$21:G$97)+Forecast!$G$10</f>
        <v>4.1955998398480895E-2</v>
      </c>
      <c r="T85" s="68">
        <f>H85-AVERAGE(H$21:H$97)+Forecast!$G$11</f>
        <v>-0.11979113386497196</v>
      </c>
      <c r="U85" s="68">
        <f>I85-AVERAGE(I$21:I$97)+Forecast!$G$12</f>
        <v>9.7923174291389692E-2</v>
      </c>
      <c r="V85" s="68">
        <f>J85-AVERAGE(J$21:J$97)+Forecast!$G$13</f>
        <v>-5.4507544594297977E-2</v>
      </c>
      <c r="W85" s="68">
        <f>K85-AVERAGE(K$21:K$97)+Forecast!$G$14</f>
        <v>3.5586912312934732E-3</v>
      </c>
      <c r="X85" s="68">
        <f>L85-AVERAGE(L$21:L$97)+Forecast!$G$15</f>
        <v>-5.5548841760337024E-2</v>
      </c>
      <c r="Y85" s="68">
        <f>M85-AVERAGE(M$21:M$97)+Forecast!$G$16</f>
        <v>3.3761898335657091E-2</v>
      </c>
      <c r="Z85" s="68">
        <f>SUMPRODUCT($O85:$Y85,Risk!$B$56:$L$56)</f>
        <v>-5.030492109891203E-3</v>
      </c>
      <c r="AA85" s="68">
        <f>SUMPRODUCT($O85:$Y85,Risk!$B$57:$L$57)</f>
        <v>-5.1251343366348805E-3</v>
      </c>
      <c r="AB85" s="314">
        <f>SUMPRODUCT($O85:$Y85,Risk!$B$58:$L$58)</f>
        <v>-1.6402749410314855E-3</v>
      </c>
    </row>
    <row r="86" spans="1:28" x14ac:dyDescent="0.2">
      <c r="A86" s="312">
        <v>66</v>
      </c>
      <c r="B86" s="313">
        <f>'Quarterly returns'!A74</f>
        <v>45107</v>
      </c>
      <c r="C86" s="68">
        <f>(1+'Quarterly returns'!N71)*(1+'Quarterly returns'!N72)*(1+'Quarterly returns'!N73)*(1+'Quarterly returns'!N74)-1</f>
        <v>0.14752290819169112</v>
      </c>
      <c r="D86" s="68">
        <f>(1+'Quarterly returns'!O71)*(1+'Quarterly returns'!O72)*(1+'Quarterly returns'!O73)*(1+'Quarterly returns'!O74)-1</f>
        <v>0.22778989550281903</v>
      </c>
      <c r="E86" s="68">
        <f>(1+'Quarterly returns'!P71)*(1+'Quarterly returns'!P72)*(1+'Quarterly returns'!P73)*(1+'Quarterly returns'!P74)-1</f>
        <v>7.1866731078717772E-2</v>
      </c>
      <c r="F86" s="68">
        <f>(1+'Quarterly returns'!Q71)*(1+'Quarterly returns'!Q72)*(1+'Quarterly returns'!Q73)*(1+'Quarterly returns'!Q74)-1</f>
        <v>1.7112816290845156E-2</v>
      </c>
      <c r="G86" s="68">
        <f>(1+'Quarterly returns'!R71)*(1+'Quarterly returns'!R72)*(1+'Quarterly returns'!R73)*(1+'Quarterly returns'!R74)-1</f>
        <v>-0.1138107191244021</v>
      </c>
      <c r="H86" s="68">
        <f>(1+'Quarterly returns'!S71)*(1+'Quarterly returns'!S72)*(1+'Quarterly returns'!S73)*(1+'Quarterly returns'!S74)-1</f>
        <v>1.0396404201924669E-2</v>
      </c>
      <c r="I86" s="68">
        <f>(1+'Quarterly returns'!T71)*(1+'Quarterly returns'!T72)*(1+'Quarterly returns'!T73)*(1+'Quarterly returns'!T74)-1</f>
        <v>8.7473603081008822E-2</v>
      </c>
      <c r="J86" s="68">
        <f>(1+'Quarterly returns'!U71)*(1+'Quarterly returns'!U72)*(1+'Quarterly returns'!U73)*(1+'Quarterly returns'!U74)-1</f>
        <v>0.18885773872047706</v>
      </c>
      <c r="K86" s="68">
        <f>(1+'Quarterly returns'!V71)*(1+'Quarterly returns'!V72)*(1+'Quarterly returns'!V73)*(1+'Quarterly returns'!V74)-1</f>
        <v>1.2079286243117826E-2</v>
      </c>
      <c r="L86" s="68">
        <f>(1+'Quarterly returns'!W71)*(1+'Quarterly returns'!W72)*(1+'Quarterly returns'!W73)*(1+'Quarterly returns'!W74)-1</f>
        <v>-1.732710111024538E-2</v>
      </c>
      <c r="M86" s="68">
        <f>(1+'Quarterly returns'!X71)*(1+'Quarterly returns'!X72)*(1+'Quarterly returns'!X73)*(1+'Quarterly returns'!X74)-1</f>
        <v>2.8928573591889162E-2</v>
      </c>
      <c r="N86" s="77"/>
      <c r="O86" s="68">
        <f>C86-AVERAGE(C$21:C$97)+Forecast!$G$6</f>
        <v>0.1475884597761089</v>
      </c>
      <c r="P86" s="68">
        <f>D86-AVERAGE(D$21:D$97)+Forecast!$G$7</f>
        <v>0.20452736343815509</v>
      </c>
      <c r="Q86" s="68">
        <f>E86-AVERAGE(E$21:E$97)+Forecast!$G$8</f>
        <v>6.1544155273006662E-2</v>
      </c>
      <c r="R86" s="68">
        <f>F86-AVERAGE(F$21:F$97)+Forecast!$G$9</f>
        <v>1.785825457397229E-2</v>
      </c>
      <c r="S86" s="68">
        <f>G86-AVERAGE(G$21:G$97)+Forecast!$G$10</f>
        <v>-8.0521906016137471E-2</v>
      </c>
      <c r="T86" s="68">
        <f>H86-AVERAGE(H$21:H$97)+Forecast!$G$11</f>
        <v>1.8328342113678453E-3</v>
      </c>
      <c r="U86" s="68">
        <f>I86-AVERAGE(I$21:I$97)+Forecast!$G$12</f>
        <v>4.1118953010537529E-2</v>
      </c>
      <c r="V86" s="68">
        <f>J86-AVERAGE(J$21:J$97)+Forecast!$G$13</f>
        <v>0.12418900807827214</v>
      </c>
      <c r="W86" s="68">
        <f>K86-AVERAGE(K$21:K$97)+Forecast!$G$14</f>
        <v>1.7660124231267157E-2</v>
      </c>
      <c r="X86" s="68">
        <f>L86-AVERAGE(L$21:L$97)+Forecast!$G$15</f>
        <v>-1.4654672273968876E-2</v>
      </c>
      <c r="Y86" s="68">
        <f>M86-AVERAGE(M$21:M$97)+Forecast!$G$16</f>
        <v>4.2298076428867369E-2</v>
      </c>
      <c r="Z86" s="68">
        <f>SUMPRODUCT($O86:$Y86,Risk!$B$56:$L$56)</f>
        <v>0.10616419225826508</v>
      </c>
      <c r="AA86" s="68">
        <f>SUMPRODUCT($O86:$Y86,Risk!$B$57:$L$57)</f>
        <v>9.4649872805569482E-2</v>
      </c>
      <c r="AB86" s="314">
        <f>SUMPRODUCT($O86:$Y86,Risk!$B$58:$L$58)</f>
        <v>0.10291509383681224</v>
      </c>
    </row>
    <row r="87" spans="1:28" x14ac:dyDescent="0.2">
      <c r="A87" s="312">
        <v>67</v>
      </c>
      <c r="B87" s="313">
        <f>'Quarterly returns'!A75</f>
        <v>45198</v>
      </c>
      <c r="C87" s="68">
        <f>(1+'Quarterly returns'!N72)*(1+'Quarterly returns'!N73)*(1+'Quarterly returns'!N74)*(1+'Quarterly returns'!N75)-1</f>
        <v>0.13086796268047451</v>
      </c>
      <c r="D87" s="68">
        <f>(1+'Quarterly returns'!O72)*(1+'Quarterly returns'!O73)*(1+'Quarterly returns'!O74)*(1+'Quarterly returns'!O75)-1</f>
        <v>0.20603545794778233</v>
      </c>
      <c r="E87" s="68">
        <f>(1+'Quarterly returns'!P72)*(1+'Quarterly returns'!P73)*(1+'Quarterly returns'!P74)*(1+'Quarterly returns'!P75)-1</f>
        <v>0.10927057100401272</v>
      </c>
      <c r="F87" s="68">
        <f>(1+'Quarterly returns'!Q72)*(1+'Quarterly returns'!Q73)*(1+'Quarterly returns'!Q74)*(1+'Quarterly returns'!Q75)-1</f>
        <v>2.1860683025023864E-2</v>
      </c>
      <c r="G87" s="68">
        <f>(1+'Quarterly returns'!R72)*(1+'Quarterly returns'!R73)*(1+'Quarterly returns'!R74)*(1+'Quarterly returns'!R75)-1</f>
        <v>0.10507506611611861</v>
      </c>
      <c r="H87" s="68">
        <f>(1+'Quarterly returns'!S72)*(1+'Quarterly returns'!S73)*(1+'Quarterly returns'!S74)*(1+'Quarterly returns'!S75)-1</f>
        <v>0.15792546627252624</v>
      </c>
      <c r="I87" s="68">
        <f>(1+'Quarterly returns'!T72)*(1+'Quarterly returns'!T73)*(1+'Quarterly returns'!T74)*(1+'Quarterly returns'!T75)-1</f>
        <v>0.12662811463969925</v>
      </c>
      <c r="J87" s="68">
        <f>(1+'Quarterly returns'!U72)*(1+'Quarterly returns'!U73)*(1+'Quarterly returns'!U74)*(1+'Quarterly returns'!U75)-1</f>
        <v>0.28074887855446828</v>
      </c>
      <c r="K87" s="68">
        <f>(1+'Quarterly returns'!V72)*(1+'Quarterly returns'!V73)*(1+'Quarterly returns'!V74)*(1+'Quarterly returns'!V75)-1</f>
        <v>1.5384647437912236E-2</v>
      </c>
      <c r="L87" s="68">
        <f>(1+'Quarterly returns'!W72)*(1+'Quarterly returns'!W73)*(1+'Quarterly returns'!W74)*(1+'Quarterly returns'!W75)-1</f>
        <v>-9.092306999167743E-3</v>
      </c>
      <c r="M87" s="68">
        <f>(1+'Quarterly returns'!X72)*(1+'Quarterly returns'!X73)*(1+'Quarterly returns'!X74)*(1+'Quarterly returns'!X75)-1</f>
        <v>3.5660453039287443E-2</v>
      </c>
      <c r="N87" s="77"/>
      <c r="O87" s="68">
        <f>C87-AVERAGE(C$21:C$97)+Forecast!$G$6</f>
        <v>0.1309335142648923</v>
      </c>
      <c r="P87" s="68">
        <f>D87-AVERAGE(D$21:D$97)+Forecast!$G$7</f>
        <v>0.18277292588311839</v>
      </c>
      <c r="Q87" s="68">
        <f>E87-AVERAGE(E$21:E$97)+Forecast!$G$8</f>
        <v>9.8947995198301608E-2</v>
      </c>
      <c r="R87" s="68">
        <f>F87-AVERAGE(F$21:F$97)+Forecast!$G$9</f>
        <v>2.2606121308150998E-2</v>
      </c>
      <c r="S87" s="68">
        <f>G87-AVERAGE(G$21:G$97)+Forecast!$G$10</f>
        <v>0.13836387922438326</v>
      </c>
      <c r="T87" s="68">
        <f>H87-AVERAGE(H$21:H$97)+Forecast!$G$11</f>
        <v>0.14936189628196941</v>
      </c>
      <c r="U87" s="68">
        <f>I87-AVERAGE(I$21:I$97)+Forecast!$G$12</f>
        <v>8.0273464569227959E-2</v>
      </c>
      <c r="V87" s="68">
        <f>J87-AVERAGE(J$21:J$97)+Forecast!$G$13</f>
        <v>0.21608014791226338</v>
      </c>
      <c r="W87" s="68">
        <f>K87-AVERAGE(K$21:K$97)+Forecast!$G$14</f>
        <v>2.0965485426061567E-2</v>
      </c>
      <c r="X87" s="68">
        <f>L87-AVERAGE(L$21:L$97)+Forecast!$G$15</f>
        <v>-6.4198781628912391E-3</v>
      </c>
      <c r="Y87" s="68">
        <f>M87-AVERAGE(M$21:M$97)+Forecast!$G$16</f>
        <v>4.902995587626565E-2</v>
      </c>
      <c r="Z87" s="68">
        <f>SUMPRODUCT($O87:$Y87,Risk!$B$56:$L$56)</f>
        <v>9.7251932485612244E-2</v>
      </c>
      <c r="AA87" s="68">
        <f>SUMPRODUCT($O87:$Y87,Risk!$B$57:$L$57)</f>
        <v>0.10397560993674054</v>
      </c>
      <c r="AB87" s="314">
        <f>SUMPRODUCT($O87:$Y87,Risk!$B$58:$L$58)</f>
        <v>0.11167557171570625</v>
      </c>
    </row>
    <row r="88" spans="1:28" x14ac:dyDescent="0.2">
      <c r="A88" s="312">
        <v>68</v>
      </c>
      <c r="B88" s="313">
        <f>'Quarterly returns'!A76</f>
        <v>45289</v>
      </c>
      <c r="C88" s="68">
        <f>(1+'Quarterly returns'!N73)*(1+'Quarterly returns'!N74)*(1+'Quarterly returns'!N75)*(1+'Quarterly returns'!N76)-1</f>
        <v>0.129750934255495</v>
      </c>
      <c r="D88" s="68">
        <f>(1+'Quarterly returns'!O73)*(1+'Quarterly returns'!O74)*(1+'Quarterly returns'!O75)*(1+'Quarterly returns'!O76)-1</f>
        <v>0.22984931466035774</v>
      </c>
      <c r="E88" s="68">
        <f>(1+'Quarterly returns'!P73)*(1+'Quarterly returns'!P74)*(1+'Quarterly returns'!P75)*(1+'Quarterly returns'!P76)-1</f>
        <v>9.6110303042068912E-2</v>
      </c>
      <c r="F88" s="68">
        <f>(1+'Quarterly returns'!Q73)*(1+'Quarterly returns'!Q74)*(1+'Quarterly returns'!Q75)*(1+'Quarterly returns'!Q76)-1</f>
        <v>0.10934944133208813</v>
      </c>
      <c r="G88" s="68">
        <f>(1+'Quarterly returns'!R73)*(1+'Quarterly returns'!R74)*(1+'Quarterly returns'!R75)*(1+'Quarterly returns'!R76)-1</f>
        <v>-4.8567269936100721E-2</v>
      </c>
      <c r="H88" s="68">
        <f>(1+'Quarterly returns'!S73)*(1+'Quarterly returns'!S74)*(1+'Quarterly returns'!S75)*(1+'Quarterly returns'!S76)-1</f>
        <v>0.10993336932750752</v>
      </c>
      <c r="I88" s="68">
        <f>(1+'Quarterly returns'!T73)*(1+'Quarterly returns'!T74)*(1+'Quarterly returns'!T75)*(1+'Quarterly returns'!T76)-1</f>
        <v>8.184616334023076E-2</v>
      </c>
      <c r="J88" s="68">
        <f>(1+'Quarterly returns'!U73)*(1+'Quarterly returns'!U74)*(1+'Quarterly returns'!U75)*(1+'Quarterly returns'!U76)-1</f>
        <v>0.27956068299666126</v>
      </c>
      <c r="K88" s="68">
        <f>(1+'Quarterly returns'!V73)*(1+'Quarterly returns'!V74)*(1+'Quarterly returns'!V75)*(1+'Quarterly returns'!V76)-1</f>
        <v>5.5631172371903403E-2</v>
      </c>
      <c r="L88" s="68">
        <f>(1+'Quarterly returns'!W73)*(1+'Quarterly returns'!W74)*(1+'Quarterly returns'!W75)*(1+'Quarterly returns'!W76)-1</f>
        <v>4.5680570535890919E-2</v>
      </c>
      <c r="M88" s="68">
        <f>(1+'Quarterly returns'!X73)*(1+'Quarterly returns'!X74)*(1+'Quarterly returns'!X75)*(1+'Quarterly returns'!X76)-1</f>
        <v>3.885338974516328E-2</v>
      </c>
      <c r="N88" s="77"/>
      <c r="O88" s="68">
        <f>C88-AVERAGE(C$21:C$97)+Forecast!$G$6</f>
        <v>0.12981648583991279</v>
      </c>
      <c r="P88" s="68">
        <f>D88-AVERAGE(D$21:D$97)+Forecast!$G$7</f>
        <v>0.2065867825956938</v>
      </c>
      <c r="Q88" s="68">
        <f>E88-AVERAGE(E$21:E$97)+Forecast!$G$8</f>
        <v>8.5787727236357803E-2</v>
      </c>
      <c r="R88" s="68">
        <f>F88-AVERAGE(F$21:F$97)+Forecast!$G$9</f>
        <v>0.11009487961521526</v>
      </c>
      <c r="S88" s="68">
        <f>G88-AVERAGE(G$21:G$97)+Forecast!$G$10</f>
        <v>-1.5278456827836087E-2</v>
      </c>
      <c r="T88" s="68">
        <f>H88-AVERAGE(H$21:H$97)+Forecast!$G$11</f>
        <v>0.1013697993369507</v>
      </c>
      <c r="U88" s="68">
        <f>I88-AVERAGE(I$21:I$97)+Forecast!$G$12</f>
        <v>3.5491513269759467E-2</v>
      </c>
      <c r="V88" s="68">
        <f>J88-AVERAGE(J$21:J$97)+Forecast!$G$13</f>
        <v>0.21489195235445635</v>
      </c>
      <c r="W88" s="68">
        <f>K88-AVERAGE(K$21:K$97)+Forecast!$G$14</f>
        <v>6.1212010360052735E-2</v>
      </c>
      <c r="X88" s="68">
        <f>L88-AVERAGE(L$21:L$97)+Forecast!$G$15</f>
        <v>4.8352999372167423E-2</v>
      </c>
      <c r="Y88" s="68">
        <f>M88-AVERAGE(M$21:M$97)+Forecast!$G$16</f>
        <v>5.2222892582141488E-2</v>
      </c>
      <c r="Z88" s="68">
        <f>SUMPRODUCT($O88:$Y88,Risk!$B$56:$L$56)</f>
        <v>0.12095908280115661</v>
      </c>
      <c r="AA88" s="68">
        <f>SUMPRODUCT($O88:$Y88,Risk!$B$57:$L$57)</f>
        <v>0.12004484563092786</v>
      </c>
      <c r="AB88" s="314">
        <f>SUMPRODUCT($O88:$Y88,Risk!$B$58:$L$58)</f>
        <v>0.12526265478241627</v>
      </c>
    </row>
    <row r="89" spans="1:28" x14ac:dyDescent="0.2">
      <c r="A89" s="312">
        <v>69</v>
      </c>
      <c r="B89" s="313">
        <f>'Quarterly returns'!A77</f>
        <v>45380</v>
      </c>
      <c r="C89" s="68">
        <f>(1+'Quarterly returns'!N74)*(1+'Quarterly returns'!N75)*(1+'Quarterly returns'!N76)*(1+'Quarterly returns'!N77)-1</f>
        <v>0.1498097584453435</v>
      </c>
      <c r="D89" s="68">
        <f>(1+'Quarterly returns'!O74)*(1+'Quarterly returns'!O75)*(1+'Quarterly returns'!O76)*(1+'Quarterly returns'!O77)-1</f>
        <v>0.30147341793335514</v>
      </c>
      <c r="E89" s="68">
        <f>(1+'Quarterly returns'!P74)*(1+'Quarterly returns'!P75)*(1+'Quarterly returns'!P76)*(1+'Quarterly returns'!P77)-1</f>
        <v>0.14013088041372113</v>
      </c>
      <c r="F89" s="68">
        <f>(1+'Quarterly returns'!Q74)*(1+'Quarterly returns'!Q75)*(1+'Quarterly returns'!Q76)*(1+'Quarterly returns'!Q77)-1</f>
        <v>0.13005213238370872</v>
      </c>
      <c r="G89" s="68">
        <f>(1+'Quarterly returns'!R74)*(1+'Quarterly returns'!R75)*(1+'Quarterly returns'!R76)*(1+'Quarterly returns'!R77)-1</f>
        <v>0.14099018887154324</v>
      </c>
      <c r="H89" s="68">
        <f>(1+'Quarterly returns'!S74)*(1+'Quarterly returns'!S75)*(1+'Quarterly returns'!S76)*(1+'Quarterly returns'!S77)-1</f>
        <v>7.3490299250787094E-2</v>
      </c>
      <c r="I89" s="68">
        <f>(1+'Quarterly returns'!T74)*(1+'Quarterly returns'!T75)*(1+'Quarterly returns'!T76)*(1+'Quarterly returns'!T77)-1</f>
        <v>0.12931536170620106</v>
      </c>
      <c r="J89" s="68">
        <f>(1+'Quarterly returns'!U74)*(1+'Quarterly returns'!U75)*(1+'Quarterly returns'!U76)*(1+'Quarterly returns'!U77)-1</f>
        <v>0.40276564102680124</v>
      </c>
      <c r="K89" s="68">
        <f>(1+'Quarterly returns'!V74)*(1+'Quarterly returns'!V75)*(1+'Quarterly returns'!V76)*(1+'Quarterly returns'!V77)-1</f>
        <v>1.5038045720888071E-2</v>
      </c>
      <c r="L89" s="68">
        <f>(1+'Quarterly returns'!W74)*(1+'Quarterly returns'!W75)*(1+'Quarterly returns'!W76)*(1+'Quarterly returns'!W77)-1</f>
        <v>1.2592311896709951E-2</v>
      </c>
      <c r="M89" s="68">
        <f>(1+'Quarterly returns'!X74)*(1+'Quarterly returns'!X75)*(1+'Quarterly returns'!X76)*(1+'Quarterly returns'!X77)-1</f>
        <v>4.1906485725350162E-2</v>
      </c>
      <c r="N89" s="77"/>
      <c r="O89" s="68">
        <f>C89-AVERAGE(C$21:C$97)+Forecast!$G$6</f>
        <v>0.14987531002976129</v>
      </c>
      <c r="P89" s="68">
        <f>D89-AVERAGE(D$21:D$97)+Forecast!$G$7</f>
        <v>0.27821088586869119</v>
      </c>
      <c r="Q89" s="68">
        <f>E89-AVERAGE(E$21:E$97)+Forecast!$G$8</f>
        <v>0.12980830460801002</v>
      </c>
      <c r="R89" s="68">
        <f>F89-AVERAGE(F$21:F$97)+Forecast!$G$9</f>
        <v>0.13079757066683584</v>
      </c>
      <c r="S89" s="68">
        <f>G89-AVERAGE(G$21:G$97)+Forecast!$G$10</f>
        <v>0.17427900197980789</v>
      </c>
      <c r="T89" s="68">
        <f>H89-AVERAGE(H$21:H$97)+Forecast!$G$11</f>
        <v>6.492672926023027E-2</v>
      </c>
      <c r="U89" s="68">
        <f>I89-AVERAGE(I$21:I$97)+Forecast!$G$12</f>
        <v>8.2960711635729767E-2</v>
      </c>
      <c r="V89" s="68">
        <f>J89-AVERAGE(J$21:J$97)+Forecast!$G$13</f>
        <v>0.33809691038459633</v>
      </c>
      <c r="W89" s="68">
        <f>K89-AVERAGE(K$21:K$97)+Forecast!$G$14</f>
        <v>2.0618883709037403E-2</v>
      </c>
      <c r="X89" s="68">
        <f>L89-AVERAGE(L$21:L$97)+Forecast!$G$15</f>
        <v>1.5264740732986455E-2</v>
      </c>
      <c r="Y89" s="68">
        <f>M89-AVERAGE(M$21:M$97)+Forecast!$G$16</f>
        <v>5.5275988562328369E-2</v>
      </c>
      <c r="Z89" s="68">
        <f>SUMPRODUCT($O89:$Y89,Risk!$B$56:$L$56)</f>
        <v>0.13685538926668384</v>
      </c>
      <c r="AA89" s="68">
        <f>SUMPRODUCT($O89:$Y89,Risk!$B$57:$L$57)</f>
        <v>0.14287720922082603</v>
      </c>
      <c r="AB89" s="314">
        <f>SUMPRODUCT($O89:$Y89,Risk!$B$58:$L$58)</f>
        <v>0.15293151350761258</v>
      </c>
    </row>
    <row r="90" spans="1:28" x14ac:dyDescent="0.2">
      <c r="A90" s="312">
        <v>70</v>
      </c>
      <c r="B90" s="313">
        <f>'Quarterly returns'!A78</f>
        <v>45471</v>
      </c>
      <c r="C90" s="68">
        <f>(1+'Quarterly returns'!N75)*(1+'Quarterly returns'!N76)*(1+'Quarterly returns'!N77)*(1+'Quarterly returns'!N78)-1</f>
        <v>0.12510885939312932</v>
      </c>
      <c r="D90" s="68">
        <f>(1+'Quarterly returns'!O75)*(1+'Quarterly returns'!O76)*(1+'Quarterly returns'!O77)*(1+'Quarterly returns'!O78)-1</f>
        <v>0.21484382590721518</v>
      </c>
      <c r="E90" s="68">
        <f>(1+'Quarterly returns'!P75)*(1+'Quarterly returns'!P76)*(1+'Quarterly returns'!P77)*(1+'Quarterly returns'!P78)-1</f>
        <v>0.15577749609086822</v>
      </c>
      <c r="F90" s="68">
        <f>(1+'Quarterly returns'!Q75)*(1+'Quarterly returns'!Q76)*(1+'Quarterly returns'!Q77)*(1+'Quarterly returns'!Q78)-1</f>
        <v>6.978280616711352E-2</v>
      </c>
      <c r="G90" s="68">
        <f>(1+'Quarterly returns'!R75)*(1+'Quarterly returns'!R76)*(1+'Quarterly returns'!R77)*(1+'Quarterly returns'!R78)-1</f>
        <v>0.14627186579353557</v>
      </c>
      <c r="H90" s="68">
        <f>(1+'Quarterly returns'!S75)*(1+'Quarterly returns'!S76)*(1+'Quarterly returns'!S77)*(1+'Quarterly returns'!S78)-1</f>
        <v>-1.4053145068065098E-2</v>
      </c>
      <c r="I90" s="68">
        <f>(1+'Quarterly returns'!T75)*(1+'Quarterly returns'!T76)*(1+'Quarterly returns'!T77)*(1+'Quarterly returns'!T78)-1</f>
        <v>0.13659177374942222</v>
      </c>
      <c r="J90" s="68">
        <f>(1+'Quarterly returns'!U75)*(1+'Quarterly returns'!U76)*(1+'Quarterly returns'!U77)*(1+'Quarterly returns'!U78)-1</f>
        <v>0.32330926349335609</v>
      </c>
      <c r="K90" s="68">
        <f>(1+'Quarterly returns'!V75)*(1+'Quarterly returns'!V76)*(1+'Quarterly returns'!V77)*(1+'Quarterly returns'!V78)-1</f>
        <v>3.7181187290286077E-2</v>
      </c>
      <c r="L90" s="68">
        <f>(1+'Quarterly returns'!W75)*(1+'Quarterly returns'!W76)*(1+'Quarterly returns'!W77)*(1+'Quarterly returns'!W78)-1</f>
        <v>1.2025389333219838E-2</v>
      </c>
      <c r="M90" s="68">
        <f>(1+'Quarterly returns'!X75)*(1+'Quarterly returns'!X76)*(1+'Quarterly returns'!X77)*(1+'Quarterly returns'!X78)-1</f>
        <v>4.373759790999876E-2</v>
      </c>
      <c r="N90" s="77"/>
      <c r="O90" s="68">
        <f>C90-AVERAGE(C$21:C$97)+Forecast!$G$6</f>
        <v>0.12517441097754711</v>
      </c>
      <c r="P90" s="68">
        <f>D90-AVERAGE(D$21:D$97)+Forecast!$G$7</f>
        <v>0.19158129384255124</v>
      </c>
      <c r="Q90" s="68">
        <f>E90-AVERAGE(E$21:E$97)+Forecast!$G$8</f>
        <v>0.14545492028515711</v>
      </c>
      <c r="R90" s="68">
        <f>F90-AVERAGE(F$21:F$97)+Forecast!$G$9</f>
        <v>7.0528244450240654E-2</v>
      </c>
      <c r="S90" s="68">
        <f>G90-AVERAGE(G$21:G$97)+Forecast!$G$10</f>
        <v>0.17956067890180022</v>
      </c>
      <c r="T90" s="68">
        <f>H90-AVERAGE(H$21:H$97)+Forecast!$G$11</f>
        <v>-2.2616715058621922E-2</v>
      </c>
      <c r="U90" s="68">
        <f>I90-AVERAGE(I$21:I$97)+Forecast!$G$12</f>
        <v>9.0237123678950926E-2</v>
      </c>
      <c r="V90" s="68">
        <f>J90-AVERAGE(J$21:J$97)+Forecast!$G$13</f>
        <v>0.25864053285115118</v>
      </c>
      <c r="W90" s="68">
        <f>K90-AVERAGE(K$21:K$97)+Forecast!$G$14</f>
        <v>4.2762025278435409E-2</v>
      </c>
      <c r="X90" s="68">
        <f>L90-AVERAGE(L$21:L$97)+Forecast!$G$15</f>
        <v>1.4697818169496342E-2</v>
      </c>
      <c r="Y90" s="68">
        <f>M90-AVERAGE(M$21:M$97)+Forecast!$G$16</f>
        <v>5.7107100746976967E-2</v>
      </c>
      <c r="Z90" s="68">
        <f>SUMPRODUCT($O90:$Y90,Risk!$B$56:$L$56)</f>
        <v>0.10702647390216656</v>
      </c>
      <c r="AA90" s="68">
        <f>SUMPRODUCT($O90:$Y90,Risk!$B$57:$L$57)</f>
        <v>0.10881710206771349</v>
      </c>
      <c r="AB90" s="314">
        <f>SUMPRODUCT($O90:$Y90,Risk!$B$58:$L$58)</f>
        <v>0.11715028418788129</v>
      </c>
    </row>
    <row r="91" spans="1:28" x14ac:dyDescent="0.2">
      <c r="A91" s="312">
        <v>71</v>
      </c>
      <c r="B91" s="313">
        <f>'Quarterly returns'!A79</f>
        <v>45565</v>
      </c>
      <c r="C91" s="68">
        <f>(1+'Quarterly returns'!N76)*(1+'Quarterly returns'!N77)*(1+'Quarterly returns'!N78)*(1+'Quarterly returns'!N79)-1</f>
        <v>0.22153449289271276</v>
      </c>
      <c r="D91" s="68">
        <f>(1+'Quarterly returns'!O76)*(1+'Quarterly returns'!O77)*(1+'Quarterly returns'!O78)*(1+'Quarterly returns'!O79)-1</f>
        <v>0.21895561134836194</v>
      </c>
      <c r="E91" s="68">
        <f>(1+'Quarterly returns'!P76)*(1+'Quarterly returns'!P77)*(1+'Quarterly returns'!P78)*(1+'Quarterly returns'!P79)-1</f>
        <v>0.16692753819899853</v>
      </c>
      <c r="F91" s="68">
        <f>(1+'Quarterly returns'!Q76)*(1+'Quarterly returns'!Q77)*(1+'Quarterly returns'!Q78)*(1+'Quarterly returns'!Q79)-1</f>
        <v>0.20968167945936367</v>
      </c>
      <c r="G91" s="68">
        <f>(1+'Quarterly returns'!R76)*(1+'Quarterly returns'!R77)*(1+'Quarterly returns'!R78)*(1+'Quarterly returns'!R79)-1</f>
        <v>-0.12606216619420685</v>
      </c>
      <c r="H91" s="68">
        <f>(1+'Quarterly returns'!S76)*(1+'Quarterly returns'!S77)*(1+'Quarterly returns'!S78)*(1+'Quarterly returns'!S79)-1</f>
        <v>-3.9257712456967186E-2</v>
      </c>
      <c r="I91" s="68">
        <f>(1+'Quarterly returns'!T76)*(1+'Quarterly returns'!T77)*(1+'Quarterly returns'!T78)*(1+'Quarterly returns'!T79)-1</f>
        <v>0.10676970876412661</v>
      </c>
      <c r="J91" s="68">
        <f>(1+'Quarterly returns'!U76)*(1+'Quarterly returns'!U77)*(1+'Quarterly returns'!U78)*(1+'Quarterly returns'!U79)-1</f>
        <v>0.37627263794921451</v>
      </c>
      <c r="K91" s="68">
        <f>(1+'Quarterly returns'!V76)*(1+'Quarterly returns'!V77)*(1+'Quarterly returns'!V78)*(1+'Quarterly returns'!V79)-1</f>
        <v>7.4727013982607726E-2</v>
      </c>
      <c r="L91" s="68">
        <f>(1+'Quarterly returns'!W76)*(1+'Quarterly returns'!W77)*(1+'Quarterly returns'!W78)*(1+'Quarterly returns'!W79)-1</f>
        <v>7.9670683249885466E-2</v>
      </c>
      <c r="M91" s="68">
        <f>(1+'Quarterly returns'!X76)*(1+'Quarterly returns'!X77)*(1+'Quarterly returns'!X78)*(1+'Quarterly returns'!X79)-1</f>
        <v>4.4093625253997182E-2</v>
      </c>
      <c r="N91" s="77"/>
      <c r="O91" s="68">
        <f>C91-AVERAGE(C$21:C$97)+Forecast!$G$6</f>
        <v>0.22160004447713055</v>
      </c>
      <c r="P91" s="68">
        <f>D91-AVERAGE(D$21:D$97)+Forecast!$G$7</f>
        <v>0.195693079283698</v>
      </c>
      <c r="Q91" s="68">
        <f>E91-AVERAGE(E$21:E$97)+Forecast!$G$8</f>
        <v>0.15660496239328742</v>
      </c>
      <c r="R91" s="68">
        <f>F91-AVERAGE(F$21:F$97)+Forecast!$G$9</f>
        <v>0.21042711774249079</v>
      </c>
      <c r="S91" s="68">
        <f>G91-AVERAGE(G$21:G$97)+Forecast!$G$10</f>
        <v>-9.2773353085942215E-2</v>
      </c>
      <c r="T91" s="68">
        <f>H91-AVERAGE(H$21:H$97)+Forecast!$G$11</f>
        <v>-4.7821282447524011E-2</v>
      </c>
      <c r="U91" s="68">
        <f>I91-AVERAGE(I$21:I$97)+Forecast!$G$12</f>
        <v>6.0415058693655321E-2</v>
      </c>
      <c r="V91" s="68">
        <f>J91-AVERAGE(J$21:J$97)+Forecast!$G$13</f>
        <v>0.3116039073070096</v>
      </c>
      <c r="W91" s="68">
        <f>K91-AVERAGE(K$21:K$97)+Forecast!$G$14</f>
        <v>8.0307851970757058E-2</v>
      </c>
      <c r="X91" s="68">
        <f>L91-AVERAGE(L$21:L$97)+Forecast!$G$15</f>
        <v>8.2343112086161963E-2</v>
      </c>
      <c r="Y91" s="68">
        <f>M91-AVERAGE(M$21:M$97)+Forecast!$G$16</f>
        <v>5.7463128090975389E-2</v>
      </c>
      <c r="Z91" s="68">
        <f>SUMPRODUCT($O91:$Y91,Risk!$B$56:$L$56)</f>
        <v>0.17147739115071572</v>
      </c>
      <c r="AA91" s="68">
        <f>SUMPRODUCT($O91:$Y91,Risk!$B$57:$L$57)</f>
        <v>0.15073317050518112</v>
      </c>
      <c r="AB91" s="314">
        <f>SUMPRODUCT($O91:$Y91,Risk!$B$58:$L$58)</f>
        <v>0.15601791951689042</v>
      </c>
    </row>
    <row r="92" spans="1:28" x14ac:dyDescent="0.2">
      <c r="A92" s="312">
        <v>72</v>
      </c>
      <c r="B92" s="313">
        <f>'Quarterly returns'!A80</f>
        <v>45657</v>
      </c>
      <c r="C92" s="68">
        <f>(1+'Quarterly returns'!N77)*(1+'Quarterly returns'!N78)*(1+'Quarterly returns'!N79)*(1+'Quarterly returns'!N80)-1</f>
        <v>0.11443812732588521</v>
      </c>
      <c r="D92" s="68">
        <f>(1+'Quarterly returns'!O77)*(1+'Quarterly returns'!O78)*(1+'Quarterly returns'!O79)*(1+'Quarterly returns'!O80)-1</f>
        <v>0.33977884995619334</v>
      </c>
      <c r="E92" s="68">
        <f>(1+'Quarterly returns'!P77)*(1+'Quarterly returns'!P78)*(1+'Quarterly returns'!P79)*(1+'Quarterly returns'!P80)-1</f>
        <v>0.25304313039232129</v>
      </c>
      <c r="F92" s="68">
        <f>(1+'Quarterly returns'!Q77)*(1+'Quarterly returns'!Q78)*(1+'Quarterly returns'!Q79)*(1+'Quarterly returns'!Q80)-1</f>
        <v>0.16878315770815822</v>
      </c>
      <c r="G92" s="68">
        <f>(1+'Quarterly returns'!R77)*(1+'Quarterly returns'!R78)*(1+'Quarterly returns'!R79)*(1+'Quarterly returns'!R80)-1</f>
        <v>0.20396631859160963</v>
      </c>
      <c r="H92" s="68">
        <f>(1+'Quarterly returns'!S77)*(1+'Quarterly returns'!S78)*(1+'Quarterly returns'!S79)*(1+'Quarterly returns'!S80)-1</f>
        <v>1.7819976806713989E-2</v>
      </c>
      <c r="I92" s="68">
        <f>(1+'Quarterly returns'!T77)*(1+'Quarterly returns'!T78)*(1+'Quarterly returns'!T79)*(1+'Quarterly returns'!T80)-1</f>
        <v>0.14411645353677716</v>
      </c>
      <c r="J92" s="68">
        <f>(1+'Quarterly returns'!U77)*(1+'Quarterly returns'!U78)*(1+'Quarterly returns'!U79)*(1+'Quarterly returns'!U80)-1</f>
        <v>0.21492219743456276</v>
      </c>
      <c r="K92" s="68">
        <f>(1+'Quarterly returns'!V77)*(1+'Quarterly returns'!V78)*(1+'Quarterly returns'!V79)*(1+'Quarterly returns'!V80)-1</f>
        <v>2.6961131707370134E-2</v>
      </c>
      <c r="L92" s="68">
        <f>(1+'Quarterly returns'!W77)*(1+'Quarterly returns'!W78)*(1+'Quarterly returns'!W79)*(1+'Quarterly returns'!W80)-1</f>
        <v>7.7602847424480537E-3</v>
      </c>
      <c r="M92" s="68">
        <f>(1+'Quarterly returns'!X77)*(1+'Quarterly returns'!X78)*(1+'Quarterly returns'!X79)*(1+'Quarterly returns'!X80)-1</f>
        <v>4.4684918057451339E-2</v>
      </c>
      <c r="N92" s="77"/>
      <c r="O92" s="68">
        <f>C92-AVERAGE(C$21:C$97)+Forecast!$G$6</f>
        <v>0.11450367891030301</v>
      </c>
      <c r="P92" s="68">
        <f>D92-AVERAGE(D$21:D$97)+Forecast!$G$7</f>
        <v>0.3165163178915294</v>
      </c>
      <c r="Q92" s="68">
        <f>E92-AVERAGE(E$21:E$97)+Forecast!$G$8</f>
        <v>0.24272055458661018</v>
      </c>
      <c r="R92" s="68">
        <f>F92-AVERAGE(F$21:F$97)+Forecast!$G$9</f>
        <v>0.16952859599128534</v>
      </c>
      <c r="S92" s="68">
        <f>G92-AVERAGE(G$21:G$97)+Forecast!$G$10</f>
        <v>0.23725513169987428</v>
      </c>
      <c r="T92" s="68">
        <f>H92-AVERAGE(H$21:H$97)+Forecast!$G$11</f>
        <v>9.2564068161571644E-3</v>
      </c>
      <c r="U92" s="68">
        <f>I92-AVERAGE(I$21:I$97)+Forecast!$G$12</f>
        <v>9.7761803466305863E-2</v>
      </c>
      <c r="V92" s="68">
        <f>J92-AVERAGE(J$21:J$97)+Forecast!$G$13</f>
        <v>0.15025346679235785</v>
      </c>
      <c r="W92" s="68">
        <f>K92-AVERAGE(K$21:K$97)+Forecast!$G$14</f>
        <v>3.2541969695519465E-2</v>
      </c>
      <c r="X92" s="68">
        <f>L92-AVERAGE(L$21:L$97)+Forecast!$G$15</f>
        <v>1.0432713578724558E-2</v>
      </c>
      <c r="Y92" s="68">
        <f>M92-AVERAGE(M$21:M$97)+Forecast!$G$16</f>
        <v>5.8054420894429547E-2</v>
      </c>
      <c r="Z92" s="68">
        <f>SUMPRODUCT($O92:$Y92,Risk!$B$56:$L$56)</f>
        <v>0.13583731674479158</v>
      </c>
      <c r="AA92" s="68">
        <f>SUMPRODUCT($O92:$Y92,Risk!$B$57:$L$57)</f>
        <v>0.14383194233896165</v>
      </c>
      <c r="AB92" s="314">
        <f>SUMPRODUCT($O92:$Y92,Risk!$B$58:$L$58)</f>
        <v>0.16401851621216965</v>
      </c>
    </row>
    <row r="93" spans="1:28" x14ac:dyDescent="0.2">
      <c r="A93" s="312">
        <v>73</v>
      </c>
      <c r="B93" s="313">
        <f>'Quarterly returns'!A81</f>
        <v>45747</v>
      </c>
      <c r="C93" s="68">
        <f>(1+'Quarterly returns'!N78)*(1+'Quarterly returns'!N79)*(1+'Quarterly returns'!N80)*(1+'Quarterly returns'!N81)-1</f>
        <v>2.2001149261076769E-2</v>
      </c>
      <c r="D93" s="68">
        <f>(1+'Quarterly returns'!O78)*(1+'Quarterly returns'!O79)*(1+'Quarterly returns'!O80)*(1+'Quarterly returns'!O81)-1</f>
        <v>0.12515127390714875</v>
      </c>
      <c r="E93" s="68">
        <f>(1+'Quarterly returns'!P78)*(1+'Quarterly returns'!P79)*(1+'Quarterly returns'!P80)*(1+'Quarterly returns'!P81)-1</f>
        <v>0.16946298812217586</v>
      </c>
      <c r="F93" s="68">
        <f>(1+'Quarterly returns'!Q78)*(1+'Quarterly returns'!Q79)*(1+'Quarterly returns'!Q80)*(1+'Quarterly returns'!Q81)-1</f>
        <v>0.12005881924347506</v>
      </c>
      <c r="G93" s="68">
        <f>(1+'Quarterly returns'!R78)*(1+'Quarterly returns'!R79)*(1+'Quarterly returns'!R80)*(1+'Quarterly returns'!R81)-1</f>
        <v>8.7014679623353741E-2</v>
      </c>
      <c r="H93" s="68">
        <f>(1+'Quarterly returns'!S78)*(1+'Quarterly returns'!S79)*(1+'Quarterly returns'!S80)*(1+'Quarterly returns'!S81)-1</f>
        <v>1.9849528106427483E-2</v>
      </c>
      <c r="I93" s="68">
        <f>(1+'Quarterly returns'!T78)*(1+'Quarterly returns'!T79)*(1+'Quarterly returns'!T80)*(1+'Quarterly returns'!T81)-1</f>
        <v>7.0958700490327598E-2</v>
      </c>
      <c r="J93" s="68">
        <f>(1+'Quarterly returns'!U78)*(1+'Quarterly returns'!U79)*(1+'Quarterly returns'!U80)*(1+'Quarterly returns'!U81)-1</f>
        <v>-1.3422925175454514E-2</v>
      </c>
      <c r="K93" s="68">
        <f>(1+'Quarterly returns'!V78)*(1+'Quarterly returns'!V79)*(1+'Quarterly returns'!V80)*(1+'Quarterly returns'!V81)-1</f>
        <v>3.1451568743807057E-2</v>
      </c>
      <c r="L93" s="68">
        <f>(1+'Quarterly returns'!W78)*(1+'Quarterly returns'!W79)*(1+'Quarterly returns'!W80)*(1+'Quarterly returns'!W81)-1</f>
        <v>2.248926588691158E-2</v>
      </c>
      <c r="M93" s="68">
        <f>(1+'Quarterly returns'!X78)*(1+'Quarterly returns'!X79)*(1+'Quarterly returns'!X80)*(1+'Quarterly returns'!X81)-1</f>
        <v>4.4555551330669685E-2</v>
      </c>
      <c r="N93" s="77"/>
      <c r="O93" s="68">
        <f>C93-AVERAGE(C$21:C$97)+Forecast!$G$6</f>
        <v>2.2066700845494572E-2</v>
      </c>
      <c r="P93" s="68">
        <f>D93-AVERAGE(D$21:D$97)+Forecast!$G$7</f>
        <v>0.10188874184248481</v>
      </c>
      <c r="Q93" s="68">
        <f>E93-AVERAGE(E$21:E$97)+Forecast!$G$8</f>
        <v>0.15914041231646475</v>
      </c>
      <c r="R93" s="68">
        <f>F93-AVERAGE(F$21:F$97)+Forecast!$G$9</f>
        <v>0.12080425752660219</v>
      </c>
      <c r="S93" s="68">
        <f>G93-AVERAGE(G$21:G$97)+Forecast!$G$10</f>
        <v>0.12030349273161837</v>
      </c>
      <c r="T93" s="68">
        <f>H93-AVERAGE(H$21:H$97)+Forecast!$G$11</f>
        <v>1.1285958115870659E-2</v>
      </c>
      <c r="U93" s="68">
        <f>I93-AVERAGE(I$21:I$97)+Forecast!$G$12</f>
        <v>2.4604050419856305E-2</v>
      </c>
      <c r="V93" s="68">
        <f>J93-AVERAGE(J$21:J$97)+Forecast!$G$13</f>
        <v>-7.8091655817659422E-2</v>
      </c>
      <c r="W93" s="68">
        <f>K93-AVERAGE(K$21:K$97)+Forecast!$G$14</f>
        <v>3.7032406731956388E-2</v>
      </c>
      <c r="X93" s="68">
        <f>L93-AVERAGE(L$21:L$97)+Forecast!$G$15</f>
        <v>2.5161694723188084E-2</v>
      </c>
      <c r="Y93" s="68">
        <f>M93-AVERAGE(M$21:M$97)+Forecast!$G$16</f>
        <v>5.7925054167647892E-2</v>
      </c>
      <c r="Z93" s="68">
        <f>SUMPRODUCT($O93:$Y93,Risk!$B$56:$L$56)</f>
        <v>5.2907404838738868E-2</v>
      </c>
      <c r="AA93" s="68">
        <f>SUMPRODUCT($O93:$Y93,Risk!$B$57:$L$57)</f>
        <v>5.4256298235471914E-2</v>
      </c>
      <c r="AB93" s="314">
        <f>SUMPRODUCT($O93:$Y93,Risk!$B$58:$L$58)</f>
        <v>6.6167089504500592E-2</v>
      </c>
    </row>
    <row r="94" spans="1:28" x14ac:dyDescent="0.2">
      <c r="A94" s="312">
        <v>74</v>
      </c>
      <c r="B94" s="313">
        <f>'Quarterly returns'!A82</f>
        <v>45838</v>
      </c>
      <c r="C94" s="68">
        <f>(1+'Quarterly returns'!N79)*(1+'Quarterly returns'!N80)*(1+'Quarterly returns'!N81)*(1+'Quarterly returns'!N82)-1</f>
        <v>0.13230881265318617</v>
      </c>
      <c r="D94" s="68">
        <f>(1+'Quarterly returns'!O79)*(1+'Quarterly returns'!O80)*(1+'Quarterly returns'!O81)*(1+'Quarterly returns'!O82)-1</f>
        <v>0.1640663374157556</v>
      </c>
      <c r="E94" s="68">
        <f>(1+'Quarterly returns'!P79)*(1+'Quarterly returns'!P80)*(1+'Quarterly returns'!P81)*(1+'Quarterly returns'!P82)-1</f>
        <v>0.15750471370414898</v>
      </c>
      <c r="F94" s="68">
        <f>(1+'Quarterly returns'!Q79)*(1+'Quarterly returns'!Q80)*(1+'Quarterly returns'!Q81)*(1+'Quarterly returns'!Q82)-1</f>
        <v>0.11748153403455452</v>
      </c>
      <c r="G94" s="68">
        <f>(1+'Quarterly returns'!R79)*(1+'Quarterly returns'!R80)*(1+'Quarterly returns'!R81)*(1+'Quarterly returns'!R82)-1</f>
        <v>2.166740340653095E-2</v>
      </c>
      <c r="H94" s="68">
        <f>(1+'Quarterly returns'!S79)*(1+'Quarterly returns'!S80)*(1+'Quarterly returns'!S81)*(1+'Quarterly returns'!S82)-1</f>
        <v>2.478826674132617E-2</v>
      </c>
      <c r="I94" s="68">
        <f>(1+'Quarterly returns'!T79)*(1+'Quarterly returns'!T80)*(1+'Quarterly returns'!T81)*(1+'Quarterly returns'!T82)-1</f>
        <v>0.12088469828621862</v>
      </c>
      <c r="J94" s="68">
        <f>(1+'Quarterly returns'!U79)*(1+'Quarterly returns'!U80)*(1+'Quarterly returns'!U81)*(1+'Quarterly returns'!U82)-1</f>
        <v>0.16125057468156112</v>
      </c>
      <c r="K94" s="68">
        <f>(1+'Quarterly returns'!V79)*(1+'Quarterly returns'!V80)*(1+'Quarterly returns'!V81)*(1+'Quarterly returns'!V82)-1</f>
        <v>6.9115508316495378E-2</v>
      </c>
      <c r="L94" s="68">
        <f>(1+'Quarterly returns'!W79)*(1+'Quarterly returns'!W80)*(1+'Quarterly returns'!W81)*(1+'Quarterly returns'!W82)-1</f>
        <v>3.9530023778216128E-2</v>
      </c>
      <c r="M94" s="68">
        <f>(1+'Quarterly returns'!X79)*(1+'Quarterly returns'!X80)*(1+'Quarterly returns'!X81)*(1+'Quarterly returns'!X82)-1</f>
        <v>4.3888522077028203E-2</v>
      </c>
      <c r="N94" s="77"/>
      <c r="O94" s="68">
        <f>C94-AVERAGE(C$21:C$97)+Forecast!$G$6</f>
        <v>0.13237436423760396</v>
      </c>
      <c r="P94" s="68">
        <f>D94-AVERAGE(D$21:D$97)+Forecast!$G$7</f>
        <v>0.14080380535109166</v>
      </c>
      <c r="Q94" s="68">
        <f>E94-AVERAGE(E$21:E$97)+Forecast!$G$8</f>
        <v>0.14718213789843787</v>
      </c>
      <c r="R94" s="68">
        <f>F94-AVERAGE(F$21:F$97)+Forecast!$G$9</f>
        <v>0.11822697231768166</v>
      </c>
      <c r="S94" s="68">
        <f>G94-AVERAGE(G$21:G$97)+Forecast!$G$10</f>
        <v>5.4956216514795583E-2</v>
      </c>
      <c r="T94" s="68">
        <f>H94-AVERAGE(H$21:H$97)+Forecast!$G$11</f>
        <v>1.6224696750769346E-2</v>
      </c>
      <c r="U94" s="68">
        <f>I94-AVERAGE(I$21:I$97)+Forecast!$G$12</f>
        <v>7.4530048215747324E-2</v>
      </c>
      <c r="V94" s="68">
        <f>J94-AVERAGE(J$21:J$97)+Forecast!$G$13</f>
        <v>9.6581844039356199E-2</v>
      </c>
      <c r="W94" s="68">
        <f>K94-AVERAGE(K$21:K$97)+Forecast!$G$14</f>
        <v>7.4696346304644709E-2</v>
      </c>
      <c r="X94" s="68">
        <f>L94-AVERAGE(L$21:L$97)+Forecast!$G$15</f>
        <v>4.2202452614492632E-2</v>
      </c>
      <c r="Y94" s="68">
        <f>M94-AVERAGE(M$21:M$97)+Forecast!$G$16</f>
        <v>5.725802491400641E-2</v>
      </c>
      <c r="Z94" s="68">
        <f>SUMPRODUCT($O94:$Y94,Risk!$B$56:$L$56)</f>
        <v>0.11152191389586466</v>
      </c>
      <c r="AA94" s="68">
        <f>SUMPRODUCT($O94:$Y94,Risk!$B$57:$L$57)</f>
        <v>0.10343907149600597</v>
      </c>
      <c r="AB94" s="314">
        <f>SUMPRODUCT($O94:$Y94,Risk!$B$58:$L$58)</f>
        <v>0.11146797043599997</v>
      </c>
    </row>
    <row r="95" spans="1:28" x14ac:dyDescent="0.2">
      <c r="A95" s="312">
        <v>75</v>
      </c>
      <c r="B95" s="313">
        <f>'Quarterly returns'!A83</f>
        <v>45930</v>
      </c>
      <c r="C95" s="68">
        <f>(1+'Quarterly returns'!N80)*(1+'Quarterly returns'!N81)*(1+'Quarterly returns'!N82)*(1+'Quarterly returns'!N83)-1</f>
        <v>0.1049914888562169</v>
      </c>
      <c r="D95" s="68">
        <f>(1+'Quarterly returns'!O80)*(1+'Quarterly returns'!O81)*(1+'Quarterly returns'!O82)*(1+'Quarterly returns'!O83)-1</f>
        <v>0.22769619865643809</v>
      </c>
      <c r="E95" s="68">
        <f>(1+'Quarterly returns'!P80)*(1+'Quarterly returns'!P81)*(1+'Quarterly returns'!P82)*(1+'Quarterly returns'!P83)-1</f>
        <v>0.25261328832449381</v>
      </c>
      <c r="F95" s="68">
        <f>(1+'Quarterly returns'!Q80)*(1+'Quarterly returns'!Q81)*(1+'Quarterly returns'!Q82)*(1+'Quarterly returns'!Q83)-1</f>
        <v>4.9211343126978724E-2</v>
      </c>
      <c r="G95" s="68">
        <f>(1+'Quarterly returns'!R80)*(1+'Quarterly returns'!R81)*(1+'Quarterly returns'!R82)*(1+'Quarterly returns'!R83)-1</f>
        <v>0.15285963747964226</v>
      </c>
      <c r="H95" s="68">
        <f>(1+'Quarterly returns'!S80)*(1+'Quarterly returns'!S81)*(1+'Quarterly returns'!S82)*(1+'Quarterly returns'!S83)-1</f>
        <v>7.0569009670130578E-2</v>
      </c>
      <c r="I95" s="68">
        <f>(1+'Quarterly returns'!T80)*(1+'Quarterly returns'!T81)*(1+'Quarterly returns'!T82)*(1+'Quarterly returns'!T83)-1</f>
        <v>0.15960458936856869</v>
      </c>
      <c r="J95" s="68">
        <f>(1+'Quarterly returns'!U80)*(1+'Quarterly returns'!U81)*(1+'Quarterly returns'!U82)*(1+'Quarterly returns'!U83)-1</f>
        <v>7.1385581673231169E-3</v>
      </c>
      <c r="K95" s="68">
        <f>(1+'Quarterly returns'!V80)*(1+'Quarterly returns'!V81)*(1+'Quarterly returns'!V82)*(1+'Quarterly returns'!V83)-1</f>
        <v>3.8148906147347672E-2</v>
      </c>
      <c r="L95" s="68">
        <f>(1+'Quarterly returns'!W80)*(1+'Quarterly returns'!W81)*(1+'Quarterly returns'!W82)*(1+'Quarterly returns'!W83)-1</f>
        <v>8.7133484320174315E-3</v>
      </c>
      <c r="M95" s="68">
        <f>(1+'Quarterly returns'!X80)*(1+'Quarterly returns'!X81)*(1+'Quarterly returns'!X82)*(1+'Quarterly returns'!X83)-1</f>
        <v>4.1857043768368074E-2</v>
      </c>
      <c r="N95" s="77"/>
      <c r="O95" s="68">
        <f>C95-AVERAGE(C$21:C$97)+Forecast!$G$6</f>
        <v>0.1050570404406347</v>
      </c>
      <c r="P95" s="68">
        <f>D95-AVERAGE(D$21:D$97)+Forecast!$G$7</f>
        <v>0.20443366659177414</v>
      </c>
      <c r="Q95" s="68">
        <f>E95-AVERAGE(E$21:E$97)+Forecast!$G$8</f>
        <v>0.2422907125187827</v>
      </c>
      <c r="R95" s="68">
        <f>F95-AVERAGE(F$21:F$97)+Forecast!$G$9</f>
        <v>4.9956781410105858E-2</v>
      </c>
      <c r="S95" s="68">
        <f>G95-AVERAGE(G$21:G$97)+Forecast!$G$10</f>
        <v>0.18614845058790691</v>
      </c>
      <c r="T95" s="68">
        <f>H95-AVERAGE(H$21:H$97)+Forecast!$G$11</f>
        <v>6.2005439679573754E-2</v>
      </c>
      <c r="U95" s="68">
        <f>I95-AVERAGE(I$21:I$97)+Forecast!$G$12</f>
        <v>0.1132499392980974</v>
      </c>
      <c r="V95" s="68">
        <f>J95-AVERAGE(J$21:J$97)+Forecast!$G$13</f>
        <v>-5.7530172474881805E-2</v>
      </c>
      <c r="W95" s="68">
        <f>K95-AVERAGE(K$21:K$97)+Forecast!$G$14</f>
        <v>4.3729744135497003E-2</v>
      </c>
      <c r="X95" s="68">
        <f>L95-AVERAGE(L$21:L$97)+Forecast!$G$15</f>
        <v>1.1385777268293935E-2</v>
      </c>
      <c r="Y95" s="68">
        <f>M95-AVERAGE(M$21:M$97)+Forecast!$G$16</f>
        <v>5.5226546605346281E-2</v>
      </c>
      <c r="Z95" s="68">
        <f>SUMPRODUCT($O95:$Y95,Risk!$B$56:$L$56)</f>
        <v>9.9241409699781596E-2</v>
      </c>
      <c r="AA95" s="68">
        <f>SUMPRODUCT($O95:$Y95,Risk!$B$57:$L$57)</f>
        <v>0.10362026624353095</v>
      </c>
      <c r="AB95" s="314">
        <f>SUMPRODUCT($O95:$Y95,Risk!$B$58:$L$58)</f>
        <v>0.1222959690015329</v>
      </c>
    </row>
    <row r="96" spans="1:28" x14ac:dyDescent="0.2">
      <c r="A96" s="312">
        <v>76</v>
      </c>
      <c r="B96" s="313">
        <f>'Quarterly returns'!A84</f>
        <v>46022</v>
      </c>
      <c r="C96" s="68">
        <f>(1+'Quarterly returns'!N81)*(1+'Quarterly returns'!N82)*(1+'Quarterly returns'!N83)*(1+'Quarterly returns'!N84)-1</f>
        <v>0.1056200856327616</v>
      </c>
      <c r="D96" s="68">
        <f>(1+'Quarterly returns'!O81)*(1+'Quarterly returns'!O82)*(1+'Quarterly returns'!O83)*(1+'Quarterly returns'!O84)-1</f>
        <v>0.10427898055719287</v>
      </c>
      <c r="E96" s="68">
        <f>(1+'Quarterly returns'!P81)*(1+'Quarterly returns'!P82)*(1+'Quarterly returns'!P83)*(1+'Quarterly returns'!P84)-1</f>
        <v>0.22610549971044902</v>
      </c>
      <c r="F96" s="68">
        <f>(1+'Quarterly returns'!Q81)*(1+'Quarterly returns'!Q82)*(1+'Quarterly returns'!Q83)*(1+'Quarterly returns'!Q84)-1</f>
        <v>-4.8709047818267237E-3</v>
      </c>
      <c r="G96" s="68">
        <f>(1+'Quarterly returns'!R81)*(1+'Quarterly returns'!R82)*(1+'Quarterly returns'!R83)*(1+'Quarterly returns'!R84)-1</f>
        <v>-5.4423659539025726E-3</v>
      </c>
      <c r="H96" s="68">
        <f>(1+'Quarterly returns'!S81)*(1+'Quarterly returns'!S82)*(1+'Quarterly returns'!S83)*(1+'Quarterly returns'!S84)-1</f>
        <v>0.11901579098275517</v>
      </c>
      <c r="I96" s="68">
        <f>(1+'Quarterly returns'!T81)*(1+'Quarterly returns'!T82)*(1+'Quarterly returns'!T83)*(1+'Quarterly returns'!T84)-1</f>
        <v>0.1388235327977474</v>
      </c>
      <c r="J96" s="68">
        <f>(1+'Quarterly returns'!U81)*(1+'Quarterly returns'!U82)*(1+'Quarterly returns'!U83)*(1+'Quarterly returns'!U84)-1</f>
        <v>-1.330782464977398E-2</v>
      </c>
      <c r="K96" s="68">
        <f>(1+'Quarterly returns'!V81)*(1+'Quarterly returns'!V82)*(1+'Quarterly returns'!V83)*(1+'Quarterly returns'!V84)-1</f>
        <v>3.2878670150803924E-2</v>
      </c>
      <c r="L96" s="68">
        <f>(1+'Quarterly returns'!W81)*(1+'Quarterly returns'!W82)*(1+'Quarterly returns'!W83)*(1+'Quarterly returns'!W84)-1</f>
        <v>2.5773420520995183E-2</v>
      </c>
      <c r="M96" s="68">
        <f>(1+'Quarterly returns'!X81)*(1+'Quarterly returns'!X82)*(1+'Quarterly returns'!X83)*(1+'Quarterly returns'!X84)-1</f>
        <v>3.9701143150203233E-2</v>
      </c>
      <c r="N96" s="77"/>
      <c r="O96" s="68">
        <f>C96-AVERAGE(C$21:C$97)+Forecast!$G$6</f>
        <v>0.1056856372171794</v>
      </c>
      <c r="P96" s="68">
        <f>D96-AVERAGE(D$21:D$97)+Forecast!$G$7</f>
        <v>8.1016448492528925E-2</v>
      </c>
      <c r="Q96" s="68">
        <f>E96-AVERAGE(E$21:E$97)+Forecast!$G$8</f>
        <v>0.21578292390473791</v>
      </c>
      <c r="R96" s="68">
        <f>F96-AVERAGE(F$21:F$97)+Forecast!$G$9</f>
        <v>-4.1254664986995898E-3</v>
      </c>
      <c r="S96" s="68">
        <f>G96-AVERAGE(G$21:G$97)+Forecast!$G$10</f>
        <v>2.7846447154362065E-2</v>
      </c>
      <c r="T96" s="68">
        <f>H96-AVERAGE(H$21:H$97)+Forecast!$G$11</f>
        <v>0.11045222099219834</v>
      </c>
      <c r="U96" s="68">
        <f>I96-AVERAGE(I$21:I$97)+Forecast!$G$12</f>
        <v>9.2468882727276103E-2</v>
      </c>
      <c r="V96" s="68">
        <f>J96-AVERAGE(J$21:J$97)+Forecast!$G$13</f>
        <v>-7.7976555291978888E-2</v>
      </c>
      <c r="W96" s="68">
        <f>K96-AVERAGE(K$21:K$97)+Forecast!$G$14</f>
        <v>3.8459508138953255E-2</v>
      </c>
      <c r="X96" s="68">
        <f>L96-AVERAGE(L$21:L$97)+Forecast!$G$15</f>
        <v>2.8445849357271687E-2</v>
      </c>
      <c r="Y96" s="68">
        <f>M96-AVERAGE(M$21:M$97)+Forecast!$G$16</f>
        <v>5.307064598718144E-2</v>
      </c>
      <c r="Z96" s="68">
        <f>SUMPRODUCT($O96:$Y96,Risk!$B$56:$L$56)</f>
        <v>6.9824537324035013E-2</v>
      </c>
      <c r="AA96" s="68">
        <f>SUMPRODUCT($O96:$Y96,Risk!$B$57:$L$57)</f>
        <v>6.866986576885982E-2</v>
      </c>
      <c r="AB96" s="314">
        <f>SUMPRODUCT($O96:$Y96,Risk!$B$58:$L$58)</f>
        <v>8.0448915395197315E-2</v>
      </c>
    </row>
    <row r="97" spans="1:28" x14ac:dyDescent="0.2">
      <c r="A97" s="315">
        <v>77</v>
      </c>
      <c r="B97" s="316">
        <f>'Quarterly returns'!A85</f>
        <v>46112</v>
      </c>
      <c r="C97" s="317">
        <f>(1+'Quarterly returns'!N82)*(1+'Quarterly returns'!N83)*(1+'Quarterly returns'!N84)*(1+'Quarterly returns'!N85)-1</f>
        <v>0.11289283291766061</v>
      </c>
      <c r="D97" s="317">
        <f>(1+'Quarterly returns'!O82)*(1+'Quarterly returns'!O83)*(1+'Quarterly returns'!O84)*(1+'Quarterly returns'!O85)-1</f>
        <v>7.6715846659620279E-2</v>
      </c>
      <c r="E97" s="317">
        <f>(1+'Quarterly returns'!P82)*(1+'Quarterly returns'!P83)*(1+'Quarterly returns'!P84)*(1+'Quarterly returns'!P85)-1</f>
        <v>0.19514664562360307</v>
      </c>
      <c r="F97" s="317">
        <f>(1+'Quarterly returns'!Q82)*(1+'Quarterly returns'!Q83)*(1+'Quarterly returns'!Q84)*(1+'Quarterly returns'!Q85)-1</f>
        <v>-2.3292144962757999E-2</v>
      </c>
      <c r="G97" s="317">
        <f>(1+'Quarterly returns'!R82)*(1+'Quarterly returns'!R83)*(1+'Quarterly returns'!R84)*(1+'Quarterly returns'!R85)-1</f>
        <v>0.30103220606195369</v>
      </c>
      <c r="H97" s="317">
        <f>(1+'Quarterly returns'!S82)*(1+'Quarterly returns'!S83)*(1+'Quarterly returns'!S84)*(1+'Quarterly returns'!S85)-1</f>
        <v>0.10999810470704818</v>
      </c>
      <c r="I97" s="317">
        <f>(1+'Quarterly returns'!T82)*(1+'Quarterly returns'!T83)*(1+'Quarterly returns'!T84)*(1+'Quarterly returns'!T85)-1</f>
        <v>7.7523115093117267E-2</v>
      </c>
      <c r="J97" s="317">
        <f>(1+'Quarterly returns'!U82)*(1+'Quarterly returns'!U83)*(1+'Quarterly returns'!U84)*(1+'Quarterly returns'!U85)-1</f>
        <v>-0.14855997911687857</v>
      </c>
      <c r="K97" s="317">
        <f>(1+'Quarterly returns'!V82)*(1+'Quarterly returns'!V83)*(1+'Quarterly returns'!V84)*(1+'Quarterly returns'!V85)-1</f>
        <v>1.3577762361141277E-2</v>
      </c>
      <c r="L97" s="317">
        <f>(1+'Quarterly returns'!W82)*(1+'Quarterly returns'!W83)*(1+'Quarterly returns'!W84)*(1+'Quarterly returns'!W85)-1</f>
        <v>1.313811029710843E-2</v>
      </c>
      <c r="M97" s="317">
        <f>(1+'Quarterly returns'!X82)*(1+'Quarterly returns'!X83)*(1+'Quarterly returns'!X84)*(1+'Quarterly returns'!X85)-1</f>
        <v>3.7995149351389701E-2</v>
      </c>
      <c r="N97" s="240"/>
      <c r="O97" s="317">
        <f>C97-AVERAGE(C$21:C$97)+Forecast!$G$6</f>
        <v>0.11295838450207842</v>
      </c>
      <c r="P97" s="317">
        <f>D97-AVERAGE(D$21:D$97)+Forecast!$G$7</f>
        <v>5.3453314594956336E-2</v>
      </c>
      <c r="Q97" s="317">
        <f>E97-AVERAGE(E$21:E$97)+Forecast!$G$8</f>
        <v>0.18482406981789196</v>
      </c>
      <c r="R97" s="317">
        <f>F97-AVERAGE(F$21:F$97)+Forecast!$G$9</f>
        <v>-2.2546706679630865E-2</v>
      </c>
      <c r="S97" s="317">
        <f>G97-AVERAGE(G$21:G$97)+Forecast!$G$10</f>
        <v>0.33432101917021834</v>
      </c>
      <c r="T97" s="317">
        <f>H97-AVERAGE(H$21:H$97)+Forecast!$G$11</f>
        <v>0.10143453471649136</v>
      </c>
      <c r="U97" s="317">
        <f>I97-AVERAGE(I$21:I$97)+Forecast!$G$12</f>
        <v>3.1168465022645975E-2</v>
      </c>
      <c r="V97" s="317">
        <f>J97-AVERAGE(J$21:J$97)+Forecast!$G$13</f>
        <v>-0.21322870975908348</v>
      </c>
      <c r="W97" s="317">
        <f>K97-AVERAGE(K$21:K$97)+Forecast!$G$14</f>
        <v>1.9158600349290608E-2</v>
      </c>
      <c r="X97" s="317">
        <f>L97-AVERAGE(L$21:L$97)+Forecast!$G$15</f>
        <v>1.5810539133384933E-2</v>
      </c>
      <c r="Y97" s="317">
        <f>M97-AVERAGE(M$21:M$97)+Forecast!$G$16</f>
        <v>5.1364652188367908E-2</v>
      </c>
      <c r="Z97" s="317">
        <f>SUMPRODUCT($O97:$Y97,Risk!$B$56:$L$56)</f>
        <v>6.1353504888109686E-2</v>
      </c>
      <c r="AA97" s="317">
        <f>SUMPRODUCT($O97:$Y97,Risk!$B$57:$L$57)</f>
        <v>5.7293486951631591E-2</v>
      </c>
      <c r="AB97" s="318">
        <f>SUMPRODUCT($O97:$Y97,Risk!$B$58:$L$58)</f>
        <v>7.5129591332494319E-2</v>
      </c>
    </row>
    <row r="99" spans="1:28" x14ac:dyDescent="0.2">
      <c r="A99" s="83" t="s">
        <v>438</v>
      </c>
      <c r="B99" s="84"/>
      <c r="C99" s="84"/>
      <c r="D99" s="84"/>
      <c r="E99" s="84"/>
      <c r="F99" s="84"/>
      <c r="G99" s="84"/>
      <c r="H99" s="84"/>
      <c r="I99" s="84"/>
      <c r="J99" s="84"/>
      <c r="K99" s="85"/>
    </row>
    <row r="100" spans="1:28" x14ac:dyDescent="0.2">
      <c r="A100" s="319"/>
      <c r="B100" s="77"/>
      <c r="C100" s="77"/>
      <c r="D100" s="77"/>
      <c r="E100" s="77"/>
      <c r="F100" s="77"/>
      <c r="G100" s="77"/>
      <c r="H100" s="77"/>
      <c r="I100" s="77"/>
      <c r="J100" s="77"/>
      <c r="K100" s="301"/>
    </row>
    <row r="101" spans="1:28" ht="42" customHeight="1" x14ac:dyDescent="0.2">
      <c r="A101" s="89" t="s">
        <v>439</v>
      </c>
      <c r="B101" s="90" t="s">
        <v>440</v>
      </c>
      <c r="C101" s="90" t="s">
        <v>441</v>
      </c>
      <c r="D101" s="90" t="s">
        <v>442</v>
      </c>
      <c r="E101" s="90" t="s">
        <v>443</v>
      </c>
      <c r="F101" s="90" t="s">
        <v>444</v>
      </c>
      <c r="G101" s="90" t="s">
        <v>6</v>
      </c>
      <c r="H101" s="90" t="s">
        <v>7</v>
      </c>
      <c r="I101" s="90" t="s">
        <v>8</v>
      </c>
      <c r="J101" s="90" t="s">
        <v>445</v>
      </c>
      <c r="K101" s="91" t="s">
        <v>446</v>
      </c>
    </row>
    <row r="102" spans="1:28" x14ac:dyDescent="0.2">
      <c r="A102" s="320">
        <v>1</v>
      </c>
      <c r="B102" s="174">
        <v>56</v>
      </c>
      <c r="C102" s="174">
        <v>27</v>
      </c>
      <c r="D102" s="174">
        <v>32</v>
      </c>
      <c r="E102" s="174">
        <v>43</v>
      </c>
      <c r="F102" s="174">
        <v>73</v>
      </c>
      <c r="G102" s="68">
        <f t="shared" ref="G102:G165" si="0">(1+INDEX($Z$21:$Z$97,B102))*(1+INDEX($Z$21:$Z$97,C102))*(1+INDEX($Z$21:$Z$97,D102))*(1+INDEX($Z$21:$Z$97,E102))*(1+INDEX($Z$21:$Z$97,F102))-1</f>
        <v>0.520274554203906</v>
      </c>
      <c r="H102" s="68">
        <f t="shared" ref="H102:H165" si="1">(1+INDEX($AA$21:$AA$97,B102))*(1+INDEX($AA$21:$AA$97,C102))*(1+INDEX($AA$21:$AA$97,D102))*(1+INDEX($AA$21:$AA$97,E102))*(1+INDEX($AA$21:$AA$97,F102))-1</f>
        <v>0.50374298637779269</v>
      </c>
      <c r="I102" s="68">
        <f t="shared" ref="I102:I165" si="2">(1+INDEX($AB$21:$AB$97,B102))*(1+INDEX($AB$21:$AB$97,C102))*(1+INDEX($AB$21:$AB$97,D102))*(1+INDEX($AB$21:$AB$97,E102))*(1+INDEX($AB$21:$AB$97,F102))-1</f>
        <v>0.56685675008145875</v>
      </c>
      <c r="J102" s="232">
        <f t="shared" ref="J102:J165" si="3">LN((1+G102)/(1+H102))</f>
        <v>1.0933622104725737E-2</v>
      </c>
      <c r="K102" s="321">
        <f t="shared" ref="K102:K165" si="4">LN((1+I102)/(1+H102))</f>
        <v>4.1114218319306367E-2</v>
      </c>
    </row>
    <row r="103" spans="1:28" x14ac:dyDescent="0.2">
      <c r="A103" s="320">
        <v>2</v>
      </c>
      <c r="B103" s="174">
        <v>49</v>
      </c>
      <c r="C103" s="174">
        <v>59</v>
      </c>
      <c r="D103" s="174">
        <v>39</v>
      </c>
      <c r="E103" s="174">
        <v>14</v>
      </c>
      <c r="F103" s="174">
        <v>56</v>
      </c>
      <c r="G103" s="68">
        <f t="shared" si="0"/>
        <v>0.65886905341673341</v>
      </c>
      <c r="H103" s="68">
        <f t="shared" si="1"/>
        <v>0.5571251115931215</v>
      </c>
      <c r="I103" s="68">
        <f t="shared" si="2"/>
        <v>0.60078156647537595</v>
      </c>
      <c r="J103" s="232">
        <f t="shared" si="3"/>
        <v>6.3294833170132778E-2</v>
      </c>
      <c r="K103" s="321">
        <f t="shared" si="4"/>
        <v>2.7650745135547387E-2</v>
      </c>
    </row>
    <row r="104" spans="1:28" x14ac:dyDescent="0.2">
      <c r="A104" s="320">
        <v>3</v>
      </c>
      <c r="B104" s="174">
        <v>73</v>
      </c>
      <c r="C104" s="174">
        <v>20</v>
      </c>
      <c r="D104" s="174">
        <v>44</v>
      </c>
      <c r="E104" s="174">
        <v>16</v>
      </c>
      <c r="F104" s="174">
        <v>7</v>
      </c>
      <c r="G104" s="68">
        <f t="shared" si="0"/>
        <v>-1.2258844248992928E-2</v>
      </c>
      <c r="H104" s="68">
        <f t="shared" si="1"/>
        <v>1.4382131190211478E-2</v>
      </c>
      <c r="I104" s="68">
        <f t="shared" si="2"/>
        <v>-2.019640430854186E-2</v>
      </c>
      <c r="J104" s="232">
        <f t="shared" si="3"/>
        <v>-2.6614293059487031E-2</v>
      </c>
      <c r="K104" s="321">
        <f t="shared" si="4"/>
        <v>-3.4682829356607117E-2</v>
      </c>
    </row>
    <row r="105" spans="1:28" x14ac:dyDescent="0.2">
      <c r="A105" s="320">
        <v>4</v>
      </c>
      <c r="B105" s="174">
        <v>43</v>
      </c>
      <c r="C105" s="174">
        <v>8</v>
      </c>
      <c r="D105" s="174">
        <v>53</v>
      </c>
      <c r="E105" s="174">
        <v>26</v>
      </c>
      <c r="F105" s="174">
        <v>64</v>
      </c>
      <c r="G105" s="68">
        <f t="shared" si="0"/>
        <v>-0.10474658535039727</v>
      </c>
      <c r="H105" s="68">
        <f t="shared" si="1"/>
        <v>-5.2091548518551578E-2</v>
      </c>
      <c r="I105" s="68">
        <f t="shared" si="2"/>
        <v>-7.9078009292111506E-2</v>
      </c>
      <c r="J105" s="232">
        <f t="shared" si="3"/>
        <v>-5.7151104367768615E-2</v>
      </c>
      <c r="K105" s="321">
        <f t="shared" si="4"/>
        <v>-2.8882595399470315E-2</v>
      </c>
    </row>
    <row r="106" spans="1:28" x14ac:dyDescent="0.2">
      <c r="A106" s="320">
        <v>5</v>
      </c>
      <c r="B106" s="174">
        <v>4</v>
      </c>
      <c r="C106" s="174">
        <v>9</v>
      </c>
      <c r="D106" s="174">
        <v>64</v>
      </c>
      <c r="E106" s="174">
        <v>58</v>
      </c>
      <c r="F106" s="174">
        <v>56</v>
      </c>
      <c r="G106" s="68">
        <f t="shared" si="0"/>
        <v>-3.0002300683429461E-2</v>
      </c>
      <c r="H106" s="68">
        <f t="shared" si="1"/>
        <v>-2.3261616422232123E-4</v>
      </c>
      <c r="I106" s="68">
        <f t="shared" si="2"/>
        <v>-1.7592317668692958E-2</v>
      </c>
      <c r="J106" s="232">
        <f t="shared" si="3"/>
        <v>-3.0228936102549814E-2</v>
      </c>
      <c r="K106" s="321">
        <f t="shared" si="4"/>
        <v>-1.7516258433626461E-2</v>
      </c>
    </row>
    <row r="107" spans="1:28" x14ac:dyDescent="0.2">
      <c r="A107" s="320">
        <v>6</v>
      </c>
      <c r="B107" s="174">
        <v>2</v>
      </c>
      <c r="C107" s="174">
        <v>63</v>
      </c>
      <c r="D107" s="174">
        <v>12</v>
      </c>
      <c r="E107" s="174">
        <v>3</v>
      </c>
      <c r="F107" s="174">
        <v>39</v>
      </c>
      <c r="G107" s="68">
        <f t="shared" si="0"/>
        <v>0.50704638701719706</v>
      </c>
      <c r="H107" s="68">
        <f t="shared" si="1"/>
        <v>0.35189401302428136</v>
      </c>
      <c r="I107" s="68">
        <f t="shared" si="2"/>
        <v>0.38818692169981128</v>
      </c>
      <c r="J107" s="232">
        <f t="shared" si="3"/>
        <v>0.10864511838955976</v>
      </c>
      <c r="K107" s="321">
        <f t="shared" si="4"/>
        <v>2.6491941015610077E-2</v>
      </c>
    </row>
    <row r="108" spans="1:28" x14ac:dyDescent="0.2">
      <c r="A108" s="320">
        <v>7</v>
      </c>
      <c r="B108" s="174">
        <v>21</v>
      </c>
      <c r="C108" s="174">
        <v>73</v>
      </c>
      <c r="D108" s="174">
        <v>41</v>
      </c>
      <c r="E108" s="174">
        <v>77</v>
      </c>
      <c r="F108" s="174">
        <v>30</v>
      </c>
      <c r="G108" s="68">
        <f t="shared" si="0"/>
        <v>0.43880728772579514</v>
      </c>
      <c r="H108" s="68">
        <f t="shared" si="1"/>
        <v>0.42522914904257769</v>
      </c>
      <c r="I108" s="68">
        <f t="shared" si="2"/>
        <v>0.47500456006997815</v>
      </c>
      <c r="J108" s="232">
        <f t="shared" si="3"/>
        <v>9.4818908298186597E-3</v>
      </c>
      <c r="K108" s="321">
        <f t="shared" si="4"/>
        <v>3.4328474221542851E-2</v>
      </c>
    </row>
    <row r="109" spans="1:28" x14ac:dyDescent="0.2">
      <c r="A109" s="320">
        <v>8</v>
      </c>
      <c r="B109" s="174">
        <v>31</v>
      </c>
      <c r="C109" s="174">
        <v>25</v>
      </c>
      <c r="D109" s="174">
        <v>33</v>
      </c>
      <c r="E109" s="174">
        <v>11</v>
      </c>
      <c r="F109" s="174">
        <v>38</v>
      </c>
      <c r="G109" s="68">
        <f t="shared" si="0"/>
        <v>0.58783218651144331</v>
      </c>
      <c r="H109" s="68">
        <f t="shared" si="1"/>
        <v>0.5228603786210122</v>
      </c>
      <c r="I109" s="68">
        <f t="shared" si="2"/>
        <v>0.52930377781464566</v>
      </c>
      <c r="J109" s="232">
        <f t="shared" si="3"/>
        <v>4.1779286762325604E-2</v>
      </c>
      <c r="K109" s="321">
        <f t="shared" si="4"/>
        <v>4.2221901808209153E-3</v>
      </c>
    </row>
    <row r="110" spans="1:28" x14ac:dyDescent="0.2">
      <c r="A110" s="320">
        <v>9</v>
      </c>
      <c r="B110" s="174">
        <v>48</v>
      </c>
      <c r="C110" s="174">
        <v>20</v>
      </c>
      <c r="D110" s="174">
        <v>12</v>
      </c>
      <c r="E110" s="174">
        <v>56</v>
      </c>
      <c r="F110" s="174">
        <v>31</v>
      </c>
      <c r="G110" s="68">
        <f t="shared" si="0"/>
        <v>0.27763160247402641</v>
      </c>
      <c r="H110" s="68">
        <f t="shared" si="1"/>
        <v>0.25384143690979477</v>
      </c>
      <c r="I110" s="68">
        <f t="shared" si="2"/>
        <v>0.24170326196509739</v>
      </c>
      <c r="J110" s="232">
        <f t="shared" si="3"/>
        <v>1.8796065054901639E-2</v>
      </c>
      <c r="K110" s="321">
        <f t="shared" si="4"/>
        <v>-9.7279529176510348E-3</v>
      </c>
    </row>
    <row r="111" spans="1:28" x14ac:dyDescent="0.2">
      <c r="A111" s="320">
        <v>10</v>
      </c>
      <c r="B111" s="174">
        <v>63</v>
      </c>
      <c r="C111" s="174">
        <v>29</v>
      </c>
      <c r="D111" s="174">
        <v>6</v>
      </c>
      <c r="E111" s="174">
        <v>28</v>
      </c>
      <c r="F111" s="174">
        <v>54</v>
      </c>
      <c r="G111" s="68">
        <f t="shared" si="0"/>
        <v>0.10160966418689754</v>
      </c>
      <c r="H111" s="68">
        <f t="shared" si="1"/>
        <v>0.1560833408626654</v>
      </c>
      <c r="I111" s="68">
        <f t="shared" si="2"/>
        <v>0.17377332209218488</v>
      </c>
      <c r="J111" s="232">
        <f t="shared" si="3"/>
        <v>-4.8265420565631989E-2</v>
      </c>
      <c r="K111" s="321">
        <f t="shared" si="4"/>
        <v>1.5185759246654648E-2</v>
      </c>
    </row>
    <row r="112" spans="1:28" x14ac:dyDescent="0.2">
      <c r="A112" s="320">
        <v>11</v>
      </c>
      <c r="B112" s="174">
        <v>43</v>
      </c>
      <c r="C112" s="174">
        <v>41</v>
      </c>
      <c r="D112" s="174">
        <v>72</v>
      </c>
      <c r="E112" s="174">
        <v>41</v>
      </c>
      <c r="F112" s="174">
        <v>33</v>
      </c>
      <c r="G112" s="68">
        <f t="shared" si="0"/>
        <v>0.83592933136917891</v>
      </c>
      <c r="H112" s="68">
        <f t="shared" si="1"/>
        <v>0.82122040835312649</v>
      </c>
      <c r="I112" s="68">
        <f t="shared" si="2"/>
        <v>0.95827105633389897</v>
      </c>
      <c r="J112" s="232">
        <f t="shared" si="3"/>
        <v>8.0439705098801981E-3</v>
      </c>
      <c r="K112" s="321">
        <f t="shared" si="4"/>
        <v>7.2555139427486384E-2</v>
      </c>
    </row>
    <row r="113" spans="1:11" x14ac:dyDescent="0.2">
      <c r="A113" s="320">
        <v>12</v>
      </c>
      <c r="B113" s="174">
        <v>44</v>
      </c>
      <c r="C113" s="174">
        <v>14</v>
      </c>
      <c r="D113" s="174">
        <v>13</v>
      </c>
      <c r="E113" s="174">
        <v>34</v>
      </c>
      <c r="F113" s="174">
        <v>53</v>
      </c>
      <c r="G113" s="68">
        <f t="shared" si="0"/>
        <v>0.63152171833640125</v>
      </c>
      <c r="H113" s="68">
        <f t="shared" si="1"/>
        <v>0.59020322490809018</v>
      </c>
      <c r="I113" s="68">
        <f t="shared" si="2"/>
        <v>0.64692008398211343</v>
      </c>
      <c r="J113" s="232">
        <f t="shared" si="3"/>
        <v>2.5651326373020079E-2</v>
      </c>
      <c r="K113" s="321">
        <f t="shared" si="4"/>
        <v>3.5045105373720145E-2</v>
      </c>
    </row>
    <row r="114" spans="1:11" x14ac:dyDescent="0.2">
      <c r="A114" s="320">
        <v>13</v>
      </c>
      <c r="B114" s="174">
        <v>77</v>
      </c>
      <c r="C114" s="174">
        <v>57</v>
      </c>
      <c r="D114" s="174">
        <v>76</v>
      </c>
      <c r="E114" s="174">
        <v>67</v>
      </c>
      <c r="F114" s="174">
        <v>23</v>
      </c>
      <c r="G114" s="68">
        <f t="shared" si="0"/>
        <v>0.69378748215696873</v>
      </c>
      <c r="H114" s="68">
        <f t="shared" si="1"/>
        <v>0.62532868455494794</v>
      </c>
      <c r="I114" s="68">
        <f t="shared" si="2"/>
        <v>0.72833735360108132</v>
      </c>
      <c r="J114" s="232">
        <f t="shared" si="3"/>
        <v>4.1257072340953251E-2</v>
      </c>
      <c r="K114" s="321">
        <f t="shared" si="4"/>
        <v>6.1449816358970608E-2</v>
      </c>
    </row>
    <row r="115" spans="1:11" x14ac:dyDescent="0.2">
      <c r="A115" s="320">
        <v>14</v>
      </c>
      <c r="B115" s="174">
        <v>31</v>
      </c>
      <c r="C115" s="174">
        <v>30</v>
      </c>
      <c r="D115" s="174">
        <v>6</v>
      </c>
      <c r="E115" s="174">
        <v>24</v>
      </c>
      <c r="F115" s="174">
        <v>65</v>
      </c>
      <c r="G115" s="68">
        <f t="shared" si="0"/>
        <v>0.26744517753106356</v>
      </c>
      <c r="H115" s="68">
        <f t="shared" si="1"/>
        <v>0.27477245010546492</v>
      </c>
      <c r="I115" s="68">
        <f t="shared" si="2"/>
        <v>0.28183516942897247</v>
      </c>
      <c r="J115" s="232">
        <f t="shared" si="3"/>
        <v>-5.7644890703041031E-3</v>
      </c>
      <c r="K115" s="321">
        <f t="shared" si="4"/>
        <v>5.525085066826107E-3</v>
      </c>
    </row>
    <row r="116" spans="1:11" x14ac:dyDescent="0.2">
      <c r="A116" s="320">
        <v>15</v>
      </c>
      <c r="B116" s="174">
        <v>75</v>
      </c>
      <c r="C116" s="174">
        <v>41</v>
      </c>
      <c r="D116" s="174">
        <v>68</v>
      </c>
      <c r="E116" s="174">
        <v>31</v>
      </c>
      <c r="F116" s="174">
        <v>73</v>
      </c>
      <c r="G116" s="68">
        <f t="shared" si="0"/>
        <v>0.61332239179049353</v>
      </c>
      <c r="H116" s="68">
        <f t="shared" si="1"/>
        <v>0.62244948465800332</v>
      </c>
      <c r="I116" s="68">
        <f t="shared" si="2"/>
        <v>0.70934884841172852</v>
      </c>
      <c r="J116" s="232">
        <f t="shared" si="3"/>
        <v>-5.6413847588627783E-3</v>
      </c>
      <c r="K116" s="321">
        <f t="shared" si="4"/>
        <v>5.2175472744740242E-2</v>
      </c>
    </row>
    <row r="117" spans="1:11" x14ac:dyDescent="0.2">
      <c r="A117" s="320">
        <v>16</v>
      </c>
      <c r="B117" s="174">
        <v>37</v>
      </c>
      <c r="C117" s="174">
        <v>24</v>
      </c>
      <c r="D117" s="174">
        <v>62</v>
      </c>
      <c r="E117" s="174">
        <v>77</v>
      </c>
      <c r="F117" s="174">
        <v>67</v>
      </c>
      <c r="G117" s="68">
        <f t="shared" si="0"/>
        <v>0.21348271822809783</v>
      </c>
      <c r="H117" s="68">
        <f t="shared" si="1"/>
        <v>0.21243921663986254</v>
      </c>
      <c r="I117" s="68">
        <f t="shared" si="2"/>
        <v>0.24191084727245138</v>
      </c>
      <c r="J117" s="232">
        <f t="shared" si="3"/>
        <v>8.6029285410647231E-4</v>
      </c>
      <c r="K117" s="321">
        <f t="shared" si="4"/>
        <v>2.4016987384066775E-2</v>
      </c>
    </row>
    <row r="118" spans="1:11" x14ac:dyDescent="0.2">
      <c r="A118" s="320">
        <v>17</v>
      </c>
      <c r="B118" s="174">
        <v>6</v>
      </c>
      <c r="C118" s="174">
        <v>2</v>
      </c>
      <c r="D118" s="174">
        <v>43</v>
      </c>
      <c r="E118" s="174">
        <v>6</v>
      </c>
      <c r="F118" s="174">
        <v>43</v>
      </c>
      <c r="G118" s="68">
        <f t="shared" si="0"/>
        <v>1.5497245564001449E-2</v>
      </c>
      <c r="H118" s="68">
        <f t="shared" si="1"/>
        <v>4.4030924082241185E-2</v>
      </c>
      <c r="I118" s="68">
        <f t="shared" si="2"/>
        <v>2.9824183433394325E-2</v>
      </c>
      <c r="J118" s="232">
        <f t="shared" si="3"/>
        <v>-2.7710720149460393E-2</v>
      </c>
      <c r="K118" s="321">
        <f t="shared" si="4"/>
        <v>-1.3701017814548544E-2</v>
      </c>
    </row>
    <row r="119" spans="1:11" x14ac:dyDescent="0.2">
      <c r="A119" s="320">
        <v>18</v>
      </c>
      <c r="B119" s="174">
        <v>74</v>
      </c>
      <c r="C119" s="174">
        <v>36</v>
      </c>
      <c r="D119" s="174">
        <v>34</v>
      </c>
      <c r="E119" s="174">
        <v>41</v>
      </c>
      <c r="F119" s="174">
        <v>69</v>
      </c>
      <c r="G119" s="68">
        <f t="shared" si="0"/>
        <v>0.7200213234478432</v>
      </c>
      <c r="H119" s="68">
        <f t="shared" si="1"/>
        <v>0.72047702373441669</v>
      </c>
      <c r="I119" s="68">
        <f t="shared" si="2"/>
        <v>0.80084642975843257</v>
      </c>
      <c r="J119" s="232">
        <f t="shared" si="3"/>
        <v>-2.6490365246739672E-4</v>
      </c>
      <c r="K119" s="321">
        <f t="shared" si="4"/>
        <v>4.5655201374828973E-2</v>
      </c>
    </row>
    <row r="120" spans="1:11" x14ac:dyDescent="0.2">
      <c r="A120" s="320">
        <v>19</v>
      </c>
      <c r="B120" s="174">
        <v>16</v>
      </c>
      <c r="C120" s="174">
        <v>9</v>
      </c>
      <c r="D120" s="174">
        <v>33</v>
      </c>
      <c r="E120" s="174">
        <v>8</v>
      </c>
      <c r="F120" s="174">
        <v>57</v>
      </c>
      <c r="G120" s="68">
        <f t="shared" si="0"/>
        <v>-3.9421205043218555E-3</v>
      </c>
      <c r="H120" s="68">
        <f t="shared" si="1"/>
        <v>2.3852923754928534E-2</v>
      </c>
      <c r="I120" s="68">
        <f t="shared" si="2"/>
        <v>-3.2287813962205369E-2</v>
      </c>
      <c r="J120" s="232">
        <f t="shared" si="3"/>
        <v>-2.7522798298605367E-2</v>
      </c>
      <c r="K120" s="321">
        <f t="shared" si="4"/>
        <v>-5.6393451545871852E-2</v>
      </c>
    </row>
    <row r="121" spans="1:11" x14ac:dyDescent="0.2">
      <c r="A121" s="320">
        <v>20</v>
      </c>
      <c r="B121" s="174">
        <v>17</v>
      </c>
      <c r="C121" s="174">
        <v>69</v>
      </c>
      <c r="D121" s="174">
        <v>68</v>
      </c>
      <c r="E121" s="174">
        <v>58</v>
      </c>
      <c r="F121" s="174">
        <v>58</v>
      </c>
      <c r="G121" s="68">
        <f t="shared" si="0"/>
        <v>0.87275359536323194</v>
      </c>
      <c r="H121" s="68">
        <f t="shared" si="1"/>
        <v>0.87142585786554028</v>
      </c>
      <c r="I121" s="68">
        <f t="shared" si="2"/>
        <v>0.95380268432206328</v>
      </c>
      <c r="J121" s="232">
        <f t="shared" si="3"/>
        <v>7.0922751963801837E-4</v>
      </c>
      <c r="K121" s="321">
        <f t="shared" si="4"/>
        <v>4.3076936978610099E-2</v>
      </c>
    </row>
    <row r="122" spans="1:11" x14ac:dyDescent="0.2">
      <c r="A122" s="320">
        <v>21</v>
      </c>
      <c r="B122" s="174">
        <v>74</v>
      </c>
      <c r="C122" s="174">
        <v>27</v>
      </c>
      <c r="D122" s="174">
        <v>40</v>
      </c>
      <c r="E122" s="174">
        <v>2</v>
      </c>
      <c r="F122" s="174">
        <v>72</v>
      </c>
      <c r="G122" s="68">
        <f t="shared" si="0"/>
        <v>0.88253919364513633</v>
      </c>
      <c r="H122" s="68">
        <f t="shared" si="1"/>
        <v>0.80449007580118348</v>
      </c>
      <c r="I122" s="68">
        <f t="shared" si="2"/>
        <v>0.91029459719904571</v>
      </c>
      <c r="J122" s="232">
        <f t="shared" si="3"/>
        <v>4.2343455081562599E-2</v>
      </c>
      <c r="K122" s="321">
        <f t="shared" si="4"/>
        <v>5.6979424145065509E-2</v>
      </c>
    </row>
    <row r="123" spans="1:11" x14ac:dyDescent="0.2">
      <c r="A123" s="320">
        <v>22</v>
      </c>
      <c r="B123" s="174">
        <v>28</v>
      </c>
      <c r="C123" s="174">
        <v>53</v>
      </c>
      <c r="D123" s="174">
        <v>3</v>
      </c>
      <c r="E123" s="174">
        <v>65</v>
      </c>
      <c r="F123" s="174">
        <v>1</v>
      </c>
      <c r="G123" s="68">
        <f t="shared" si="0"/>
        <v>0.44628120811206951</v>
      </c>
      <c r="H123" s="68">
        <f t="shared" si="1"/>
        <v>0.418903691364098</v>
      </c>
      <c r="I123" s="68">
        <f t="shared" si="2"/>
        <v>0.43845625736405447</v>
      </c>
      <c r="J123" s="232">
        <f t="shared" si="3"/>
        <v>1.911105284045149E-2</v>
      </c>
      <c r="K123" s="321">
        <f t="shared" si="4"/>
        <v>1.3685969945845628E-2</v>
      </c>
    </row>
    <row r="124" spans="1:11" x14ac:dyDescent="0.2">
      <c r="A124" s="320">
        <v>23</v>
      </c>
      <c r="B124" s="174">
        <v>65</v>
      </c>
      <c r="C124" s="174">
        <v>12</v>
      </c>
      <c r="D124" s="174">
        <v>4</v>
      </c>
      <c r="E124" s="174">
        <v>42</v>
      </c>
      <c r="F124" s="174">
        <v>67</v>
      </c>
      <c r="G124" s="68">
        <f t="shared" si="0"/>
        <v>0.43917093345056402</v>
      </c>
      <c r="H124" s="68">
        <f t="shared" si="1"/>
        <v>0.39363581094150724</v>
      </c>
      <c r="I124" s="68">
        <f t="shared" si="2"/>
        <v>0.44285015578584352</v>
      </c>
      <c r="J124" s="232">
        <f t="shared" si="3"/>
        <v>3.2151183625707229E-2</v>
      </c>
      <c r="K124" s="321">
        <f t="shared" si="4"/>
        <v>3.4704408754937001E-2</v>
      </c>
    </row>
    <row r="125" spans="1:11" x14ac:dyDescent="0.2">
      <c r="A125" s="320">
        <v>24</v>
      </c>
      <c r="B125" s="174">
        <v>10</v>
      </c>
      <c r="C125" s="174">
        <v>5</v>
      </c>
      <c r="D125" s="174">
        <v>59</v>
      </c>
      <c r="E125" s="174">
        <v>39</v>
      </c>
      <c r="F125" s="174">
        <v>73</v>
      </c>
      <c r="G125" s="68">
        <f t="shared" si="0"/>
        <v>0.12301527397924916</v>
      </c>
      <c r="H125" s="68">
        <f t="shared" si="1"/>
        <v>0.15277111740029858</v>
      </c>
      <c r="I125" s="68">
        <f t="shared" si="2"/>
        <v>0.13900396376419688</v>
      </c>
      <c r="J125" s="232">
        <f t="shared" si="3"/>
        <v>-2.6151434373101315E-2</v>
      </c>
      <c r="K125" s="321">
        <f t="shared" si="4"/>
        <v>-1.2014546589209345E-2</v>
      </c>
    </row>
    <row r="126" spans="1:11" x14ac:dyDescent="0.2">
      <c r="A126" s="320">
        <v>25</v>
      </c>
      <c r="B126" s="174">
        <v>5</v>
      </c>
      <c r="C126" s="174">
        <v>66</v>
      </c>
      <c r="D126" s="174">
        <v>36</v>
      </c>
      <c r="E126" s="174">
        <v>29</v>
      </c>
      <c r="F126" s="174">
        <v>47</v>
      </c>
      <c r="G126" s="68">
        <f t="shared" si="0"/>
        <v>0.39900013528861344</v>
      </c>
      <c r="H126" s="68">
        <f t="shared" si="1"/>
        <v>0.41536156973161642</v>
      </c>
      <c r="I126" s="68">
        <f t="shared" si="2"/>
        <v>0.44487433037718183</v>
      </c>
      <c r="J126" s="232">
        <f t="shared" si="3"/>
        <v>-1.1627232378872093E-2</v>
      </c>
      <c r="K126" s="321">
        <f t="shared" si="4"/>
        <v>2.0637324419292041E-2</v>
      </c>
    </row>
    <row r="127" spans="1:11" x14ac:dyDescent="0.2">
      <c r="A127" s="320">
        <v>26</v>
      </c>
      <c r="B127" s="174">
        <v>27</v>
      </c>
      <c r="C127" s="174">
        <v>22</v>
      </c>
      <c r="D127" s="174">
        <v>35</v>
      </c>
      <c r="E127" s="174">
        <v>57</v>
      </c>
      <c r="F127" s="174">
        <v>60</v>
      </c>
      <c r="G127" s="68">
        <f t="shared" si="0"/>
        <v>0.89508942378083511</v>
      </c>
      <c r="H127" s="68">
        <f t="shared" si="1"/>
        <v>0.85508960417240076</v>
      </c>
      <c r="I127" s="68">
        <f t="shared" si="2"/>
        <v>0.95361621084486248</v>
      </c>
      <c r="J127" s="232">
        <f t="shared" si="3"/>
        <v>2.1333027722407898E-2</v>
      </c>
      <c r="K127" s="321">
        <f t="shared" si="4"/>
        <v>5.1749123245531173E-2</v>
      </c>
    </row>
    <row r="128" spans="1:11" x14ac:dyDescent="0.2">
      <c r="A128" s="320">
        <v>27</v>
      </c>
      <c r="B128" s="174">
        <v>60</v>
      </c>
      <c r="C128" s="174">
        <v>61</v>
      </c>
      <c r="D128" s="174">
        <v>67</v>
      </c>
      <c r="E128" s="174">
        <v>42</v>
      </c>
      <c r="F128" s="174">
        <v>74</v>
      </c>
      <c r="G128" s="68">
        <f t="shared" si="0"/>
        <v>0.69176856197694159</v>
      </c>
      <c r="H128" s="68">
        <f t="shared" si="1"/>
        <v>0.69619636168484123</v>
      </c>
      <c r="I128" s="68">
        <f t="shared" si="2"/>
        <v>0.77722793931898515</v>
      </c>
      <c r="J128" s="232">
        <f t="shared" si="3"/>
        <v>-2.6138418363965731E-3</v>
      </c>
      <c r="K128" s="321">
        <f t="shared" si="4"/>
        <v>4.6666502969176175E-2</v>
      </c>
    </row>
    <row r="129" spans="1:11" x14ac:dyDescent="0.2">
      <c r="A129" s="320">
        <v>28</v>
      </c>
      <c r="B129" s="174">
        <v>46</v>
      </c>
      <c r="C129" s="174">
        <v>53</v>
      </c>
      <c r="D129" s="174">
        <v>23</v>
      </c>
      <c r="E129" s="174">
        <v>55</v>
      </c>
      <c r="F129" s="174">
        <v>50</v>
      </c>
      <c r="G129" s="68">
        <f t="shared" si="0"/>
        <v>0.24843561011767656</v>
      </c>
      <c r="H129" s="68">
        <f t="shared" si="1"/>
        <v>0.26634873774187828</v>
      </c>
      <c r="I129" s="68">
        <f t="shared" si="2"/>
        <v>0.2685109072682228</v>
      </c>
      <c r="J129" s="232">
        <f t="shared" si="3"/>
        <v>-1.4246494426457382E-2</v>
      </c>
      <c r="K129" s="321">
        <f t="shared" si="4"/>
        <v>1.7059485364199565E-3</v>
      </c>
    </row>
    <row r="130" spans="1:11" x14ac:dyDescent="0.2">
      <c r="A130" s="320">
        <v>29</v>
      </c>
      <c r="B130" s="174">
        <v>60</v>
      </c>
      <c r="C130" s="174">
        <v>10</v>
      </c>
      <c r="D130" s="174">
        <v>47</v>
      </c>
      <c r="E130" s="174">
        <v>2</v>
      </c>
      <c r="F130" s="174">
        <v>76</v>
      </c>
      <c r="G130" s="68">
        <f t="shared" si="0"/>
        <v>0.43551770118646171</v>
      </c>
      <c r="H130" s="68">
        <f t="shared" si="1"/>
        <v>0.43384885137363605</v>
      </c>
      <c r="I130" s="68">
        <f t="shared" si="2"/>
        <v>0.45972003352825497</v>
      </c>
      <c r="J130" s="232">
        <f t="shared" si="3"/>
        <v>1.1632184110532192E-3</v>
      </c>
      <c r="K130" s="321">
        <f t="shared" si="4"/>
        <v>1.7882326358043172E-2</v>
      </c>
    </row>
    <row r="131" spans="1:11" x14ac:dyDescent="0.2">
      <c r="A131" s="320">
        <v>30</v>
      </c>
      <c r="B131" s="174">
        <v>30</v>
      </c>
      <c r="C131" s="174">
        <v>18</v>
      </c>
      <c r="D131" s="174">
        <v>15</v>
      </c>
      <c r="E131" s="174">
        <v>54</v>
      </c>
      <c r="F131" s="174">
        <v>4</v>
      </c>
      <c r="G131" s="68">
        <f t="shared" si="0"/>
        <v>0.27317932845361637</v>
      </c>
      <c r="H131" s="68">
        <f t="shared" si="1"/>
        <v>0.24497515864915953</v>
      </c>
      <c r="I131" s="68">
        <f t="shared" si="2"/>
        <v>0.22533352110781601</v>
      </c>
      <c r="J131" s="232">
        <f t="shared" si="3"/>
        <v>2.2401603569804421E-2</v>
      </c>
      <c r="K131" s="321">
        <f t="shared" si="4"/>
        <v>-1.5902507756455766E-2</v>
      </c>
    </row>
    <row r="132" spans="1:11" x14ac:dyDescent="0.2">
      <c r="A132" s="320">
        <v>31</v>
      </c>
      <c r="B132" s="174">
        <v>11</v>
      </c>
      <c r="C132" s="174">
        <v>26</v>
      </c>
      <c r="D132" s="174">
        <v>13</v>
      </c>
      <c r="E132" s="174">
        <v>46</v>
      </c>
      <c r="F132" s="174">
        <v>1</v>
      </c>
      <c r="G132" s="68">
        <f t="shared" si="0"/>
        <v>0.80482068158002162</v>
      </c>
      <c r="H132" s="68">
        <f t="shared" si="1"/>
        <v>0.63963139770157951</v>
      </c>
      <c r="I132" s="68">
        <f t="shared" si="2"/>
        <v>0.68733571442454866</v>
      </c>
      <c r="J132" s="232">
        <f t="shared" si="3"/>
        <v>9.5989782389416897E-2</v>
      </c>
      <c r="K132" s="321">
        <f t="shared" si="4"/>
        <v>2.8679325534898725E-2</v>
      </c>
    </row>
    <row r="133" spans="1:11" x14ac:dyDescent="0.2">
      <c r="A133" s="320">
        <v>32</v>
      </c>
      <c r="B133" s="174">
        <v>35</v>
      </c>
      <c r="C133" s="174">
        <v>1</v>
      </c>
      <c r="D133" s="174">
        <v>29</v>
      </c>
      <c r="E133" s="174">
        <v>59</v>
      </c>
      <c r="F133" s="174">
        <v>26</v>
      </c>
      <c r="G133" s="68">
        <f t="shared" si="0"/>
        <v>1.0152928394198995</v>
      </c>
      <c r="H133" s="68">
        <f t="shared" si="1"/>
        <v>0.96057363665490292</v>
      </c>
      <c r="I133" s="68">
        <f t="shared" si="2"/>
        <v>1.0698817222744053</v>
      </c>
      <c r="J133" s="232">
        <f t="shared" si="3"/>
        <v>2.7527412391120238E-2</v>
      </c>
      <c r="K133" s="321">
        <f t="shared" si="4"/>
        <v>5.4254364461805413E-2</v>
      </c>
    </row>
    <row r="134" spans="1:11" x14ac:dyDescent="0.2">
      <c r="A134" s="320">
        <v>33</v>
      </c>
      <c r="B134" s="174">
        <v>76</v>
      </c>
      <c r="C134" s="174">
        <v>36</v>
      </c>
      <c r="D134" s="174">
        <v>55</v>
      </c>
      <c r="E134" s="174">
        <v>61</v>
      </c>
      <c r="F134" s="174">
        <v>17</v>
      </c>
      <c r="G134" s="68">
        <f t="shared" si="0"/>
        <v>0.23978750094662082</v>
      </c>
      <c r="H134" s="68">
        <f t="shared" si="1"/>
        <v>0.24949296984070979</v>
      </c>
      <c r="I134" s="68">
        <f t="shared" si="2"/>
        <v>0.25302412289072618</v>
      </c>
      <c r="J134" s="232">
        <f t="shared" si="3"/>
        <v>-7.7978501720023128E-3</v>
      </c>
      <c r="K134" s="321">
        <f t="shared" si="4"/>
        <v>2.8220829370760852E-3</v>
      </c>
    </row>
    <row r="135" spans="1:11" x14ac:dyDescent="0.2">
      <c r="A135" s="320">
        <v>34</v>
      </c>
      <c r="B135" s="174">
        <v>40</v>
      </c>
      <c r="C135" s="174">
        <v>35</v>
      </c>
      <c r="D135" s="174">
        <v>25</v>
      </c>
      <c r="E135" s="174">
        <v>61</v>
      </c>
      <c r="F135" s="174">
        <v>50</v>
      </c>
      <c r="G135" s="68">
        <f t="shared" si="0"/>
        <v>0.6439416766710937</v>
      </c>
      <c r="H135" s="68">
        <f t="shared" si="1"/>
        <v>0.58058381997958053</v>
      </c>
      <c r="I135" s="68">
        <f t="shared" si="2"/>
        <v>0.63277643609449408</v>
      </c>
      <c r="J135" s="232">
        <f t="shared" si="3"/>
        <v>3.9302534422827148E-2</v>
      </c>
      <c r="K135" s="321">
        <f t="shared" si="4"/>
        <v>3.2487615711663677E-2</v>
      </c>
    </row>
    <row r="136" spans="1:11" x14ac:dyDescent="0.2">
      <c r="A136" s="320">
        <v>35</v>
      </c>
      <c r="B136" s="174">
        <v>8</v>
      </c>
      <c r="C136" s="174">
        <v>74</v>
      </c>
      <c r="D136" s="174">
        <v>30</v>
      </c>
      <c r="E136" s="174">
        <v>62</v>
      </c>
      <c r="F136" s="174">
        <v>29</v>
      </c>
      <c r="G136" s="68">
        <f t="shared" si="0"/>
        <v>8.3490836138882196E-2</v>
      </c>
      <c r="H136" s="68">
        <f t="shared" si="1"/>
        <v>0.13132987617194547</v>
      </c>
      <c r="I136" s="68">
        <f t="shared" si="2"/>
        <v>0.10943205363914865</v>
      </c>
      <c r="J136" s="232">
        <f t="shared" si="3"/>
        <v>-4.3205737999134436E-2</v>
      </c>
      <c r="K136" s="321">
        <f t="shared" si="4"/>
        <v>-1.9545601318388589E-2</v>
      </c>
    </row>
    <row r="137" spans="1:11" x14ac:dyDescent="0.2">
      <c r="A137" s="320">
        <v>36</v>
      </c>
      <c r="B137" s="174">
        <v>10</v>
      </c>
      <c r="C137" s="174">
        <v>56</v>
      </c>
      <c r="D137" s="174">
        <v>33</v>
      </c>
      <c r="E137" s="174">
        <v>7</v>
      </c>
      <c r="F137" s="174">
        <v>23</v>
      </c>
      <c r="G137" s="68">
        <f t="shared" si="0"/>
        <v>6.2812891408168037E-2</v>
      </c>
      <c r="H137" s="68">
        <f t="shared" si="1"/>
        <v>0.10843289893522856</v>
      </c>
      <c r="I137" s="68">
        <f t="shared" si="2"/>
        <v>7.1323573471774981E-2</v>
      </c>
      <c r="J137" s="232">
        <f t="shared" si="3"/>
        <v>-4.20281505355279E-2</v>
      </c>
      <c r="K137" s="321">
        <f t="shared" si="4"/>
        <v>-3.4052346438864789E-2</v>
      </c>
    </row>
    <row r="138" spans="1:11" x14ac:dyDescent="0.2">
      <c r="A138" s="320">
        <v>37</v>
      </c>
      <c r="B138" s="174">
        <v>69</v>
      </c>
      <c r="C138" s="174">
        <v>76</v>
      </c>
      <c r="D138" s="174">
        <v>12</v>
      </c>
      <c r="E138" s="174">
        <v>41</v>
      </c>
      <c r="F138" s="174">
        <v>66</v>
      </c>
      <c r="G138" s="68">
        <f t="shared" si="0"/>
        <v>0.75530334114702957</v>
      </c>
      <c r="H138" s="68">
        <f t="shared" si="1"/>
        <v>0.67404416407647094</v>
      </c>
      <c r="I138" s="68">
        <f t="shared" si="2"/>
        <v>0.76325644789628821</v>
      </c>
      <c r="J138" s="232">
        <f t="shared" si="3"/>
        <v>4.7399331857696181E-2</v>
      </c>
      <c r="K138" s="321">
        <f t="shared" si="4"/>
        <v>5.1919999841484113E-2</v>
      </c>
    </row>
    <row r="139" spans="1:11" x14ac:dyDescent="0.2">
      <c r="A139" s="320">
        <v>38</v>
      </c>
      <c r="B139" s="174">
        <v>49</v>
      </c>
      <c r="C139" s="174">
        <v>58</v>
      </c>
      <c r="D139" s="174">
        <v>38</v>
      </c>
      <c r="E139" s="174">
        <v>77</v>
      </c>
      <c r="F139" s="174">
        <v>32</v>
      </c>
      <c r="G139" s="68">
        <f t="shared" si="0"/>
        <v>0.66322903205998274</v>
      </c>
      <c r="H139" s="68">
        <f t="shared" si="1"/>
        <v>0.59565132156986844</v>
      </c>
      <c r="I139" s="68">
        <f t="shared" si="2"/>
        <v>0.65698936252396667</v>
      </c>
      <c r="J139" s="232">
        <f t="shared" si="3"/>
        <v>4.1478907987630327E-2</v>
      </c>
      <c r="K139" s="321">
        <f t="shared" si="4"/>
        <v>3.7720313738613689E-2</v>
      </c>
    </row>
    <row r="140" spans="1:11" x14ac:dyDescent="0.2">
      <c r="A140" s="320">
        <v>39</v>
      </c>
      <c r="B140" s="174">
        <v>49</v>
      </c>
      <c r="C140" s="174">
        <v>38</v>
      </c>
      <c r="D140" s="174">
        <v>1</v>
      </c>
      <c r="E140" s="174">
        <v>8</v>
      </c>
      <c r="F140" s="174">
        <v>65</v>
      </c>
      <c r="G140" s="68">
        <f t="shared" si="0"/>
        <v>3.6141063289611086E-2</v>
      </c>
      <c r="H140" s="68">
        <f t="shared" si="1"/>
        <v>1.058846252186596E-2</v>
      </c>
      <c r="I140" s="68">
        <f t="shared" si="2"/>
        <v>-4.2149727242678181E-2</v>
      </c>
      <c r="J140" s="232">
        <f t="shared" si="3"/>
        <v>2.4970498697734198E-2</v>
      </c>
      <c r="K140" s="321">
        <f t="shared" si="4"/>
        <v>-5.3596602057996878E-2</v>
      </c>
    </row>
    <row r="141" spans="1:11" x14ac:dyDescent="0.2">
      <c r="A141" s="320">
        <v>40</v>
      </c>
      <c r="B141" s="174">
        <v>60</v>
      </c>
      <c r="C141" s="174">
        <v>31</v>
      </c>
      <c r="D141" s="174">
        <v>51</v>
      </c>
      <c r="E141" s="174">
        <v>12</v>
      </c>
      <c r="F141" s="174">
        <v>1</v>
      </c>
      <c r="G141" s="68">
        <f t="shared" si="0"/>
        <v>0.87294122149439368</v>
      </c>
      <c r="H141" s="68">
        <f t="shared" si="1"/>
        <v>0.75853503904953867</v>
      </c>
      <c r="I141" s="68">
        <f t="shared" si="2"/>
        <v>0.80834895967161202</v>
      </c>
      <c r="J141" s="232">
        <f t="shared" si="3"/>
        <v>6.3028942692806192E-2</v>
      </c>
      <c r="K141" s="321">
        <f t="shared" si="4"/>
        <v>2.793315374788333E-2</v>
      </c>
    </row>
    <row r="142" spans="1:11" x14ac:dyDescent="0.2">
      <c r="A142" s="320">
        <v>41</v>
      </c>
      <c r="B142" s="174">
        <v>44</v>
      </c>
      <c r="C142" s="174">
        <v>50</v>
      </c>
      <c r="D142" s="174">
        <v>43</v>
      </c>
      <c r="E142" s="174">
        <v>5</v>
      </c>
      <c r="F142" s="174">
        <v>38</v>
      </c>
      <c r="G142" s="68">
        <f t="shared" si="0"/>
        <v>0.21842734251772011</v>
      </c>
      <c r="H142" s="68">
        <f t="shared" si="1"/>
        <v>0.20588677223277219</v>
      </c>
      <c r="I142" s="68">
        <f t="shared" si="2"/>
        <v>0.20623376521578485</v>
      </c>
      <c r="J142" s="232">
        <f t="shared" si="3"/>
        <v>1.0345756818208946E-2</v>
      </c>
      <c r="K142" s="321">
        <f t="shared" si="4"/>
        <v>2.8770783219087481E-4</v>
      </c>
    </row>
    <row r="143" spans="1:11" x14ac:dyDescent="0.2">
      <c r="A143" s="320">
        <v>42</v>
      </c>
      <c r="B143" s="174">
        <v>13</v>
      </c>
      <c r="C143" s="174">
        <v>58</v>
      </c>
      <c r="D143" s="174">
        <v>16</v>
      </c>
      <c r="E143" s="174">
        <v>69</v>
      </c>
      <c r="F143" s="174">
        <v>11</v>
      </c>
      <c r="G143" s="68">
        <f t="shared" si="0"/>
        <v>0.72632900115527499</v>
      </c>
      <c r="H143" s="68">
        <f t="shared" si="1"/>
        <v>0.62821832370019193</v>
      </c>
      <c r="I143" s="68">
        <f t="shared" si="2"/>
        <v>0.66554710448150245</v>
      </c>
      <c r="J143" s="232">
        <f t="shared" si="3"/>
        <v>5.8510825246648579E-2</v>
      </c>
      <c r="K143" s="321">
        <f t="shared" si="4"/>
        <v>2.2667296682334723E-2</v>
      </c>
    </row>
    <row r="144" spans="1:11" x14ac:dyDescent="0.2">
      <c r="A144" s="320">
        <v>43</v>
      </c>
      <c r="B144" s="174">
        <v>49</v>
      </c>
      <c r="C144" s="174">
        <v>10</v>
      </c>
      <c r="D144" s="174">
        <v>29</v>
      </c>
      <c r="E144" s="174">
        <v>40</v>
      </c>
      <c r="F144" s="174">
        <v>64</v>
      </c>
      <c r="G144" s="68">
        <f t="shared" si="0"/>
        <v>0.13594355595923258</v>
      </c>
      <c r="H144" s="68">
        <f t="shared" si="1"/>
        <v>0.13887450196521534</v>
      </c>
      <c r="I144" s="68">
        <f t="shared" si="2"/>
        <v>0.14789071776013207</v>
      </c>
      <c r="J144" s="232">
        <f t="shared" si="3"/>
        <v>-2.5768633386898812E-3</v>
      </c>
      <c r="K144" s="321">
        <f t="shared" si="4"/>
        <v>7.8856040298207041E-3</v>
      </c>
    </row>
    <row r="145" spans="1:11" x14ac:dyDescent="0.2">
      <c r="A145" s="320">
        <v>44</v>
      </c>
      <c r="B145" s="174">
        <v>39</v>
      </c>
      <c r="C145" s="174">
        <v>36</v>
      </c>
      <c r="D145" s="174">
        <v>4</v>
      </c>
      <c r="E145" s="174">
        <v>10</v>
      </c>
      <c r="F145" s="174">
        <v>8</v>
      </c>
      <c r="G145" s="68">
        <f t="shared" si="0"/>
        <v>-0.13989775177465136</v>
      </c>
      <c r="H145" s="68">
        <f t="shared" si="1"/>
        <v>-0.10639062531853705</v>
      </c>
      <c r="I145" s="68">
        <f t="shared" si="2"/>
        <v>-0.16999483273507943</v>
      </c>
      <c r="J145" s="232">
        <f t="shared" si="3"/>
        <v>-3.8217463149163036E-2</v>
      </c>
      <c r="K145" s="321">
        <f t="shared" si="4"/>
        <v>-7.3836812223108284E-2</v>
      </c>
    </row>
    <row r="146" spans="1:11" x14ac:dyDescent="0.2">
      <c r="A146" s="320">
        <v>45</v>
      </c>
      <c r="B146" s="174">
        <v>62</v>
      </c>
      <c r="C146" s="174">
        <v>66</v>
      </c>
      <c r="D146" s="174">
        <v>7</v>
      </c>
      <c r="E146" s="174">
        <v>52</v>
      </c>
      <c r="F146" s="174">
        <v>22</v>
      </c>
      <c r="G146" s="68">
        <f t="shared" si="0"/>
        <v>9.8684198621887598E-2</v>
      </c>
      <c r="H146" s="68">
        <f t="shared" si="1"/>
        <v>0.13204765091290205</v>
      </c>
      <c r="I146" s="68">
        <f t="shared" si="2"/>
        <v>0.12183357577628939</v>
      </c>
      <c r="J146" s="232">
        <f t="shared" si="3"/>
        <v>-2.9914792605760947E-2</v>
      </c>
      <c r="K146" s="321">
        <f t="shared" si="4"/>
        <v>-9.0636054274053288E-3</v>
      </c>
    </row>
    <row r="147" spans="1:11" x14ac:dyDescent="0.2">
      <c r="A147" s="320">
        <v>46</v>
      </c>
      <c r="B147" s="174">
        <v>57</v>
      </c>
      <c r="C147" s="174">
        <v>56</v>
      </c>
      <c r="D147" s="174">
        <v>28</v>
      </c>
      <c r="E147" s="174">
        <v>37</v>
      </c>
      <c r="F147" s="174">
        <v>54</v>
      </c>
      <c r="G147" s="68">
        <f t="shared" si="0"/>
        <v>0.4000845613435684</v>
      </c>
      <c r="H147" s="68">
        <f t="shared" si="1"/>
        <v>0.38583892886659266</v>
      </c>
      <c r="I147" s="68">
        <f t="shared" si="2"/>
        <v>0.41294328236227318</v>
      </c>
      <c r="J147" s="232">
        <f t="shared" si="3"/>
        <v>1.0226954681341742E-2</v>
      </c>
      <c r="K147" s="321">
        <f t="shared" si="4"/>
        <v>1.936928195026321E-2</v>
      </c>
    </row>
    <row r="148" spans="1:11" x14ac:dyDescent="0.2">
      <c r="A148" s="320">
        <v>47</v>
      </c>
      <c r="B148" s="174">
        <v>62</v>
      </c>
      <c r="C148" s="174">
        <v>73</v>
      </c>
      <c r="D148" s="174">
        <v>11</v>
      </c>
      <c r="E148" s="174">
        <v>65</v>
      </c>
      <c r="F148" s="174">
        <v>40</v>
      </c>
      <c r="G148" s="68">
        <f t="shared" si="0"/>
        <v>5.9287230443225702E-2</v>
      </c>
      <c r="H148" s="68">
        <f t="shared" si="1"/>
        <v>6.2722238913827777E-2</v>
      </c>
      <c r="I148" s="68">
        <f t="shared" si="2"/>
        <v>7.6345157020877075E-2</v>
      </c>
      <c r="J148" s="232">
        <f t="shared" si="3"/>
        <v>-3.2375081454913651E-3</v>
      </c>
      <c r="K148" s="321">
        <f t="shared" si="4"/>
        <v>1.2737422220992197E-2</v>
      </c>
    </row>
    <row r="149" spans="1:11" x14ac:dyDescent="0.2">
      <c r="A149" s="320">
        <v>48</v>
      </c>
      <c r="B149" s="174">
        <v>75</v>
      </c>
      <c r="C149" s="174">
        <v>49</v>
      </c>
      <c r="D149" s="174">
        <v>49</v>
      </c>
      <c r="E149" s="174">
        <v>56</v>
      </c>
      <c r="F149" s="174">
        <v>63</v>
      </c>
      <c r="G149" s="68">
        <f t="shared" si="0"/>
        <v>0.27948154651555424</v>
      </c>
      <c r="H149" s="68">
        <f t="shared" si="1"/>
        <v>0.23617560741847399</v>
      </c>
      <c r="I149" s="68">
        <f t="shared" si="2"/>
        <v>0.27880102747665636</v>
      </c>
      <c r="J149" s="232">
        <f t="shared" si="3"/>
        <v>3.4432527952319734E-2</v>
      </c>
      <c r="K149" s="321">
        <f t="shared" si="4"/>
        <v>3.3900515529714723E-2</v>
      </c>
    </row>
    <row r="150" spans="1:11" x14ac:dyDescent="0.2">
      <c r="A150" s="320">
        <v>49</v>
      </c>
      <c r="B150" s="174">
        <v>45</v>
      </c>
      <c r="C150" s="174">
        <v>13</v>
      </c>
      <c r="D150" s="174">
        <v>44</v>
      </c>
      <c r="E150" s="174">
        <v>52</v>
      </c>
      <c r="F150" s="174">
        <v>25</v>
      </c>
      <c r="G150" s="68">
        <f t="shared" si="0"/>
        <v>0.88640665059343937</v>
      </c>
      <c r="H150" s="68">
        <f t="shared" si="1"/>
        <v>0.74608308648163946</v>
      </c>
      <c r="I150" s="68">
        <f t="shared" si="2"/>
        <v>0.8452995781572501</v>
      </c>
      <c r="J150" s="232">
        <f t="shared" si="3"/>
        <v>7.7298733298151207E-2</v>
      </c>
      <c r="K150" s="321">
        <f t="shared" si="4"/>
        <v>5.5266594251943427E-2</v>
      </c>
    </row>
    <row r="151" spans="1:11" x14ac:dyDescent="0.2">
      <c r="A151" s="320">
        <v>50</v>
      </c>
      <c r="B151" s="174">
        <v>28</v>
      </c>
      <c r="C151" s="174">
        <v>77</v>
      </c>
      <c r="D151" s="174">
        <v>52</v>
      </c>
      <c r="E151" s="174">
        <v>56</v>
      </c>
      <c r="F151" s="174">
        <v>37</v>
      </c>
      <c r="G151" s="68">
        <f t="shared" si="0"/>
        <v>0.49578254144545952</v>
      </c>
      <c r="H151" s="68">
        <f t="shared" si="1"/>
        <v>0.48257460202882019</v>
      </c>
      <c r="I151" s="68">
        <f t="shared" si="2"/>
        <v>0.53665525303885042</v>
      </c>
      <c r="J151" s="232">
        <f t="shared" si="3"/>
        <v>8.8693365932666253E-3</v>
      </c>
      <c r="K151" s="321">
        <f t="shared" si="4"/>
        <v>3.582796839245847E-2</v>
      </c>
    </row>
    <row r="152" spans="1:11" x14ac:dyDescent="0.2">
      <c r="A152" s="320">
        <v>51</v>
      </c>
      <c r="B152" s="174">
        <v>7</v>
      </c>
      <c r="C152" s="174">
        <v>57</v>
      </c>
      <c r="D152" s="174">
        <v>48</v>
      </c>
      <c r="E152" s="174">
        <v>71</v>
      </c>
      <c r="F152" s="174">
        <v>4</v>
      </c>
      <c r="G152" s="68">
        <f t="shared" si="0"/>
        <v>0.30352922854845765</v>
      </c>
      <c r="H152" s="68">
        <f t="shared" si="1"/>
        <v>0.28096071288583135</v>
      </c>
      <c r="I152" s="68">
        <f t="shared" si="2"/>
        <v>0.27935128826373812</v>
      </c>
      <c r="J152" s="232">
        <f t="shared" si="3"/>
        <v>1.746502392229687E-2</v>
      </c>
      <c r="K152" s="321">
        <f t="shared" si="4"/>
        <v>-1.2572099285989968E-3</v>
      </c>
    </row>
    <row r="153" spans="1:11" x14ac:dyDescent="0.2">
      <c r="A153" s="320">
        <v>52</v>
      </c>
      <c r="B153" s="174">
        <v>16</v>
      </c>
      <c r="C153" s="174">
        <v>19</v>
      </c>
      <c r="D153" s="174">
        <v>25</v>
      </c>
      <c r="E153" s="174">
        <v>46</v>
      </c>
      <c r="F153" s="174">
        <v>37</v>
      </c>
      <c r="G153" s="68">
        <f t="shared" si="0"/>
        <v>0.21829229102691472</v>
      </c>
      <c r="H153" s="68">
        <f t="shared" si="1"/>
        <v>0.17962107098866231</v>
      </c>
      <c r="I153" s="68">
        <f t="shared" si="2"/>
        <v>0.1549157797845917</v>
      </c>
      <c r="J153" s="232">
        <f t="shared" si="3"/>
        <v>3.2256856085899822E-2</v>
      </c>
      <c r="K153" s="321">
        <f t="shared" si="4"/>
        <v>-2.116583724499704E-2</v>
      </c>
    </row>
    <row r="154" spans="1:11" x14ac:dyDescent="0.2">
      <c r="A154" s="320">
        <v>53</v>
      </c>
      <c r="B154" s="174">
        <v>32</v>
      </c>
      <c r="C154" s="174">
        <v>4</v>
      </c>
      <c r="D154" s="174">
        <v>33</v>
      </c>
      <c r="E154" s="174">
        <v>37</v>
      </c>
      <c r="F154" s="174">
        <v>6</v>
      </c>
      <c r="G154" s="68">
        <f t="shared" si="0"/>
        <v>0.21921426618746964</v>
      </c>
      <c r="H154" s="68">
        <f t="shared" si="1"/>
        <v>0.24072221845346209</v>
      </c>
      <c r="I154" s="68">
        <f t="shared" si="2"/>
        <v>0.2248175110059254</v>
      </c>
      <c r="J154" s="232">
        <f t="shared" si="3"/>
        <v>-1.7487037153583903E-2</v>
      </c>
      <c r="K154" s="321">
        <f t="shared" si="4"/>
        <v>-1.2901782012559919E-2</v>
      </c>
    </row>
    <row r="155" spans="1:11" x14ac:dyDescent="0.2">
      <c r="A155" s="320">
        <v>54</v>
      </c>
      <c r="B155" s="174">
        <v>44</v>
      </c>
      <c r="C155" s="174">
        <v>2</v>
      </c>
      <c r="D155" s="174">
        <v>61</v>
      </c>
      <c r="E155" s="174">
        <v>69</v>
      </c>
      <c r="F155" s="174">
        <v>68</v>
      </c>
      <c r="G155" s="68">
        <f t="shared" si="0"/>
        <v>0.73251951393997428</v>
      </c>
      <c r="H155" s="68">
        <f t="shared" si="1"/>
        <v>0.68469465734920498</v>
      </c>
      <c r="I155" s="68">
        <f t="shared" si="2"/>
        <v>0.74315209582894082</v>
      </c>
      <c r="J155" s="232">
        <f t="shared" si="3"/>
        <v>2.7992380348169869E-2</v>
      </c>
      <c r="K155" s="321">
        <f t="shared" si="4"/>
        <v>3.411068854916937E-2</v>
      </c>
    </row>
    <row r="156" spans="1:11" x14ac:dyDescent="0.2">
      <c r="A156" s="320">
        <v>55</v>
      </c>
      <c r="B156" s="174">
        <v>36</v>
      </c>
      <c r="C156" s="174">
        <v>32</v>
      </c>
      <c r="D156" s="174">
        <v>14</v>
      </c>
      <c r="E156" s="174">
        <v>1</v>
      </c>
      <c r="F156" s="174">
        <v>3</v>
      </c>
      <c r="G156" s="68">
        <f t="shared" si="0"/>
        <v>0.69372107638906355</v>
      </c>
      <c r="H156" s="68">
        <f t="shared" si="1"/>
        <v>0.56446332089981865</v>
      </c>
      <c r="I156" s="68">
        <f t="shared" si="2"/>
        <v>0.58446083717413844</v>
      </c>
      <c r="J156" s="232">
        <f t="shared" si="3"/>
        <v>7.9385089592440811E-2</v>
      </c>
      <c r="K156" s="321">
        <f t="shared" si="4"/>
        <v>1.270134440203278E-2</v>
      </c>
    </row>
    <row r="157" spans="1:11" x14ac:dyDescent="0.2">
      <c r="A157" s="320">
        <v>56</v>
      </c>
      <c r="B157" s="174">
        <v>29</v>
      </c>
      <c r="C157" s="174">
        <v>6</v>
      </c>
      <c r="D157" s="174">
        <v>56</v>
      </c>
      <c r="E157" s="174">
        <v>3</v>
      </c>
      <c r="F157" s="174">
        <v>21</v>
      </c>
      <c r="G157" s="68">
        <f t="shared" si="0"/>
        <v>0.17666667998162633</v>
      </c>
      <c r="H157" s="68">
        <f t="shared" si="1"/>
        <v>0.18852860278994754</v>
      </c>
      <c r="I157" s="68">
        <f t="shared" si="2"/>
        <v>0.17057806483108373</v>
      </c>
      <c r="J157" s="232">
        <f t="shared" si="3"/>
        <v>-1.0030480229200901E-2</v>
      </c>
      <c r="K157" s="321">
        <f t="shared" si="4"/>
        <v>-1.5218374520894591E-2</v>
      </c>
    </row>
    <row r="158" spans="1:11" x14ac:dyDescent="0.2">
      <c r="A158" s="320">
        <v>57</v>
      </c>
      <c r="B158" s="174">
        <v>52</v>
      </c>
      <c r="C158" s="174">
        <v>77</v>
      </c>
      <c r="D158" s="174">
        <v>16</v>
      </c>
      <c r="E158" s="174">
        <v>1</v>
      </c>
      <c r="F158" s="174">
        <v>69</v>
      </c>
      <c r="G158" s="68">
        <f t="shared" si="0"/>
        <v>0.64724085416309829</v>
      </c>
      <c r="H158" s="68">
        <f t="shared" si="1"/>
        <v>0.56832314656650773</v>
      </c>
      <c r="I158" s="68">
        <f t="shared" si="2"/>
        <v>0.61547393196689382</v>
      </c>
      <c r="J158" s="232">
        <f t="shared" si="3"/>
        <v>4.9094689544859196E-2</v>
      </c>
      <c r="K158" s="321">
        <f t="shared" si="4"/>
        <v>2.9621380884561937E-2</v>
      </c>
    </row>
    <row r="159" spans="1:11" x14ac:dyDescent="0.2">
      <c r="A159" s="320">
        <v>58</v>
      </c>
      <c r="B159" s="174">
        <v>28</v>
      </c>
      <c r="C159" s="174">
        <v>24</v>
      </c>
      <c r="D159" s="174">
        <v>15</v>
      </c>
      <c r="E159" s="174">
        <v>16</v>
      </c>
      <c r="F159" s="174">
        <v>58</v>
      </c>
      <c r="G159" s="68">
        <f t="shared" si="0"/>
        <v>0.74969228712629787</v>
      </c>
      <c r="H159" s="68">
        <f t="shared" si="1"/>
        <v>0.69503576271805478</v>
      </c>
      <c r="I159" s="68">
        <f t="shared" si="2"/>
        <v>0.7625897949929159</v>
      </c>
      <c r="J159" s="232">
        <f t="shared" si="3"/>
        <v>3.1736096988104937E-2</v>
      </c>
      <c r="K159" s="321">
        <f t="shared" si="4"/>
        <v>3.9080362361678549E-2</v>
      </c>
    </row>
    <row r="160" spans="1:11" x14ac:dyDescent="0.2">
      <c r="A160" s="320">
        <v>59</v>
      </c>
      <c r="B160" s="174">
        <v>76</v>
      </c>
      <c r="C160" s="174">
        <v>74</v>
      </c>
      <c r="D160" s="174">
        <v>22</v>
      </c>
      <c r="E160" s="174">
        <v>76</v>
      </c>
      <c r="F160" s="174">
        <v>14</v>
      </c>
      <c r="G160" s="68">
        <f t="shared" si="0"/>
        <v>0.45404537327460925</v>
      </c>
      <c r="H160" s="68">
        <f t="shared" si="1"/>
        <v>0.42168254385565462</v>
      </c>
      <c r="I160" s="68">
        <f t="shared" si="2"/>
        <v>0.46001595768349168</v>
      </c>
      <c r="J160" s="232">
        <f t="shared" si="3"/>
        <v>2.2508524228733024E-2</v>
      </c>
      <c r="K160" s="321">
        <f t="shared" si="4"/>
        <v>2.6606305356531326E-2</v>
      </c>
    </row>
    <row r="161" spans="1:11" x14ac:dyDescent="0.2">
      <c r="A161" s="320">
        <v>60</v>
      </c>
      <c r="B161" s="174">
        <v>7</v>
      </c>
      <c r="C161" s="174">
        <v>57</v>
      </c>
      <c r="D161" s="174">
        <v>8</v>
      </c>
      <c r="E161" s="174">
        <v>68</v>
      </c>
      <c r="F161" s="174">
        <v>45</v>
      </c>
      <c r="G161" s="68">
        <f t="shared" si="0"/>
        <v>-2.133684918362444E-2</v>
      </c>
      <c r="H161" s="68">
        <f t="shared" si="1"/>
        <v>2.8390898157819811E-2</v>
      </c>
      <c r="I161" s="68">
        <f t="shared" si="2"/>
        <v>-1.4147520079510589E-2</v>
      </c>
      <c r="J161" s="232">
        <f t="shared" si="3"/>
        <v>-4.9563116294492407E-2</v>
      </c>
      <c r="K161" s="321">
        <f t="shared" si="4"/>
        <v>-4.2243896140116512E-2</v>
      </c>
    </row>
    <row r="162" spans="1:11" x14ac:dyDescent="0.2">
      <c r="A162" s="320">
        <v>61</v>
      </c>
      <c r="B162" s="174">
        <v>4</v>
      </c>
      <c r="C162" s="174">
        <v>46</v>
      </c>
      <c r="D162" s="174">
        <v>23</v>
      </c>
      <c r="E162" s="174">
        <v>67</v>
      </c>
      <c r="F162" s="174">
        <v>47</v>
      </c>
      <c r="G162" s="68">
        <f t="shared" si="0"/>
        <v>0.60142547084512943</v>
      </c>
      <c r="H162" s="68">
        <f t="shared" si="1"/>
        <v>0.57006801319885647</v>
      </c>
      <c r="I162" s="68">
        <f t="shared" si="2"/>
        <v>0.63251824821043279</v>
      </c>
      <c r="J162" s="232">
        <f t="shared" si="3"/>
        <v>1.9775212960186157E-2</v>
      </c>
      <c r="K162" s="321">
        <f t="shared" si="4"/>
        <v>3.9004821252073239E-2</v>
      </c>
    </row>
    <row r="163" spans="1:11" x14ac:dyDescent="0.2">
      <c r="A163" s="320">
        <v>62</v>
      </c>
      <c r="B163" s="174">
        <v>49</v>
      </c>
      <c r="C163" s="174">
        <v>1</v>
      </c>
      <c r="D163" s="174">
        <v>67</v>
      </c>
      <c r="E163" s="174">
        <v>45</v>
      </c>
      <c r="F163" s="174">
        <v>75</v>
      </c>
      <c r="G163" s="68">
        <f t="shared" si="0"/>
        <v>0.55494660840137944</v>
      </c>
      <c r="H163" s="68">
        <f t="shared" si="1"/>
        <v>0.5113499255223275</v>
      </c>
      <c r="I163" s="68">
        <f t="shared" si="2"/>
        <v>0.56467275988195076</v>
      </c>
      <c r="J163" s="232">
        <f t="shared" si="3"/>
        <v>2.8437967740979491E-2</v>
      </c>
      <c r="K163" s="321">
        <f t="shared" si="4"/>
        <v>3.4673461143336901E-2</v>
      </c>
    </row>
    <row r="164" spans="1:11" x14ac:dyDescent="0.2">
      <c r="A164" s="320">
        <v>63</v>
      </c>
      <c r="B164" s="174">
        <v>20</v>
      </c>
      <c r="C164" s="174">
        <v>52</v>
      </c>
      <c r="D164" s="174">
        <v>1</v>
      </c>
      <c r="E164" s="174">
        <v>74</v>
      </c>
      <c r="F164" s="174">
        <v>63</v>
      </c>
      <c r="G164" s="68">
        <f t="shared" si="0"/>
        <v>0.31746239577500002</v>
      </c>
      <c r="H164" s="68">
        <f t="shared" si="1"/>
        <v>0.27167839321740872</v>
      </c>
      <c r="I164" s="68">
        <f t="shared" si="2"/>
        <v>0.27668769245110347</v>
      </c>
      <c r="J164" s="232">
        <f t="shared" si="3"/>
        <v>3.5369861491048524E-2</v>
      </c>
      <c r="K164" s="321">
        <f t="shared" si="4"/>
        <v>3.9313862429400034E-3</v>
      </c>
    </row>
    <row r="165" spans="1:11" x14ac:dyDescent="0.2">
      <c r="A165" s="320">
        <v>64</v>
      </c>
      <c r="B165" s="174">
        <v>67</v>
      </c>
      <c r="C165" s="174">
        <v>37</v>
      </c>
      <c r="D165" s="174">
        <v>62</v>
      </c>
      <c r="E165" s="174">
        <v>38</v>
      </c>
      <c r="F165" s="174">
        <v>73</v>
      </c>
      <c r="G165" s="68">
        <f t="shared" si="0"/>
        <v>0.10103612756100966</v>
      </c>
      <c r="H165" s="68">
        <f t="shared" si="1"/>
        <v>0.11199537967835926</v>
      </c>
      <c r="I165" s="68">
        <f t="shared" si="2"/>
        <v>0.11047069737209014</v>
      </c>
      <c r="J165" s="232">
        <f t="shared" si="3"/>
        <v>-9.904370245148052E-3</v>
      </c>
      <c r="K165" s="321">
        <f t="shared" si="4"/>
        <v>-1.3720637279509321E-3</v>
      </c>
    </row>
    <row r="166" spans="1:11" x14ac:dyDescent="0.2">
      <c r="A166" s="320">
        <v>65</v>
      </c>
      <c r="B166" s="174">
        <v>43</v>
      </c>
      <c r="C166" s="174">
        <v>51</v>
      </c>
      <c r="D166" s="174">
        <v>1</v>
      </c>
      <c r="E166" s="174">
        <v>75</v>
      </c>
      <c r="F166" s="174">
        <v>46</v>
      </c>
      <c r="G166" s="68">
        <f t="shared" ref="G166:G229" si="5">(1+INDEX($Z$21:$Z$97,B166))*(1+INDEX($Z$21:$Z$97,C166))*(1+INDEX($Z$21:$Z$97,D166))*(1+INDEX($Z$21:$Z$97,E166))*(1+INDEX($Z$21:$Z$97,F166))-1</f>
        <v>0.59682737896018034</v>
      </c>
      <c r="H166" s="68">
        <f t="shared" ref="H166:H229" si="6">(1+INDEX($AA$21:$AA$97,B166))*(1+INDEX($AA$21:$AA$97,C166))*(1+INDEX($AA$21:$AA$97,D166))*(1+INDEX($AA$21:$AA$97,E166))*(1+INDEX($AA$21:$AA$97,F166))-1</f>
        <v>0.53003867656314596</v>
      </c>
      <c r="I166" s="68">
        <f t="shared" ref="I166:I229" si="7">(1+INDEX($AB$21:$AB$97,B166))*(1+INDEX($AB$21:$AB$97,C166))*(1+INDEX($AB$21:$AB$97,D166))*(1+INDEX($AB$21:$AB$97,E166))*(1+INDEX($AB$21:$AB$97,F166))-1</f>
        <v>0.58807508059221725</v>
      </c>
      <c r="J166" s="232">
        <f t="shared" ref="J166:J229" si="8">LN((1+G166)/(1+H166))</f>
        <v>4.2725758686184119E-2</v>
      </c>
      <c r="K166" s="321">
        <f t="shared" ref="K166:K229" si="9">LN((1+I166)/(1+H166))</f>
        <v>3.7229627792909212E-2</v>
      </c>
    </row>
    <row r="167" spans="1:11" x14ac:dyDescent="0.2">
      <c r="A167" s="320">
        <v>66</v>
      </c>
      <c r="B167" s="174">
        <v>7</v>
      </c>
      <c r="C167" s="174">
        <v>42</v>
      </c>
      <c r="D167" s="174">
        <v>66</v>
      </c>
      <c r="E167" s="174">
        <v>68</v>
      </c>
      <c r="F167" s="174">
        <v>57</v>
      </c>
      <c r="G167" s="68">
        <f t="shared" si="5"/>
        <v>0.40892792295645641</v>
      </c>
      <c r="H167" s="68">
        <f t="shared" si="6"/>
        <v>0.39424808108139842</v>
      </c>
      <c r="I167" s="68">
        <f t="shared" si="7"/>
        <v>0.4197475538525226</v>
      </c>
      <c r="J167" s="232">
        <f t="shared" si="8"/>
        <v>1.0473816879793072E-2</v>
      </c>
      <c r="K167" s="321">
        <f t="shared" si="9"/>
        <v>1.8123816853779274E-2</v>
      </c>
    </row>
    <row r="168" spans="1:11" x14ac:dyDescent="0.2">
      <c r="A168" s="320">
        <v>67</v>
      </c>
      <c r="B168" s="174">
        <v>50</v>
      </c>
      <c r="C168" s="174">
        <v>67</v>
      </c>
      <c r="D168" s="174">
        <v>11</v>
      </c>
      <c r="E168" s="174">
        <v>1</v>
      </c>
      <c r="F168" s="174">
        <v>75</v>
      </c>
      <c r="G168" s="68">
        <f t="shared" si="5"/>
        <v>0.47252079111674594</v>
      </c>
      <c r="H168" s="68">
        <f t="shared" si="6"/>
        <v>0.40953692228005378</v>
      </c>
      <c r="I168" s="68">
        <f t="shared" si="7"/>
        <v>0.42194318645177709</v>
      </c>
      <c r="J168" s="232">
        <f t="shared" si="8"/>
        <v>4.3714529515549772E-2</v>
      </c>
      <c r="K168" s="321">
        <f t="shared" si="9"/>
        <v>8.7631507818270553E-3</v>
      </c>
    </row>
    <row r="169" spans="1:11" x14ac:dyDescent="0.2">
      <c r="A169" s="320">
        <v>68</v>
      </c>
      <c r="B169" s="174">
        <v>61</v>
      </c>
      <c r="C169" s="174">
        <v>50</v>
      </c>
      <c r="D169" s="174">
        <v>13</v>
      </c>
      <c r="E169" s="174">
        <v>5</v>
      </c>
      <c r="F169" s="174">
        <v>17</v>
      </c>
      <c r="G169" s="68">
        <f t="shared" si="5"/>
        <v>0.44213535319225983</v>
      </c>
      <c r="H169" s="68">
        <f t="shared" si="6"/>
        <v>0.37510503182302379</v>
      </c>
      <c r="I169" s="68">
        <f t="shared" si="7"/>
        <v>0.38100745880810161</v>
      </c>
      <c r="J169" s="232">
        <f t="shared" si="8"/>
        <v>4.7594784380608691E-2</v>
      </c>
      <c r="K169" s="321">
        <f t="shared" si="9"/>
        <v>4.283160450600336E-3</v>
      </c>
    </row>
    <row r="170" spans="1:11" x14ac:dyDescent="0.2">
      <c r="A170" s="320">
        <v>69</v>
      </c>
      <c r="B170" s="174">
        <v>38</v>
      </c>
      <c r="C170" s="174">
        <v>29</v>
      </c>
      <c r="D170" s="174">
        <v>10</v>
      </c>
      <c r="E170" s="174">
        <v>51</v>
      </c>
      <c r="F170" s="174">
        <v>22</v>
      </c>
      <c r="G170" s="68">
        <f t="shared" si="5"/>
        <v>0.21493510334616839</v>
      </c>
      <c r="H170" s="68">
        <f t="shared" si="6"/>
        <v>0.22137439121640923</v>
      </c>
      <c r="I170" s="68">
        <f t="shared" si="7"/>
        <v>0.19006506409390655</v>
      </c>
      <c r="J170" s="232">
        <f t="shared" si="8"/>
        <v>-5.2861123588895179E-3</v>
      </c>
      <c r="K170" s="321">
        <f t="shared" si="9"/>
        <v>-2.5968793503129306E-2</v>
      </c>
    </row>
    <row r="171" spans="1:11" x14ac:dyDescent="0.2">
      <c r="A171" s="320">
        <v>70</v>
      </c>
      <c r="B171" s="174">
        <v>21</v>
      </c>
      <c r="C171" s="174">
        <v>53</v>
      </c>
      <c r="D171" s="174">
        <v>41</v>
      </c>
      <c r="E171" s="174">
        <v>28</v>
      </c>
      <c r="F171" s="174">
        <v>70</v>
      </c>
      <c r="G171" s="68">
        <f t="shared" si="5"/>
        <v>0.45251392515328304</v>
      </c>
      <c r="H171" s="68">
        <f t="shared" si="6"/>
        <v>0.50844447176552454</v>
      </c>
      <c r="I171" s="68">
        <f t="shared" si="7"/>
        <v>0.53409481192814745</v>
      </c>
      <c r="J171" s="232">
        <f t="shared" si="8"/>
        <v>-3.7783171985185215E-2</v>
      </c>
      <c r="K171" s="321">
        <f t="shared" si="9"/>
        <v>1.686153932087342E-2</v>
      </c>
    </row>
    <row r="172" spans="1:11" x14ac:dyDescent="0.2">
      <c r="A172" s="320">
        <v>71</v>
      </c>
      <c r="B172" s="174">
        <v>10</v>
      </c>
      <c r="C172" s="174">
        <v>73</v>
      </c>
      <c r="D172" s="174">
        <v>31</v>
      </c>
      <c r="E172" s="174">
        <v>56</v>
      </c>
      <c r="F172" s="174">
        <v>19</v>
      </c>
      <c r="G172" s="68">
        <f t="shared" si="5"/>
        <v>2.3074984623109085E-2</v>
      </c>
      <c r="H172" s="68">
        <f t="shared" si="6"/>
        <v>6.6412927030075952E-2</v>
      </c>
      <c r="I172" s="68">
        <f t="shared" si="7"/>
        <v>3.7193734879868545E-2</v>
      </c>
      <c r="J172" s="232">
        <f t="shared" si="8"/>
        <v>-4.1487828895031532E-2</v>
      </c>
      <c r="K172" s="321">
        <f t="shared" si="9"/>
        <v>-2.778187768261986E-2</v>
      </c>
    </row>
    <row r="173" spans="1:11" x14ac:dyDescent="0.2">
      <c r="A173" s="320">
        <v>72</v>
      </c>
      <c r="B173" s="174">
        <v>8</v>
      </c>
      <c r="C173" s="174">
        <v>28</v>
      </c>
      <c r="D173" s="174">
        <v>8</v>
      </c>
      <c r="E173" s="174">
        <v>56</v>
      </c>
      <c r="F173" s="174">
        <v>9</v>
      </c>
      <c r="G173" s="68">
        <f t="shared" si="5"/>
        <v>-0.35310103540080051</v>
      </c>
      <c r="H173" s="68">
        <f t="shared" si="6"/>
        <v>-0.27564526728398586</v>
      </c>
      <c r="I173" s="68">
        <f t="shared" si="7"/>
        <v>-0.35829276512842667</v>
      </c>
      <c r="J173" s="232">
        <f t="shared" si="8"/>
        <v>-0.1130911122173897</v>
      </c>
      <c r="K173" s="321">
        <f t="shared" si="9"/>
        <v>-0.12114905547655888</v>
      </c>
    </row>
    <row r="174" spans="1:11" x14ac:dyDescent="0.2">
      <c r="A174" s="320">
        <v>73</v>
      </c>
      <c r="B174" s="174">
        <v>14</v>
      </c>
      <c r="C174" s="174">
        <v>75</v>
      </c>
      <c r="D174" s="174">
        <v>38</v>
      </c>
      <c r="E174" s="174">
        <v>15</v>
      </c>
      <c r="F174" s="174">
        <v>62</v>
      </c>
      <c r="G174" s="68">
        <f t="shared" si="5"/>
        <v>0.25254412315214747</v>
      </c>
      <c r="H174" s="68">
        <f t="shared" si="6"/>
        <v>0.22752382964172635</v>
      </c>
      <c r="I174" s="68">
        <f t="shared" si="7"/>
        <v>0.24510555960073788</v>
      </c>
      <c r="J174" s="232">
        <f t="shared" si="8"/>
        <v>2.0177787773787426E-2</v>
      </c>
      <c r="K174" s="321">
        <f t="shared" si="9"/>
        <v>1.4221319502184483E-2</v>
      </c>
    </row>
    <row r="175" spans="1:11" x14ac:dyDescent="0.2">
      <c r="A175" s="320">
        <v>74</v>
      </c>
      <c r="B175" s="174">
        <v>12</v>
      </c>
      <c r="C175" s="174">
        <v>28</v>
      </c>
      <c r="D175" s="174">
        <v>17</v>
      </c>
      <c r="E175" s="174">
        <v>39</v>
      </c>
      <c r="F175" s="174">
        <v>17</v>
      </c>
      <c r="G175" s="68">
        <f t="shared" si="5"/>
        <v>0.62856762034865299</v>
      </c>
      <c r="H175" s="68">
        <f t="shared" si="6"/>
        <v>0.52173454148441434</v>
      </c>
      <c r="I175" s="68">
        <f t="shared" si="7"/>
        <v>0.54050022733681047</v>
      </c>
      <c r="J175" s="232">
        <f t="shared" si="8"/>
        <v>6.7850038000235521E-2</v>
      </c>
      <c r="K175" s="321">
        <f t="shared" si="9"/>
        <v>1.2256356668205987E-2</v>
      </c>
    </row>
    <row r="176" spans="1:11" x14ac:dyDescent="0.2">
      <c r="A176" s="320">
        <v>75</v>
      </c>
      <c r="B176" s="174">
        <v>61</v>
      </c>
      <c r="C176" s="174">
        <v>57</v>
      </c>
      <c r="D176" s="174">
        <v>58</v>
      </c>
      <c r="E176" s="174">
        <v>53</v>
      </c>
      <c r="F176" s="174">
        <v>54</v>
      </c>
      <c r="G176" s="68">
        <f t="shared" si="5"/>
        <v>0.48142167485138043</v>
      </c>
      <c r="H176" s="68">
        <f t="shared" si="6"/>
        <v>0.50533992189680577</v>
      </c>
      <c r="I176" s="68">
        <f t="shared" si="7"/>
        <v>0.55359612718626572</v>
      </c>
      <c r="J176" s="232">
        <f t="shared" si="8"/>
        <v>-1.6016516603952029E-2</v>
      </c>
      <c r="K176" s="321">
        <f t="shared" si="9"/>
        <v>3.1553591328666954E-2</v>
      </c>
    </row>
    <row r="177" spans="1:11" x14ac:dyDescent="0.2">
      <c r="A177" s="320">
        <v>76</v>
      </c>
      <c r="B177" s="174">
        <v>60</v>
      </c>
      <c r="C177" s="174">
        <v>64</v>
      </c>
      <c r="D177" s="174">
        <v>62</v>
      </c>
      <c r="E177" s="174">
        <v>34</v>
      </c>
      <c r="F177" s="174">
        <v>37</v>
      </c>
      <c r="G177" s="68">
        <f t="shared" si="5"/>
        <v>0.11526474691008359</v>
      </c>
      <c r="H177" s="68">
        <f t="shared" si="6"/>
        <v>0.1493001958700233</v>
      </c>
      <c r="I177" s="68">
        <f t="shared" si="7"/>
        <v>0.17286266300222475</v>
      </c>
      <c r="J177" s="232">
        <f t="shared" si="8"/>
        <v>-3.0061413915707484E-2</v>
      </c>
      <c r="K177" s="321">
        <f t="shared" si="9"/>
        <v>2.0294249159131226E-2</v>
      </c>
    </row>
    <row r="178" spans="1:11" x14ac:dyDescent="0.2">
      <c r="A178" s="320">
        <v>77</v>
      </c>
      <c r="B178" s="174">
        <v>47</v>
      </c>
      <c r="C178" s="174">
        <v>69</v>
      </c>
      <c r="D178" s="174">
        <v>47</v>
      </c>
      <c r="E178" s="174">
        <v>75</v>
      </c>
      <c r="F178" s="174">
        <v>38</v>
      </c>
      <c r="G178" s="68">
        <f t="shared" si="5"/>
        <v>0.65239138280387632</v>
      </c>
      <c r="H178" s="68">
        <f t="shared" si="6"/>
        <v>0.6233537411745631</v>
      </c>
      <c r="I178" s="68">
        <f t="shared" si="7"/>
        <v>0.695003645616461</v>
      </c>
      <c r="J178" s="232">
        <f t="shared" si="8"/>
        <v>1.772934165635567E-2</v>
      </c>
      <c r="K178" s="321">
        <f t="shared" si="9"/>
        <v>4.3190671723465697E-2</v>
      </c>
    </row>
    <row r="179" spans="1:11" x14ac:dyDescent="0.2">
      <c r="A179" s="320">
        <v>78</v>
      </c>
      <c r="B179" s="174">
        <v>63</v>
      </c>
      <c r="C179" s="174">
        <v>75</v>
      </c>
      <c r="D179" s="174">
        <v>31</v>
      </c>
      <c r="E179" s="174">
        <v>31</v>
      </c>
      <c r="F179" s="174">
        <v>51</v>
      </c>
      <c r="G179" s="68">
        <f t="shared" si="5"/>
        <v>0.38813985022661179</v>
      </c>
      <c r="H179" s="68">
        <f t="shared" si="6"/>
        <v>0.39558536228536956</v>
      </c>
      <c r="I179" s="68">
        <f t="shared" si="7"/>
        <v>0.4479212662410601</v>
      </c>
      <c r="J179" s="232">
        <f t="shared" si="8"/>
        <v>-5.3493281448335431E-3</v>
      </c>
      <c r="K179" s="321">
        <f t="shared" si="9"/>
        <v>3.6814976541031851E-2</v>
      </c>
    </row>
    <row r="180" spans="1:11" x14ac:dyDescent="0.2">
      <c r="A180" s="320">
        <v>79</v>
      </c>
      <c r="B180" s="174">
        <v>30</v>
      </c>
      <c r="C180" s="174">
        <v>74</v>
      </c>
      <c r="D180" s="174">
        <v>10</v>
      </c>
      <c r="E180" s="174">
        <v>7</v>
      </c>
      <c r="F180" s="174">
        <v>16</v>
      </c>
      <c r="G180" s="68">
        <f t="shared" si="5"/>
        <v>1.8598809670191674E-3</v>
      </c>
      <c r="H180" s="68">
        <f t="shared" si="6"/>
        <v>3.5808778656177598E-2</v>
      </c>
      <c r="I180" s="68">
        <f t="shared" si="7"/>
        <v>-1.09773522264347E-2</v>
      </c>
      <c r="J180" s="232">
        <f t="shared" si="8"/>
        <v>-3.3324396684268939E-2</v>
      </c>
      <c r="K180" s="321">
        <f t="shared" si="9"/>
        <v>-4.6220598165919426E-2</v>
      </c>
    </row>
    <row r="181" spans="1:11" x14ac:dyDescent="0.2">
      <c r="A181" s="320">
        <v>80</v>
      </c>
      <c r="B181" s="174">
        <v>31</v>
      </c>
      <c r="C181" s="174">
        <v>64</v>
      </c>
      <c r="D181" s="174">
        <v>72</v>
      </c>
      <c r="E181" s="174">
        <v>50</v>
      </c>
      <c r="F181" s="174">
        <v>18</v>
      </c>
      <c r="G181" s="68">
        <f t="shared" si="5"/>
        <v>0.36217489446831119</v>
      </c>
      <c r="H181" s="68">
        <f t="shared" si="6"/>
        <v>0.32479869788124027</v>
      </c>
      <c r="I181" s="68">
        <f t="shared" si="7"/>
        <v>0.3463659464976856</v>
      </c>
      <c r="J181" s="232">
        <f t="shared" si="8"/>
        <v>2.7822087750051835E-2</v>
      </c>
      <c r="K181" s="321">
        <f t="shared" si="9"/>
        <v>1.6148549543165344E-2</v>
      </c>
    </row>
    <row r="182" spans="1:11" x14ac:dyDescent="0.2">
      <c r="A182" s="320">
        <v>81</v>
      </c>
      <c r="B182" s="174">
        <v>43</v>
      </c>
      <c r="C182" s="174">
        <v>34</v>
      </c>
      <c r="D182" s="174">
        <v>54</v>
      </c>
      <c r="E182" s="174">
        <v>61</v>
      </c>
      <c r="F182" s="174">
        <v>48</v>
      </c>
      <c r="G182" s="68">
        <f t="shared" si="5"/>
        <v>0.30378348578578551</v>
      </c>
      <c r="H182" s="68">
        <f t="shared" si="6"/>
        <v>0.33410821596651363</v>
      </c>
      <c r="I182" s="68">
        <f t="shared" si="7"/>
        <v>0.36929062097713317</v>
      </c>
      <c r="J182" s="232">
        <f t="shared" si="8"/>
        <v>-2.2992654406737218E-2</v>
      </c>
      <c r="K182" s="321">
        <f t="shared" si="9"/>
        <v>2.6029745213308732E-2</v>
      </c>
    </row>
    <row r="183" spans="1:11" x14ac:dyDescent="0.2">
      <c r="A183" s="320">
        <v>82</v>
      </c>
      <c r="B183" s="174">
        <v>14</v>
      </c>
      <c r="C183" s="174">
        <v>13</v>
      </c>
      <c r="D183" s="174">
        <v>17</v>
      </c>
      <c r="E183" s="174">
        <v>3</v>
      </c>
      <c r="F183" s="174">
        <v>38</v>
      </c>
      <c r="G183" s="68">
        <f t="shared" si="5"/>
        <v>0.72018520336855718</v>
      </c>
      <c r="H183" s="68">
        <f t="shared" si="6"/>
        <v>0.53541932485357413</v>
      </c>
      <c r="I183" s="68">
        <f t="shared" si="7"/>
        <v>0.55488651567947489</v>
      </c>
      <c r="J183" s="232">
        <f t="shared" si="8"/>
        <v>0.11362844187192551</v>
      </c>
      <c r="K183" s="321">
        <f t="shared" si="9"/>
        <v>1.2599043163754283E-2</v>
      </c>
    </row>
    <row r="184" spans="1:11" x14ac:dyDescent="0.2">
      <c r="A184" s="320">
        <v>83</v>
      </c>
      <c r="B184" s="174">
        <v>3</v>
      </c>
      <c r="C184" s="174">
        <v>53</v>
      </c>
      <c r="D184" s="174">
        <v>40</v>
      </c>
      <c r="E184" s="174">
        <v>45</v>
      </c>
      <c r="F184" s="174">
        <v>20</v>
      </c>
      <c r="G184" s="68">
        <f t="shared" si="5"/>
        <v>0.1852387075128954</v>
      </c>
      <c r="H184" s="68">
        <f t="shared" si="6"/>
        <v>0.20746391936420361</v>
      </c>
      <c r="I184" s="68">
        <f t="shared" si="7"/>
        <v>0.19797191826971083</v>
      </c>
      <c r="J184" s="232">
        <f t="shared" si="8"/>
        <v>-1.857803041469255E-2</v>
      </c>
      <c r="K184" s="321">
        <f t="shared" si="9"/>
        <v>-7.8921667453364184E-3</v>
      </c>
    </row>
    <row r="185" spans="1:11" x14ac:dyDescent="0.2">
      <c r="A185" s="320">
        <v>84</v>
      </c>
      <c r="B185" s="174">
        <v>76</v>
      </c>
      <c r="C185" s="174">
        <v>72</v>
      </c>
      <c r="D185" s="174">
        <v>3</v>
      </c>
      <c r="E185" s="174">
        <v>55</v>
      </c>
      <c r="F185" s="174">
        <v>25</v>
      </c>
      <c r="G185" s="68">
        <f t="shared" si="5"/>
        <v>0.49335328011991963</v>
      </c>
      <c r="H185" s="68">
        <f t="shared" si="6"/>
        <v>0.45354339645638508</v>
      </c>
      <c r="I185" s="68">
        <f t="shared" si="7"/>
        <v>0.50234338385077337</v>
      </c>
      <c r="J185" s="232">
        <f t="shared" si="8"/>
        <v>2.7019817798500437E-2</v>
      </c>
      <c r="K185" s="321">
        <f t="shared" si="9"/>
        <v>3.3021847862175914E-2</v>
      </c>
    </row>
    <row r="186" spans="1:11" x14ac:dyDescent="0.2">
      <c r="A186" s="320">
        <v>85</v>
      </c>
      <c r="B186" s="174">
        <v>60</v>
      </c>
      <c r="C186" s="174">
        <v>54</v>
      </c>
      <c r="D186" s="174">
        <v>40</v>
      </c>
      <c r="E186" s="174">
        <v>41</v>
      </c>
      <c r="F186" s="174">
        <v>45</v>
      </c>
      <c r="G186" s="68">
        <f t="shared" si="5"/>
        <v>0.44655282769623184</v>
      </c>
      <c r="H186" s="68">
        <f t="shared" si="6"/>
        <v>0.47180363950375037</v>
      </c>
      <c r="I186" s="68">
        <f t="shared" si="7"/>
        <v>0.53135654909113827</v>
      </c>
      <c r="J186" s="232">
        <f t="shared" si="8"/>
        <v>-1.7305248516863877E-2</v>
      </c>
      <c r="K186" s="321">
        <f t="shared" si="9"/>
        <v>3.9665361637790192E-2</v>
      </c>
    </row>
    <row r="187" spans="1:11" x14ac:dyDescent="0.2">
      <c r="A187" s="320">
        <v>86</v>
      </c>
      <c r="B187" s="174">
        <v>68</v>
      </c>
      <c r="C187" s="174">
        <v>66</v>
      </c>
      <c r="D187" s="174">
        <v>28</v>
      </c>
      <c r="E187" s="174">
        <v>5</v>
      </c>
      <c r="F187" s="174">
        <v>7</v>
      </c>
      <c r="G187" s="68">
        <f t="shared" si="5"/>
        <v>0.19888689664448589</v>
      </c>
      <c r="H187" s="68">
        <f t="shared" si="6"/>
        <v>0.2602607036859339</v>
      </c>
      <c r="I187" s="68">
        <f t="shared" si="7"/>
        <v>0.24795273543351115</v>
      </c>
      <c r="J187" s="232">
        <f t="shared" si="8"/>
        <v>-4.9925067058068678E-2</v>
      </c>
      <c r="K187" s="321">
        <f t="shared" si="9"/>
        <v>-9.8142102669173201E-3</v>
      </c>
    </row>
    <row r="188" spans="1:11" x14ac:dyDescent="0.2">
      <c r="A188" s="320">
        <v>87</v>
      </c>
      <c r="B188" s="174">
        <v>54</v>
      </c>
      <c r="C188" s="174">
        <v>11</v>
      </c>
      <c r="D188" s="174">
        <v>33</v>
      </c>
      <c r="E188" s="174">
        <v>43</v>
      </c>
      <c r="F188" s="174">
        <v>3</v>
      </c>
      <c r="G188" s="68">
        <f t="shared" si="5"/>
        <v>0.41377787419952661</v>
      </c>
      <c r="H188" s="68">
        <f t="shared" si="6"/>
        <v>0.37834355500730887</v>
      </c>
      <c r="I188" s="68">
        <f t="shared" si="7"/>
        <v>0.39943715708110417</v>
      </c>
      <c r="J188" s="232">
        <f t="shared" si="8"/>
        <v>2.5383009005509122E-2</v>
      </c>
      <c r="K188" s="321">
        <f t="shared" si="9"/>
        <v>1.5187669382212655E-2</v>
      </c>
    </row>
    <row r="189" spans="1:11" x14ac:dyDescent="0.2">
      <c r="A189" s="320">
        <v>88</v>
      </c>
      <c r="B189" s="174">
        <v>35</v>
      </c>
      <c r="C189" s="174">
        <v>62</v>
      </c>
      <c r="D189" s="174">
        <v>6</v>
      </c>
      <c r="E189" s="174">
        <v>24</v>
      </c>
      <c r="F189" s="174">
        <v>16</v>
      </c>
      <c r="G189" s="68">
        <f t="shared" si="5"/>
        <v>8.0818308770138403E-2</v>
      </c>
      <c r="H189" s="68">
        <f t="shared" si="6"/>
        <v>9.5957718237768885E-2</v>
      </c>
      <c r="I189" s="68">
        <f t="shared" si="7"/>
        <v>8.9406869112044207E-2</v>
      </c>
      <c r="J189" s="232">
        <f t="shared" si="8"/>
        <v>-1.3910161994299083E-2</v>
      </c>
      <c r="K189" s="321">
        <f t="shared" si="9"/>
        <v>-5.9952181753727754E-3</v>
      </c>
    </row>
    <row r="190" spans="1:11" x14ac:dyDescent="0.2">
      <c r="A190" s="320">
        <v>89</v>
      </c>
      <c r="B190" s="174">
        <v>34</v>
      </c>
      <c r="C190" s="174">
        <v>66</v>
      </c>
      <c r="D190" s="174">
        <v>1</v>
      </c>
      <c r="E190" s="174">
        <v>14</v>
      </c>
      <c r="F190" s="174">
        <v>58</v>
      </c>
      <c r="G190" s="68">
        <f t="shared" si="5"/>
        <v>0.86284555577881394</v>
      </c>
      <c r="H190" s="68">
        <f t="shared" si="6"/>
        <v>0.78399786658648773</v>
      </c>
      <c r="I190" s="68">
        <f t="shared" si="7"/>
        <v>0.86368587465772384</v>
      </c>
      <c r="J190" s="232">
        <f t="shared" si="8"/>
        <v>4.3248349068953341E-2</v>
      </c>
      <c r="K190" s="321">
        <f t="shared" si="9"/>
        <v>4.3699341585098195E-2</v>
      </c>
    </row>
    <row r="191" spans="1:11" x14ac:dyDescent="0.2">
      <c r="A191" s="320">
        <v>90</v>
      </c>
      <c r="B191" s="174">
        <v>9</v>
      </c>
      <c r="C191" s="174">
        <v>17</v>
      </c>
      <c r="D191" s="174">
        <v>29</v>
      </c>
      <c r="E191" s="174">
        <v>58</v>
      </c>
      <c r="F191" s="174">
        <v>45</v>
      </c>
      <c r="G191" s="68">
        <f t="shared" si="5"/>
        <v>0.2143187219677376</v>
      </c>
      <c r="H191" s="68">
        <f t="shared" si="6"/>
        <v>0.26789493426575706</v>
      </c>
      <c r="I191" s="68">
        <f t="shared" si="7"/>
        <v>0.26316485153562952</v>
      </c>
      <c r="J191" s="232">
        <f t="shared" si="8"/>
        <v>-4.317479630166763E-2</v>
      </c>
      <c r="K191" s="321">
        <f t="shared" si="9"/>
        <v>-3.7376345380940976E-3</v>
      </c>
    </row>
    <row r="192" spans="1:11" x14ac:dyDescent="0.2">
      <c r="A192" s="320">
        <v>91</v>
      </c>
      <c r="B192" s="174">
        <v>11</v>
      </c>
      <c r="C192" s="174">
        <v>76</v>
      </c>
      <c r="D192" s="174">
        <v>46</v>
      </c>
      <c r="E192" s="174">
        <v>27</v>
      </c>
      <c r="F192" s="174">
        <v>69</v>
      </c>
      <c r="G192" s="68">
        <f t="shared" si="5"/>
        <v>0.59090723139137857</v>
      </c>
      <c r="H192" s="68">
        <f t="shared" si="6"/>
        <v>0.55834041564701109</v>
      </c>
      <c r="I192" s="68">
        <f t="shared" si="7"/>
        <v>0.61611947473822459</v>
      </c>
      <c r="J192" s="232">
        <f t="shared" si="8"/>
        <v>2.0683020428275665E-2</v>
      </c>
      <c r="K192" s="321">
        <f t="shared" si="9"/>
        <v>3.6406470891120465E-2</v>
      </c>
    </row>
    <row r="193" spans="1:11" x14ac:dyDescent="0.2">
      <c r="A193" s="320">
        <v>92</v>
      </c>
      <c r="B193" s="174">
        <v>35</v>
      </c>
      <c r="C193" s="174">
        <v>59</v>
      </c>
      <c r="D193" s="174">
        <v>35</v>
      </c>
      <c r="E193" s="174">
        <v>5</v>
      </c>
      <c r="F193" s="174">
        <v>24</v>
      </c>
      <c r="G193" s="68">
        <f t="shared" si="5"/>
        <v>0.54279076972101192</v>
      </c>
      <c r="H193" s="68">
        <f t="shared" si="6"/>
        <v>0.56508701345673251</v>
      </c>
      <c r="I193" s="68">
        <f t="shared" si="7"/>
        <v>0.60824969211366442</v>
      </c>
      <c r="J193" s="232">
        <f t="shared" si="8"/>
        <v>-1.434845757515732E-2</v>
      </c>
      <c r="K193" s="321">
        <f t="shared" si="9"/>
        <v>2.7205017767739165E-2</v>
      </c>
    </row>
    <row r="194" spans="1:11" x14ac:dyDescent="0.2">
      <c r="A194" s="320">
        <v>93</v>
      </c>
      <c r="B194" s="174">
        <v>54</v>
      </c>
      <c r="C194" s="174">
        <v>9</v>
      </c>
      <c r="D194" s="174">
        <v>2</v>
      </c>
      <c r="E194" s="174">
        <v>49</v>
      </c>
      <c r="F194" s="174">
        <v>50</v>
      </c>
      <c r="G194" s="68">
        <f t="shared" si="5"/>
        <v>0.15358741898528283</v>
      </c>
      <c r="H194" s="68">
        <f t="shared" si="6"/>
        <v>0.13146221488185006</v>
      </c>
      <c r="I194" s="68">
        <f t="shared" si="7"/>
        <v>0.10267497333730624</v>
      </c>
      <c r="J194" s="232">
        <f t="shared" si="8"/>
        <v>1.936578991209743E-2</v>
      </c>
      <c r="K194" s="321">
        <f t="shared" si="9"/>
        <v>-2.5771769983022198E-2</v>
      </c>
    </row>
    <row r="195" spans="1:11" x14ac:dyDescent="0.2">
      <c r="A195" s="320">
        <v>94</v>
      </c>
      <c r="B195" s="174">
        <v>31</v>
      </c>
      <c r="C195" s="174">
        <v>56</v>
      </c>
      <c r="D195" s="174">
        <v>27</v>
      </c>
      <c r="E195" s="174">
        <v>37</v>
      </c>
      <c r="F195" s="174">
        <v>28</v>
      </c>
      <c r="G195" s="68">
        <f t="shared" si="5"/>
        <v>0.56567644629462754</v>
      </c>
      <c r="H195" s="68">
        <f t="shared" si="6"/>
        <v>0.57187939438212321</v>
      </c>
      <c r="I195" s="68">
        <f t="shared" si="7"/>
        <v>0.61562962798641818</v>
      </c>
      <c r="J195" s="232">
        <f t="shared" si="8"/>
        <v>-3.9540052728717166E-3</v>
      </c>
      <c r="K195" s="321">
        <f t="shared" si="9"/>
        <v>2.7452773295426447E-2</v>
      </c>
    </row>
    <row r="196" spans="1:11" x14ac:dyDescent="0.2">
      <c r="A196" s="320">
        <v>95</v>
      </c>
      <c r="B196" s="174">
        <v>43</v>
      </c>
      <c r="C196" s="174">
        <v>75</v>
      </c>
      <c r="D196" s="174">
        <v>63</v>
      </c>
      <c r="E196" s="174">
        <v>55</v>
      </c>
      <c r="F196" s="174">
        <v>33</v>
      </c>
      <c r="G196" s="68">
        <f t="shared" si="5"/>
        <v>0.23574241596204537</v>
      </c>
      <c r="H196" s="68">
        <f t="shared" si="6"/>
        <v>0.26616237160453782</v>
      </c>
      <c r="I196" s="68">
        <f t="shared" si="7"/>
        <v>0.32100934993758723</v>
      </c>
      <c r="J196" s="232">
        <f t="shared" si="8"/>
        <v>-2.4318635118016498E-2</v>
      </c>
      <c r="K196" s="321">
        <f t="shared" si="9"/>
        <v>4.2405532329391316E-2</v>
      </c>
    </row>
    <row r="197" spans="1:11" x14ac:dyDescent="0.2">
      <c r="A197" s="320">
        <v>96</v>
      </c>
      <c r="B197" s="174">
        <v>48</v>
      </c>
      <c r="C197" s="174">
        <v>25</v>
      </c>
      <c r="D197" s="174">
        <v>10</v>
      </c>
      <c r="E197" s="174">
        <v>5</v>
      </c>
      <c r="F197" s="174">
        <v>30</v>
      </c>
      <c r="G197" s="68">
        <f t="shared" si="5"/>
        <v>6.1114504153655158E-2</v>
      </c>
      <c r="H197" s="68">
        <f t="shared" si="6"/>
        <v>7.8738273111588875E-2</v>
      </c>
      <c r="I197" s="68">
        <f t="shared" si="7"/>
        <v>4.4901335081852123E-2</v>
      </c>
      <c r="J197" s="232">
        <f t="shared" si="8"/>
        <v>-1.647231776142033E-2</v>
      </c>
      <c r="K197" s="321">
        <f t="shared" si="9"/>
        <v>-3.1869627774774166E-2</v>
      </c>
    </row>
    <row r="198" spans="1:11" x14ac:dyDescent="0.2">
      <c r="A198" s="320">
        <v>97</v>
      </c>
      <c r="B198" s="174">
        <v>8</v>
      </c>
      <c r="C198" s="174">
        <v>57</v>
      </c>
      <c r="D198" s="174">
        <v>19</v>
      </c>
      <c r="E198" s="174">
        <v>23</v>
      </c>
      <c r="F198" s="174">
        <v>2</v>
      </c>
      <c r="G198" s="68">
        <f t="shared" si="5"/>
        <v>0.22191281215692071</v>
      </c>
      <c r="H198" s="68">
        <f t="shared" si="6"/>
        <v>0.18952616049160831</v>
      </c>
      <c r="I198" s="68">
        <f t="shared" si="7"/>
        <v>0.1478176532115294</v>
      </c>
      <c r="J198" s="232">
        <f t="shared" si="8"/>
        <v>2.6862466357433036E-2</v>
      </c>
      <c r="K198" s="321">
        <f t="shared" si="9"/>
        <v>-3.5692596750859146E-2</v>
      </c>
    </row>
    <row r="199" spans="1:11" x14ac:dyDescent="0.2">
      <c r="A199" s="320">
        <v>98</v>
      </c>
      <c r="B199" s="174">
        <v>1</v>
      </c>
      <c r="C199" s="174">
        <v>72</v>
      </c>
      <c r="D199" s="174">
        <v>41</v>
      </c>
      <c r="E199" s="174">
        <v>22</v>
      </c>
      <c r="F199" s="174">
        <v>68</v>
      </c>
      <c r="G199" s="68">
        <f t="shared" si="5"/>
        <v>0.61881320668060402</v>
      </c>
      <c r="H199" s="68">
        <f t="shared" si="6"/>
        <v>0.58175718238513974</v>
      </c>
      <c r="I199" s="68">
        <f t="shared" si="7"/>
        <v>0.61515188739030791</v>
      </c>
      <c r="J199" s="232">
        <f t="shared" si="8"/>
        <v>2.3156922482891348E-2</v>
      </c>
      <c r="K199" s="321">
        <f t="shared" si="9"/>
        <v>2.0892630353509294E-2</v>
      </c>
    </row>
    <row r="200" spans="1:11" x14ac:dyDescent="0.2">
      <c r="A200" s="320">
        <v>99</v>
      </c>
      <c r="B200" s="174">
        <v>18</v>
      </c>
      <c r="C200" s="174">
        <v>37</v>
      </c>
      <c r="D200" s="174">
        <v>32</v>
      </c>
      <c r="E200" s="174">
        <v>67</v>
      </c>
      <c r="F200" s="174">
        <v>9</v>
      </c>
      <c r="G200" s="68">
        <f t="shared" si="5"/>
        <v>4.467897374528973E-2</v>
      </c>
      <c r="H200" s="68">
        <f t="shared" si="6"/>
        <v>6.4147249653888405E-2</v>
      </c>
      <c r="I200" s="68">
        <f t="shared" si="7"/>
        <v>6.7443659950101598E-3</v>
      </c>
      <c r="J200" s="232">
        <f t="shared" si="8"/>
        <v>-1.8464137813031717E-2</v>
      </c>
      <c r="K200" s="321">
        <f t="shared" si="9"/>
        <v>-5.5452049372606456E-2</v>
      </c>
    </row>
    <row r="201" spans="1:11" x14ac:dyDescent="0.2">
      <c r="A201" s="320">
        <v>100</v>
      </c>
      <c r="B201" s="174">
        <v>8</v>
      </c>
      <c r="C201" s="174">
        <v>3</v>
      </c>
      <c r="D201" s="174">
        <v>53</v>
      </c>
      <c r="E201" s="174">
        <v>77</v>
      </c>
      <c r="F201" s="174">
        <v>62</v>
      </c>
      <c r="G201" s="68">
        <f t="shared" si="5"/>
        <v>-0.13558523695094382</v>
      </c>
      <c r="H201" s="68">
        <f t="shared" si="6"/>
        <v>-8.9815069850267548E-2</v>
      </c>
      <c r="I201" s="68">
        <f t="shared" si="7"/>
        <v>-0.12102593866903322</v>
      </c>
      <c r="J201" s="232">
        <f t="shared" si="8"/>
        <v>-5.1595095366983902E-2</v>
      </c>
      <c r="K201" s="321">
        <f t="shared" si="9"/>
        <v>-3.4892410853064749E-2</v>
      </c>
    </row>
    <row r="202" spans="1:11" x14ac:dyDescent="0.2">
      <c r="A202" s="320">
        <v>101</v>
      </c>
      <c r="B202" s="174">
        <v>23</v>
      </c>
      <c r="C202" s="174">
        <v>40</v>
      </c>
      <c r="D202" s="174">
        <v>41</v>
      </c>
      <c r="E202" s="174">
        <v>66</v>
      </c>
      <c r="F202" s="174">
        <v>6</v>
      </c>
      <c r="G202" s="68">
        <f t="shared" si="5"/>
        <v>0.33832995355008233</v>
      </c>
      <c r="H202" s="68">
        <f t="shared" si="6"/>
        <v>0.32393103828350167</v>
      </c>
      <c r="I202" s="68">
        <f t="shared" si="7"/>
        <v>0.34319938005447415</v>
      </c>
      <c r="J202" s="232">
        <f t="shared" si="8"/>
        <v>1.0817163090410056E-2</v>
      </c>
      <c r="K202" s="321">
        <f t="shared" si="9"/>
        <v>1.4448994967661097E-2</v>
      </c>
    </row>
    <row r="203" spans="1:11" x14ac:dyDescent="0.2">
      <c r="A203" s="320">
        <v>102</v>
      </c>
      <c r="B203" s="174">
        <v>77</v>
      </c>
      <c r="C203" s="174">
        <v>42</v>
      </c>
      <c r="D203" s="174">
        <v>57</v>
      </c>
      <c r="E203" s="174">
        <v>5</v>
      </c>
      <c r="F203" s="174">
        <v>56</v>
      </c>
      <c r="G203" s="68">
        <f t="shared" si="5"/>
        <v>0.29342762164171088</v>
      </c>
      <c r="H203" s="68">
        <f t="shared" si="6"/>
        <v>0.27870370458721228</v>
      </c>
      <c r="I203" s="68">
        <f t="shared" si="7"/>
        <v>0.31912251329868502</v>
      </c>
      <c r="J203" s="232">
        <f t="shared" si="8"/>
        <v>1.1448931659005965E-2</v>
      </c>
      <c r="K203" s="321">
        <f t="shared" si="9"/>
        <v>3.111991891113805E-2</v>
      </c>
    </row>
    <row r="204" spans="1:11" x14ac:dyDescent="0.2">
      <c r="A204" s="320">
        <v>103</v>
      </c>
      <c r="B204" s="174">
        <v>1</v>
      </c>
      <c r="C204" s="174">
        <v>61</v>
      </c>
      <c r="D204" s="174">
        <v>1</v>
      </c>
      <c r="E204" s="174">
        <v>67</v>
      </c>
      <c r="F204" s="174">
        <v>61</v>
      </c>
      <c r="G204" s="68">
        <f t="shared" si="5"/>
        <v>0.63240383294324798</v>
      </c>
      <c r="H204" s="68">
        <f t="shared" si="6"/>
        <v>0.55460770836274653</v>
      </c>
      <c r="I204" s="68">
        <f t="shared" si="7"/>
        <v>0.57234553233197483</v>
      </c>
      <c r="J204" s="232">
        <f t="shared" si="8"/>
        <v>4.883043636481426E-2</v>
      </c>
      <c r="K204" s="321">
        <f t="shared" si="9"/>
        <v>1.1345237912391143E-2</v>
      </c>
    </row>
    <row r="205" spans="1:11" x14ac:dyDescent="0.2">
      <c r="A205" s="320">
        <v>104</v>
      </c>
      <c r="B205" s="174">
        <v>52</v>
      </c>
      <c r="C205" s="174">
        <v>30</v>
      </c>
      <c r="D205" s="174">
        <v>61</v>
      </c>
      <c r="E205" s="174">
        <v>56</v>
      </c>
      <c r="F205" s="174">
        <v>71</v>
      </c>
      <c r="G205" s="68">
        <f t="shared" si="5"/>
        <v>0.76042245923760121</v>
      </c>
      <c r="H205" s="68">
        <f t="shared" si="6"/>
        <v>0.69721269210293824</v>
      </c>
      <c r="I205" s="68">
        <f t="shared" si="7"/>
        <v>0.74993605698025023</v>
      </c>
      <c r="J205" s="232">
        <f t="shared" si="8"/>
        <v>3.6566501326209269E-2</v>
      </c>
      <c r="K205" s="321">
        <f t="shared" si="9"/>
        <v>3.0591935821323881E-2</v>
      </c>
    </row>
    <row r="206" spans="1:11" x14ac:dyDescent="0.2">
      <c r="A206" s="320">
        <v>105</v>
      </c>
      <c r="B206" s="174">
        <v>8</v>
      </c>
      <c r="C206" s="174">
        <v>76</v>
      </c>
      <c r="D206" s="174">
        <v>36</v>
      </c>
      <c r="E206" s="174">
        <v>47</v>
      </c>
      <c r="F206" s="174">
        <v>12</v>
      </c>
      <c r="G206" s="68">
        <f t="shared" si="5"/>
        <v>0.19210820252836158</v>
      </c>
      <c r="H206" s="68">
        <f t="shared" si="6"/>
        <v>0.18489551313357655</v>
      </c>
      <c r="I206" s="68">
        <f t="shared" si="7"/>
        <v>0.16784969691987173</v>
      </c>
      <c r="J206" s="232">
        <f t="shared" si="8"/>
        <v>6.0687423279761447E-3</v>
      </c>
      <c r="K206" s="321">
        <f t="shared" si="9"/>
        <v>-1.4490404147091969E-2</v>
      </c>
    </row>
    <row r="207" spans="1:11" x14ac:dyDescent="0.2">
      <c r="A207" s="320">
        <v>106</v>
      </c>
      <c r="B207" s="174">
        <v>62</v>
      </c>
      <c r="C207" s="174">
        <v>26</v>
      </c>
      <c r="D207" s="174">
        <v>74</v>
      </c>
      <c r="E207" s="174">
        <v>9</v>
      </c>
      <c r="F207" s="174">
        <v>11</v>
      </c>
      <c r="G207" s="68">
        <f t="shared" si="5"/>
        <v>2.4619918200927682E-2</v>
      </c>
      <c r="H207" s="68">
        <f t="shared" si="6"/>
        <v>4.8465830216129602E-2</v>
      </c>
      <c r="I207" s="68">
        <f t="shared" si="7"/>
        <v>2.7409743447928125E-2</v>
      </c>
      <c r="J207" s="232">
        <f t="shared" si="8"/>
        <v>-2.3006249309989669E-2</v>
      </c>
      <c r="K207" s="321">
        <f t="shared" si="9"/>
        <v>-2.0287159018060351E-2</v>
      </c>
    </row>
    <row r="208" spans="1:11" x14ac:dyDescent="0.2">
      <c r="A208" s="320">
        <v>107</v>
      </c>
      <c r="B208" s="174">
        <v>59</v>
      </c>
      <c r="C208" s="174">
        <v>77</v>
      </c>
      <c r="D208" s="174">
        <v>55</v>
      </c>
      <c r="E208" s="174">
        <v>32</v>
      </c>
      <c r="F208" s="174">
        <v>53</v>
      </c>
      <c r="G208" s="68">
        <f t="shared" si="5"/>
        <v>0.31373241720528622</v>
      </c>
      <c r="H208" s="68">
        <f t="shared" si="6"/>
        <v>0.3667924794311086</v>
      </c>
      <c r="I208" s="68">
        <f t="shared" si="7"/>
        <v>0.39235093937901699</v>
      </c>
      <c r="J208" s="232">
        <f t="shared" si="8"/>
        <v>-3.9594479474594303E-2</v>
      </c>
      <c r="K208" s="321">
        <f t="shared" si="9"/>
        <v>1.8526902834903002E-2</v>
      </c>
    </row>
    <row r="209" spans="1:11" x14ac:dyDescent="0.2">
      <c r="A209" s="320">
        <v>108</v>
      </c>
      <c r="B209" s="174">
        <v>40</v>
      </c>
      <c r="C209" s="174">
        <v>65</v>
      </c>
      <c r="D209" s="174">
        <v>48</v>
      </c>
      <c r="E209" s="174">
        <v>20</v>
      </c>
      <c r="F209" s="174">
        <v>10</v>
      </c>
      <c r="G209" s="68">
        <f t="shared" si="5"/>
        <v>-6.4016831271432872E-2</v>
      </c>
      <c r="H209" s="68">
        <f t="shared" si="6"/>
        <v>-3.717999186829446E-2</v>
      </c>
      <c r="I209" s="68">
        <f t="shared" si="7"/>
        <v>-7.0699948923307665E-2</v>
      </c>
      <c r="J209" s="232">
        <f t="shared" si="8"/>
        <v>-2.826899269672831E-2</v>
      </c>
      <c r="K209" s="321">
        <f t="shared" si="9"/>
        <v>-3.5434817359204424E-2</v>
      </c>
    </row>
    <row r="210" spans="1:11" x14ac:dyDescent="0.2">
      <c r="A210" s="320">
        <v>109</v>
      </c>
      <c r="B210" s="174">
        <v>40</v>
      </c>
      <c r="C210" s="174">
        <v>11</v>
      </c>
      <c r="D210" s="174">
        <v>15</v>
      </c>
      <c r="E210" s="174">
        <v>37</v>
      </c>
      <c r="F210" s="174">
        <v>73</v>
      </c>
      <c r="G210" s="68">
        <f t="shared" si="5"/>
        <v>0.12881228237464826</v>
      </c>
      <c r="H210" s="68">
        <f t="shared" si="6"/>
        <v>0.1122822921744504</v>
      </c>
      <c r="I210" s="68">
        <f t="shared" si="7"/>
        <v>9.7435825340864923E-2</v>
      </c>
      <c r="J210" s="232">
        <f t="shared" si="8"/>
        <v>1.4751978929781733E-2</v>
      </c>
      <c r="K210" s="321">
        <f t="shared" si="9"/>
        <v>-1.3437632716505605E-2</v>
      </c>
    </row>
    <row r="211" spans="1:11" x14ac:dyDescent="0.2">
      <c r="A211" s="320">
        <v>110</v>
      </c>
      <c r="B211" s="174">
        <v>62</v>
      </c>
      <c r="C211" s="174">
        <v>1</v>
      </c>
      <c r="D211" s="174">
        <v>51</v>
      </c>
      <c r="E211" s="174">
        <v>4</v>
      </c>
      <c r="F211" s="174">
        <v>57</v>
      </c>
      <c r="G211" s="68">
        <f t="shared" si="5"/>
        <v>0.48420954991922893</v>
      </c>
      <c r="H211" s="68">
        <f t="shared" si="6"/>
        <v>0.39722345591982555</v>
      </c>
      <c r="I211" s="68">
        <f t="shared" si="7"/>
        <v>0.4330179465171593</v>
      </c>
      <c r="J211" s="232">
        <f t="shared" si="8"/>
        <v>6.0395319307891202E-2</v>
      </c>
      <c r="K211" s="321">
        <f t="shared" si="9"/>
        <v>2.5295650892354696E-2</v>
      </c>
    </row>
    <row r="212" spans="1:11" x14ac:dyDescent="0.2">
      <c r="A212" s="320">
        <v>111</v>
      </c>
      <c r="B212" s="174">
        <v>66</v>
      </c>
      <c r="C212" s="174">
        <v>64</v>
      </c>
      <c r="D212" s="174">
        <v>53</v>
      </c>
      <c r="E212" s="174">
        <v>12</v>
      </c>
      <c r="F212" s="174">
        <v>58</v>
      </c>
      <c r="G212" s="68">
        <f t="shared" si="5"/>
        <v>0.35453830403213527</v>
      </c>
      <c r="H212" s="68">
        <f t="shared" si="6"/>
        <v>0.33294762171719805</v>
      </c>
      <c r="I212" s="68">
        <f t="shared" si="7"/>
        <v>0.37040683771654193</v>
      </c>
      <c r="J212" s="232">
        <f t="shared" si="8"/>
        <v>1.6067914347583877E-2</v>
      </c>
      <c r="K212" s="321">
        <f t="shared" si="9"/>
        <v>2.7714910703411474E-2</v>
      </c>
    </row>
    <row r="213" spans="1:11" x14ac:dyDescent="0.2">
      <c r="A213" s="320">
        <v>112</v>
      </c>
      <c r="B213" s="174">
        <v>66</v>
      </c>
      <c r="C213" s="174">
        <v>15</v>
      </c>
      <c r="D213" s="174">
        <v>50</v>
      </c>
      <c r="E213" s="174">
        <v>63</v>
      </c>
      <c r="F213" s="174">
        <v>21</v>
      </c>
      <c r="G213" s="68">
        <f t="shared" si="5"/>
        <v>0.17260879585893862</v>
      </c>
      <c r="H213" s="68">
        <f t="shared" si="6"/>
        <v>0.14332442684158919</v>
      </c>
      <c r="I213" s="68">
        <f t="shared" si="7"/>
        <v>0.14387488110805546</v>
      </c>
      <c r="J213" s="232">
        <f t="shared" si="8"/>
        <v>2.5290824133827612E-2</v>
      </c>
      <c r="K213" s="321">
        <f t="shared" si="9"/>
        <v>4.8133477059087397E-4</v>
      </c>
    </row>
    <row r="214" spans="1:11" x14ac:dyDescent="0.2">
      <c r="A214" s="320">
        <v>113</v>
      </c>
      <c r="B214" s="174">
        <v>11</v>
      </c>
      <c r="C214" s="174">
        <v>1</v>
      </c>
      <c r="D214" s="174">
        <v>33</v>
      </c>
      <c r="E214" s="174">
        <v>10</v>
      </c>
      <c r="F214" s="174">
        <v>53</v>
      </c>
      <c r="G214" s="68">
        <f t="shared" si="5"/>
        <v>0.13296457936816264</v>
      </c>
      <c r="H214" s="68">
        <f t="shared" si="6"/>
        <v>0.15405049780283875</v>
      </c>
      <c r="I214" s="68">
        <f t="shared" si="7"/>
        <v>0.10906615606332948</v>
      </c>
      <c r="J214" s="232">
        <f t="shared" si="8"/>
        <v>-1.8440207192859267E-2</v>
      </c>
      <c r="K214" s="321">
        <f t="shared" si="9"/>
        <v>-3.9759565668222446E-2</v>
      </c>
    </row>
    <row r="215" spans="1:11" x14ac:dyDescent="0.2">
      <c r="A215" s="320">
        <v>114</v>
      </c>
      <c r="B215" s="174">
        <v>60</v>
      </c>
      <c r="C215" s="174">
        <v>73</v>
      </c>
      <c r="D215" s="174">
        <v>37</v>
      </c>
      <c r="E215" s="174">
        <v>9</v>
      </c>
      <c r="F215" s="174">
        <v>33</v>
      </c>
      <c r="G215" s="68">
        <f t="shared" si="5"/>
        <v>0.19120051059447052</v>
      </c>
      <c r="H215" s="68">
        <f t="shared" si="6"/>
        <v>0.24188499026342836</v>
      </c>
      <c r="I215" s="68">
        <f t="shared" si="7"/>
        <v>0.22914337485407743</v>
      </c>
      <c r="J215" s="232">
        <f t="shared" si="8"/>
        <v>-4.1668747765266835E-2</v>
      </c>
      <c r="K215" s="321">
        <f t="shared" si="9"/>
        <v>-1.0312895244550317E-2</v>
      </c>
    </row>
    <row r="216" spans="1:11" x14ac:dyDescent="0.2">
      <c r="A216" s="320">
        <v>115</v>
      </c>
      <c r="B216" s="174">
        <v>27</v>
      </c>
      <c r="C216" s="174">
        <v>32</v>
      </c>
      <c r="D216" s="174">
        <v>59</v>
      </c>
      <c r="E216" s="174">
        <v>18</v>
      </c>
      <c r="F216" s="174">
        <v>35</v>
      </c>
      <c r="G216" s="68">
        <f t="shared" si="5"/>
        <v>0.88985105256746722</v>
      </c>
      <c r="H216" s="68">
        <f t="shared" si="6"/>
        <v>0.8296900910085907</v>
      </c>
      <c r="I216" s="68">
        <f t="shared" si="7"/>
        <v>0.89172875589731815</v>
      </c>
      <c r="J216" s="232">
        <f t="shared" si="8"/>
        <v>3.2351414464157784E-2</v>
      </c>
      <c r="K216" s="321">
        <f t="shared" si="9"/>
        <v>3.3344493324989788E-2</v>
      </c>
    </row>
    <row r="217" spans="1:11" x14ac:dyDescent="0.2">
      <c r="A217" s="320">
        <v>116</v>
      </c>
      <c r="B217" s="174">
        <v>48</v>
      </c>
      <c r="C217" s="174">
        <v>7</v>
      </c>
      <c r="D217" s="174">
        <v>50</v>
      </c>
      <c r="E217" s="174">
        <v>77</v>
      </c>
      <c r="F217" s="174">
        <v>43</v>
      </c>
      <c r="G217" s="68">
        <f t="shared" si="5"/>
        <v>9.0931324978563488E-2</v>
      </c>
      <c r="H217" s="68">
        <f t="shared" si="6"/>
        <v>0.10349283636196471</v>
      </c>
      <c r="I217" s="68">
        <f t="shared" si="7"/>
        <v>0.10636752286795481</v>
      </c>
      <c r="J217" s="232">
        <f t="shared" si="8"/>
        <v>-1.1448696938628324E-2</v>
      </c>
      <c r="K217" s="321">
        <f t="shared" si="9"/>
        <v>2.601692107375376E-3</v>
      </c>
    </row>
    <row r="218" spans="1:11" x14ac:dyDescent="0.2">
      <c r="A218" s="320">
        <v>117</v>
      </c>
      <c r="B218" s="174">
        <v>11</v>
      </c>
      <c r="C218" s="174">
        <v>4</v>
      </c>
      <c r="D218" s="174">
        <v>53</v>
      </c>
      <c r="E218" s="174">
        <v>64</v>
      </c>
      <c r="F218" s="174">
        <v>65</v>
      </c>
      <c r="G218" s="68">
        <f t="shared" si="5"/>
        <v>-8.0715006937102318E-2</v>
      </c>
      <c r="H218" s="68">
        <f t="shared" si="6"/>
        <v>-6.460959686640011E-2</v>
      </c>
      <c r="I218" s="68">
        <f t="shared" si="7"/>
        <v>-8.1910686196847049E-2</v>
      </c>
      <c r="J218" s="232">
        <f t="shared" si="8"/>
        <v>-1.7367799172428873E-2</v>
      </c>
      <c r="K218" s="321">
        <f t="shared" si="9"/>
        <v>-1.8669307987545299E-2</v>
      </c>
    </row>
    <row r="219" spans="1:11" x14ac:dyDescent="0.2">
      <c r="A219" s="320">
        <v>118</v>
      </c>
      <c r="B219" s="174">
        <v>50</v>
      </c>
      <c r="C219" s="174">
        <v>50</v>
      </c>
      <c r="D219" s="174">
        <v>32</v>
      </c>
      <c r="E219" s="174">
        <v>18</v>
      </c>
      <c r="F219" s="174">
        <v>49</v>
      </c>
      <c r="G219" s="68">
        <f t="shared" si="5"/>
        <v>0.62423248889682403</v>
      </c>
      <c r="H219" s="68">
        <f t="shared" si="6"/>
        <v>0.49772048636535393</v>
      </c>
      <c r="I219" s="68">
        <f t="shared" si="7"/>
        <v>0.50695677480832035</v>
      </c>
      <c r="J219" s="232">
        <f t="shared" si="8"/>
        <v>8.1091113207687554E-2</v>
      </c>
      <c r="K219" s="321">
        <f t="shared" si="9"/>
        <v>6.1479598189225666E-3</v>
      </c>
    </row>
    <row r="220" spans="1:11" x14ac:dyDescent="0.2">
      <c r="A220" s="320">
        <v>119</v>
      </c>
      <c r="B220" s="174">
        <v>73</v>
      </c>
      <c r="C220" s="174">
        <v>54</v>
      </c>
      <c r="D220" s="174">
        <v>70</v>
      </c>
      <c r="E220" s="174">
        <v>23</v>
      </c>
      <c r="F220" s="174">
        <v>7</v>
      </c>
      <c r="G220" s="68">
        <f t="shared" si="5"/>
        <v>0.11749433012416421</v>
      </c>
      <c r="H220" s="68">
        <f t="shared" si="6"/>
        <v>0.15614730373143648</v>
      </c>
      <c r="I220" s="68">
        <f t="shared" si="7"/>
        <v>0.14604005844581258</v>
      </c>
      <c r="J220" s="232">
        <f t="shared" si="8"/>
        <v>-3.4004213727156382E-2</v>
      </c>
      <c r="K220" s="321">
        <f t="shared" si="9"/>
        <v>-8.7806148100438471E-3</v>
      </c>
    </row>
    <row r="221" spans="1:11" x14ac:dyDescent="0.2">
      <c r="A221" s="320">
        <v>120</v>
      </c>
      <c r="B221" s="174">
        <v>4</v>
      </c>
      <c r="C221" s="174">
        <v>14</v>
      </c>
      <c r="D221" s="174">
        <v>21</v>
      </c>
      <c r="E221" s="174">
        <v>45</v>
      </c>
      <c r="F221" s="174">
        <v>58</v>
      </c>
      <c r="G221" s="68">
        <f t="shared" si="5"/>
        <v>0.47344037623954138</v>
      </c>
      <c r="H221" s="68">
        <f t="shared" si="6"/>
        <v>0.47164090920221846</v>
      </c>
      <c r="I221" s="68">
        <f t="shared" si="7"/>
        <v>0.50787468423866056</v>
      </c>
      <c r="J221" s="232">
        <f t="shared" si="8"/>
        <v>1.2220153448055263E-3</v>
      </c>
      <c r="K221" s="321">
        <f t="shared" si="9"/>
        <v>2.4323122501422465E-2</v>
      </c>
    </row>
    <row r="222" spans="1:11" x14ac:dyDescent="0.2">
      <c r="A222" s="320">
        <v>121</v>
      </c>
      <c r="B222" s="174">
        <v>18</v>
      </c>
      <c r="C222" s="174">
        <v>45</v>
      </c>
      <c r="D222" s="174">
        <v>22</v>
      </c>
      <c r="E222" s="174">
        <v>57</v>
      </c>
      <c r="F222" s="174">
        <v>63</v>
      </c>
      <c r="G222" s="68">
        <f t="shared" si="5"/>
        <v>0.2461587241792409</v>
      </c>
      <c r="H222" s="68">
        <f t="shared" si="6"/>
        <v>0.20638301614333865</v>
      </c>
      <c r="I222" s="68">
        <f t="shared" si="7"/>
        <v>0.22203927650042043</v>
      </c>
      <c r="J222" s="232">
        <f t="shared" si="8"/>
        <v>3.2439159192027903E-2</v>
      </c>
      <c r="K222" s="321">
        <f t="shared" si="9"/>
        <v>1.2894361353326004E-2</v>
      </c>
    </row>
    <row r="223" spans="1:11" x14ac:dyDescent="0.2">
      <c r="A223" s="320">
        <v>122</v>
      </c>
      <c r="B223" s="174">
        <v>75</v>
      </c>
      <c r="C223" s="174">
        <v>41</v>
      </c>
      <c r="D223" s="174">
        <v>49</v>
      </c>
      <c r="E223" s="174">
        <v>8</v>
      </c>
      <c r="F223" s="174">
        <v>47</v>
      </c>
      <c r="G223" s="68">
        <f t="shared" si="5"/>
        <v>0.23799891142866558</v>
      </c>
      <c r="H223" s="68">
        <f t="shared" si="6"/>
        <v>0.24650811325253463</v>
      </c>
      <c r="I223" s="68">
        <f t="shared" si="7"/>
        <v>0.24763611873768565</v>
      </c>
      <c r="J223" s="232">
        <f t="shared" si="8"/>
        <v>-6.8498378233495067E-3</v>
      </c>
      <c r="K223" s="321">
        <f t="shared" si="9"/>
        <v>9.0452312066848656E-4</v>
      </c>
    </row>
    <row r="224" spans="1:11" x14ac:dyDescent="0.2">
      <c r="A224" s="320">
        <v>123</v>
      </c>
      <c r="B224" s="174">
        <v>9</v>
      </c>
      <c r="C224" s="174">
        <v>63</v>
      </c>
      <c r="D224" s="174">
        <v>30</v>
      </c>
      <c r="E224" s="174">
        <v>64</v>
      </c>
      <c r="F224" s="174">
        <v>68</v>
      </c>
      <c r="G224" s="68">
        <f t="shared" si="5"/>
        <v>-0.10564457321177334</v>
      </c>
      <c r="H224" s="68">
        <f t="shared" si="6"/>
        <v>-8.418470742085804E-2</v>
      </c>
      <c r="I224" s="68">
        <f t="shared" si="7"/>
        <v>-0.10185758382360355</v>
      </c>
      <c r="J224" s="232">
        <f t="shared" si="8"/>
        <v>-2.3711433406751206E-2</v>
      </c>
      <c r="K224" s="321">
        <f t="shared" si="9"/>
        <v>-1.9486050333184589E-2</v>
      </c>
    </row>
    <row r="225" spans="1:11" x14ac:dyDescent="0.2">
      <c r="A225" s="320">
        <v>124</v>
      </c>
      <c r="B225" s="174">
        <v>29</v>
      </c>
      <c r="C225" s="174">
        <v>19</v>
      </c>
      <c r="D225" s="174">
        <v>38</v>
      </c>
      <c r="E225" s="174">
        <v>1</v>
      </c>
      <c r="F225" s="174">
        <v>17</v>
      </c>
      <c r="G225" s="68">
        <f t="shared" si="5"/>
        <v>0.35047436189309766</v>
      </c>
      <c r="H225" s="68">
        <f t="shared" si="6"/>
        <v>0.30033044906229378</v>
      </c>
      <c r="I225" s="68">
        <f t="shared" si="7"/>
        <v>0.26792515494513114</v>
      </c>
      <c r="J225" s="232">
        <f t="shared" si="8"/>
        <v>3.7837486158540566E-2</v>
      </c>
      <c r="K225" s="321">
        <f t="shared" si="9"/>
        <v>-2.5236595548244572E-2</v>
      </c>
    </row>
    <row r="226" spans="1:11" x14ac:dyDescent="0.2">
      <c r="A226" s="320">
        <v>125</v>
      </c>
      <c r="B226" s="174">
        <v>20</v>
      </c>
      <c r="C226" s="174">
        <v>15</v>
      </c>
      <c r="D226" s="174">
        <v>53</v>
      </c>
      <c r="E226" s="174">
        <v>46</v>
      </c>
      <c r="F226" s="174">
        <v>7</v>
      </c>
      <c r="G226" s="68">
        <f t="shared" si="5"/>
        <v>-8.1097475582710521E-2</v>
      </c>
      <c r="H226" s="68">
        <f t="shared" si="6"/>
        <v>-2.1428025189600741E-2</v>
      </c>
      <c r="I226" s="68">
        <f t="shared" si="7"/>
        <v>-7.1154861080882981E-2</v>
      </c>
      <c r="J226" s="232">
        <f t="shared" si="8"/>
        <v>-6.2914290681592447E-2</v>
      </c>
      <c r="K226" s="321">
        <f t="shared" si="9"/>
        <v>-5.2152312017640826E-2</v>
      </c>
    </row>
    <row r="227" spans="1:11" x14ac:dyDescent="0.2">
      <c r="A227" s="320">
        <v>126</v>
      </c>
      <c r="B227" s="174">
        <v>18</v>
      </c>
      <c r="C227" s="174">
        <v>34</v>
      </c>
      <c r="D227" s="174">
        <v>59</v>
      </c>
      <c r="E227" s="174">
        <v>65</v>
      </c>
      <c r="F227" s="174">
        <v>19</v>
      </c>
      <c r="G227" s="68">
        <f t="shared" si="5"/>
        <v>0.4104171431088961</v>
      </c>
      <c r="H227" s="68">
        <f t="shared" si="6"/>
        <v>0.40118902493334563</v>
      </c>
      <c r="I227" s="68">
        <f t="shared" si="7"/>
        <v>0.41029245210785326</v>
      </c>
      <c r="J227" s="232">
        <f t="shared" si="8"/>
        <v>6.5643271218793391E-3</v>
      </c>
      <c r="K227" s="321">
        <f t="shared" si="9"/>
        <v>6.4759160345872341E-3</v>
      </c>
    </row>
    <row r="228" spans="1:11" x14ac:dyDescent="0.2">
      <c r="A228" s="320">
        <v>127</v>
      </c>
      <c r="B228" s="174">
        <v>65</v>
      </c>
      <c r="C228" s="174">
        <v>55</v>
      </c>
      <c r="D228" s="174">
        <v>16</v>
      </c>
      <c r="E228" s="174">
        <v>38</v>
      </c>
      <c r="F228" s="174">
        <v>26</v>
      </c>
      <c r="G228" s="68">
        <f t="shared" si="5"/>
        <v>0.22261156941023375</v>
      </c>
      <c r="H228" s="68">
        <f t="shared" si="6"/>
        <v>0.20239473242853068</v>
      </c>
      <c r="I228" s="68">
        <f t="shared" si="7"/>
        <v>0.20265452543005358</v>
      </c>
      <c r="J228" s="232">
        <f t="shared" si="8"/>
        <v>1.6674022957998452E-2</v>
      </c>
      <c r="K228" s="321">
        <f t="shared" si="9"/>
        <v>2.160396521479459E-4</v>
      </c>
    </row>
    <row r="229" spans="1:11" x14ac:dyDescent="0.2">
      <c r="A229" s="320">
        <v>128</v>
      </c>
      <c r="B229" s="174">
        <v>44</v>
      </c>
      <c r="C229" s="174">
        <v>64</v>
      </c>
      <c r="D229" s="174">
        <v>20</v>
      </c>
      <c r="E229" s="174">
        <v>32</v>
      </c>
      <c r="F229" s="174">
        <v>77</v>
      </c>
      <c r="G229" s="68">
        <f t="shared" si="5"/>
        <v>0.15283586490246659</v>
      </c>
      <c r="H229" s="68">
        <f t="shared" si="6"/>
        <v>0.14172498194619143</v>
      </c>
      <c r="I229" s="68">
        <f t="shared" si="7"/>
        <v>0.15363731521663193</v>
      </c>
      <c r="J229" s="232">
        <f t="shared" si="8"/>
        <v>9.6846155235800705E-3</v>
      </c>
      <c r="K229" s="321">
        <f t="shared" si="9"/>
        <v>1.0379572961914663E-2</v>
      </c>
    </row>
    <row r="230" spans="1:11" x14ac:dyDescent="0.2">
      <c r="A230" s="320">
        <v>129</v>
      </c>
      <c r="B230" s="174">
        <v>5</v>
      </c>
      <c r="C230" s="174">
        <v>67</v>
      </c>
      <c r="D230" s="174">
        <v>64</v>
      </c>
      <c r="E230" s="174">
        <v>18</v>
      </c>
      <c r="F230" s="174">
        <v>68</v>
      </c>
      <c r="G230" s="68">
        <f t="shared" ref="G230:G293" si="10">(1+INDEX($Z$21:$Z$97,B230))*(1+INDEX($Z$21:$Z$97,C230))*(1+INDEX($Z$21:$Z$97,D230))*(1+INDEX($Z$21:$Z$97,E230))*(1+INDEX($Z$21:$Z$97,F230))-1</f>
        <v>0.10969692248622187</v>
      </c>
      <c r="H230" s="68">
        <f t="shared" ref="H230:H293" si="11">(1+INDEX($AA$21:$AA$97,B230))*(1+INDEX($AA$21:$AA$97,C230))*(1+INDEX($AA$21:$AA$97,D230))*(1+INDEX($AA$21:$AA$97,E230))*(1+INDEX($AA$21:$AA$97,F230))-1</f>
        <v>0.11436269239481467</v>
      </c>
      <c r="I230" s="68">
        <f t="shared" ref="I230:I293" si="12">(1+INDEX($AB$21:$AB$97,B230))*(1+INDEX($AB$21:$AB$97,C230))*(1+INDEX($AB$21:$AB$97,D230))*(1+INDEX($AB$21:$AB$97,E230))*(1+INDEX($AB$21:$AB$97,F230))-1</f>
        <v>9.7308461628867082E-2</v>
      </c>
      <c r="J230" s="232">
        <f t="shared" ref="J230:J293" si="13">LN((1+G230)/(1+H230))</f>
        <v>-4.1957299364774612E-3</v>
      </c>
      <c r="K230" s="321">
        <f t="shared" ref="K230:K293" si="14">LN((1+I230)/(1+H230))</f>
        <v>-1.542233686999807E-2</v>
      </c>
    </row>
    <row r="231" spans="1:11" x14ac:dyDescent="0.2">
      <c r="A231" s="320">
        <v>130</v>
      </c>
      <c r="B231" s="174">
        <v>23</v>
      </c>
      <c r="C231" s="174">
        <v>38</v>
      </c>
      <c r="D231" s="174">
        <v>28</v>
      </c>
      <c r="E231" s="174">
        <v>50</v>
      </c>
      <c r="F231" s="174">
        <v>24</v>
      </c>
      <c r="G231" s="68">
        <f t="shared" si="10"/>
        <v>0.80437842015072802</v>
      </c>
      <c r="H231" s="68">
        <f t="shared" si="11"/>
        <v>0.69680580711528983</v>
      </c>
      <c r="I231" s="68">
        <f t="shared" si="12"/>
        <v>0.75218241449030976</v>
      </c>
      <c r="J231" s="232">
        <f t="shared" si="13"/>
        <v>6.1468620255142388E-2</v>
      </c>
      <c r="K231" s="321">
        <f t="shared" si="14"/>
        <v>3.2114558299277306E-2</v>
      </c>
    </row>
    <row r="232" spans="1:11" x14ac:dyDescent="0.2">
      <c r="A232" s="320">
        <v>131</v>
      </c>
      <c r="B232" s="174">
        <v>74</v>
      </c>
      <c r="C232" s="174">
        <v>72</v>
      </c>
      <c r="D232" s="174">
        <v>9</v>
      </c>
      <c r="E232" s="174">
        <v>76</v>
      </c>
      <c r="F232" s="174">
        <v>45</v>
      </c>
      <c r="G232" s="68">
        <f t="shared" si="10"/>
        <v>0.1606588205525219</v>
      </c>
      <c r="H232" s="68">
        <f t="shared" si="11"/>
        <v>0.21079871880870615</v>
      </c>
      <c r="I232" s="68">
        <f t="shared" si="12"/>
        <v>0.21947493150684494</v>
      </c>
      <c r="J232" s="232">
        <f t="shared" si="13"/>
        <v>-4.2292447380085155E-2</v>
      </c>
      <c r="K232" s="321">
        <f t="shared" si="14"/>
        <v>7.140142063921163E-3</v>
      </c>
    </row>
    <row r="233" spans="1:11" x14ac:dyDescent="0.2">
      <c r="A233" s="320">
        <v>132</v>
      </c>
      <c r="B233" s="174">
        <v>25</v>
      </c>
      <c r="C233" s="174">
        <v>4</v>
      </c>
      <c r="D233" s="174">
        <v>35</v>
      </c>
      <c r="E233" s="174">
        <v>73</v>
      </c>
      <c r="F233" s="174">
        <v>22</v>
      </c>
      <c r="G233" s="68">
        <f t="shared" si="10"/>
        <v>0.41029741188497404</v>
      </c>
      <c r="H233" s="68">
        <f t="shared" si="11"/>
        <v>0.39371949918181248</v>
      </c>
      <c r="I233" s="68">
        <f t="shared" si="12"/>
        <v>0.41536853312515443</v>
      </c>
      <c r="J233" s="232">
        <f t="shared" si="13"/>
        <v>1.1824540570538195E-2</v>
      </c>
      <c r="K233" s="321">
        <f t="shared" si="14"/>
        <v>1.541387263120469E-2</v>
      </c>
    </row>
    <row r="234" spans="1:11" x14ac:dyDescent="0.2">
      <c r="A234" s="320">
        <v>133</v>
      </c>
      <c r="B234" s="174">
        <v>10</v>
      </c>
      <c r="C234" s="174">
        <v>72</v>
      </c>
      <c r="D234" s="174">
        <v>32</v>
      </c>
      <c r="E234" s="174">
        <v>48</v>
      </c>
      <c r="F234" s="174">
        <v>40</v>
      </c>
      <c r="G234" s="68">
        <f t="shared" si="10"/>
        <v>0.23341228293663829</v>
      </c>
      <c r="H234" s="68">
        <f t="shared" si="11"/>
        <v>0.26086054681922022</v>
      </c>
      <c r="I234" s="68">
        <f t="shared" si="12"/>
        <v>0.26334220022228316</v>
      </c>
      <c r="J234" s="232">
        <f t="shared" si="13"/>
        <v>-2.2009919383876454E-2</v>
      </c>
      <c r="K234" s="321">
        <f t="shared" si="14"/>
        <v>1.9662875381438395E-3</v>
      </c>
    </row>
    <row r="235" spans="1:11" x14ac:dyDescent="0.2">
      <c r="A235" s="320">
        <v>134</v>
      </c>
      <c r="B235" s="174">
        <v>56</v>
      </c>
      <c r="C235" s="174">
        <v>35</v>
      </c>
      <c r="D235" s="174">
        <v>25</v>
      </c>
      <c r="E235" s="174">
        <v>76</v>
      </c>
      <c r="F235" s="174">
        <v>14</v>
      </c>
      <c r="G235" s="68">
        <f t="shared" si="10"/>
        <v>0.5222096310301283</v>
      </c>
      <c r="H235" s="68">
        <f t="shared" si="11"/>
        <v>0.46837635960388035</v>
      </c>
      <c r="I235" s="68">
        <f t="shared" si="12"/>
        <v>0.50746297104269411</v>
      </c>
      <c r="J235" s="232">
        <f t="shared" si="13"/>
        <v>3.6005710791964261E-2</v>
      </c>
      <c r="K235" s="321">
        <f t="shared" si="14"/>
        <v>2.6270813076126987E-2</v>
      </c>
    </row>
    <row r="236" spans="1:11" x14ac:dyDescent="0.2">
      <c r="A236" s="320">
        <v>135</v>
      </c>
      <c r="B236" s="174">
        <v>33</v>
      </c>
      <c r="C236" s="174">
        <v>14</v>
      </c>
      <c r="D236" s="174">
        <v>17</v>
      </c>
      <c r="E236" s="174">
        <v>59</v>
      </c>
      <c r="F236" s="174">
        <v>48</v>
      </c>
      <c r="G236" s="68">
        <f t="shared" si="10"/>
        <v>0.70940175929860372</v>
      </c>
      <c r="H236" s="68">
        <f t="shared" si="11"/>
        <v>0.64949762240683073</v>
      </c>
      <c r="I236" s="68">
        <f t="shared" si="12"/>
        <v>0.7004611731012691</v>
      </c>
      <c r="J236" s="232">
        <f t="shared" si="13"/>
        <v>3.5672690656848798E-2</v>
      </c>
      <c r="K236" s="321">
        <f t="shared" si="14"/>
        <v>3.0428722284616728E-2</v>
      </c>
    </row>
    <row r="237" spans="1:11" x14ac:dyDescent="0.2">
      <c r="A237" s="320">
        <v>136</v>
      </c>
      <c r="B237" s="174">
        <v>49</v>
      </c>
      <c r="C237" s="174">
        <v>25</v>
      </c>
      <c r="D237" s="174">
        <v>57</v>
      </c>
      <c r="E237" s="174">
        <v>60</v>
      </c>
      <c r="F237" s="174">
        <v>2</v>
      </c>
      <c r="G237" s="68">
        <f t="shared" si="10"/>
        <v>1.0718263598514701</v>
      </c>
      <c r="H237" s="68">
        <f t="shared" si="11"/>
        <v>0.88829884790218139</v>
      </c>
      <c r="I237" s="68">
        <f t="shared" si="12"/>
        <v>0.99082412161724176</v>
      </c>
      <c r="J237" s="232">
        <f t="shared" si="13"/>
        <v>9.2754174444213577E-2</v>
      </c>
      <c r="K237" s="321">
        <f t="shared" si="14"/>
        <v>5.2872341192729426E-2</v>
      </c>
    </row>
    <row r="238" spans="1:11" x14ac:dyDescent="0.2">
      <c r="A238" s="320">
        <v>137</v>
      </c>
      <c r="B238" s="174">
        <v>11</v>
      </c>
      <c r="C238" s="174">
        <v>51</v>
      </c>
      <c r="D238" s="174">
        <v>66</v>
      </c>
      <c r="E238" s="174">
        <v>16</v>
      </c>
      <c r="F238" s="174">
        <v>9</v>
      </c>
      <c r="G238" s="68">
        <f t="shared" si="10"/>
        <v>4.9795848522686592E-2</v>
      </c>
      <c r="H238" s="68">
        <f t="shared" si="11"/>
        <v>3.5729328050323028E-2</v>
      </c>
      <c r="I238" s="68">
        <f t="shared" si="12"/>
        <v>-1.3210391900783658E-2</v>
      </c>
      <c r="J238" s="232">
        <f t="shared" si="13"/>
        <v>1.3489871946481938E-2</v>
      </c>
      <c r="K238" s="321">
        <f t="shared" si="14"/>
        <v>-4.8404268631763225E-2</v>
      </c>
    </row>
    <row r="239" spans="1:11" x14ac:dyDescent="0.2">
      <c r="A239" s="320">
        <v>138</v>
      </c>
      <c r="B239" s="174">
        <v>59</v>
      </c>
      <c r="C239" s="174">
        <v>53</v>
      </c>
      <c r="D239" s="174">
        <v>28</v>
      </c>
      <c r="E239" s="174">
        <v>72</v>
      </c>
      <c r="F239" s="174">
        <v>51</v>
      </c>
      <c r="G239" s="68">
        <f t="shared" si="10"/>
        <v>0.77392010404604639</v>
      </c>
      <c r="H239" s="68">
        <f t="shared" si="11"/>
        <v>0.81430337650849838</v>
      </c>
      <c r="I239" s="68">
        <f t="shared" si="12"/>
        <v>0.90172707432677668</v>
      </c>
      <c r="J239" s="232">
        <f t="shared" si="13"/>
        <v>-2.2509733750189793E-2</v>
      </c>
      <c r="K239" s="321">
        <f t="shared" si="14"/>
        <v>4.7060880336865001E-2</v>
      </c>
    </row>
    <row r="240" spans="1:11" x14ac:dyDescent="0.2">
      <c r="A240" s="320">
        <v>139</v>
      </c>
      <c r="B240" s="174">
        <v>18</v>
      </c>
      <c r="C240" s="174">
        <v>35</v>
      </c>
      <c r="D240" s="174">
        <v>19</v>
      </c>
      <c r="E240" s="174">
        <v>52</v>
      </c>
      <c r="F240" s="174">
        <v>42</v>
      </c>
      <c r="G240" s="68">
        <f t="shared" si="10"/>
        <v>0.46445333116558918</v>
      </c>
      <c r="H240" s="68">
        <f t="shared" si="11"/>
        <v>0.43061358716694031</v>
      </c>
      <c r="I240" s="68">
        <f t="shared" si="12"/>
        <v>0.4362160462576492</v>
      </c>
      <c r="J240" s="232">
        <f t="shared" si="13"/>
        <v>2.337858586480062E-2</v>
      </c>
      <c r="K240" s="321">
        <f t="shared" si="14"/>
        <v>3.9084751722956064E-3</v>
      </c>
    </row>
    <row r="241" spans="1:11" x14ac:dyDescent="0.2">
      <c r="A241" s="320">
        <v>140</v>
      </c>
      <c r="B241" s="174">
        <v>18</v>
      </c>
      <c r="C241" s="174">
        <v>63</v>
      </c>
      <c r="D241" s="174">
        <v>34</v>
      </c>
      <c r="E241" s="174">
        <v>73</v>
      </c>
      <c r="F241" s="174">
        <v>29</v>
      </c>
      <c r="G241" s="68">
        <f t="shared" si="10"/>
        <v>0.33294499519056053</v>
      </c>
      <c r="H241" s="68">
        <f t="shared" si="11"/>
        <v>0.33385109992371587</v>
      </c>
      <c r="I241" s="68">
        <f t="shared" si="12"/>
        <v>0.37809130151683901</v>
      </c>
      <c r="J241" s="232">
        <f t="shared" si="13"/>
        <v>-6.7954559381873587E-4</v>
      </c>
      <c r="K241" s="321">
        <f t="shared" si="14"/>
        <v>3.2629104924072672E-2</v>
      </c>
    </row>
    <row r="242" spans="1:11" x14ac:dyDescent="0.2">
      <c r="A242" s="320">
        <v>141</v>
      </c>
      <c r="B242" s="174">
        <v>8</v>
      </c>
      <c r="C242" s="174">
        <v>66</v>
      </c>
      <c r="D242" s="174">
        <v>1</v>
      </c>
      <c r="E242" s="174">
        <v>13</v>
      </c>
      <c r="F242" s="174">
        <v>17</v>
      </c>
      <c r="G242" s="68">
        <f t="shared" si="10"/>
        <v>0.26854393227468454</v>
      </c>
      <c r="H242" s="68">
        <f t="shared" si="11"/>
        <v>0.20180640165700736</v>
      </c>
      <c r="I242" s="68">
        <f t="shared" si="12"/>
        <v>0.15373393914745437</v>
      </c>
      <c r="J242" s="232">
        <f t="shared" si="13"/>
        <v>5.4043973077574074E-2</v>
      </c>
      <c r="K242" s="321">
        <f t="shared" si="14"/>
        <v>-4.0822173455143995E-2</v>
      </c>
    </row>
    <row r="243" spans="1:11" x14ac:dyDescent="0.2">
      <c r="A243" s="320">
        <v>142</v>
      </c>
      <c r="B243" s="174">
        <v>19</v>
      </c>
      <c r="C243" s="174">
        <v>2</v>
      </c>
      <c r="D243" s="174">
        <v>58</v>
      </c>
      <c r="E243" s="174">
        <v>35</v>
      </c>
      <c r="F243" s="174">
        <v>21</v>
      </c>
      <c r="G243" s="68">
        <f t="shared" si="10"/>
        <v>0.48930683072286341</v>
      </c>
      <c r="H243" s="68">
        <f t="shared" si="11"/>
        <v>0.47999918884433646</v>
      </c>
      <c r="I243" s="68">
        <f t="shared" si="12"/>
        <v>0.48123891931421614</v>
      </c>
      <c r="J243" s="232">
        <f t="shared" si="13"/>
        <v>6.2692577339517946E-3</v>
      </c>
      <c r="K243" s="321">
        <f t="shared" si="14"/>
        <v>8.3730554384891349E-4</v>
      </c>
    </row>
    <row r="244" spans="1:11" x14ac:dyDescent="0.2">
      <c r="A244" s="320">
        <v>143</v>
      </c>
      <c r="B244" s="174">
        <v>17</v>
      </c>
      <c r="C244" s="174">
        <v>31</v>
      </c>
      <c r="D244" s="174">
        <v>43</v>
      </c>
      <c r="E244" s="174">
        <v>66</v>
      </c>
      <c r="F244" s="174">
        <v>40</v>
      </c>
      <c r="G244" s="68">
        <f t="shared" si="10"/>
        <v>0.45874016251045591</v>
      </c>
      <c r="H244" s="68">
        <f t="shared" si="11"/>
        <v>0.44326610397153154</v>
      </c>
      <c r="I244" s="68">
        <f t="shared" si="12"/>
        <v>0.47864175442684598</v>
      </c>
      <c r="J244" s="232">
        <f t="shared" si="13"/>
        <v>1.0664487788629835E-2</v>
      </c>
      <c r="K244" s="321">
        <f t="shared" si="14"/>
        <v>2.4215259878500772E-2</v>
      </c>
    </row>
    <row r="245" spans="1:11" x14ac:dyDescent="0.2">
      <c r="A245" s="320">
        <v>144</v>
      </c>
      <c r="B245" s="174">
        <v>42</v>
      </c>
      <c r="C245" s="174">
        <v>34</v>
      </c>
      <c r="D245" s="174">
        <v>37</v>
      </c>
      <c r="E245" s="174">
        <v>73</v>
      </c>
      <c r="F245" s="174">
        <v>75</v>
      </c>
      <c r="G245" s="68">
        <f t="shared" si="10"/>
        <v>0.37148648264944306</v>
      </c>
      <c r="H245" s="68">
        <f t="shared" si="11"/>
        <v>0.39292191539586341</v>
      </c>
      <c r="I245" s="68">
        <f t="shared" si="12"/>
        <v>0.44978421716334394</v>
      </c>
      <c r="J245" s="232">
        <f t="shared" si="13"/>
        <v>-1.550846277549643E-2</v>
      </c>
      <c r="K245" s="321">
        <f t="shared" si="14"/>
        <v>4.0011091374575251E-2</v>
      </c>
    </row>
    <row r="246" spans="1:11" x14ac:dyDescent="0.2">
      <c r="A246" s="320">
        <v>145</v>
      </c>
      <c r="B246" s="174">
        <v>54</v>
      </c>
      <c r="C246" s="174">
        <v>69</v>
      </c>
      <c r="D246" s="174">
        <v>35</v>
      </c>
      <c r="E246" s="174">
        <v>4</v>
      </c>
      <c r="F246" s="174">
        <v>62</v>
      </c>
      <c r="G246" s="68">
        <f t="shared" si="10"/>
        <v>0.20875817231768523</v>
      </c>
      <c r="H246" s="68">
        <f t="shared" si="11"/>
        <v>0.25416095325169397</v>
      </c>
      <c r="I246" s="68">
        <f t="shared" si="12"/>
        <v>0.27447250955291613</v>
      </c>
      <c r="J246" s="232">
        <f t="shared" si="13"/>
        <v>-3.6873257121146891E-2</v>
      </c>
      <c r="K246" s="321">
        <f t="shared" si="14"/>
        <v>1.6065589158088311E-2</v>
      </c>
    </row>
    <row r="247" spans="1:11" x14ac:dyDescent="0.2">
      <c r="A247" s="320">
        <v>146</v>
      </c>
      <c r="B247" s="174">
        <v>37</v>
      </c>
      <c r="C247" s="174">
        <v>33</v>
      </c>
      <c r="D247" s="174">
        <v>73</v>
      </c>
      <c r="E247" s="174">
        <v>27</v>
      </c>
      <c r="F247" s="174">
        <v>30</v>
      </c>
      <c r="G247" s="68">
        <f t="shared" si="10"/>
        <v>0.66697034550924084</v>
      </c>
      <c r="H247" s="68">
        <f t="shared" si="11"/>
        <v>0.63648431200309252</v>
      </c>
      <c r="I247" s="68">
        <f t="shared" si="12"/>
        <v>0.69971790821199886</v>
      </c>
      <c r="J247" s="232">
        <f t="shared" si="13"/>
        <v>1.8457585871013042E-2</v>
      </c>
      <c r="K247" s="321">
        <f t="shared" si="14"/>
        <v>3.7912072344541643E-2</v>
      </c>
    </row>
    <row r="248" spans="1:11" x14ac:dyDescent="0.2">
      <c r="A248" s="320">
        <v>147</v>
      </c>
      <c r="B248" s="174">
        <v>60</v>
      </c>
      <c r="C248" s="174">
        <v>24</v>
      </c>
      <c r="D248" s="174">
        <v>47</v>
      </c>
      <c r="E248" s="174">
        <v>43</v>
      </c>
      <c r="F248" s="174">
        <v>30</v>
      </c>
      <c r="G248" s="68">
        <f t="shared" si="10"/>
        <v>0.81157158028452292</v>
      </c>
      <c r="H248" s="68">
        <f t="shared" si="11"/>
        <v>0.77091884401619248</v>
      </c>
      <c r="I248" s="68">
        <f t="shared" si="12"/>
        <v>0.87026380353840471</v>
      </c>
      <c r="J248" s="232">
        <f t="shared" si="13"/>
        <v>2.2696212141933108E-2</v>
      </c>
      <c r="K248" s="321">
        <f t="shared" si="14"/>
        <v>5.4580959525577566E-2</v>
      </c>
    </row>
    <row r="249" spans="1:11" x14ac:dyDescent="0.2">
      <c r="A249" s="320">
        <v>148</v>
      </c>
      <c r="B249" s="174">
        <v>27</v>
      </c>
      <c r="C249" s="174">
        <v>56</v>
      </c>
      <c r="D249" s="174">
        <v>24</v>
      </c>
      <c r="E249" s="174">
        <v>62</v>
      </c>
      <c r="F249" s="174">
        <v>2</v>
      </c>
      <c r="G249" s="68">
        <f t="shared" si="10"/>
        <v>0.50430801387583446</v>
      </c>
      <c r="H249" s="68">
        <f t="shared" si="11"/>
        <v>0.44049605302367612</v>
      </c>
      <c r="I249" s="68">
        <f t="shared" si="12"/>
        <v>0.49162596133306691</v>
      </c>
      <c r="J249" s="232">
        <f t="shared" si="13"/>
        <v>4.3345465485409955E-2</v>
      </c>
      <c r="K249" s="321">
        <f t="shared" si="14"/>
        <v>3.4879238660270435E-2</v>
      </c>
    </row>
    <row r="250" spans="1:11" x14ac:dyDescent="0.2">
      <c r="A250" s="320">
        <v>149</v>
      </c>
      <c r="B250" s="174">
        <v>9</v>
      </c>
      <c r="C250" s="174">
        <v>48</v>
      </c>
      <c r="D250" s="174">
        <v>28</v>
      </c>
      <c r="E250" s="174">
        <v>18</v>
      </c>
      <c r="F250" s="174">
        <v>50</v>
      </c>
      <c r="G250" s="68">
        <f t="shared" si="10"/>
        <v>0.17799154011856189</v>
      </c>
      <c r="H250" s="68">
        <f t="shared" si="11"/>
        <v>0.17523706987510579</v>
      </c>
      <c r="I250" s="68">
        <f t="shared" si="12"/>
        <v>0.14202024722581608</v>
      </c>
      <c r="J250" s="232">
        <f t="shared" si="13"/>
        <v>2.3410147995935574E-3</v>
      </c>
      <c r="K250" s="321">
        <f t="shared" si="14"/>
        <v>-2.8671048144369021E-2</v>
      </c>
    </row>
    <row r="251" spans="1:11" x14ac:dyDescent="0.2">
      <c r="A251" s="320">
        <v>150</v>
      </c>
      <c r="B251" s="174">
        <v>33</v>
      </c>
      <c r="C251" s="174">
        <v>68</v>
      </c>
      <c r="D251" s="174">
        <v>5</v>
      </c>
      <c r="E251" s="174">
        <v>67</v>
      </c>
      <c r="F251" s="174">
        <v>50</v>
      </c>
      <c r="G251" s="68">
        <f t="shared" si="10"/>
        <v>0.51275891610877289</v>
      </c>
      <c r="H251" s="68">
        <f t="shared" si="11"/>
        <v>0.52426737389252187</v>
      </c>
      <c r="I251" s="68">
        <f t="shared" si="12"/>
        <v>0.55114396398749776</v>
      </c>
      <c r="J251" s="232">
        <f t="shared" si="13"/>
        <v>-7.5788035863051566E-3</v>
      </c>
      <c r="K251" s="321">
        <f t="shared" si="14"/>
        <v>1.7478815931907553E-2</v>
      </c>
    </row>
    <row r="252" spans="1:11" x14ac:dyDescent="0.2">
      <c r="A252" s="320">
        <v>151</v>
      </c>
      <c r="B252" s="174">
        <v>22</v>
      </c>
      <c r="C252" s="174">
        <v>30</v>
      </c>
      <c r="D252" s="174">
        <v>9</v>
      </c>
      <c r="E252" s="174">
        <v>72</v>
      </c>
      <c r="F252" s="174">
        <v>16</v>
      </c>
      <c r="G252" s="68">
        <f t="shared" si="10"/>
        <v>0.1187928416243238</v>
      </c>
      <c r="H252" s="68">
        <f t="shared" si="11"/>
        <v>0.15089076425842718</v>
      </c>
      <c r="I252" s="68">
        <f t="shared" si="12"/>
        <v>0.11559990393078379</v>
      </c>
      <c r="J252" s="232">
        <f t="shared" si="13"/>
        <v>-2.8285936097694628E-2</v>
      </c>
      <c r="K252" s="321">
        <f t="shared" si="14"/>
        <v>-3.1143929503958032E-2</v>
      </c>
    </row>
    <row r="253" spans="1:11" x14ac:dyDescent="0.2">
      <c r="A253" s="320">
        <v>152</v>
      </c>
      <c r="B253" s="174">
        <v>50</v>
      </c>
      <c r="C253" s="174">
        <v>12</v>
      </c>
      <c r="D253" s="174">
        <v>63</v>
      </c>
      <c r="E253" s="174">
        <v>48</v>
      </c>
      <c r="F253" s="174">
        <v>68</v>
      </c>
      <c r="G253" s="68">
        <f t="shared" si="10"/>
        <v>0.33374254664977965</v>
      </c>
      <c r="H253" s="68">
        <f t="shared" si="11"/>
        <v>0.26439941628566954</v>
      </c>
      <c r="I253" s="68">
        <f t="shared" si="12"/>
        <v>0.29413877831424284</v>
      </c>
      <c r="J253" s="232">
        <f t="shared" si="13"/>
        <v>5.3391695645879866E-2</v>
      </c>
      <c r="K253" s="321">
        <f t="shared" si="14"/>
        <v>2.3248198160157735E-2</v>
      </c>
    </row>
    <row r="254" spans="1:11" x14ac:dyDescent="0.2">
      <c r="A254" s="320">
        <v>153</v>
      </c>
      <c r="B254" s="174">
        <v>6</v>
      </c>
      <c r="C254" s="174">
        <v>8</v>
      </c>
      <c r="D254" s="174">
        <v>75</v>
      </c>
      <c r="E254" s="174">
        <v>46</v>
      </c>
      <c r="F254" s="174">
        <v>36</v>
      </c>
      <c r="G254" s="68">
        <f t="shared" si="10"/>
        <v>-8.5534000891284157E-2</v>
      </c>
      <c r="H254" s="68">
        <f t="shared" si="11"/>
        <v>-3.0391527733845014E-2</v>
      </c>
      <c r="I254" s="68">
        <f t="shared" si="12"/>
        <v>-6.9585674863003266E-2</v>
      </c>
      <c r="J254" s="232">
        <f t="shared" si="13"/>
        <v>-5.8552065796236626E-2</v>
      </c>
      <c r="K254" s="321">
        <f t="shared" si="14"/>
        <v>-4.1262355338354657E-2</v>
      </c>
    </row>
    <row r="255" spans="1:11" x14ac:dyDescent="0.2">
      <c r="A255" s="320">
        <v>154</v>
      </c>
      <c r="B255" s="174">
        <v>1</v>
      </c>
      <c r="C255" s="174">
        <v>29</v>
      </c>
      <c r="D255" s="174">
        <v>9</v>
      </c>
      <c r="E255" s="174">
        <v>62</v>
      </c>
      <c r="F255" s="174">
        <v>12</v>
      </c>
      <c r="G255" s="68">
        <f t="shared" si="10"/>
        <v>0.14994880898118734</v>
      </c>
      <c r="H255" s="68">
        <f t="shared" si="11"/>
        <v>0.14269045758729315</v>
      </c>
      <c r="I255" s="68">
        <f t="shared" si="12"/>
        <v>0.12726019672931121</v>
      </c>
      <c r="J255" s="232">
        <f t="shared" si="13"/>
        <v>6.331895078666638E-3</v>
      </c>
      <c r="K255" s="321">
        <f t="shared" si="14"/>
        <v>-1.3595448430119015E-2</v>
      </c>
    </row>
    <row r="256" spans="1:11" x14ac:dyDescent="0.2">
      <c r="A256" s="320">
        <v>155</v>
      </c>
      <c r="B256" s="174">
        <v>7</v>
      </c>
      <c r="C256" s="174">
        <v>68</v>
      </c>
      <c r="D256" s="174">
        <v>4</v>
      </c>
      <c r="E256" s="174">
        <v>35</v>
      </c>
      <c r="F256" s="174">
        <v>13</v>
      </c>
      <c r="G256" s="68">
        <f t="shared" si="10"/>
        <v>0.40280106914089719</v>
      </c>
      <c r="H256" s="68">
        <f t="shared" si="11"/>
        <v>0.39215877158962953</v>
      </c>
      <c r="I256" s="68">
        <f t="shared" si="12"/>
        <v>0.39524087462526802</v>
      </c>
      <c r="J256" s="232">
        <f t="shared" si="13"/>
        <v>7.6153859734733285E-3</v>
      </c>
      <c r="K256" s="321">
        <f t="shared" si="14"/>
        <v>2.2114548919581092E-3</v>
      </c>
    </row>
    <row r="257" spans="1:11" x14ac:dyDescent="0.2">
      <c r="A257" s="320">
        <v>156</v>
      </c>
      <c r="B257" s="174">
        <v>23</v>
      </c>
      <c r="C257" s="174">
        <v>49</v>
      </c>
      <c r="D257" s="174">
        <v>21</v>
      </c>
      <c r="E257" s="174">
        <v>30</v>
      </c>
      <c r="F257" s="174">
        <v>54</v>
      </c>
      <c r="G257" s="68">
        <f t="shared" si="10"/>
        <v>0.41171138068586788</v>
      </c>
      <c r="H257" s="68">
        <f t="shared" si="11"/>
        <v>0.38082608385851735</v>
      </c>
      <c r="I257" s="68">
        <f t="shared" si="12"/>
        <v>0.38062346182923923</v>
      </c>
      <c r="J257" s="232">
        <f t="shared" si="13"/>
        <v>2.2120781999769371E-2</v>
      </c>
      <c r="K257" s="321">
        <f t="shared" si="14"/>
        <v>-1.467504846924528E-4</v>
      </c>
    </row>
    <row r="258" spans="1:11" x14ac:dyDescent="0.2">
      <c r="A258" s="320">
        <v>157</v>
      </c>
      <c r="B258" s="174">
        <v>47</v>
      </c>
      <c r="C258" s="174">
        <v>62</v>
      </c>
      <c r="D258" s="174">
        <v>64</v>
      </c>
      <c r="E258" s="174">
        <v>9</v>
      </c>
      <c r="F258" s="174">
        <v>6</v>
      </c>
      <c r="G258" s="68">
        <f t="shared" si="10"/>
        <v>-0.28535423102532831</v>
      </c>
      <c r="H258" s="68">
        <f t="shared" si="11"/>
        <v>-0.2401386906657268</v>
      </c>
      <c r="I258" s="68">
        <f t="shared" si="12"/>
        <v>-0.26882451012502551</v>
      </c>
      <c r="J258" s="232">
        <f t="shared" si="13"/>
        <v>-6.1348936987854479E-2</v>
      </c>
      <c r="K258" s="321">
        <f t="shared" si="14"/>
        <v>-3.8482429742973806E-2</v>
      </c>
    </row>
    <row r="259" spans="1:11" x14ac:dyDescent="0.2">
      <c r="A259" s="320">
        <v>158</v>
      </c>
      <c r="B259" s="174">
        <v>47</v>
      </c>
      <c r="C259" s="174">
        <v>18</v>
      </c>
      <c r="D259" s="174">
        <v>65</v>
      </c>
      <c r="E259" s="174">
        <v>17</v>
      </c>
      <c r="F259" s="174">
        <v>8</v>
      </c>
      <c r="G259" s="68">
        <f t="shared" si="10"/>
        <v>-1.9134596809299076E-2</v>
      </c>
      <c r="H259" s="68">
        <f t="shared" si="11"/>
        <v>-1.6707473506909487E-2</v>
      </c>
      <c r="I259" s="68">
        <f t="shared" si="12"/>
        <v>-7.0442386184364825E-2</v>
      </c>
      <c r="J259" s="232">
        <f t="shared" si="13"/>
        <v>-2.471414850193818E-3</v>
      </c>
      <c r="K259" s="321">
        <f t="shared" si="14"/>
        <v>-5.6197872418533135E-2</v>
      </c>
    </row>
    <row r="260" spans="1:11" x14ac:dyDescent="0.2">
      <c r="A260" s="320">
        <v>159</v>
      </c>
      <c r="B260" s="174">
        <v>69</v>
      </c>
      <c r="C260" s="174">
        <v>22</v>
      </c>
      <c r="D260" s="174">
        <v>48</v>
      </c>
      <c r="E260" s="174">
        <v>77</v>
      </c>
      <c r="F260" s="174">
        <v>13</v>
      </c>
      <c r="G260" s="68">
        <f t="shared" si="10"/>
        <v>0.54187574382695392</v>
      </c>
      <c r="H260" s="68">
        <f t="shared" si="11"/>
        <v>0.47903884244939388</v>
      </c>
      <c r="I260" s="68">
        <f t="shared" si="12"/>
        <v>0.5229715985396457</v>
      </c>
      <c r="J260" s="232">
        <f t="shared" si="13"/>
        <v>4.1607244691450884E-2</v>
      </c>
      <c r="K260" s="321">
        <f t="shared" si="14"/>
        <v>2.9270979346766451E-2</v>
      </c>
    </row>
    <row r="261" spans="1:11" x14ac:dyDescent="0.2">
      <c r="A261" s="320">
        <v>160</v>
      </c>
      <c r="B261" s="174">
        <v>62</v>
      </c>
      <c r="C261" s="174">
        <v>2</v>
      </c>
      <c r="D261" s="174">
        <v>36</v>
      </c>
      <c r="E261" s="174">
        <v>53</v>
      </c>
      <c r="F261" s="174">
        <v>66</v>
      </c>
      <c r="G261" s="68">
        <f t="shared" si="10"/>
        <v>0.22433391026414884</v>
      </c>
      <c r="H261" s="68">
        <f t="shared" si="11"/>
        <v>0.23331064762751064</v>
      </c>
      <c r="I261" s="68">
        <f t="shared" si="12"/>
        <v>0.23888072686227169</v>
      </c>
      <c r="J261" s="232">
        <f t="shared" si="13"/>
        <v>-7.3051876076818262E-3</v>
      </c>
      <c r="K261" s="321">
        <f t="shared" si="14"/>
        <v>4.5061953679176843E-3</v>
      </c>
    </row>
    <row r="262" spans="1:11" x14ac:dyDescent="0.2">
      <c r="A262" s="320">
        <v>161</v>
      </c>
      <c r="B262" s="174">
        <v>58</v>
      </c>
      <c r="C262" s="174">
        <v>69</v>
      </c>
      <c r="D262" s="174">
        <v>17</v>
      </c>
      <c r="E262" s="174">
        <v>48</v>
      </c>
      <c r="F262" s="174">
        <v>21</v>
      </c>
      <c r="G262" s="68">
        <f t="shared" si="10"/>
        <v>0.42986856974544163</v>
      </c>
      <c r="H262" s="68">
        <f t="shared" si="11"/>
        <v>0.43439186032556321</v>
      </c>
      <c r="I262" s="68">
        <f t="shared" si="12"/>
        <v>0.43972544290807791</v>
      </c>
      <c r="J262" s="232">
        <f t="shared" si="13"/>
        <v>-3.1584378940494613E-3</v>
      </c>
      <c r="K262" s="321">
        <f t="shared" si="14"/>
        <v>3.7114620888987803E-3</v>
      </c>
    </row>
    <row r="263" spans="1:11" x14ac:dyDescent="0.2">
      <c r="A263" s="320">
        <v>162</v>
      </c>
      <c r="B263" s="174">
        <v>36</v>
      </c>
      <c r="C263" s="174">
        <v>47</v>
      </c>
      <c r="D263" s="174">
        <v>70</v>
      </c>
      <c r="E263" s="174">
        <v>49</v>
      </c>
      <c r="F263" s="174">
        <v>9</v>
      </c>
      <c r="G263" s="68">
        <f t="shared" si="10"/>
        <v>0.22826043513210736</v>
      </c>
      <c r="H263" s="68">
        <f t="shared" si="11"/>
        <v>0.23738994213670583</v>
      </c>
      <c r="I263" s="68">
        <f t="shared" si="12"/>
        <v>0.22709984509741465</v>
      </c>
      <c r="J263" s="232">
        <f t="shared" si="13"/>
        <v>-7.4053878931083688E-3</v>
      </c>
      <c r="K263" s="321">
        <f t="shared" si="14"/>
        <v>-8.3507400929234039E-3</v>
      </c>
    </row>
    <row r="264" spans="1:11" x14ac:dyDescent="0.2">
      <c r="A264" s="320">
        <v>163</v>
      </c>
      <c r="B264" s="174">
        <v>57</v>
      </c>
      <c r="C264" s="174">
        <v>60</v>
      </c>
      <c r="D264" s="174">
        <v>65</v>
      </c>
      <c r="E264" s="174">
        <v>20</v>
      </c>
      <c r="F264" s="174">
        <v>77</v>
      </c>
      <c r="G264" s="68">
        <f t="shared" si="10"/>
        <v>0.45283992869530332</v>
      </c>
      <c r="H264" s="68">
        <f t="shared" si="11"/>
        <v>0.42909758773648554</v>
      </c>
      <c r="I264" s="68">
        <f t="shared" si="12"/>
        <v>0.48099872908636887</v>
      </c>
      <c r="J264" s="232">
        <f t="shared" si="13"/>
        <v>1.6477024901713721E-2</v>
      </c>
      <c r="K264" s="321">
        <f t="shared" si="14"/>
        <v>3.5673489595422748E-2</v>
      </c>
    </row>
    <row r="265" spans="1:11" x14ac:dyDescent="0.2">
      <c r="A265" s="320">
        <v>164</v>
      </c>
      <c r="B265" s="174">
        <v>4</v>
      </c>
      <c r="C265" s="174">
        <v>21</v>
      </c>
      <c r="D265" s="174">
        <v>48</v>
      </c>
      <c r="E265" s="174">
        <v>2</v>
      </c>
      <c r="F265" s="174">
        <v>33</v>
      </c>
      <c r="G265" s="68">
        <f t="shared" si="10"/>
        <v>0.489380805049491</v>
      </c>
      <c r="H265" s="68">
        <f t="shared" si="11"/>
        <v>0.44954907912907904</v>
      </c>
      <c r="I265" s="68">
        <f t="shared" si="12"/>
        <v>0.4605894413623739</v>
      </c>
      <c r="J265" s="232">
        <f t="shared" si="13"/>
        <v>2.7107938347336793E-2</v>
      </c>
      <c r="K265" s="321">
        <f t="shared" si="14"/>
        <v>7.587553047751083E-3</v>
      </c>
    </row>
    <row r="266" spans="1:11" x14ac:dyDescent="0.2">
      <c r="A266" s="320">
        <v>165</v>
      </c>
      <c r="B266" s="174">
        <v>34</v>
      </c>
      <c r="C266" s="174">
        <v>6</v>
      </c>
      <c r="D266" s="174">
        <v>59</v>
      </c>
      <c r="E266" s="174">
        <v>61</v>
      </c>
      <c r="F266" s="174">
        <v>50</v>
      </c>
      <c r="G266" s="68">
        <f t="shared" si="10"/>
        <v>0.47159421111216582</v>
      </c>
      <c r="H266" s="68">
        <f t="shared" si="11"/>
        <v>0.49238298862514118</v>
      </c>
      <c r="I266" s="68">
        <f t="shared" si="12"/>
        <v>0.5307746172924348</v>
      </c>
      <c r="J266" s="232">
        <f t="shared" si="13"/>
        <v>-1.4027853126638231E-2</v>
      </c>
      <c r="K266" s="321">
        <f t="shared" si="14"/>
        <v>2.5399729466905361E-2</v>
      </c>
    </row>
    <row r="267" spans="1:11" x14ac:dyDescent="0.2">
      <c r="A267" s="320">
        <v>166</v>
      </c>
      <c r="B267" s="174">
        <v>33</v>
      </c>
      <c r="C267" s="174">
        <v>41</v>
      </c>
      <c r="D267" s="174">
        <v>20</v>
      </c>
      <c r="E267" s="174">
        <v>44</v>
      </c>
      <c r="F267" s="174">
        <v>38</v>
      </c>
      <c r="G267" s="68">
        <f t="shared" si="10"/>
        <v>0.48878770622146583</v>
      </c>
      <c r="H267" s="68">
        <f t="shared" si="11"/>
        <v>0.45718283261658188</v>
      </c>
      <c r="I267" s="68">
        <f t="shared" si="12"/>
        <v>0.47145955858649691</v>
      </c>
      <c r="J267" s="232">
        <f t="shared" si="13"/>
        <v>2.1457163796154123E-2</v>
      </c>
      <c r="K267" s="321">
        <f t="shared" si="14"/>
        <v>9.7498001848384547E-3</v>
      </c>
    </row>
    <row r="268" spans="1:11" x14ac:dyDescent="0.2">
      <c r="A268" s="320">
        <v>167</v>
      </c>
      <c r="B268" s="174">
        <v>71</v>
      </c>
      <c r="C268" s="174">
        <v>6</v>
      </c>
      <c r="D268" s="174">
        <v>19</v>
      </c>
      <c r="E268" s="174">
        <v>50</v>
      </c>
      <c r="F268" s="174">
        <v>76</v>
      </c>
      <c r="G268" s="68">
        <f t="shared" si="10"/>
        <v>0.19670632827523638</v>
      </c>
      <c r="H268" s="68">
        <f t="shared" si="11"/>
        <v>0.1878894363725554</v>
      </c>
      <c r="I268" s="68">
        <f t="shared" si="12"/>
        <v>0.16825050733048474</v>
      </c>
      <c r="J268" s="232">
        <f t="shared" si="13"/>
        <v>7.3949071053570088E-3</v>
      </c>
      <c r="K268" s="321">
        <f t="shared" si="14"/>
        <v>-1.6670812719334974E-2</v>
      </c>
    </row>
    <row r="269" spans="1:11" x14ac:dyDescent="0.2">
      <c r="A269" s="320">
        <v>168</v>
      </c>
      <c r="B269" s="174">
        <v>64</v>
      </c>
      <c r="C269" s="174">
        <v>42</v>
      </c>
      <c r="D269" s="174">
        <v>53</v>
      </c>
      <c r="E269" s="174">
        <v>69</v>
      </c>
      <c r="F269" s="174">
        <v>24</v>
      </c>
      <c r="G269" s="68">
        <f t="shared" si="10"/>
        <v>0.24657839595500586</v>
      </c>
      <c r="H269" s="68">
        <f t="shared" si="11"/>
        <v>0.25795806474125782</v>
      </c>
      <c r="I269" s="68">
        <f t="shared" si="12"/>
        <v>0.28469746633696147</v>
      </c>
      <c r="J269" s="232">
        <f t="shared" si="13"/>
        <v>-9.0873079909386274E-3</v>
      </c>
      <c r="K269" s="321">
        <f t="shared" si="14"/>
        <v>2.1033433012076601E-2</v>
      </c>
    </row>
    <row r="270" spans="1:11" x14ac:dyDescent="0.2">
      <c r="A270" s="320">
        <v>169</v>
      </c>
      <c r="B270" s="174">
        <v>62</v>
      </c>
      <c r="C270" s="174">
        <v>4</v>
      </c>
      <c r="D270" s="174">
        <v>14</v>
      </c>
      <c r="E270" s="174">
        <v>49</v>
      </c>
      <c r="F270" s="174">
        <v>23</v>
      </c>
      <c r="G270" s="68">
        <f t="shared" si="10"/>
        <v>0.3913122808813847</v>
      </c>
      <c r="H270" s="68">
        <f t="shared" si="11"/>
        <v>0.33824613135697001</v>
      </c>
      <c r="I270" s="68">
        <f t="shared" si="12"/>
        <v>0.37252010972668681</v>
      </c>
      <c r="J270" s="232">
        <f t="shared" si="13"/>
        <v>3.8887489273006309E-2</v>
      </c>
      <c r="K270" s="321">
        <f t="shared" si="14"/>
        <v>2.5288646724982787E-2</v>
      </c>
    </row>
    <row r="271" spans="1:11" x14ac:dyDescent="0.2">
      <c r="A271" s="320">
        <v>170</v>
      </c>
      <c r="B271" s="174">
        <v>26</v>
      </c>
      <c r="C271" s="174">
        <v>39</v>
      </c>
      <c r="D271" s="174">
        <v>72</v>
      </c>
      <c r="E271" s="174">
        <v>9</v>
      </c>
      <c r="F271" s="174">
        <v>31</v>
      </c>
      <c r="G271" s="68">
        <f t="shared" si="10"/>
        <v>0.34209195178775698</v>
      </c>
      <c r="H271" s="68">
        <f t="shared" si="11"/>
        <v>0.3662976921524328</v>
      </c>
      <c r="I271" s="68">
        <f t="shared" si="12"/>
        <v>0.37262040163992483</v>
      </c>
      <c r="J271" s="232">
        <f t="shared" si="13"/>
        <v>-1.7875112565783207E-2</v>
      </c>
      <c r="K271" s="321">
        <f t="shared" si="14"/>
        <v>4.6169476430610772E-3</v>
      </c>
    </row>
    <row r="272" spans="1:11" x14ac:dyDescent="0.2">
      <c r="A272" s="320">
        <v>171</v>
      </c>
      <c r="B272" s="174">
        <v>27</v>
      </c>
      <c r="C272" s="174">
        <v>70</v>
      </c>
      <c r="D272" s="174">
        <v>24</v>
      </c>
      <c r="E272" s="174">
        <v>25</v>
      </c>
      <c r="F272" s="174">
        <v>73</v>
      </c>
      <c r="G272" s="68">
        <f t="shared" si="10"/>
        <v>0.81956269392790126</v>
      </c>
      <c r="H272" s="68">
        <f t="shared" si="11"/>
        <v>0.72711954619074559</v>
      </c>
      <c r="I272" s="68">
        <f t="shared" si="12"/>
        <v>0.82301933361827162</v>
      </c>
      <c r="J272" s="232">
        <f t="shared" si="13"/>
        <v>5.2141175504587439E-2</v>
      </c>
      <c r="K272" s="321">
        <f t="shared" si="14"/>
        <v>5.4039082374941025E-2</v>
      </c>
    </row>
    <row r="273" spans="1:11" x14ac:dyDescent="0.2">
      <c r="A273" s="320">
        <v>172</v>
      </c>
      <c r="B273" s="174">
        <v>50</v>
      </c>
      <c r="C273" s="174">
        <v>39</v>
      </c>
      <c r="D273" s="174">
        <v>62</v>
      </c>
      <c r="E273" s="174">
        <v>1</v>
      </c>
      <c r="F273" s="174">
        <v>20</v>
      </c>
      <c r="G273" s="68">
        <f t="shared" si="10"/>
        <v>0.21376865254392396</v>
      </c>
      <c r="H273" s="68">
        <f t="shared" si="11"/>
        <v>0.16143811199913216</v>
      </c>
      <c r="I273" s="68">
        <f t="shared" si="12"/>
        <v>0.13978015061199089</v>
      </c>
      <c r="J273" s="232">
        <f t="shared" si="13"/>
        <v>4.4071119219643309E-2</v>
      </c>
      <c r="K273" s="321">
        <f t="shared" si="14"/>
        <v>-1.8823595516037694E-2</v>
      </c>
    </row>
    <row r="274" spans="1:11" x14ac:dyDescent="0.2">
      <c r="A274" s="320">
        <v>173</v>
      </c>
      <c r="B274" s="174">
        <v>40</v>
      </c>
      <c r="C274" s="174">
        <v>4</v>
      </c>
      <c r="D274" s="174">
        <v>5</v>
      </c>
      <c r="E274" s="174">
        <v>49</v>
      </c>
      <c r="F274" s="174">
        <v>74</v>
      </c>
      <c r="G274" s="68">
        <f t="shared" si="10"/>
        <v>0.30060552243112348</v>
      </c>
      <c r="H274" s="68">
        <f t="shared" si="11"/>
        <v>0.28969873684273995</v>
      </c>
      <c r="I274" s="68">
        <f t="shared" si="12"/>
        <v>0.30286447654860438</v>
      </c>
      <c r="J274" s="232">
        <f t="shared" si="13"/>
        <v>8.4212887398366857E-3</v>
      </c>
      <c r="K274" s="321">
        <f t="shared" si="14"/>
        <v>1.0156630176651714E-2</v>
      </c>
    </row>
    <row r="275" spans="1:11" x14ac:dyDescent="0.2">
      <c r="A275" s="320">
        <v>174</v>
      </c>
      <c r="B275" s="174">
        <v>60</v>
      </c>
      <c r="C275" s="174">
        <v>17</v>
      </c>
      <c r="D275" s="174">
        <v>33</v>
      </c>
      <c r="E275" s="174">
        <v>73</v>
      </c>
      <c r="F275" s="174">
        <v>67</v>
      </c>
      <c r="G275" s="68">
        <f t="shared" si="10"/>
        <v>0.69301746125158092</v>
      </c>
      <c r="H275" s="68">
        <f t="shared" si="11"/>
        <v>0.69809632357786899</v>
      </c>
      <c r="I275" s="68">
        <f t="shared" si="12"/>
        <v>0.76674140342684471</v>
      </c>
      <c r="J275" s="232">
        <f t="shared" si="13"/>
        <v>-2.995397055961507E-3</v>
      </c>
      <c r="K275" s="321">
        <f t="shared" si="14"/>
        <v>3.9629020874908931E-2</v>
      </c>
    </row>
    <row r="276" spans="1:11" x14ac:dyDescent="0.2">
      <c r="A276" s="320">
        <v>175</v>
      </c>
      <c r="B276" s="174">
        <v>52</v>
      </c>
      <c r="C276" s="174">
        <v>43</v>
      </c>
      <c r="D276" s="174">
        <v>58</v>
      </c>
      <c r="E276" s="174">
        <v>41</v>
      </c>
      <c r="F276" s="174">
        <v>45</v>
      </c>
      <c r="G276" s="68">
        <f t="shared" si="10"/>
        <v>0.7555451732976628</v>
      </c>
      <c r="H276" s="68">
        <f t="shared" si="11"/>
        <v>0.74599043580671975</v>
      </c>
      <c r="I276" s="68">
        <f t="shared" si="12"/>
        <v>0.87144724997538869</v>
      </c>
      <c r="J276" s="232">
        <f t="shared" si="13"/>
        <v>5.4574691063666433E-3</v>
      </c>
      <c r="K276" s="321">
        <f t="shared" si="14"/>
        <v>6.9390082376384776E-2</v>
      </c>
    </row>
    <row r="277" spans="1:11" x14ac:dyDescent="0.2">
      <c r="A277" s="320">
        <v>176</v>
      </c>
      <c r="B277" s="174">
        <v>47</v>
      </c>
      <c r="C277" s="174">
        <v>52</v>
      </c>
      <c r="D277" s="174">
        <v>70</v>
      </c>
      <c r="E277" s="174">
        <v>12</v>
      </c>
      <c r="F277" s="174">
        <v>71</v>
      </c>
      <c r="G277" s="68">
        <f t="shared" si="10"/>
        <v>1.0168487731294742</v>
      </c>
      <c r="H277" s="68">
        <f t="shared" si="11"/>
        <v>0.88314524670606764</v>
      </c>
      <c r="I277" s="68">
        <f t="shared" si="12"/>
        <v>0.98533459970060444</v>
      </c>
      <c r="J277" s="232">
        <f t="shared" si="13"/>
        <v>6.8592897525763488E-2</v>
      </c>
      <c r="K277" s="321">
        <f t="shared" si="14"/>
        <v>5.2844081517363604E-2</v>
      </c>
    </row>
    <row r="278" spans="1:11" x14ac:dyDescent="0.2">
      <c r="A278" s="320">
        <v>177</v>
      </c>
      <c r="B278" s="174">
        <v>58</v>
      </c>
      <c r="C278" s="174">
        <v>18</v>
      </c>
      <c r="D278" s="174">
        <v>61</v>
      </c>
      <c r="E278" s="174">
        <v>71</v>
      </c>
      <c r="F278" s="174">
        <v>30</v>
      </c>
      <c r="G278" s="68">
        <f t="shared" si="10"/>
        <v>0.8382141598819024</v>
      </c>
      <c r="H278" s="68">
        <f t="shared" si="11"/>
        <v>0.75963568640142043</v>
      </c>
      <c r="I278" s="68">
        <f t="shared" si="12"/>
        <v>0.80049479039206117</v>
      </c>
      <c r="J278" s="232">
        <f t="shared" si="13"/>
        <v>4.3687743775330953E-2</v>
      </c>
      <c r="K278" s="321">
        <f t="shared" si="14"/>
        <v>2.295471941917579E-2</v>
      </c>
    </row>
    <row r="279" spans="1:11" x14ac:dyDescent="0.2">
      <c r="A279" s="320">
        <v>178</v>
      </c>
      <c r="B279" s="174">
        <v>60</v>
      </c>
      <c r="C279" s="174">
        <v>35</v>
      </c>
      <c r="D279" s="174">
        <v>23</v>
      </c>
      <c r="E279" s="174">
        <v>25</v>
      </c>
      <c r="F279" s="174">
        <v>50</v>
      </c>
      <c r="G279" s="68">
        <f t="shared" si="10"/>
        <v>0.82037250398128259</v>
      </c>
      <c r="H279" s="68">
        <f t="shared" si="11"/>
        <v>0.74628545090864895</v>
      </c>
      <c r="I279" s="68">
        <f t="shared" si="12"/>
        <v>0.80845363783161872</v>
      </c>
      <c r="J279" s="232">
        <f t="shared" si="13"/>
        <v>4.1550220115780884E-2</v>
      </c>
      <c r="K279" s="321">
        <f t="shared" si="14"/>
        <v>3.4981203831139403E-2</v>
      </c>
    </row>
    <row r="280" spans="1:11" x14ac:dyDescent="0.2">
      <c r="A280" s="320">
        <v>179</v>
      </c>
      <c r="B280" s="174">
        <v>20</v>
      </c>
      <c r="C280" s="174">
        <v>55</v>
      </c>
      <c r="D280" s="174">
        <v>20</v>
      </c>
      <c r="E280" s="174">
        <v>12</v>
      </c>
      <c r="F280" s="174">
        <v>67</v>
      </c>
      <c r="G280" s="68">
        <f t="shared" si="10"/>
        <v>0.15008322583133649</v>
      </c>
      <c r="H280" s="68">
        <f t="shared" si="11"/>
        <v>0.16044393782656607</v>
      </c>
      <c r="I280" s="68">
        <f t="shared" si="12"/>
        <v>0.12591605182667509</v>
      </c>
      <c r="J280" s="232">
        <f t="shared" si="13"/>
        <v>-8.9683268836120659E-3</v>
      </c>
      <c r="K280" s="321">
        <f t="shared" si="14"/>
        <v>-3.0205664318097191E-2</v>
      </c>
    </row>
    <row r="281" spans="1:11" x14ac:dyDescent="0.2">
      <c r="A281" s="320">
        <v>180</v>
      </c>
      <c r="B281" s="174">
        <v>53</v>
      </c>
      <c r="C281" s="174">
        <v>5</v>
      </c>
      <c r="D281" s="174">
        <v>65</v>
      </c>
      <c r="E281" s="174">
        <v>23</v>
      </c>
      <c r="F281" s="174">
        <v>67</v>
      </c>
      <c r="G281" s="68">
        <f t="shared" si="10"/>
        <v>8.2284459150986589E-2</v>
      </c>
      <c r="H281" s="68">
        <f t="shared" si="11"/>
        <v>0.13615437456196755</v>
      </c>
      <c r="I281" s="68">
        <f t="shared" si="12"/>
        <v>0.12264479326190725</v>
      </c>
      <c r="J281" s="232">
        <f t="shared" si="13"/>
        <v>-4.8575157046238659E-2</v>
      </c>
      <c r="K281" s="321">
        <f t="shared" si="14"/>
        <v>-1.1961880081029677E-2</v>
      </c>
    </row>
    <row r="282" spans="1:11" x14ac:dyDescent="0.2">
      <c r="A282" s="320">
        <v>181</v>
      </c>
      <c r="B282" s="174">
        <v>27</v>
      </c>
      <c r="C282" s="174">
        <v>72</v>
      </c>
      <c r="D282" s="174">
        <v>14</v>
      </c>
      <c r="E282" s="174">
        <v>53</v>
      </c>
      <c r="F282" s="174">
        <v>45</v>
      </c>
      <c r="G282" s="68">
        <f t="shared" si="10"/>
        <v>0.51410387476184782</v>
      </c>
      <c r="H282" s="68">
        <f t="shared" si="11"/>
        <v>0.54270499581306164</v>
      </c>
      <c r="I282" s="68">
        <f t="shared" si="12"/>
        <v>0.60645556368948594</v>
      </c>
      <c r="J282" s="232">
        <f t="shared" si="13"/>
        <v>-1.8713604239567444E-2</v>
      </c>
      <c r="K282" s="321">
        <f t="shared" si="14"/>
        <v>4.0492872479886949E-2</v>
      </c>
    </row>
    <row r="283" spans="1:11" x14ac:dyDescent="0.2">
      <c r="A283" s="320">
        <v>182</v>
      </c>
      <c r="B283" s="174">
        <v>33</v>
      </c>
      <c r="C283" s="174">
        <v>59</v>
      </c>
      <c r="D283" s="174">
        <v>75</v>
      </c>
      <c r="E283" s="174">
        <v>17</v>
      </c>
      <c r="F283" s="174">
        <v>49</v>
      </c>
      <c r="G283" s="68">
        <f t="shared" si="10"/>
        <v>0.8585317652640001</v>
      </c>
      <c r="H283" s="68">
        <f t="shared" si="11"/>
        <v>0.80122743194244084</v>
      </c>
      <c r="I283" s="68">
        <f t="shared" si="12"/>
        <v>0.89408545238289472</v>
      </c>
      <c r="J283" s="232">
        <f t="shared" si="13"/>
        <v>3.1318463347686488E-2</v>
      </c>
      <c r="K283" s="321">
        <f t="shared" si="14"/>
        <v>5.0267772016417772E-2</v>
      </c>
    </row>
    <row r="284" spans="1:11" x14ac:dyDescent="0.2">
      <c r="A284" s="320">
        <v>183</v>
      </c>
      <c r="B284" s="174">
        <v>74</v>
      </c>
      <c r="C284" s="174">
        <v>76</v>
      </c>
      <c r="D284" s="174">
        <v>43</v>
      </c>
      <c r="E284" s="174">
        <v>36</v>
      </c>
      <c r="F284" s="174">
        <v>73</v>
      </c>
      <c r="G284" s="68">
        <f t="shared" si="10"/>
        <v>0.41933765710571969</v>
      </c>
      <c r="H284" s="68">
        <f t="shared" si="11"/>
        <v>0.41131846237143588</v>
      </c>
      <c r="I284" s="68">
        <f t="shared" si="12"/>
        <v>0.47079524770222458</v>
      </c>
      <c r="J284" s="232">
        <f t="shared" si="13"/>
        <v>5.6659769674186049E-3</v>
      </c>
      <c r="K284" s="321">
        <f t="shared" si="14"/>
        <v>4.127889217109338E-2</v>
      </c>
    </row>
    <row r="285" spans="1:11" x14ac:dyDescent="0.2">
      <c r="A285" s="320">
        <v>184</v>
      </c>
      <c r="B285" s="174">
        <v>72</v>
      </c>
      <c r="C285" s="174">
        <v>65</v>
      </c>
      <c r="D285" s="174">
        <v>51</v>
      </c>
      <c r="E285" s="174">
        <v>75</v>
      </c>
      <c r="F285" s="174">
        <v>29</v>
      </c>
      <c r="G285" s="68">
        <f t="shared" si="10"/>
        <v>0.59216638719165449</v>
      </c>
      <c r="H285" s="68">
        <f t="shared" si="11"/>
        <v>0.59115083218883657</v>
      </c>
      <c r="I285" s="68">
        <f t="shared" si="12"/>
        <v>0.68104637578808069</v>
      </c>
      <c r="J285" s="232">
        <f t="shared" si="13"/>
        <v>6.3804827937856759E-4</v>
      </c>
      <c r="K285" s="321">
        <f t="shared" si="14"/>
        <v>5.495889401096922E-2</v>
      </c>
    </row>
    <row r="286" spans="1:11" x14ac:dyDescent="0.2">
      <c r="A286" s="320">
        <v>185</v>
      </c>
      <c r="B286" s="174">
        <v>77</v>
      </c>
      <c r="C286" s="174">
        <v>4</v>
      </c>
      <c r="D286" s="174">
        <v>41</v>
      </c>
      <c r="E286" s="174">
        <v>22</v>
      </c>
      <c r="F286" s="174">
        <v>41</v>
      </c>
      <c r="G286" s="68">
        <f t="shared" si="10"/>
        <v>0.43203215526599159</v>
      </c>
      <c r="H286" s="68">
        <f t="shared" si="11"/>
        <v>0.41195913144693685</v>
      </c>
      <c r="I286" s="68">
        <f t="shared" si="12"/>
        <v>0.46463991105978941</v>
      </c>
      <c r="J286" s="232">
        <f t="shared" si="13"/>
        <v>1.4116328163327214E-2</v>
      </c>
      <c r="K286" s="321">
        <f t="shared" si="14"/>
        <v>3.6631222840466486E-2</v>
      </c>
    </row>
    <row r="287" spans="1:11" x14ac:dyDescent="0.2">
      <c r="A287" s="320">
        <v>186</v>
      </c>
      <c r="B287" s="174">
        <v>26</v>
      </c>
      <c r="C287" s="174">
        <v>44</v>
      </c>
      <c r="D287" s="174">
        <v>44</v>
      </c>
      <c r="E287" s="174">
        <v>44</v>
      </c>
      <c r="F287" s="174">
        <v>61</v>
      </c>
      <c r="G287" s="68">
        <f t="shared" si="10"/>
        <v>0.62798505227073709</v>
      </c>
      <c r="H287" s="68">
        <f t="shared" si="11"/>
        <v>0.58593954649025237</v>
      </c>
      <c r="I287" s="68">
        <f t="shared" si="12"/>
        <v>0.67367474987625497</v>
      </c>
      <c r="J287" s="232">
        <f t="shared" si="13"/>
        <v>2.616608036718342E-2</v>
      </c>
      <c r="K287" s="321">
        <f t="shared" si="14"/>
        <v>5.3844652494923533E-2</v>
      </c>
    </row>
    <row r="288" spans="1:11" x14ac:dyDescent="0.2">
      <c r="A288" s="320">
        <v>187</v>
      </c>
      <c r="B288" s="174">
        <v>70</v>
      </c>
      <c r="C288" s="174">
        <v>66</v>
      </c>
      <c r="D288" s="174">
        <v>17</v>
      </c>
      <c r="E288" s="174">
        <v>43</v>
      </c>
      <c r="F288" s="174">
        <v>58</v>
      </c>
      <c r="G288" s="68">
        <f t="shared" si="10"/>
        <v>0.60365909784179328</v>
      </c>
      <c r="H288" s="68">
        <f t="shared" si="11"/>
        <v>0.58403250810634133</v>
      </c>
      <c r="I288" s="68">
        <f t="shared" si="12"/>
        <v>0.64304610889326419</v>
      </c>
      <c r="J288" s="232">
        <f t="shared" si="13"/>
        <v>1.2314138362449521E-2</v>
      </c>
      <c r="K288" s="321">
        <f t="shared" si="14"/>
        <v>3.6578086527819291E-2</v>
      </c>
    </row>
    <row r="289" spans="1:11" x14ac:dyDescent="0.2">
      <c r="A289" s="320">
        <v>188</v>
      </c>
      <c r="B289" s="174">
        <v>68</v>
      </c>
      <c r="C289" s="174">
        <v>71</v>
      </c>
      <c r="D289" s="174">
        <v>21</v>
      </c>
      <c r="E289" s="174">
        <v>34</v>
      </c>
      <c r="F289" s="174">
        <v>76</v>
      </c>
      <c r="G289" s="68">
        <f t="shared" si="10"/>
        <v>0.61279396847180467</v>
      </c>
      <c r="H289" s="68">
        <f t="shared" si="11"/>
        <v>0.61060670450785248</v>
      </c>
      <c r="I289" s="68">
        <f t="shared" si="12"/>
        <v>0.64730673557396634</v>
      </c>
      <c r="J289" s="232">
        <f t="shared" si="13"/>
        <v>1.3571159911885378E-3</v>
      </c>
      <c r="K289" s="321">
        <f t="shared" si="14"/>
        <v>2.2530729709433643E-2</v>
      </c>
    </row>
    <row r="290" spans="1:11" x14ac:dyDescent="0.2">
      <c r="A290" s="320">
        <v>189</v>
      </c>
      <c r="B290" s="174">
        <v>19</v>
      </c>
      <c r="C290" s="174">
        <v>49</v>
      </c>
      <c r="D290" s="174">
        <v>69</v>
      </c>
      <c r="E290" s="174">
        <v>40</v>
      </c>
      <c r="F290" s="174">
        <v>73</v>
      </c>
      <c r="G290" s="68">
        <f t="shared" si="10"/>
        <v>0.41356231133074361</v>
      </c>
      <c r="H290" s="68">
        <f t="shared" si="11"/>
        <v>0.39632325971267068</v>
      </c>
      <c r="I290" s="68">
        <f t="shared" si="12"/>
        <v>0.42368971461980198</v>
      </c>
      <c r="J290" s="232">
        <f t="shared" si="13"/>
        <v>1.2270441254388408E-2</v>
      </c>
      <c r="K290" s="321">
        <f t="shared" si="14"/>
        <v>1.94093532773803E-2</v>
      </c>
    </row>
    <row r="291" spans="1:11" x14ac:dyDescent="0.2">
      <c r="A291" s="320">
        <v>190</v>
      </c>
      <c r="B291" s="174">
        <v>74</v>
      </c>
      <c r="C291" s="174">
        <v>42</v>
      </c>
      <c r="D291" s="174">
        <v>77</v>
      </c>
      <c r="E291" s="174">
        <v>4</v>
      </c>
      <c r="F291" s="174">
        <v>46</v>
      </c>
      <c r="G291" s="68">
        <f t="shared" si="10"/>
        <v>0.47296302232424603</v>
      </c>
      <c r="H291" s="68">
        <f t="shared" si="11"/>
        <v>0.44332399794039534</v>
      </c>
      <c r="I291" s="68">
        <f t="shared" si="12"/>
        <v>0.51601884052175717</v>
      </c>
      <c r="J291" s="232">
        <f t="shared" si="13"/>
        <v>2.0327248130172178E-2</v>
      </c>
      <c r="K291" s="321">
        <f t="shared" si="14"/>
        <v>4.9138929542064266E-2</v>
      </c>
    </row>
    <row r="292" spans="1:11" x14ac:dyDescent="0.2">
      <c r="A292" s="320">
        <v>191</v>
      </c>
      <c r="B292" s="174">
        <v>17</v>
      </c>
      <c r="C292" s="174">
        <v>70</v>
      </c>
      <c r="D292" s="174">
        <v>10</v>
      </c>
      <c r="E292" s="174">
        <v>51</v>
      </c>
      <c r="F292" s="174">
        <v>5</v>
      </c>
      <c r="G292" s="68">
        <f t="shared" si="10"/>
        <v>4.9234846045487224E-2</v>
      </c>
      <c r="H292" s="68">
        <f t="shared" si="11"/>
        <v>7.6825796346243758E-2</v>
      </c>
      <c r="I292" s="68">
        <f t="shared" si="12"/>
        <v>3.6369303193358515E-2</v>
      </c>
      <c r="J292" s="232">
        <f t="shared" si="13"/>
        <v>-2.595645563588754E-2</v>
      </c>
      <c r="K292" s="321">
        <f t="shared" si="14"/>
        <v>-3.8294085528620674E-2</v>
      </c>
    </row>
    <row r="293" spans="1:11" x14ac:dyDescent="0.2">
      <c r="A293" s="320">
        <v>192</v>
      </c>
      <c r="B293" s="174">
        <v>72</v>
      </c>
      <c r="C293" s="174">
        <v>9</v>
      </c>
      <c r="D293" s="174">
        <v>67</v>
      </c>
      <c r="E293" s="174">
        <v>76</v>
      </c>
      <c r="F293" s="174">
        <v>42</v>
      </c>
      <c r="G293" s="68">
        <f t="shared" si="10"/>
        <v>0.19214259714896609</v>
      </c>
      <c r="H293" s="68">
        <f t="shared" si="11"/>
        <v>0.24472589117775012</v>
      </c>
      <c r="I293" s="68">
        <f t="shared" si="12"/>
        <v>0.25635950125953544</v>
      </c>
      <c r="J293" s="232">
        <f t="shared" si="13"/>
        <v>-4.3163147978565596E-2</v>
      </c>
      <c r="K293" s="321">
        <f t="shared" si="14"/>
        <v>9.3029162608211455E-3</v>
      </c>
    </row>
    <row r="294" spans="1:11" x14ac:dyDescent="0.2">
      <c r="A294" s="320">
        <v>193</v>
      </c>
      <c r="B294" s="174">
        <v>30</v>
      </c>
      <c r="C294" s="174">
        <v>21</v>
      </c>
      <c r="D294" s="174">
        <v>13</v>
      </c>
      <c r="E294" s="174">
        <v>28</v>
      </c>
      <c r="F294" s="174">
        <v>2</v>
      </c>
      <c r="G294" s="68">
        <f t="shared" ref="G294:G357" si="15">(1+INDEX($Z$21:$Z$97,B294))*(1+INDEX($Z$21:$Z$97,C294))*(1+INDEX($Z$21:$Z$97,D294))*(1+INDEX($Z$21:$Z$97,E294))*(1+INDEX($Z$21:$Z$97,F294))-1</f>
        <v>0.98411957188608268</v>
      </c>
      <c r="H294" s="68">
        <f t="shared" ref="H294:H357" si="16">(1+INDEX($AA$21:$AA$97,B294))*(1+INDEX($AA$21:$AA$97,C294))*(1+INDEX($AA$21:$AA$97,D294))*(1+INDEX($AA$21:$AA$97,E294))*(1+INDEX($AA$21:$AA$97,F294))-1</f>
        <v>0.8539386764009238</v>
      </c>
      <c r="I294" s="68">
        <f t="shared" ref="I294:I357" si="17">(1+INDEX($AB$21:$AB$97,B294))*(1+INDEX($AB$21:$AB$97,C294))*(1+INDEX($AB$21:$AB$97,D294))*(1+INDEX($AB$21:$AB$97,E294))*(1+INDEX($AB$21:$AB$97,F294))-1</f>
        <v>0.91759328048707589</v>
      </c>
      <c r="J294" s="232">
        <f t="shared" ref="J294:J357" si="18">LN((1+G294)/(1+H294))</f>
        <v>6.7862884912654312E-2</v>
      </c>
      <c r="K294" s="321">
        <f t="shared" ref="K294:K357" si="19">LN((1+I294)/(1+H294))</f>
        <v>3.3758509783703629E-2</v>
      </c>
    </row>
    <row r="295" spans="1:11" x14ac:dyDescent="0.2">
      <c r="A295" s="320">
        <v>194</v>
      </c>
      <c r="B295" s="174">
        <v>48</v>
      </c>
      <c r="C295" s="174">
        <v>72</v>
      </c>
      <c r="D295" s="174">
        <v>61</v>
      </c>
      <c r="E295" s="174">
        <v>70</v>
      </c>
      <c r="F295" s="174">
        <v>8</v>
      </c>
      <c r="G295" s="68">
        <f t="shared" si="15"/>
        <v>0.11124237186588859</v>
      </c>
      <c r="H295" s="68">
        <f t="shared" si="16"/>
        <v>0.15968281003254536</v>
      </c>
      <c r="I295" s="68">
        <f t="shared" si="17"/>
        <v>0.13610030160111464</v>
      </c>
      <c r="J295" s="232">
        <f t="shared" si="18"/>
        <v>-4.2667884739951728E-2</v>
      </c>
      <c r="K295" s="321">
        <f t="shared" si="19"/>
        <v>-2.0544918035469407E-2</v>
      </c>
    </row>
    <row r="296" spans="1:11" x14ac:dyDescent="0.2">
      <c r="A296" s="320">
        <v>195</v>
      </c>
      <c r="B296" s="174">
        <v>40</v>
      </c>
      <c r="C296" s="174">
        <v>14</v>
      </c>
      <c r="D296" s="174">
        <v>22</v>
      </c>
      <c r="E296" s="174">
        <v>74</v>
      </c>
      <c r="F296" s="174">
        <v>34</v>
      </c>
      <c r="G296" s="68">
        <f t="shared" si="15"/>
        <v>0.56059258665304479</v>
      </c>
      <c r="H296" s="68">
        <f t="shared" si="16"/>
        <v>0.54057613811976934</v>
      </c>
      <c r="I296" s="68">
        <f t="shared" si="17"/>
        <v>0.58500245085332447</v>
      </c>
      <c r="J296" s="232">
        <f t="shared" si="18"/>
        <v>1.2909150246891987E-2</v>
      </c>
      <c r="K296" s="321">
        <f t="shared" si="19"/>
        <v>2.8429491483837877E-2</v>
      </c>
    </row>
    <row r="297" spans="1:11" x14ac:dyDescent="0.2">
      <c r="A297" s="320">
        <v>196</v>
      </c>
      <c r="B297" s="174">
        <v>2</v>
      </c>
      <c r="C297" s="174">
        <v>24</v>
      </c>
      <c r="D297" s="174">
        <v>38</v>
      </c>
      <c r="E297" s="174">
        <v>55</v>
      </c>
      <c r="F297" s="174">
        <v>68</v>
      </c>
      <c r="G297" s="68">
        <f t="shared" si="15"/>
        <v>0.48068919854222258</v>
      </c>
      <c r="H297" s="68">
        <f t="shared" si="16"/>
        <v>0.41856667801265934</v>
      </c>
      <c r="I297" s="68">
        <f t="shared" si="17"/>
        <v>0.42377507029173334</v>
      </c>
      <c r="J297" s="232">
        <f t="shared" si="18"/>
        <v>4.286067391071377E-2</v>
      </c>
      <c r="K297" s="321">
        <f t="shared" si="19"/>
        <v>3.6648640943842737E-3</v>
      </c>
    </row>
    <row r="298" spans="1:11" x14ac:dyDescent="0.2">
      <c r="A298" s="320">
        <v>197</v>
      </c>
      <c r="B298" s="174">
        <v>52</v>
      </c>
      <c r="C298" s="174">
        <v>43</v>
      </c>
      <c r="D298" s="174">
        <v>25</v>
      </c>
      <c r="E298" s="174">
        <v>35</v>
      </c>
      <c r="F298" s="174">
        <v>9</v>
      </c>
      <c r="G298" s="68">
        <f t="shared" si="15"/>
        <v>0.3104190201946655</v>
      </c>
      <c r="H298" s="68">
        <f t="shared" si="16"/>
        <v>0.32131317655574088</v>
      </c>
      <c r="I298" s="68">
        <f t="shared" si="17"/>
        <v>0.32409252444571934</v>
      </c>
      <c r="J298" s="232">
        <f t="shared" si="18"/>
        <v>-8.2791239942887618E-3</v>
      </c>
      <c r="K298" s="321">
        <f t="shared" si="19"/>
        <v>2.1012647788331315E-3</v>
      </c>
    </row>
    <row r="299" spans="1:11" x14ac:dyDescent="0.2">
      <c r="A299" s="320">
        <v>198</v>
      </c>
      <c r="B299" s="174">
        <v>72</v>
      </c>
      <c r="C299" s="174">
        <v>46</v>
      </c>
      <c r="D299" s="174">
        <v>13</v>
      </c>
      <c r="E299" s="174">
        <v>45</v>
      </c>
      <c r="F299" s="174">
        <v>39</v>
      </c>
      <c r="G299" s="68">
        <f t="shared" si="15"/>
        <v>0.74686152097062397</v>
      </c>
      <c r="H299" s="68">
        <f t="shared" si="16"/>
        <v>0.65146428659143263</v>
      </c>
      <c r="I299" s="68">
        <f t="shared" si="17"/>
        <v>0.74055375628914888</v>
      </c>
      <c r="J299" s="232">
        <f t="shared" si="18"/>
        <v>5.6158420466556946E-2</v>
      </c>
      <c r="K299" s="321">
        <f t="shared" si="19"/>
        <v>5.2540972552518841E-2</v>
      </c>
    </row>
    <row r="300" spans="1:11" x14ac:dyDescent="0.2">
      <c r="A300" s="320">
        <v>199</v>
      </c>
      <c r="B300" s="174">
        <v>65</v>
      </c>
      <c r="C300" s="174">
        <v>20</v>
      </c>
      <c r="D300" s="174">
        <v>40</v>
      </c>
      <c r="E300" s="174">
        <v>15</v>
      </c>
      <c r="F300" s="174">
        <v>4</v>
      </c>
      <c r="G300" s="68">
        <f t="shared" si="15"/>
        <v>0.13408268919263366</v>
      </c>
      <c r="H300" s="68">
        <f t="shared" si="16"/>
        <v>0.13187908813051941</v>
      </c>
      <c r="I300" s="68">
        <f t="shared" si="17"/>
        <v>0.11994510912384015</v>
      </c>
      <c r="J300" s="232">
        <f t="shared" si="18"/>
        <v>1.9449593358792459E-3</v>
      </c>
      <c r="K300" s="321">
        <f t="shared" si="19"/>
        <v>-1.0599487075439269E-2</v>
      </c>
    </row>
    <row r="301" spans="1:11" x14ac:dyDescent="0.2">
      <c r="A301" s="320">
        <v>200</v>
      </c>
      <c r="B301" s="174">
        <v>46</v>
      </c>
      <c r="C301" s="174">
        <v>18</v>
      </c>
      <c r="D301" s="174">
        <v>73</v>
      </c>
      <c r="E301" s="174">
        <v>52</v>
      </c>
      <c r="F301" s="174">
        <v>75</v>
      </c>
      <c r="G301" s="68">
        <f t="shared" si="15"/>
        <v>0.60881416444237479</v>
      </c>
      <c r="H301" s="68">
        <f t="shared" si="16"/>
        <v>0.55852283248978618</v>
      </c>
      <c r="I301" s="68">
        <f t="shared" si="17"/>
        <v>0.62634165256650243</v>
      </c>
      <c r="J301" s="232">
        <f t="shared" si="18"/>
        <v>3.1758893373925574E-2</v>
      </c>
      <c r="K301" s="321">
        <f t="shared" si="19"/>
        <v>4.2594637067249849E-2</v>
      </c>
    </row>
    <row r="302" spans="1:11" x14ac:dyDescent="0.2">
      <c r="A302" s="320">
        <v>201</v>
      </c>
      <c r="B302" s="174">
        <v>13</v>
      </c>
      <c r="C302" s="174">
        <v>44</v>
      </c>
      <c r="D302" s="174">
        <v>4</v>
      </c>
      <c r="E302" s="174">
        <v>37</v>
      </c>
      <c r="F302" s="174">
        <v>34</v>
      </c>
      <c r="G302" s="68">
        <f t="shared" si="15"/>
        <v>0.54296246472580512</v>
      </c>
      <c r="H302" s="68">
        <f t="shared" si="16"/>
        <v>0.48525042095671922</v>
      </c>
      <c r="I302" s="68">
        <f t="shared" si="17"/>
        <v>0.52686742243553231</v>
      </c>
      <c r="J302" s="232">
        <f t="shared" si="18"/>
        <v>3.8120855240603803E-2</v>
      </c>
      <c r="K302" s="321">
        <f t="shared" si="19"/>
        <v>2.7634808546117662E-2</v>
      </c>
    </row>
    <row r="303" spans="1:11" x14ac:dyDescent="0.2">
      <c r="A303" s="320">
        <v>202</v>
      </c>
      <c r="B303" s="174">
        <v>50</v>
      </c>
      <c r="C303" s="174">
        <v>25</v>
      </c>
      <c r="D303" s="174">
        <v>40</v>
      </c>
      <c r="E303" s="174">
        <v>76</v>
      </c>
      <c r="F303" s="174">
        <v>4</v>
      </c>
      <c r="G303" s="68">
        <f t="shared" si="15"/>
        <v>0.53044427949689621</v>
      </c>
      <c r="H303" s="68">
        <f t="shared" si="16"/>
        <v>0.4592511266511683</v>
      </c>
      <c r="I303" s="68">
        <f t="shared" si="17"/>
        <v>0.50585260340211402</v>
      </c>
      <c r="J303" s="232">
        <f t="shared" si="18"/>
        <v>4.7634694831772316E-2</v>
      </c>
      <c r="K303" s="321">
        <f t="shared" si="19"/>
        <v>3.1435874503911644E-2</v>
      </c>
    </row>
    <row r="304" spans="1:11" x14ac:dyDescent="0.2">
      <c r="A304" s="320">
        <v>203</v>
      </c>
      <c r="B304" s="174">
        <v>1</v>
      </c>
      <c r="C304" s="174">
        <v>49</v>
      </c>
      <c r="D304" s="174">
        <v>19</v>
      </c>
      <c r="E304" s="174">
        <v>31</v>
      </c>
      <c r="F304" s="174">
        <v>33</v>
      </c>
      <c r="G304" s="68">
        <f t="shared" si="15"/>
        <v>0.62200400233151898</v>
      </c>
      <c r="H304" s="68">
        <f t="shared" si="16"/>
        <v>0.56207954544628858</v>
      </c>
      <c r="I304" s="68">
        <f t="shared" si="17"/>
        <v>0.57428252531598023</v>
      </c>
      <c r="J304" s="232">
        <f t="shared" si="18"/>
        <v>3.7644447716268958E-2</v>
      </c>
      <c r="K304" s="321">
        <f t="shared" si="19"/>
        <v>7.7816535034600839E-3</v>
      </c>
    </row>
    <row r="305" spans="1:11" x14ac:dyDescent="0.2">
      <c r="A305" s="320">
        <v>204</v>
      </c>
      <c r="B305" s="174">
        <v>35</v>
      </c>
      <c r="C305" s="174">
        <v>60</v>
      </c>
      <c r="D305" s="174">
        <v>33</v>
      </c>
      <c r="E305" s="174">
        <v>23</v>
      </c>
      <c r="F305" s="174">
        <v>43</v>
      </c>
      <c r="G305" s="68">
        <f t="shared" si="15"/>
        <v>0.85496975322661517</v>
      </c>
      <c r="H305" s="68">
        <f t="shared" si="16"/>
        <v>0.85440098796526276</v>
      </c>
      <c r="I305" s="68">
        <f t="shared" si="17"/>
        <v>0.9548384009664721</v>
      </c>
      <c r="J305" s="232">
        <f t="shared" si="18"/>
        <v>3.0666401688772614E-4</v>
      </c>
      <c r="K305" s="321">
        <f t="shared" si="19"/>
        <v>5.2745804297307214E-2</v>
      </c>
    </row>
    <row r="306" spans="1:11" x14ac:dyDescent="0.2">
      <c r="A306" s="320">
        <v>205</v>
      </c>
      <c r="B306" s="174">
        <v>13</v>
      </c>
      <c r="C306" s="174">
        <v>17</v>
      </c>
      <c r="D306" s="174">
        <v>46</v>
      </c>
      <c r="E306" s="174">
        <v>36</v>
      </c>
      <c r="F306" s="174">
        <v>37</v>
      </c>
      <c r="G306" s="68">
        <f t="shared" si="15"/>
        <v>0.46743013369684161</v>
      </c>
      <c r="H306" s="68">
        <f t="shared" si="16"/>
        <v>0.38521938864952965</v>
      </c>
      <c r="I306" s="68">
        <f t="shared" si="17"/>
        <v>0.39287107043740921</v>
      </c>
      <c r="J306" s="232">
        <f t="shared" si="18"/>
        <v>5.7654132069706571E-2</v>
      </c>
      <c r="K306" s="321">
        <f t="shared" si="19"/>
        <v>5.508604740970497E-3</v>
      </c>
    </row>
    <row r="307" spans="1:11" x14ac:dyDescent="0.2">
      <c r="A307" s="320">
        <v>206</v>
      </c>
      <c r="B307" s="174">
        <v>20</v>
      </c>
      <c r="C307" s="174">
        <v>10</v>
      </c>
      <c r="D307" s="174">
        <v>37</v>
      </c>
      <c r="E307" s="174">
        <v>13</v>
      </c>
      <c r="F307" s="174">
        <v>77</v>
      </c>
      <c r="G307" s="68">
        <f t="shared" si="15"/>
        <v>0.10238060671790894</v>
      </c>
      <c r="H307" s="68">
        <f t="shared" si="16"/>
        <v>8.9246799941181232E-2</v>
      </c>
      <c r="I307" s="68">
        <f t="shared" si="17"/>
        <v>6.0859434315159167E-2</v>
      </c>
      <c r="J307" s="232">
        <f t="shared" si="18"/>
        <v>1.1985581092482466E-2</v>
      </c>
      <c r="K307" s="321">
        <f t="shared" si="19"/>
        <v>-2.6407081452408231E-2</v>
      </c>
    </row>
    <row r="308" spans="1:11" x14ac:dyDescent="0.2">
      <c r="A308" s="320">
        <v>207</v>
      </c>
      <c r="B308" s="174">
        <v>27</v>
      </c>
      <c r="C308" s="174">
        <v>42</v>
      </c>
      <c r="D308" s="174">
        <v>6</v>
      </c>
      <c r="E308" s="174">
        <v>48</v>
      </c>
      <c r="F308" s="174">
        <v>29</v>
      </c>
      <c r="G308" s="68">
        <f t="shared" si="15"/>
        <v>0.31820614473077247</v>
      </c>
      <c r="H308" s="68">
        <f t="shared" si="16"/>
        <v>0.33517243553220211</v>
      </c>
      <c r="I308" s="68">
        <f t="shared" si="17"/>
        <v>0.36467680518356715</v>
      </c>
      <c r="J308" s="232">
        <f t="shared" si="18"/>
        <v>-1.2788617622550034E-2</v>
      </c>
      <c r="K308" s="321">
        <f t="shared" si="19"/>
        <v>2.1857179138768189E-2</v>
      </c>
    </row>
    <row r="309" spans="1:11" x14ac:dyDescent="0.2">
      <c r="A309" s="320">
        <v>208</v>
      </c>
      <c r="B309" s="174">
        <v>3</v>
      </c>
      <c r="C309" s="174">
        <v>33</v>
      </c>
      <c r="D309" s="174">
        <v>45</v>
      </c>
      <c r="E309" s="174">
        <v>8</v>
      </c>
      <c r="F309" s="174">
        <v>34</v>
      </c>
      <c r="G309" s="68">
        <f t="shared" si="15"/>
        <v>0.28867996742036373</v>
      </c>
      <c r="H309" s="68">
        <f t="shared" si="16"/>
        <v>0.3223189371478532</v>
      </c>
      <c r="I309" s="68">
        <f t="shared" si="17"/>
        <v>0.31844588365393522</v>
      </c>
      <c r="J309" s="232">
        <f t="shared" si="18"/>
        <v>-2.5768552453732097E-2</v>
      </c>
      <c r="K309" s="321">
        <f t="shared" si="19"/>
        <v>-2.9332837520688391E-3</v>
      </c>
    </row>
    <row r="310" spans="1:11" x14ac:dyDescent="0.2">
      <c r="A310" s="320">
        <v>209</v>
      </c>
      <c r="B310" s="174">
        <v>57</v>
      </c>
      <c r="C310" s="174">
        <v>71</v>
      </c>
      <c r="D310" s="174">
        <v>52</v>
      </c>
      <c r="E310" s="174">
        <v>44</v>
      </c>
      <c r="F310" s="174">
        <v>29</v>
      </c>
      <c r="G310" s="68">
        <f t="shared" si="15"/>
        <v>1.0786886293065856</v>
      </c>
      <c r="H310" s="68">
        <f t="shared" si="16"/>
        <v>0.96157554499435949</v>
      </c>
      <c r="I310" s="68">
        <f t="shared" si="17"/>
        <v>1.0956930563594303</v>
      </c>
      <c r="J310" s="232">
        <f t="shared" si="18"/>
        <v>5.7989228390626563E-2</v>
      </c>
      <c r="K310" s="321">
        <f t="shared" si="19"/>
        <v>6.6136313343043804E-2</v>
      </c>
    </row>
    <row r="311" spans="1:11" x14ac:dyDescent="0.2">
      <c r="A311" s="320">
        <v>210</v>
      </c>
      <c r="B311" s="174">
        <v>7</v>
      </c>
      <c r="C311" s="174">
        <v>20</v>
      </c>
      <c r="D311" s="174">
        <v>16</v>
      </c>
      <c r="E311" s="174">
        <v>71</v>
      </c>
      <c r="F311" s="174">
        <v>8</v>
      </c>
      <c r="G311" s="68">
        <f t="shared" si="15"/>
        <v>-0.18306592621399786</v>
      </c>
      <c r="H311" s="68">
        <f t="shared" si="16"/>
        <v>-0.14131586582697231</v>
      </c>
      <c r="I311" s="68">
        <f t="shared" si="17"/>
        <v>-0.2233244195628884</v>
      </c>
      <c r="J311" s="232">
        <f t="shared" si="18"/>
        <v>-4.9842742378283317E-2</v>
      </c>
      <c r="K311" s="321">
        <f t="shared" si="19"/>
        <v>-0.10037840615860737</v>
      </c>
    </row>
    <row r="312" spans="1:11" x14ac:dyDescent="0.2">
      <c r="A312" s="320">
        <v>211</v>
      </c>
      <c r="B312" s="174">
        <v>57</v>
      </c>
      <c r="C312" s="174">
        <v>56</v>
      </c>
      <c r="D312" s="174">
        <v>53</v>
      </c>
      <c r="E312" s="174">
        <v>38</v>
      </c>
      <c r="F312" s="174">
        <v>2</v>
      </c>
      <c r="G312" s="68">
        <f t="shared" si="15"/>
        <v>0.41670818203872328</v>
      </c>
      <c r="H312" s="68">
        <f t="shared" si="16"/>
        <v>0.36469595462577176</v>
      </c>
      <c r="I312" s="68">
        <f t="shared" si="17"/>
        <v>0.36748111673483952</v>
      </c>
      <c r="J312" s="232">
        <f t="shared" si="18"/>
        <v>3.7404338845423317E-2</v>
      </c>
      <c r="K312" s="321">
        <f t="shared" si="19"/>
        <v>2.0387866533307752E-3</v>
      </c>
    </row>
    <row r="313" spans="1:11" x14ac:dyDescent="0.2">
      <c r="A313" s="320">
        <v>212</v>
      </c>
      <c r="B313" s="174">
        <v>52</v>
      </c>
      <c r="C313" s="174">
        <v>53</v>
      </c>
      <c r="D313" s="174">
        <v>30</v>
      </c>
      <c r="E313" s="174">
        <v>39</v>
      </c>
      <c r="F313" s="174">
        <v>58</v>
      </c>
      <c r="G313" s="68">
        <f t="shared" si="15"/>
        <v>0.66444109190251877</v>
      </c>
      <c r="H313" s="68">
        <f t="shared" si="16"/>
        <v>0.65191422008455691</v>
      </c>
      <c r="I313" s="68">
        <f t="shared" si="17"/>
        <v>0.69808828515648225</v>
      </c>
      <c r="J313" s="232">
        <f t="shared" si="18"/>
        <v>7.5546376776957566E-3</v>
      </c>
      <c r="K313" s="321">
        <f t="shared" si="19"/>
        <v>2.7568331289121676E-2</v>
      </c>
    </row>
    <row r="314" spans="1:11" x14ac:dyDescent="0.2">
      <c r="A314" s="320">
        <v>213</v>
      </c>
      <c r="B314" s="174">
        <v>43</v>
      </c>
      <c r="C314" s="174">
        <v>50</v>
      </c>
      <c r="D314" s="174">
        <v>24</v>
      </c>
      <c r="E314" s="174">
        <v>50</v>
      </c>
      <c r="F314" s="174">
        <v>44</v>
      </c>
      <c r="G314" s="68">
        <f t="shared" si="15"/>
        <v>0.59898647192821719</v>
      </c>
      <c r="H314" s="68">
        <f t="shared" si="16"/>
        <v>0.50865010333637151</v>
      </c>
      <c r="I314" s="68">
        <f t="shared" si="17"/>
        <v>0.57035010274963804</v>
      </c>
      <c r="J314" s="232">
        <f t="shared" si="18"/>
        <v>5.8154693787691752E-2</v>
      </c>
      <c r="K314" s="321">
        <f t="shared" si="19"/>
        <v>4.0083310186612597E-2</v>
      </c>
    </row>
    <row r="315" spans="1:11" x14ac:dyDescent="0.2">
      <c r="A315" s="320">
        <v>214</v>
      </c>
      <c r="B315" s="174">
        <v>18</v>
      </c>
      <c r="C315" s="174">
        <v>37</v>
      </c>
      <c r="D315" s="174">
        <v>15</v>
      </c>
      <c r="E315" s="174">
        <v>3</v>
      </c>
      <c r="F315" s="174">
        <v>8</v>
      </c>
      <c r="G315" s="68">
        <f t="shared" si="15"/>
        <v>-4.4176393272624681E-2</v>
      </c>
      <c r="H315" s="68">
        <f t="shared" si="16"/>
        <v>-5.8176160060710247E-2</v>
      </c>
      <c r="I315" s="68">
        <f t="shared" si="17"/>
        <v>-0.12720367912365671</v>
      </c>
      <c r="J315" s="232">
        <f t="shared" si="18"/>
        <v>1.4755133580953397E-2</v>
      </c>
      <c r="K315" s="321">
        <f t="shared" si="19"/>
        <v>-7.6116031455875421E-2</v>
      </c>
    </row>
    <row r="316" spans="1:11" x14ac:dyDescent="0.2">
      <c r="A316" s="320">
        <v>215</v>
      </c>
      <c r="B316" s="174">
        <v>56</v>
      </c>
      <c r="C316" s="174">
        <v>36</v>
      </c>
      <c r="D316" s="174">
        <v>60</v>
      </c>
      <c r="E316" s="174">
        <v>28</v>
      </c>
      <c r="F316" s="174">
        <v>68</v>
      </c>
      <c r="G316" s="68">
        <f t="shared" si="15"/>
        <v>0.71336285077866002</v>
      </c>
      <c r="H316" s="68">
        <f t="shared" si="16"/>
        <v>0.72960841685623312</v>
      </c>
      <c r="I316" s="68">
        <f t="shared" si="17"/>
        <v>0.7930817757632993</v>
      </c>
      <c r="J316" s="232">
        <f t="shared" si="18"/>
        <v>-9.4370155194605024E-3</v>
      </c>
      <c r="K316" s="321">
        <f t="shared" si="19"/>
        <v>3.6040767677412398E-2</v>
      </c>
    </row>
    <row r="317" spans="1:11" x14ac:dyDescent="0.2">
      <c r="A317" s="320">
        <v>216</v>
      </c>
      <c r="B317" s="174">
        <v>22</v>
      </c>
      <c r="C317" s="174">
        <v>40</v>
      </c>
      <c r="D317" s="174">
        <v>76</v>
      </c>
      <c r="E317" s="174">
        <v>9</v>
      </c>
      <c r="F317" s="174">
        <v>73</v>
      </c>
      <c r="G317" s="68">
        <f t="shared" si="15"/>
        <v>2.853915590141809E-2</v>
      </c>
      <c r="H317" s="68">
        <f t="shared" si="16"/>
        <v>6.621009782361309E-2</v>
      </c>
      <c r="I317" s="68">
        <f t="shared" si="17"/>
        <v>4.9035527351311226E-2</v>
      </c>
      <c r="J317" s="232">
        <f t="shared" si="18"/>
        <v>-3.5970895947312627E-2</v>
      </c>
      <c r="K317" s="321">
        <f t="shared" si="19"/>
        <v>-1.6239199546401312E-2</v>
      </c>
    </row>
    <row r="318" spans="1:11" x14ac:dyDescent="0.2">
      <c r="A318" s="320">
        <v>217</v>
      </c>
      <c r="B318" s="174">
        <v>29</v>
      </c>
      <c r="C318" s="174">
        <v>69</v>
      </c>
      <c r="D318" s="174">
        <v>76</v>
      </c>
      <c r="E318" s="174">
        <v>42</v>
      </c>
      <c r="F318" s="174">
        <v>42</v>
      </c>
      <c r="G318" s="68">
        <f t="shared" si="15"/>
        <v>0.62475446332290474</v>
      </c>
      <c r="H318" s="68">
        <f t="shared" si="16"/>
        <v>0.63078615049173115</v>
      </c>
      <c r="I318" s="68">
        <f t="shared" si="17"/>
        <v>0.72565006250789588</v>
      </c>
      <c r="J318" s="232">
        <f t="shared" si="18"/>
        <v>-3.7054945927150603E-3</v>
      </c>
      <c r="K318" s="321">
        <f t="shared" si="19"/>
        <v>5.654162786053761E-2</v>
      </c>
    </row>
    <row r="319" spans="1:11" x14ac:dyDescent="0.2">
      <c r="A319" s="320">
        <v>218</v>
      </c>
      <c r="B319" s="174">
        <v>77</v>
      </c>
      <c r="C319" s="174">
        <v>14</v>
      </c>
      <c r="D319" s="174">
        <v>56</v>
      </c>
      <c r="E319" s="174">
        <v>61</v>
      </c>
      <c r="F319" s="174">
        <v>66</v>
      </c>
      <c r="G319" s="68">
        <f t="shared" si="15"/>
        <v>0.46488271051643149</v>
      </c>
      <c r="H319" s="68">
        <f t="shared" si="16"/>
        <v>0.41845889135224401</v>
      </c>
      <c r="I319" s="68">
        <f t="shared" si="17"/>
        <v>0.46945853333439214</v>
      </c>
      <c r="J319" s="232">
        <f t="shared" si="18"/>
        <v>3.2204183701209387E-2</v>
      </c>
      <c r="K319" s="321">
        <f t="shared" si="19"/>
        <v>3.5322993782774183E-2</v>
      </c>
    </row>
    <row r="320" spans="1:11" x14ac:dyDescent="0.2">
      <c r="A320" s="320">
        <v>219</v>
      </c>
      <c r="B320" s="174">
        <v>17</v>
      </c>
      <c r="C320" s="174">
        <v>15</v>
      </c>
      <c r="D320" s="174">
        <v>75</v>
      </c>
      <c r="E320" s="174">
        <v>46</v>
      </c>
      <c r="F320" s="174">
        <v>57</v>
      </c>
      <c r="G320" s="68">
        <f t="shared" si="15"/>
        <v>0.56225438065368194</v>
      </c>
      <c r="H320" s="68">
        <f t="shared" si="16"/>
        <v>0.4949936145734648</v>
      </c>
      <c r="I320" s="68">
        <f t="shared" si="17"/>
        <v>0.5518258814091701</v>
      </c>
      <c r="J320" s="232">
        <f t="shared" si="18"/>
        <v>4.4007958244919397E-2</v>
      </c>
      <c r="K320" s="321">
        <f t="shared" si="19"/>
        <v>3.7310290008389799E-2</v>
      </c>
    </row>
    <row r="321" spans="1:11" x14ac:dyDescent="0.2">
      <c r="A321" s="320">
        <v>220</v>
      </c>
      <c r="B321" s="174">
        <v>17</v>
      </c>
      <c r="C321" s="174">
        <v>20</v>
      </c>
      <c r="D321" s="174">
        <v>48</v>
      </c>
      <c r="E321" s="174">
        <v>53</v>
      </c>
      <c r="F321" s="174">
        <v>53</v>
      </c>
      <c r="G321" s="68">
        <f t="shared" si="15"/>
        <v>-6.9491467729279277E-2</v>
      </c>
      <c r="H321" s="68">
        <f t="shared" si="16"/>
        <v>-9.6594828510112585E-3</v>
      </c>
      <c r="I321" s="68">
        <f t="shared" si="17"/>
        <v>-6.328595661841574E-2</v>
      </c>
      <c r="J321" s="232">
        <f t="shared" si="18"/>
        <v>-6.2317595110191991E-2</v>
      </c>
      <c r="K321" s="321">
        <f t="shared" si="19"/>
        <v>-5.5670788201996849E-2</v>
      </c>
    </row>
    <row r="322" spans="1:11" x14ac:dyDescent="0.2">
      <c r="A322" s="320">
        <v>221</v>
      </c>
      <c r="B322" s="174">
        <v>24</v>
      </c>
      <c r="C322" s="174">
        <v>73</v>
      </c>
      <c r="D322" s="174">
        <v>67</v>
      </c>
      <c r="E322" s="174">
        <v>48</v>
      </c>
      <c r="F322" s="174">
        <v>50</v>
      </c>
      <c r="G322" s="68">
        <f t="shared" si="15"/>
        <v>0.47507389550649215</v>
      </c>
      <c r="H322" s="68">
        <f t="shared" si="16"/>
        <v>0.42684728913118763</v>
      </c>
      <c r="I322" s="68">
        <f t="shared" si="17"/>
        <v>0.47204381297221154</v>
      </c>
      <c r="J322" s="232">
        <f t="shared" si="18"/>
        <v>3.3240769742232334E-2</v>
      </c>
      <c r="K322" s="321">
        <f t="shared" si="19"/>
        <v>3.1184466668039555E-2</v>
      </c>
    </row>
    <row r="323" spans="1:11" x14ac:dyDescent="0.2">
      <c r="A323" s="320">
        <v>222</v>
      </c>
      <c r="B323" s="174">
        <v>46</v>
      </c>
      <c r="C323" s="174">
        <v>27</v>
      </c>
      <c r="D323" s="174">
        <v>67</v>
      </c>
      <c r="E323" s="174">
        <v>48</v>
      </c>
      <c r="F323" s="174">
        <v>48</v>
      </c>
      <c r="G323" s="68">
        <f t="shared" si="15"/>
        <v>0.46486085562361845</v>
      </c>
      <c r="H323" s="68">
        <f t="shared" si="16"/>
        <v>0.44190245229387659</v>
      </c>
      <c r="I323" s="68">
        <f t="shared" si="17"/>
        <v>0.48970880702713737</v>
      </c>
      <c r="J323" s="232">
        <f t="shared" si="18"/>
        <v>1.5796869794876846E-2</v>
      </c>
      <c r="K323" s="321">
        <f t="shared" si="19"/>
        <v>3.2617280265880018E-2</v>
      </c>
    </row>
    <row r="324" spans="1:11" x14ac:dyDescent="0.2">
      <c r="A324" s="320">
        <v>223</v>
      </c>
      <c r="B324" s="174">
        <v>38</v>
      </c>
      <c r="C324" s="174">
        <v>40</v>
      </c>
      <c r="D324" s="174">
        <v>47</v>
      </c>
      <c r="E324" s="174">
        <v>74</v>
      </c>
      <c r="F324" s="174">
        <v>49</v>
      </c>
      <c r="G324" s="68">
        <f t="shared" si="15"/>
        <v>0.58366029693805244</v>
      </c>
      <c r="H324" s="68">
        <f t="shared" si="16"/>
        <v>0.50320395090869363</v>
      </c>
      <c r="I324" s="68">
        <f t="shared" si="17"/>
        <v>0.54541222271772094</v>
      </c>
      <c r="J324" s="232">
        <f t="shared" si="18"/>
        <v>5.2140013943173642E-2</v>
      </c>
      <c r="K324" s="321">
        <f t="shared" si="19"/>
        <v>2.7691888136877865E-2</v>
      </c>
    </row>
    <row r="325" spans="1:11" x14ac:dyDescent="0.2">
      <c r="A325" s="320">
        <v>224</v>
      </c>
      <c r="B325" s="174">
        <v>22</v>
      </c>
      <c r="C325" s="174">
        <v>69</v>
      </c>
      <c r="D325" s="174">
        <v>55</v>
      </c>
      <c r="E325" s="174">
        <v>18</v>
      </c>
      <c r="F325" s="174">
        <v>61</v>
      </c>
      <c r="G325" s="68">
        <f t="shared" si="15"/>
        <v>0.28419897596693322</v>
      </c>
      <c r="H325" s="68">
        <f t="shared" si="16"/>
        <v>0.29564816859640142</v>
      </c>
      <c r="I325" s="68">
        <f t="shared" si="17"/>
        <v>0.2765532161138089</v>
      </c>
      <c r="J325" s="232">
        <f t="shared" si="18"/>
        <v>-8.8759272575011181E-3</v>
      </c>
      <c r="K325" s="321">
        <f t="shared" si="19"/>
        <v>-1.4847440312726114E-2</v>
      </c>
    </row>
    <row r="326" spans="1:11" x14ac:dyDescent="0.2">
      <c r="A326" s="320">
        <v>225</v>
      </c>
      <c r="B326" s="174">
        <v>25</v>
      </c>
      <c r="C326" s="174">
        <v>12</v>
      </c>
      <c r="D326" s="174">
        <v>64</v>
      </c>
      <c r="E326" s="174">
        <v>5</v>
      </c>
      <c r="F326" s="174">
        <v>56</v>
      </c>
      <c r="G326" s="68">
        <f t="shared" si="15"/>
        <v>0.14133914309890416</v>
      </c>
      <c r="H326" s="68">
        <f t="shared" si="16"/>
        <v>9.8466483462331889E-2</v>
      </c>
      <c r="I326" s="68">
        <f t="shared" si="17"/>
        <v>9.7769168168401421E-2</v>
      </c>
      <c r="J326" s="232">
        <f t="shared" si="18"/>
        <v>3.8287158739222754E-2</v>
      </c>
      <c r="K326" s="321">
        <f t="shared" si="19"/>
        <v>-6.350095599665026E-4</v>
      </c>
    </row>
    <row r="327" spans="1:11" x14ac:dyDescent="0.2">
      <c r="A327" s="320">
        <v>226</v>
      </c>
      <c r="B327" s="174">
        <v>29</v>
      </c>
      <c r="C327" s="174">
        <v>10</v>
      </c>
      <c r="D327" s="174">
        <v>26</v>
      </c>
      <c r="E327" s="174">
        <v>58</v>
      </c>
      <c r="F327" s="174">
        <v>55</v>
      </c>
      <c r="G327" s="68">
        <f t="shared" si="15"/>
        <v>0.37437938770318313</v>
      </c>
      <c r="H327" s="68">
        <f t="shared" si="16"/>
        <v>0.43372029415104674</v>
      </c>
      <c r="I327" s="68">
        <f t="shared" si="17"/>
        <v>0.46517566263031718</v>
      </c>
      <c r="J327" s="232">
        <f t="shared" si="18"/>
        <v>-4.2270395429073224E-2</v>
      </c>
      <c r="K327" s="321">
        <f t="shared" si="19"/>
        <v>2.1702471254285285E-2</v>
      </c>
    </row>
    <row r="328" spans="1:11" x14ac:dyDescent="0.2">
      <c r="A328" s="320">
        <v>227</v>
      </c>
      <c r="B328" s="174">
        <v>29</v>
      </c>
      <c r="C328" s="174">
        <v>15</v>
      </c>
      <c r="D328" s="174">
        <v>43</v>
      </c>
      <c r="E328" s="174">
        <v>22</v>
      </c>
      <c r="F328" s="174">
        <v>1</v>
      </c>
      <c r="G328" s="68">
        <f t="shared" si="15"/>
        <v>0.41752027462815189</v>
      </c>
      <c r="H328" s="68">
        <f t="shared" si="16"/>
        <v>0.39074220224243095</v>
      </c>
      <c r="I328" s="68">
        <f t="shared" si="17"/>
        <v>0.39907484985791819</v>
      </c>
      <c r="J328" s="232">
        <f t="shared" si="18"/>
        <v>1.9071496520819207E-2</v>
      </c>
      <c r="K328" s="321">
        <f t="shared" si="19"/>
        <v>5.973633567063096E-3</v>
      </c>
    </row>
    <row r="329" spans="1:11" x14ac:dyDescent="0.2">
      <c r="A329" s="320">
        <v>228</v>
      </c>
      <c r="B329" s="174">
        <v>13</v>
      </c>
      <c r="C329" s="174">
        <v>56</v>
      </c>
      <c r="D329" s="174">
        <v>76</v>
      </c>
      <c r="E329" s="174">
        <v>26</v>
      </c>
      <c r="F329" s="174">
        <v>1</v>
      </c>
      <c r="G329" s="68">
        <f t="shared" si="15"/>
        <v>0.78893339378578586</v>
      </c>
      <c r="H329" s="68">
        <f t="shared" si="16"/>
        <v>0.64621548515979743</v>
      </c>
      <c r="I329" s="68">
        <f t="shared" si="17"/>
        <v>0.71092567536102358</v>
      </c>
      <c r="J329" s="232">
        <f t="shared" si="18"/>
        <v>8.3140564737324146E-2</v>
      </c>
      <c r="K329" s="321">
        <f t="shared" si="19"/>
        <v>3.855554654728309E-2</v>
      </c>
    </row>
    <row r="330" spans="1:11" x14ac:dyDescent="0.2">
      <c r="A330" s="320">
        <v>229</v>
      </c>
      <c r="B330" s="174">
        <v>53</v>
      </c>
      <c r="C330" s="174">
        <v>73</v>
      </c>
      <c r="D330" s="174">
        <v>46</v>
      </c>
      <c r="E330" s="174">
        <v>12</v>
      </c>
      <c r="F330" s="174">
        <v>23</v>
      </c>
      <c r="G330" s="68">
        <f t="shared" si="15"/>
        <v>0.44944970384704286</v>
      </c>
      <c r="H330" s="68">
        <f t="shared" si="16"/>
        <v>0.42199323764266783</v>
      </c>
      <c r="I330" s="68">
        <f t="shared" si="17"/>
        <v>0.46069413761221512</v>
      </c>
      <c r="J330" s="232">
        <f t="shared" si="18"/>
        <v>1.9124393966158032E-2</v>
      </c>
      <c r="K330" s="321">
        <f t="shared" si="19"/>
        <v>2.685218361252097E-2</v>
      </c>
    </row>
    <row r="331" spans="1:11" x14ac:dyDescent="0.2">
      <c r="A331" s="320">
        <v>230</v>
      </c>
      <c r="B331" s="174">
        <v>38</v>
      </c>
      <c r="C331" s="174">
        <v>53</v>
      </c>
      <c r="D331" s="174">
        <v>72</v>
      </c>
      <c r="E331" s="174">
        <v>13</v>
      </c>
      <c r="F331" s="174">
        <v>14</v>
      </c>
      <c r="G331" s="68">
        <f t="shared" si="15"/>
        <v>0.59298586845179502</v>
      </c>
      <c r="H331" s="68">
        <f t="shared" si="16"/>
        <v>0.53261465547389797</v>
      </c>
      <c r="I331" s="68">
        <f t="shared" si="17"/>
        <v>0.56327243581075126</v>
      </c>
      <c r="J331" s="232">
        <f t="shared" si="18"/>
        <v>3.8634957860614952E-2</v>
      </c>
      <c r="K331" s="321">
        <f t="shared" si="19"/>
        <v>1.9806137392615934E-2</v>
      </c>
    </row>
    <row r="332" spans="1:11" x14ac:dyDescent="0.2">
      <c r="A332" s="320">
        <v>231</v>
      </c>
      <c r="B332" s="174">
        <v>77</v>
      </c>
      <c r="C332" s="174">
        <v>29</v>
      </c>
      <c r="D332" s="174">
        <v>47</v>
      </c>
      <c r="E332" s="174">
        <v>58</v>
      </c>
      <c r="F332" s="174">
        <v>24</v>
      </c>
      <c r="G332" s="68">
        <f t="shared" si="15"/>
        <v>0.86300404370920702</v>
      </c>
      <c r="H332" s="68">
        <f t="shared" si="16"/>
        <v>0.82147562973868204</v>
      </c>
      <c r="I332" s="68">
        <f t="shared" si="17"/>
        <v>0.96252658256872325</v>
      </c>
      <c r="J332" s="232">
        <f t="shared" si="18"/>
        <v>2.25433040030962E-2</v>
      </c>
      <c r="K332" s="321">
        <f t="shared" si="19"/>
        <v>7.4585757690295823E-2</v>
      </c>
    </row>
    <row r="333" spans="1:11" x14ac:dyDescent="0.2">
      <c r="A333" s="320">
        <v>232</v>
      </c>
      <c r="B333" s="174">
        <v>65</v>
      </c>
      <c r="C333" s="174">
        <v>14</v>
      </c>
      <c r="D333" s="174">
        <v>5</v>
      </c>
      <c r="E333" s="174">
        <v>21</v>
      </c>
      <c r="F333" s="174">
        <v>10</v>
      </c>
      <c r="G333" s="68">
        <f t="shared" si="15"/>
        <v>-7.7664764464243641E-2</v>
      </c>
      <c r="H333" s="68">
        <f t="shared" si="16"/>
        <v>-4.1031006389742775E-2</v>
      </c>
      <c r="I333" s="68">
        <f t="shared" si="17"/>
        <v>-8.0560787886520435E-2</v>
      </c>
      <c r="J333" s="232">
        <f t="shared" si="18"/>
        <v>-3.8949988861587209E-2</v>
      </c>
      <c r="K333" s="321">
        <f t="shared" si="19"/>
        <v>-4.2094810218789629E-2</v>
      </c>
    </row>
    <row r="334" spans="1:11" x14ac:dyDescent="0.2">
      <c r="A334" s="320">
        <v>233</v>
      </c>
      <c r="B334" s="174">
        <v>31</v>
      </c>
      <c r="C334" s="174">
        <v>20</v>
      </c>
      <c r="D334" s="174">
        <v>18</v>
      </c>
      <c r="E334" s="174">
        <v>37</v>
      </c>
      <c r="F334" s="174">
        <v>49</v>
      </c>
      <c r="G334" s="68">
        <f t="shared" si="15"/>
        <v>0.23310515417661404</v>
      </c>
      <c r="H334" s="68">
        <f t="shared" si="16"/>
        <v>0.20771474972332316</v>
      </c>
      <c r="I334" s="68">
        <f t="shared" si="17"/>
        <v>0.16593805626088787</v>
      </c>
      <c r="J334" s="232">
        <f t="shared" si="18"/>
        <v>2.0805566444990549E-2</v>
      </c>
      <c r="K334" s="321">
        <f t="shared" si="19"/>
        <v>-3.5203975767067928E-2</v>
      </c>
    </row>
    <row r="335" spans="1:11" x14ac:dyDescent="0.2">
      <c r="A335" s="320">
        <v>234</v>
      </c>
      <c r="B335" s="174">
        <v>32</v>
      </c>
      <c r="C335" s="174">
        <v>1</v>
      </c>
      <c r="D335" s="174">
        <v>20</v>
      </c>
      <c r="E335" s="174">
        <v>13</v>
      </c>
      <c r="F335" s="174">
        <v>25</v>
      </c>
      <c r="G335" s="68">
        <f t="shared" si="15"/>
        <v>0.72030196573891225</v>
      </c>
      <c r="H335" s="68">
        <f t="shared" si="16"/>
        <v>0.56939848102145407</v>
      </c>
      <c r="I335" s="68">
        <f t="shared" si="17"/>
        <v>0.56766203482165789</v>
      </c>
      <c r="J335" s="232">
        <f t="shared" si="18"/>
        <v>9.1807424053739622E-2</v>
      </c>
      <c r="K335" s="321">
        <f t="shared" si="19"/>
        <v>-1.1070531590772685E-3</v>
      </c>
    </row>
    <row r="336" spans="1:11" x14ac:dyDescent="0.2">
      <c r="A336" s="320">
        <v>235</v>
      </c>
      <c r="B336" s="174">
        <v>43</v>
      </c>
      <c r="C336" s="174">
        <v>2</v>
      </c>
      <c r="D336" s="174">
        <v>2</v>
      </c>
      <c r="E336" s="174">
        <v>11</v>
      </c>
      <c r="F336" s="174">
        <v>66</v>
      </c>
      <c r="G336" s="68">
        <f t="shared" si="15"/>
        <v>0.54735269760984973</v>
      </c>
      <c r="H336" s="68">
        <f t="shared" si="16"/>
        <v>0.44329963247812909</v>
      </c>
      <c r="I336" s="68">
        <f t="shared" si="17"/>
        <v>0.46274669637032151</v>
      </c>
      <c r="J336" s="232">
        <f t="shared" si="18"/>
        <v>6.9613629966590845E-2</v>
      </c>
      <c r="K336" s="321">
        <f t="shared" si="19"/>
        <v>1.3384063426262858E-2</v>
      </c>
    </row>
    <row r="337" spans="1:11" x14ac:dyDescent="0.2">
      <c r="A337" s="320">
        <v>236</v>
      </c>
      <c r="B337" s="174">
        <v>28</v>
      </c>
      <c r="C337" s="174">
        <v>67</v>
      </c>
      <c r="D337" s="174">
        <v>26</v>
      </c>
      <c r="E337" s="174">
        <v>9</v>
      </c>
      <c r="F337" s="174">
        <v>29</v>
      </c>
      <c r="G337" s="68">
        <f t="shared" si="15"/>
        <v>0.49602506294425242</v>
      </c>
      <c r="H337" s="68">
        <f t="shared" si="16"/>
        <v>0.55839262816476554</v>
      </c>
      <c r="I337" s="68">
        <f t="shared" si="17"/>
        <v>0.59757518481103489</v>
      </c>
      <c r="J337" s="232">
        <f t="shared" si="18"/>
        <v>-4.084329079092755E-2</v>
      </c>
      <c r="K337" s="321">
        <f t="shared" si="19"/>
        <v>2.4832046698682157E-2</v>
      </c>
    </row>
    <row r="338" spans="1:11" x14ac:dyDescent="0.2">
      <c r="A338" s="320">
        <v>237</v>
      </c>
      <c r="B338" s="174">
        <v>72</v>
      </c>
      <c r="C338" s="174">
        <v>62</v>
      </c>
      <c r="D338" s="174">
        <v>4</v>
      </c>
      <c r="E338" s="174">
        <v>2</v>
      </c>
      <c r="F338" s="174">
        <v>71</v>
      </c>
      <c r="G338" s="68">
        <f t="shared" si="15"/>
        <v>0.51250992639404491</v>
      </c>
      <c r="H338" s="68">
        <f t="shared" si="16"/>
        <v>0.47607999403089796</v>
      </c>
      <c r="I338" s="68">
        <f t="shared" si="17"/>
        <v>0.52475296793656545</v>
      </c>
      <c r="J338" s="232">
        <f t="shared" si="18"/>
        <v>2.4380552598875449E-2</v>
      </c>
      <c r="K338" s="321">
        <f t="shared" si="19"/>
        <v>3.2442487491943561E-2</v>
      </c>
    </row>
    <row r="339" spans="1:11" x14ac:dyDescent="0.2">
      <c r="A339" s="320">
        <v>238</v>
      </c>
      <c r="B339" s="174">
        <v>57</v>
      </c>
      <c r="C339" s="174">
        <v>44</v>
      </c>
      <c r="D339" s="174">
        <v>66</v>
      </c>
      <c r="E339" s="174">
        <v>49</v>
      </c>
      <c r="F339" s="174">
        <v>18</v>
      </c>
      <c r="G339" s="68">
        <f t="shared" si="15"/>
        <v>0.70263271398028415</v>
      </c>
      <c r="H339" s="68">
        <f t="shared" si="16"/>
        <v>0.56346442545216457</v>
      </c>
      <c r="I339" s="68">
        <f t="shared" si="17"/>
        <v>0.61399910228125654</v>
      </c>
      <c r="J339" s="232">
        <f t="shared" si="18"/>
        <v>8.5271563906423542E-2</v>
      </c>
      <c r="K339" s="321">
        <f t="shared" si="19"/>
        <v>3.181086913190001E-2</v>
      </c>
    </row>
    <row r="340" spans="1:11" x14ac:dyDescent="0.2">
      <c r="A340" s="320">
        <v>239</v>
      </c>
      <c r="B340" s="174">
        <v>74</v>
      </c>
      <c r="C340" s="174">
        <v>67</v>
      </c>
      <c r="D340" s="174">
        <v>17</v>
      </c>
      <c r="E340" s="174">
        <v>37</v>
      </c>
      <c r="F340" s="174">
        <v>1</v>
      </c>
      <c r="G340" s="68">
        <f t="shared" si="15"/>
        <v>0.35838912717247928</v>
      </c>
      <c r="H340" s="68">
        <f t="shared" si="16"/>
        <v>0.31291977478726585</v>
      </c>
      <c r="I340" s="68">
        <f t="shared" si="17"/>
        <v>0.2942956132656982</v>
      </c>
      <c r="J340" s="232">
        <f t="shared" si="18"/>
        <v>3.4046039641371824E-2</v>
      </c>
      <c r="K340" s="321">
        <f t="shared" si="19"/>
        <v>-1.4286873569926122E-2</v>
      </c>
    </row>
    <row r="341" spans="1:11" x14ac:dyDescent="0.2">
      <c r="A341" s="320">
        <v>240</v>
      </c>
      <c r="B341" s="174">
        <v>4</v>
      </c>
      <c r="C341" s="174">
        <v>58</v>
      </c>
      <c r="D341" s="174">
        <v>41</v>
      </c>
      <c r="E341" s="174">
        <v>44</v>
      </c>
      <c r="F341" s="174">
        <v>16</v>
      </c>
      <c r="G341" s="68">
        <f t="shared" si="15"/>
        <v>0.55620075566269245</v>
      </c>
      <c r="H341" s="68">
        <f t="shared" si="16"/>
        <v>0.52020791239456821</v>
      </c>
      <c r="I341" s="68">
        <f t="shared" si="17"/>
        <v>0.57686257708837707</v>
      </c>
      <c r="J341" s="232">
        <f t="shared" si="18"/>
        <v>2.3400327808411552E-2</v>
      </c>
      <c r="K341" s="321">
        <f t="shared" si="19"/>
        <v>3.6590052223854433E-2</v>
      </c>
    </row>
    <row r="342" spans="1:11" x14ac:dyDescent="0.2">
      <c r="A342" s="320">
        <v>241</v>
      </c>
      <c r="B342" s="174">
        <v>54</v>
      </c>
      <c r="C342" s="174">
        <v>5</v>
      </c>
      <c r="D342" s="174">
        <v>17</v>
      </c>
      <c r="E342" s="174">
        <v>14</v>
      </c>
      <c r="F342" s="174">
        <v>11</v>
      </c>
      <c r="G342" s="68">
        <f t="shared" si="15"/>
        <v>4.2672452303394115E-2</v>
      </c>
      <c r="H342" s="68">
        <f t="shared" si="16"/>
        <v>4.3862987280967936E-2</v>
      </c>
      <c r="I342" s="68">
        <f t="shared" si="17"/>
        <v>6.6272871243375775E-3</v>
      </c>
      <c r="J342" s="232">
        <f t="shared" si="18"/>
        <v>-1.1411597274459467E-3</v>
      </c>
      <c r="K342" s="321">
        <f t="shared" si="19"/>
        <v>-3.6322819408483115E-2</v>
      </c>
    </row>
    <row r="343" spans="1:11" x14ac:dyDescent="0.2">
      <c r="A343" s="320">
        <v>242</v>
      </c>
      <c r="B343" s="174">
        <v>32</v>
      </c>
      <c r="C343" s="174">
        <v>75</v>
      </c>
      <c r="D343" s="174">
        <v>14</v>
      </c>
      <c r="E343" s="174">
        <v>7</v>
      </c>
      <c r="F343" s="174">
        <v>23</v>
      </c>
      <c r="G343" s="68">
        <f t="shared" si="15"/>
        <v>0.35495561993318514</v>
      </c>
      <c r="H343" s="68">
        <f t="shared" si="16"/>
        <v>0.35614060388765001</v>
      </c>
      <c r="I343" s="68">
        <f t="shared" si="17"/>
        <v>0.36248959072848752</v>
      </c>
      <c r="J343" s="232">
        <f t="shared" si="18"/>
        <v>-8.7417334693975428E-4</v>
      </c>
      <c r="K343" s="321">
        <f t="shared" si="19"/>
        <v>4.6707333683945916E-3</v>
      </c>
    </row>
    <row r="344" spans="1:11" x14ac:dyDescent="0.2">
      <c r="A344" s="320">
        <v>243</v>
      </c>
      <c r="B344" s="174">
        <v>45</v>
      </c>
      <c r="C344" s="174">
        <v>6</v>
      </c>
      <c r="D344" s="174">
        <v>68</v>
      </c>
      <c r="E344" s="174">
        <v>38</v>
      </c>
      <c r="F344" s="174">
        <v>52</v>
      </c>
      <c r="G344" s="68">
        <f t="shared" si="15"/>
        <v>0.28781512207798943</v>
      </c>
      <c r="H344" s="68">
        <f t="shared" si="16"/>
        <v>0.29613967092253457</v>
      </c>
      <c r="I344" s="68">
        <f t="shared" si="17"/>
        <v>0.29726185246121828</v>
      </c>
      <c r="J344" s="232">
        <f t="shared" si="18"/>
        <v>-6.4432842766277186E-3</v>
      </c>
      <c r="K344" s="321">
        <f t="shared" si="19"/>
        <v>8.654129324768713E-4</v>
      </c>
    </row>
    <row r="345" spans="1:11" x14ac:dyDescent="0.2">
      <c r="A345" s="320">
        <v>244</v>
      </c>
      <c r="B345" s="174">
        <v>2</v>
      </c>
      <c r="C345" s="174">
        <v>47</v>
      </c>
      <c r="D345" s="174">
        <v>45</v>
      </c>
      <c r="E345" s="174">
        <v>41</v>
      </c>
      <c r="F345" s="174">
        <v>76</v>
      </c>
      <c r="G345" s="68">
        <f t="shared" si="15"/>
        <v>0.61260081620451223</v>
      </c>
      <c r="H345" s="68">
        <f t="shared" si="16"/>
        <v>0.56125045938093665</v>
      </c>
      <c r="I345" s="68">
        <f t="shared" si="17"/>
        <v>0.64336838935417351</v>
      </c>
      <c r="J345" s="232">
        <f t="shared" si="18"/>
        <v>3.2361212713810872E-2</v>
      </c>
      <c r="K345" s="321">
        <f t="shared" si="19"/>
        <v>5.1260954726364535E-2</v>
      </c>
    </row>
    <row r="346" spans="1:11" x14ac:dyDescent="0.2">
      <c r="A346" s="320">
        <v>245</v>
      </c>
      <c r="B346" s="174">
        <v>69</v>
      </c>
      <c r="C346" s="174">
        <v>45</v>
      </c>
      <c r="D346" s="174">
        <v>25</v>
      </c>
      <c r="E346" s="174">
        <v>70</v>
      </c>
      <c r="F346" s="174">
        <v>3</v>
      </c>
      <c r="G346" s="68">
        <f t="shared" si="15"/>
        <v>0.68427245642065815</v>
      </c>
      <c r="H346" s="68">
        <f t="shared" si="16"/>
        <v>0.62534620778147842</v>
      </c>
      <c r="I346" s="68">
        <f t="shared" si="17"/>
        <v>0.68695233702592473</v>
      </c>
      <c r="J346" s="232">
        <f t="shared" si="18"/>
        <v>3.5612849924995228E-2</v>
      </c>
      <c r="K346" s="321">
        <f t="shared" si="19"/>
        <v>3.720270603601912E-2</v>
      </c>
    </row>
    <row r="347" spans="1:11" x14ac:dyDescent="0.2">
      <c r="A347" s="320">
        <v>246</v>
      </c>
      <c r="B347" s="174">
        <v>18</v>
      </c>
      <c r="C347" s="174">
        <v>25</v>
      </c>
      <c r="D347" s="174">
        <v>43</v>
      </c>
      <c r="E347" s="174">
        <v>21</v>
      </c>
      <c r="F347" s="174">
        <v>20</v>
      </c>
      <c r="G347" s="68">
        <f t="shared" si="15"/>
        <v>0.25931464946392424</v>
      </c>
      <c r="H347" s="68">
        <f t="shared" si="16"/>
        <v>0.22880155401427427</v>
      </c>
      <c r="I347" s="68">
        <f t="shared" si="17"/>
        <v>0.19173045040330017</v>
      </c>
      <c r="J347" s="232">
        <f t="shared" si="18"/>
        <v>2.4528295912935368E-2</v>
      </c>
      <c r="K347" s="321">
        <f t="shared" si="19"/>
        <v>-3.0632937211107169E-2</v>
      </c>
    </row>
    <row r="348" spans="1:11" x14ac:dyDescent="0.2">
      <c r="A348" s="320">
        <v>247</v>
      </c>
      <c r="B348" s="174">
        <v>16</v>
      </c>
      <c r="C348" s="174">
        <v>38</v>
      </c>
      <c r="D348" s="174">
        <v>45</v>
      </c>
      <c r="E348" s="174">
        <v>59</v>
      </c>
      <c r="F348" s="174">
        <v>13</v>
      </c>
      <c r="G348" s="68">
        <f t="shared" si="15"/>
        <v>0.68805230448071897</v>
      </c>
      <c r="H348" s="68">
        <f t="shared" si="16"/>
        <v>0.58237571704116031</v>
      </c>
      <c r="I348" s="68">
        <f t="shared" si="17"/>
        <v>0.62591136764200139</v>
      </c>
      <c r="J348" s="232">
        <f t="shared" si="18"/>
        <v>6.464804564335945E-2</v>
      </c>
      <c r="K348" s="321">
        <f t="shared" si="19"/>
        <v>2.7141164077537278E-2</v>
      </c>
    </row>
    <row r="349" spans="1:11" x14ac:dyDescent="0.2">
      <c r="A349" s="320">
        <v>248</v>
      </c>
      <c r="B349" s="174">
        <v>55</v>
      </c>
      <c r="C349" s="174">
        <v>65</v>
      </c>
      <c r="D349" s="174">
        <v>28</v>
      </c>
      <c r="E349" s="174">
        <v>70</v>
      </c>
      <c r="F349" s="174">
        <v>57</v>
      </c>
      <c r="G349" s="68">
        <f t="shared" si="15"/>
        <v>0.53156944941912321</v>
      </c>
      <c r="H349" s="68">
        <f t="shared" si="16"/>
        <v>0.52477876095538689</v>
      </c>
      <c r="I349" s="68">
        <f t="shared" si="17"/>
        <v>0.59625136694456904</v>
      </c>
      <c r="J349" s="232">
        <f t="shared" si="18"/>
        <v>4.4436688299251915E-3</v>
      </c>
      <c r="K349" s="321">
        <f t="shared" si="19"/>
        <v>4.5808659960007464E-2</v>
      </c>
    </row>
    <row r="350" spans="1:11" x14ac:dyDescent="0.2">
      <c r="A350" s="320">
        <v>249</v>
      </c>
      <c r="B350" s="174">
        <v>63</v>
      </c>
      <c r="C350" s="174">
        <v>23</v>
      </c>
      <c r="D350" s="174">
        <v>39</v>
      </c>
      <c r="E350" s="174">
        <v>36</v>
      </c>
      <c r="F350" s="174">
        <v>38</v>
      </c>
      <c r="G350" s="68">
        <f t="shared" si="15"/>
        <v>0.25318994539128514</v>
      </c>
      <c r="H350" s="68">
        <f t="shared" si="16"/>
        <v>0.19290215992474113</v>
      </c>
      <c r="I350" s="68">
        <f t="shared" si="17"/>
        <v>0.19371697380024444</v>
      </c>
      <c r="J350" s="232">
        <f t="shared" si="18"/>
        <v>4.9303128961577895E-2</v>
      </c>
      <c r="K350" s="321">
        <f t="shared" si="19"/>
        <v>6.8281854917504785E-4</v>
      </c>
    </row>
    <row r="351" spans="1:11" x14ac:dyDescent="0.2">
      <c r="A351" s="320">
        <v>250</v>
      </c>
      <c r="B351" s="174">
        <v>31</v>
      </c>
      <c r="C351" s="174">
        <v>41</v>
      </c>
      <c r="D351" s="174">
        <v>8</v>
      </c>
      <c r="E351" s="174">
        <v>22</v>
      </c>
      <c r="F351" s="174">
        <v>46</v>
      </c>
      <c r="G351" s="68">
        <f t="shared" si="15"/>
        <v>0.11480558261010043</v>
      </c>
      <c r="H351" s="68">
        <f t="shared" si="16"/>
        <v>0.15842338230455577</v>
      </c>
      <c r="I351" s="68">
        <f t="shared" si="17"/>
        <v>0.12565204667509255</v>
      </c>
      <c r="J351" s="232">
        <f t="shared" si="18"/>
        <v>-3.8379903109514196E-2</v>
      </c>
      <c r="K351" s="321">
        <f t="shared" si="19"/>
        <v>-2.8697462646663442E-2</v>
      </c>
    </row>
    <row r="352" spans="1:11" x14ac:dyDescent="0.2">
      <c r="A352" s="320">
        <v>251</v>
      </c>
      <c r="B352" s="174">
        <v>8</v>
      </c>
      <c r="C352" s="174">
        <v>13</v>
      </c>
      <c r="D352" s="174">
        <v>39</v>
      </c>
      <c r="E352" s="174">
        <v>61</v>
      </c>
      <c r="F352" s="174">
        <v>49</v>
      </c>
      <c r="G352" s="68">
        <f t="shared" si="15"/>
        <v>0.31986493885893141</v>
      </c>
      <c r="H352" s="68">
        <f t="shared" si="16"/>
        <v>0.25400749831023806</v>
      </c>
      <c r="I352" s="68">
        <f t="shared" si="17"/>
        <v>0.22803934721965513</v>
      </c>
      <c r="J352" s="232">
        <f t="shared" si="18"/>
        <v>5.118499061046649E-2</v>
      </c>
      <c r="K352" s="321">
        <f t="shared" si="19"/>
        <v>-2.0925550785155185E-2</v>
      </c>
    </row>
    <row r="353" spans="1:11" x14ac:dyDescent="0.2">
      <c r="A353" s="320">
        <v>252</v>
      </c>
      <c r="B353" s="174">
        <v>50</v>
      </c>
      <c r="C353" s="174">
        <v>11</v>
      </c>
      <c r="D353" s="174">
        <v>23</v>
      </c>
      <c r="E353" s="174">
        <v>47</v>
      </c>
      <c r="F353" s="174">
        <v>47</v>
      </c>
      <c r="G353" s="68">
        <f t="shared" si="15"/>
        <v>0.55739916213747565</v>
      </c>
      <c r="H353" s="68">
        <f t="shared" si="16"/>
        <v>0.477046135015182</v>
      </c>
      <c r="I353" s="68">
        <f t="shared" si="17"/>
        <v>0.50951126453628093</v>
      </c>
      <c r="J353" s="232">
        <f t="shared" si="18"/>
        <v>5.297298748816727E-2</v>
      </c>
      <c r="K353" s="321">
        <f t="shared" si="19"/>
        <v>2.1741693881289211E-2</v>
      </c>
    </row>
    <row r="354" spans="1:11" x14ac:dyDescent="0.2">
      <c r="A354" s="320">
        <v>253</v>
      </c>
      <c r="B354" s="174">
        <v>55</v>
      </c>
      <c r="C354" s="174">
        <v>61</v>
      </c>
      <c r="D354" s="174">
        <v>62</v>
      </c>
      <c r="E354" s="174">
        <v>18</v>
      </c>
      <c r="F354" s="174">
        <v>23</v>
      </c>
      <c r="G354" s="68">
        <f t="shared" si="15"/>
        <v>0.17161550124126257</v>
      </c>
      <c r="H354" s="68">
        <f t="shared" si="16"/>
        <v>0.17070976482791744</v>
      </c>
      <c r="I354" s="68">
        <f t="shared" si="17"/>
        <v>0.16447231455387956</v>
      </c>
      <c r="J354" s="232">
        <f t="shared" si="18"/>
        <v>7.733652295081766E-4</v>
      </c>
      <c r="K354" s="321">
        <f t="shared" si="19"/>
        <v>-5.3421659605760747E-3</v>
      </c>
    </row>
    <row r="355" spans="1:11" x14ac:dyDescent="0.2">
      <c r="A355" s="320">
        <v>254</v>
      </c>
      <c r="B355" s="174">
        <v>56</v>
      </c>
      <c r="C355" s="174">
        <v>11</v>
      </c>
      <c r="D355" s="174">
        <v>31</v>
      </c>
      <c r="E355" s="174">
        <v>42</v>
      </c>
      <c r="F355" s="174">
        <v>58</v>
      </c>
      <c r="G355" s="68">
        <f t="shared" si="15"/>
        <v>0.43463739590862205</v>
      </c>
      <c r="H355" s="68">
        <f t="shared" si="16"/>
        <v>0.43248664774321832</v>
      </c>
      <c r="I355" s="68">
        <f t="shared" si="17"/>
        <v>0.45903451446897248</v>
      </c>
      <c r="J355" s="232">
        <f t="shared" si="18"/>
        <v>1.5002828870156291E-3</v>
      </c>
      <c r="K355" s="321">
        <f t="shared" si="19"/>
        <v>1.8363076894821678E-2</v>
      </c>
    </row>
    <row r="356" spans="1:11" x14ac:dyDescent="0.2">
      <c r="A356" s="320">
        <v>255</v>
      </c>
      <c r="B356" s="174">
        <v>38</v>
      </c>
      <c r="C356" s="174">
        <v>18</v>
      </c>
      <c r="D356" s="174">
        <v>58</v>
      </c>
      <c r="E356" s="174">
        <v>34</v>
      </c>
      <c r="F356" s="174">
        <v>17</v>
      </c>
      <c r="G356" s="68">
        <f t="shared" si="15"/>
        <v>0.55638479819300679</v>
      </c>
      <c r="H356" s="68">
        <f t="shared" si="16"/>
        <v>0.5109725844242532</v>
      </c>
      <c r="I356" s="68">
        <f t="shared" si="17"/>
        <v>0.51540122605740413</v>
      </c>
      <c r="J356" s="232">
        <f t="shared" si="18"/>
        <v>2.9612155661132983E-2</v>
      </c>
      <c r="K356" s="321">
        <f t="shared" si="19"/>
        <v>2.9267004485483031E-3</v>
      </c>
    </row>
    <row r="357" spans="1:11" x14ac:dyDescent="0.2">
      <c r="A357" s="320">
        <v>256</v>
      </c>
      <c r="B357" s="174">
        <v>69</v>
      </c>
      <c r="C357" s="174">
        <v>21</v>
      </c>
      <c r="D357" s="174">
        <v>54</v>
      </c>
      <c r="E357" s="174">
        <v>39</v>
      </c>
      <c r="F357" s="174">
        <v>73</v>
      </c>
      <c r="G357" s="68">
        <f t="shared" si="15"/>
        <v>0.28260875106873318</v>
      </c>
      <c r="H357" s="68">
        <f t="shared" si="16"/>
        <v>0.28698746786641371</v>
      </c>
      <c r="I357" s="68">
        <f t="shared" si="17"/>
        <v>0.28744539949482428</v>
      </c>
      <c r="J357" s="232">
        <f t="shared" si="18"/>
        <v>-3.4081004662915933E-3</v>
      </c>
      <c r="K357" s="321">
        <f t="shared" si="19"/>
        <v>3.5575340809687123E-4</v>
      </c>
    </row>
    <row r="358" spans="1:11" x14ac:dyDescent="0.2">
      <c r="A358" s="320">
        <v>257</v>
      </c>
      <c r="B358" s="174">
        <v>56</v>
      </c>
      <c r="C358" s="174">
        <v>6</v>
      </c>
      <c r="D358" s="174">
        <v>22</v>
      </c>
      <c r="E358" s="174">
        <v>44</v>
      </c>
      <c r="F358" s="174">
        <v>54</v>
      </c>
      <c r="G358" s="68">
        <f t="shared" ref="G358:G421" si="20">(1+INDEX($Z$21:$Z$97,B358))*(1+INDEX($Z$21:$Z$97,C358))*(1+INDEX($Z$21:$Z$97,D358))*(1+INDEX($Z$21:$Z$97,E358))*(1+INDEX($Z$21:$Z$97,F358))-1</f>
        <v>-3.7162788726868401E-2</v>
      </c>
      <c r="H358" s="68">
        <f t="shared" ref="H358:H421" si="21">(1+INDEX($AA$21:$AA$97,B358))*(1+INDEX($AA$21:$AA$97,C358))*(1+INDEX($AA$21:$AA$97,D358))*(1+INDEX($AA$21:$AA$97,E358))*(1+INDEX($AA$21:$AA$97,F358))-1</f>
        <v>-1.7711640815735175E-3</v>
      </c>
      <c r="I358" s="68">
        <f t="shared" ref="I358:I421" si="22">(1+INDEX($AB$21:$AB$97,B358))*(1+INDEX($AB$21:$AB$97,C358))*(1+INDEX($AB$21:$AB$97,D358))*(1+INDEX($AB$21:$AB$97,E358))*(1+INDEX($AB$21:$AB$97,F358))-1</f>
        <v>-3.1176607211995555E-2</v>
      </c>
      <c r="J358" s="232">
        <f t="shared" ref="J358:J421" si="23">LN((1+G358)/(1+H358))</f>
        <v>-3.6098190356327498E-2</v>
      </c>
      <c r="K358" s="321">
        <f t="shared" ref="K358:K421" si="24">LN((1+I358)/(1+H358))</f>
        <v>-2.990020643975231E-2</v>
      </c>
    </row>
    <row r="359" spans="1:11" x14ac:dyDescent="0.2">
      <c r="A359" s="320">
        <v>258</v>
      </c>
      <c r="B359" s="174">
        <v>29</v>
      </c>
      <c r="C359" s="174">
        <v>5</v>
      </c>
      <c r="D359" s="174">
        <v>43</v>
      </c>
      <c r="E359" s="174">
        <v>40</v>
      </c>
      <c r="F359" s="174">
        <v>16</v>
      </c>
      <c r="G359" s="68">
        <f t="shared" si="20"/>
        <v>0.24811720257991721</v>
      </c>
      <c r="H359" s="68">
        <f t="shared" si="21"/>
        <v>0.27111681680127209</v>
      </c>
      <c r="I359" s="68">
        <f t="shared" si="22"/>
        <v>0.2860521788036634</v>
      </c>
      <c r="J359" s="232">
        <f t="shared" si="23"/>
        <v>-1.8259719486216307E-2</v>
      </c>
      <c r="K359" s="321">
        <f t="shared" si="24"/>
        <v>1.168130214209276E-2</v>
      </c>
    </row>
    <row r="360" spans="1:11" x14ac:dyDescent="0.2">
      <c r="A360" s="320">
        <v>259</v>
      </c>
      <c r="B360" s="174">
        <v>3</v>
      </c>
      <c r="C360" s="174">
        <v>41</v>
      </c>
      <c r="D360" s="174">
        <v>32</v>
      </c>
      <c r="E360" s="174">
        <v>12</v>
      </c>
      <c r="F360" s="174">
        <v>48</v>
      </c>
      <c r="G360" s="68">
        <f t="shared" si="20"/>
        <v>0.67111231083345624</v>
      </c>
      <c r="H360" s="68">
        <f t="shared" si="21"/>
        <v>0.54847094195442292</v>
      </c>
      <c r="I360" s="68">
        <f t="shared" si="22"/>
        <v>0.59916612651342493</v>
      </c>
      <c r="J360" s="232">
        <f t="shared" si="23"/>
        <v>7.6221504135255941E-2</v>
      </c>
      <c r="K360" s="321">
        <f t="shared" si="24"/>
        <v>3.2214367490935189E-2</v>
      </c>
    </row>
    <row r="361" spans="1:11" x14ac:dyDescent="0.2">
      <c r="A361" s="320">
        <v>260</v>
      </c>
      <c r="B361" s="174">
        <v>60</v>
      </c>
      <c r="C361" s="174">
        <v>7</v>
      </c>
      <c r="D361" s="174">
        <v>40</v>
      </c>
      <c r="E361" s="174">
        <v>65</v>
      </c>
      <c r="F361" s="174">
        <v>60</v>
      </c>
      <c r="G361" s="68">
        <f t="shared" si="20"/>
        <v>0.28311484592960556</v>
      </c>
      <c r="H361" s="68">
        <f t="shared" si="21"/>
        <v>0.34060659468177357</v>
      </c>
      <c r="I361" s="68">
        <f t="shared" si="22"/>
        <v>0.35716294953555305</v>
      </c>
      <c r="J361" s="232">
        <f t="shared" si="23"/>
        <v>-4.3831598918865185E-2</v>
      </c>
      <c r="K361" s="321">
        <f t="shared" si="24"/>
        <v>1.2274260231221806E-2</v>
      </c>
    </row>
    <row r="362" spans="1:11" x14ac:dyDescent="0.2">
      <c r="A362" s="320">
        <v>261</v>
      </c>
      <c r="B362" s="174">
        <v>56</v>
      </c>
      <c r="C362" s="174">
        <v>19</v>
      </c>
      <c r="D362" s="174">
        <v>30</v>
      </c>
      <c r="E362" s="174">
        <v>33</v>
      </c>
      <c r="F362" s="174">
        <v>77</v>
      </c>
      <c r="G362" s="68">
        <f t="shared" si="20"/>
        <v>0.43771199796993154</v>
      </c>
      <c r="H362" s="68">
        <f t="shared" si="21"/>
        <v>0.42540738204335704</v>
      </c>
      <c r="I362" s="68">
        <f t="shared" si="22"/>
        <v>0.45199951151589324</v>
      </c>
      <c r="J362" s="232">
        <f t="shared" si="23"/>
        <v>8.5953046645832788E-3</v>
      </c>
      <c r="K362" s="321">
        <f t="shared" si="24"/>
        <v>1.8483924981194694E-2</v>
      </c>
    </row>
    <row r="363" spans="1:11" x14ac:dyDescent="0.2">
      <c r="A363" s="320">
        <v>262</v>
      </c>
      <c r="B363" s="174">
        <v>70</v>
      </c>
      <c r="C363" s="174">
        <v>63</v>
      </c>
      <c r="D363" s="174">
        <v>16</v>
      </c>
      <c r="E363" s="174">
        <v>61</v>
      </c>
      <c r="F363" s="174">
        <v>8</v>
      </c>
      <c r="G363" s="68">
        <f t="shared" si="20"/>
        <v>-7.9255584616964692E-2</v>
      </c>
      <c r="H363" s="68">
        <f t="shared" si="21"/>
        <v>-5.1900190602975904E-2</v>
      </c>
      <c r="I363" s="68">
        <f t="shared" si="22"/>
        <v>-8.6177145394826238E-2</v>
      </c>
      <c r="J363" s="232">
        <f t="shared" si="23"/>
        <v>-2.9277290871627639E-2</v>
      </c>
      <c r="K363" s="321">
        <f t="shared" si="24"/>
        <v>-3.6823041559451763E-2</v>
      </c>
    </row>
    <row r="364" spans="1:11" x14ac:dyDescent="0.2">
      <c r="A364" s="320">
        <v>263</v>
      </c>
      <c r="B364" s="174">
        <v>28</v>
      </c>
      <c r="C364" s="174">
        <v>71</v>
      </c>
      <c r="D364" s="174">
        <v>10</v>
      </c>
      <c r="E364" s="174">
        <v>45</v>
      </c>
      <c r="F364" s="174">
        <v>31</v>
      </c>
      <c r="G364" s="68">
        <f t="shared" si="20"/>
        <v>0.44130100967035291</v>
      </c>
      <c r="H364" s="68">
        <f t="shared" si="21"/>
        <v>0.48488159008877552</v>
      </c>
      <c r="I364" s="68">
        <f t="shared" si="22"/>
        <v>0.50734299913812486</v>
      </c>
      <c r="J364" s="232">
        <f t="shared" si="23"/>
        <v>-2.9788847127297235E-2</v>
      </c>
      <c r="K364" s="321">
        <f t="shared" si="24"/>
        <v>1.5013465925354191E-2</v>
      </c>
    </row>
    <row r="365" spans="1:11" x14ac:dyDescent="0.2">
      <c r="A365" s="320">
        <v>264</v>
      </c>
      <c r="B365" s="174">
        <v>4</v>
      </c>
      <c r="C365" s="174">
        <v>63</v>
      </c>
      <c r="D365" s="174">
        <v>52</v>
      </c>
      <c r="E365" s="174">
        <v>60</v>
      </c>
      <c r="F365" s="174">
        <v>11</v>
      </c>
      <c r="G365" s="68">
        <f t="shared" si="20"/>
        <v>0.33915297593275029</v>
      </c>
      <c r="H365" s="68">
        <f t="shared" si="21"/>
        <v>0.32326262620263857</v>
      </c>
      <c r="I365" s="68">
        <f t="shared" si="22"/>
        <v>0.35506538238222762</v>
      </c>
      <c r="J365" s="232">
        <f t="shared" si="23"/>
        <v>1.1936933063396138E-2</v>
      </c>
      <c r="K365" s="321">
        <f t="shared" si="24"/>
        <v>2.3749332325783128E-2</v>
      </c>
    </row>
    <row r="366" spans="1:11" x14ac:dyDescent="0.2">
      <c r="A366" s="320">
        <v>265</v>
      </c>
      <c r="B366" s="174">
        <v>15</v>
      </c>
      <c r="C366" s="174">
        <v>73</v>
      </c>
      <c r="D366" s="174">
        <v>3</v>
      </c>
      <c r="E366" s="174">
        <v>32</v>
      </c>
      <c r="F366" s="174">
        <v>17</v>
      </c>
      <c r="G366" s="68">
        <f t="shared" si="20"/>
        <v>0.43039477455838604</v>
      </c>
      <c r="H366" s="68">
        <f t="shared" si="21"/>
        <v>0.36719428779963215</v>
      </c>
      <c r="I366" s="68">
        <f t="shared" si="22"/>
        <v>0.37839889352393419</v>
      </c>
      <c r="J366" s="232">
        <f t="shared" si="23"/>
        <v>4.5189797515160224E-2</v>
      </c>
      <c r="K366" s="321">
        <f t="shared" si="24"/>
        <v>8.1619287241539561E-3</v>
      </c>
    </row>
    <row r="367" spans="1:11" x14ac:dyDescent="0.2">
      <c r="A367" s="320">
        <v>266</v>
      </c>
      <c r="B367" s="174">
        <v>4</v>
      </c>
      <c r="C367" s="174">
        <v>40</v>
      </c>
      <c r="D367" s="174">
        <v>6</v>
      </c>
      <c r="E367" s="174">
        <v>26</v>
      </c>
      <c r="F367" s="174">
        <v>56</v>
      </c>
      <c r="G367" s="68">
        <f t="shared" si="20"/>
        <v>0.21600070940369509</v>
      </c>
      <c r="H367" s="68">
        <f t="shared" si="21"/>
        <v>0.22828713002312573</v>
      </c>
      <c r="I367" s="68">
        <f t="shared" si="22"/>
        <v>0.23720383669930123</v>
      </c>
      <c r="J367" s="232">
        <f t="shared" si="23"/>
        <v>-1.0053254695564597E-2</v>
      </c>
      <c r="K367" s="321">
        <f t="shared" si="24"/>
        <v>7.2332413082598574E-3</v>
      </c>
    </row>
    <row r="368" spans="1:11" x14ac:dyDescent="0.2">
      <c r="A368" s="320">
        <v>267</v>
      </c>
      <c r="B368" s="174">
        <v>28</v>
      </c>
      <c r="C368" s="174">
        <v>47</v>
      </c>
      <c r="D368" s="174">
        <v>73</v>
      </c>
      <c r="E368" s="174">
        <v>20</v>
      </c>
      <c r="F368" s="174">
        <v>77</v>
      </c>
      <c r="G368" s="68">
        <f t="shared" si="20"/>
        <v>0.47254188591396296</v>
      </c>
      <c r="H368" s="68">
        <f t="shared" si="21"/>
        <v>0.47866010665421865</v>
      </c>
      <c r="I368" s="68">
        <f t="shared" si="22"/>
        <v>0.54130468469456239</v>
      </c>
      <c r="J368" s="232">
        <f t="shared" si="23"/>
        <v>-4.1462627910755336E-3</v>
      </c>
      <c r="K368" s="321">
        <f t="shared" si="24"/>
        <v>4.1492911237073868E-2</v>
      </c>
    </row>
    <row r="369" spans="1:11" x14ac:dyDescent="0.2">
      <c r="A369" s="320">
        <v>268</v>
      </c>
      <c r="B369" s="174">
        <v>38</v>
      </c>
      <c r="C369" s="174">
        <v>54</v>
      </c>
      <c r="D369" s="174">
        <v>22</v>
      </c>
      <c r="E369" s="174">
        <v>64</v>
      </c>
      <c r="F369" s="174">
        <v>73</v>
      </c>
      <c r="G369" s="68">
        <f t="shared" si="20"/>
        <v>1.9445976756937045E-2</v>
      </c>
      <c r="H369" s="68">
        <f t="shared" si="21"/>
        <v>1.8203670256601745E-2</v>
      </c>
      <c r="I369" s="68">
        <f t="shared" si="22"/>
        <v>7.6800167213291193E-3</v>
      </c>
      <c r="J369" s="232">
        <f t="shared" si="23"/>
        <v>1.2193525575703499E-3</v>
      </c>
      <c r="K369" s="321">
        <f t="shared" si="24"/>
        <v>-1.0389291607127642E-2</v>
      </c>
    </row>
    <row r="370" spans="1:11" x14ac:dyDescent="0.2">
      <c r="A370" s="320">
        <v>269</v>
      </c>
      <c r="B370" s="174">
        <v>41</v>
      </c>
      <c r="C370" s="174">
        <v>47</v>
      </c>
      <c r="D370" s="174">
        <v>42</v>
      </c>
      <c r="E370" s="174">
        <v>30</v>
      </c>
      <c r="F370" s="174">
        <v>66</v>
      </c>
      <c r="G370" s="68">
        <f t="shared" si="20"/>
        <v>0.70711118653622251</v>
      </c>
      <c r="H370" s="68">
        <f t="shared" si="21"/>
        <v>0.64949664598279133</v>
      </c>
      <c r="I370" s="68">
        <f t="shared" si="22"/>
        <v>0.73620009203357317</v>
      </c>
      <c r="J370" s="232">
        <f t="shared" si="23"/>
        <v>3.4332398999771419E-2</v>
      </c>
      <c r="K370" s="321">
        <f t="shared" si="24"/>
        <v>5.1228691653631565E-2</v>
      </c>
    </row>
    <row r="371" spans="1:11" x14ac:dyDescent="0.2">
      <c r="A371" s="320">
        <v>270</v>
      </c>
      <c r="B371" s="174">
        <v>67</v>
      </c>
      <c r="C371" s="174">
        <v>46</v>
      </c>
      <c r="D371" s="174">
        <v>27</v>
      </c>
      <c r="E371" s="174">
        <v>23</v>
      </c>
      <c r="F371" s="174">
        <v>62</v>
      </c>
      <c r="G371" s="68">
        <f t="shared" si="20"/>
        <v>0.52614118216854777</v>
      </c>
      <c r="H371" s="68">
        <f t="shared" si="21"/>
        <v>0.51164073657805353</v>
      </c>
      <c r="I371" s="68">
        <f t="shared" si="22"/>
        <v>0.58364620720035965</v>
      </c>
      <c r="J371" s="232">
        <f t="shared" si="23"/>
        <v>9.546804945753504E-3</v>
      </c>
      <c r="K371" s="321">
        <f t="shared" si="24"/>
        <v>4.6534272964058404E-2</v>
      </c>
    </row>
    <row r="372" spans="1:11" x14ac:dyDescent="0.2">
      <c r="A372" s="320">
        <v>271</v>
      </c>
      <c r="B372" s="174">
        <v>3</v>
      </c>
      <c r="C372" s="174">
        <v>65</v>
      </c>
      <c r="D372" s="174">
        <v>53</v>
      </c>
      <c r="E372" s="174">
        <v>54</v>
      </c>
      <c r="F372" s="174">
        <v>62</v>
      </c>
      <c r="G372" s="68">
        <f t="shared" si="20"/>
        <v>-6.9853540264641634E-3</v>
      </c>
      <c r="H372" s="68">
        <f t="shared" si="21"/>
        <v>2.3241506840961712E-2</v>
      </c>
      <c r="I372" s="68">
        <f t="shared" si="22"/>
        <v>2.0316065230491898E-2</v>
      </c>
      <c r="J372" s="232">
        <f t="shared" si="23"/>
        <v>-2.9985402003742868E-2</v>
      </c>
      <c r="K372" s="321">
        <f t="shared" si="24"/>
        <v>-2.863089005995034E-3</v>
      </c>
    </row>
    <row r="373" spans="1:11" x14ac:dyDescent="0.2">
      <c r="A373" s="320">
        <v>272</v>
      </c>
      <c r="B373" s="174">
        <v>68</v>
      </c>
      <c r="C373" s="174">
        <v>40</v>
      </c>
      <c r="D373" s="174">
        <v>8</v>
      </c>
      <c r="E373" s="174">
        <v>5</v>
      </c>
      <c r="F373" s="174">
        <v>57</v>
      </c>
      <c r="G373" s="68">
        <f t="shared" si="20"/>
        <v>8.0085660541763914E-2</v>
      </c>
      <c r="H373" s="68">
        <f t="shared" si="21"/>
        <v>0.11040598755185815</v>
      </c>
      <c r="I373" s="68">
        <f t="shared" si="22"/>
        <v>7.7090685933321801E-2</v>
      </c>
      <c r="J373" s="232">
        <f t="shared" si="23"/>
        <v>-2.7685349696292723E-2</v>
      </c>
      <c r="K373" s="321">
        <f t="shared" si="24"/>
        <v>-3.0462106021941132E-2</v>
      </c>
    </row>
    <row r="374" spans="1:11" x14ac:dyDescent="0.2">
      <c r="A374" s="320">
        <v>273</v>
      </c>
      <c r="B374" s="174">
        <v>58</v>
      </c>
      <c r="C374" s="174">
        <v>55</v>
      </c>
      <c r="D374" s="174">
        <v>38</v>
      </c>
      <c r="E374" s="174">
        <v>43</v>
      </c>
      <c r="F374" s="174">
        <v>20</v>
      </c>
      <c r="G374" s="68">
        <f t="shared" si="20"/>
        <v>0.22888708759344079</v>
      </c>
      <c r="H374" s="68">
        <f t="shared" si="21"/>
        <v>0.25141012870475499</v>
      </c>
      <c r="I374" s="68">
        <f t="shared" si="22"/>
        <v>0.24339156814959839</v>
      </c>
      <c r="J374" s="232">
        <f t="shared" si="23"/>
        <v>-1.8162065483069013E-2</v>
      </c>
      <c r="K374" s="321">
        <f t="shared" si="24"/>
        <v>-6.4282369034098456E-3</v>
      </c>
    </row>
    <row r="375" spans="1:11" x14ac:dyDescent="0.2">
      <c r="A375" s="320">
        <v>274</v>
      </c>
      <c r="B375" s="174">
        <v>29</v>
      </c>
      <c r="C375" s="174">
        <v>50</v>
      </c>
      <c r="D375" s="174">
        <v>76</v>
      </c>
      <c r="E375" s="174">
        <v>61</v>
      </c>
      <c r="F375" s="174">
        <v>34</v>
      </c>
      <c r="G375" s="68">
        <f t="shared" si="20"/>
        <v>0.68605424484912425</v>
      </c>
      <c r="H375" s="68">
        <f t="shared" si="21"/>
        <v>0.68252403346230173</v>
      </c>
      <c r="I375" s="68">
        <f t="shared" si="22"/>
        <v>0.77354882637645583</v>
      </c>
      <c r="J375" s="232">
        <f t="shared" si="23"/>
        <v>2.0959659461824744E-3</v>
      </c>
      <c r="K375" s="321">
        <f t="shared" si="24"/>
        <v>5.2687459125456207E-2</v>
      </c>
    </row>
    <row r="376" spans="1:11" x14ac:dyDescent="0.2">
      <c r="A376" s="320">
        <v>275</v>
      </c>
      <c r="B376" s="174">
        <v>34</v>
      </c>
      <c r="C376" s="174">
        <v>16</v>
      </c>
      <c r="D376" s="174">
        <v>17</v>
      </c>
      <c r="E376" s="174">
        <v>12</v>
      </c>
      <c r="F376" s="174">
        <v>68</v>
      </c>
      <c r="G376" s="68">
        <f t="shared" si="20"/>
        <v>0.57874180401946185</v>
      </c>
      <c r="H376" s="68">
        <f t="shared" si="21"/>
        <v>0.51251269004567446</v>
      </c>
      <c r="I376" s="68">
        <f t="shared" si="22"/>
        <v>0.53522617841585363</v>
      </c>
      <c r="J376" s="232">
        <f t="shared" si="23"/>
        <v>4.2855902231979187E-2</v>
      </c>
      <c r="K376" s="321">
        <f t="shared" si="24"/>
        <v>1.4905416686262963E-2</v>
      </c>
    </row>
    <row r="377" spans="1:11" x14ac:dyDescent="0.2">
      <c r="A377" s="320">
        <v>276</v>
      </c>
      <c r="B377" s="174">
        <v>7</v>
      </c>
      <c r="C377" s="174">
        <v>59</v>
      </c>
      <c r="D377" s="174">
        <v>52</v>
      </c>
      <c r="E377" s="174">
        <v>11</v>
      </c>
      <c r="F377" s="174">
        <v>76</v>
      </c>
      <c r="G377" s="68">
        <f t="shared" si="20"/>
        <v>0.33241080960589042</v>
      </c>
      <c r="H377" s="68">
        <f t="shared" si="21"/>
        <v>0.34361182797722756</v>
      </c>
      <c r="I377" s="68">
        <f t="shared" si="22"/>
        <v>0.34935250607424617</v>
      </c>
      <c r="J377" s="232">
        <f t="shared" si="23"/>
        <v>-8.3714417276319897E-3</v>
      </c>
      <c r="K377" s="321">
        <f t="shared" si="24"/>
        <v>4.2634703476798217E-3</v>
      </c>
    </row>
    <row r="378" spans="1:11" x14ac:dyDescent="0.2">
      <c r="A378" s="320">
        <v>277</v>
      </c>
      <c r="B378" s="174">
        <v>34</v>
      </c>
      <c r="C378" s="174">
        <v>41</v>
      </c>
      <c r="D378" s="174">
        <v>35</v>
      </c>
      <c r="E378" s="174">
        <v>35</v>
      </c>
      <c r="F378" s="174">
        <v>35</v>
      </c>
      <c r="G378" s="68">
        <f t="shared" si="20"/>
        <v>0.69408312130583338</v>
      </c>
      <c r="H378" s="68">
        <f t="shared" si="21"/>
        <v>0.7345480014026442</v>
      </c>
      <c r="I378" s="68">
        <f t="shared" si="22"/>
        <v>0.82109581950746113</v>
      </c>
      <c r="J378" s="232">
        <f t="shared" si="23"/>
        <v>-2.3605198441322899E-2</v>
      </c>
      <c r="K378" s="321">
        <f t="shared" si="24"/>
        <v>4.8691556995936677E-2</v>
      </c>
    </row>
    <row r="379" spans="1:11" x14ac:dyDescent="0.2">
      <c r="A379" s="320">
        <v>278</v>
      </c>
      <c r="B379" s="174">
        <v>21</v>
      </c>
      <c r="C379" s="174">
        <v>54</v>
      </c>
      <c r="D379" s="174">
        <v>10</v>
      </c>
      <c r="E379" s="174">
        <v>4</v>
      </c>
      <c r="F379" s="174">
        <v>7</v>
      </c>
      <c r="G379" s="68">
        <f t="shared" si="20"/>
        <v>-0.19653313767097569</v>
      </c>
      <c r="H379" s="68">
        <f t="shared" si="21"/>
        <v>-0.13236754170112119</v>
      </c>
      <c r="I379" s="68">
        <f t="shared" si="22"/>
        <v>-0.18916563720914559</v>
      </c>
      <c r="J379" s="232">
        <f t="shared" si="23"/>
        <v>-7.6832247176201685E-2</v>
      </c>
      <c r="K379" s="321">
        <f t="shared" si="24"/>
        <v>-6.770439482658297E-2</v>
      </c>
    </row>
    <row r="380" spans="1:11" x14ac:dyDescent="0.2">
      <c r="A380" s="320">
        <v>279</v>
      </c>
      <c r="B380" s="174">
        <v>50</v>
      </c>
      <c r="C380" s="174">
        <v>2</v>
      </c>
      <c r="D380" s="174">
        <v>67</v>
      </c>
      <c r="E380" s="174">
        <v>62</v>
      </c>
      <c r="F380" s="174">
        <v>41</v>
      </c>
      <c r="G380" s="68">
        <f t="shared" si="20"/>
        <v>0.47390315929453153</v>
      </c>
      <c r="H380" s="68">
        <f t="shared" si="21"/>
        <v>0.42783101755230724</v>
      </c>
      <c r="I380" s="68">
        <f t="shared" si="22"/>
        <v>0.47664518340670514</v>
      </c>
      <c r="J380" s="232">
        <f t="shared" si="23"/>
        <v>3.1757570483568288E-2</v>
      </c>
      <c r="K380" s="321">
        <f t="shared" si="24"/>
        <v>3.361622493221586E-2</v>
      </c>
    </row>
    <row r="381" spans="1:11" x14ac:dyDescent="0.2">
      <c r="A381" s="320">
        <v>280</v>
      </c>
      <c r="B381" s="174">
        <v>12</v>
      </c>
      <c r="C381" s="174">
        <v>5</v>
      </c>
      <c r="D381" s="174">
        <v>73</v>
      </c>
      <c r="E381" s="174">
        <v>1</v>
      </c>
      <c r="F381" s="174">
        <v>76</v>
      </c>
      <c r="G381" s="68">
        <f t="shared" si="20"/>
        <v>0.33947658618171461</v>
      </c>
      <c r="H381" s="68">
        <f t="shared" si="21"/>
        <v>0.29100127685229249</v>
      </c>
      <c r="I381" s="68">
        <f t="shared" si="22"/>
        <v>0.30732849157053876</v>
      </c>
      <c r="J381" s="232">
        <f t="shared" si="23"/>
        <v>3.6860829423531596E-2</v>
      </c>
      <c r="K381" s="321">
        <f t="shared" si="24"/>
        <v>1.2567634652742053E-2</v>
      </c>
    </row>
    <row r="382" spans="1:11" x14ac:dyDescent="0.2">
      <c r="A382" s="320">
        <v>281</v>
      </c>
      <c r="B382" s="174">
        <v>6</v>
      </c>
      <c r="C382" s="174">
        <v>50</v>
      </c>
      <c r="D382" s="174">
        <v>27</v>
      </c>
      <c r="E382" s="174">
        <v>25</v>
      </c>
      <c r="F382" s="174">
        <v>58</v>
      </c>
      <c r="G382" s="68">
        <f t="shared" si="20"/>
        <v>0.58530368960630952</v>
      </c>
      <c r="H382" s="68">
        <f t="shared" si="21"/>
        <v>0.54197592365837499</v>
      </c>
      <c r="I382" s="68">
        <f t="shared" si="22"/>
        <v>0.58568666749248011</v>
      </c>
      <c r="J382" s="232">
        <f t="shared" si="23"/>
        <v>2.7711329942425988E-2</v>
      </c>
      <c r="K382" s="321">
        <f t="shared" si="24"/>
        <v>2.7952880905944659E-2</v>
      </c>
    </row>
    <row r="383" spans="1:11" x14ac:dyDescent="0.2">
      <c r="A383" s="320">
        <v>282</v>
      </c>
      <c r="B383" s="174">
        <v>14</v>
      </c>
      <c r="C383" s="174">
        <v>38</v>
      </c>
      <c r="D383" s="174">
        <v>28</v>
      </c>
      <c r="E383" s="174">
        <v>69</v>
      </c>
      <c r="F383" s="174">
        <v>64</v>
      </c>
      <c r="G383" s="68">
        <f t="shared" si="20"/>
        <v>0.49243134222824891</v>
      </c>
      <c r="H383" s="68">
        <f t="shared" si="21"/>
        <v>0.45119135850715608</v>
      </c>
      <c r="I383" s="68">
        <f t="shared" si="22"/>
        <v>0.49466784651082563</v>
      </c>
      <c r="J383" s="232">
        <f t="shared" si="23"/>
        <v>2.8021717730568219E-2</v>
      </c>
      <c r="K383" s="321">
        <f t="shared" si="24"/>
        <v>2.9519160272097288E-2</v>
      </c>
    </row>
    <row r="384" spans="1:11" x14ac:dyDescent="0.2">
      <c r="A384" s="320">
        <v>283</v>
      </c>
      <c r="B384" s="174">
        <v>6</v>
      </c>
      <c r="C384" s="174">
        <v>62</v>
      </c>
      <c r="D384" s="174">
        <v>63</v>
      </c>
      <c r="E384" s="174">
        <v>44</v>
      </c>
      <c r="F384" s="174">
        <v>10</v>
      </c>
      <c r="G384" s="68">
        <f t="shared" si="20"/>
        <v>-0.2703714633938884</v>
      </c>
      <c r="H384" s="68">
        <f t="shared" si="21"/>
        <v>-0.22433401137647935</v>
      </c>
      <c r="I384" s="68">
        <f t="shared" si="22"/>
        <v>-0.24480703851715324</v>
      </c>
      <c r="J384" s="232">
        <f t="shared" si="23"/>
        <v>-6.11864498232772E-2</v>
      </c>
      <c r="K384" s="321">
        <f t="shared" si="24"/>
        <v>-2.674870577389268E-2</v>
      </c>
    </row>
    <row r="385" spans="1:11" x14ac:dyDescent="0.2">
      <c r="A385" s="320">
        <v>284</v>
      </c>
      <c r="B385" s="174">
        <v>20</v>
      </c>
      <c r="C385" s="174">
        <v>26</v>
      </c>
      <c r="D385" s="174">
        <v>2</v>
      </c>
      <c r="E385" s="174">
        <v>48</v>
      </c>
      <c r="F385" s="174">
        <v>16</v>
      </c>
      <c r="G385" s="68">
        <f t="shared" si="20"/>
        <v>0.38648426203085506</v>
      </c>
      <c r="H385" s="68">
        <f t="shared" si="21"/>
        <v>0.3296275138625</v>
      </c>
      <c r="I385" s="68">
        <f t="shared" si="22"/>
        <v>0.3228214643173648</v>
      </c>
      <c r="J385" s="232">
        <f t="shared" si="23"/>
        <v>4.1872396904843859E-2</v>
      </c>
      <c r="K385" s="321">
        <f t="shared" si="24"/>
        <v>-5.1319098225155804E-3</v>
      </c>
    </row>
    <row r="386" spans="1:11" x14ac:dyDescent="0.2">
      <c r="A386" s="320">
        <v>285</v>
      </c>
      <c r="B386" s="174">
        <v>52</v>
      </c>
      <c r="C386" s="174">
        <v>44</v>
      </c>
      <c r="D386" s="174">
        <v>28</v>
      </c>
      <c r="E386" s="174">
        <v>69</v>
      </c>
      <c r="F386" s="174">
        <v>72</v>
      </c>
      <c r="G386" s="68">
        <f t="shared" si="20"/>
        <v>0.99746212793864508</v>
      </c>
      <c r="H386" s="68">
        <f t="shared" si="21"/>
        <v>0.99562099540614035</v>
      </c>
      <c r="I386" s="68">
        <f t="shared" si="22"/>
        <v>1.1445463668211096</v>
      </c>
      <c r="J386" s="232">
        <f t="shared" si="23"/>
        <v>9.2216094987495625E-4</v>
      </c>
      <c r="K386" s="321">
        <f t="shared" si="24"/>
        <v>7.1972768216263708E-2</v>
      </c>
    </row>
    <row r="387" spans="1:11" x14ac:dyDescent="0.2">
      <c r="A387" s="320">
        <v>286</v>
      </c>
      <c r="B387" s="174">
        <v>56</v>
      </c>
      <c r="C387" s="174">
        <v>37</v>
      </c>
      <c r="D387" s="174">
        <v>2</v>
      </c>
      <c r="E387" s="174">
        <v>59</v>
      </c>
      <c r="F387" s="174">
        <v>7</v>
      </c>
      <c r="G387" s="68">
        <f t="shared" si="20"/>
        <v>0.1862499332888925</v>
      </c>
      <c r="H387" s="68">
        <f t="shared" si="21"/>
        <v>0.19329043169540516</v>
      </c>
      <c r="I387" s="68">
        <f t="shared" si="22"/>
        <v>0.16686157589459927</v>
      </c>
      <c r="J387" s="232">
        <f t="shared" si="23"/>
        <v>-5.9175452999799009E-3</v>
      </c>
      <c r="K387" s="321">
        <f t="shared" si="24"/>
        <v>-2.2396829079047172E-2</v>
      </c>
    </row>
    <row r="388" spans="1:11" x14ac:dyDescent="0.2">
      <c r="A388" s="320">
        <v>287</v>
      </c>
      <c r="B388" s="174">
        <v>38</v>
      </c>
      <c r="C388" s="174">
        <v>21</v>
      </c>
      <c r="D388" s="174">
        <v>3</v>
      </c>
      <c r="E388" s="174">
        <v>1</v>
      </c>
      <c r="F388" s="174">
        <v>19</v>
      </c>
      <c r="G388" s="68">
        <f t="shared" si="20"/>
        <v>0.3039089962202377</v>
      </c>
      <c r="H388" s="68">
        <f t="shared" si="21"/>
        <v>0.23206832850697845</v>
      </c>
      <c r="I388" s="68">
        <f t="shared" si="22"/>
        <v>0.18770527478611143</v>
      </c>
      <c r="J388" s="232">
        <f t="shared" si="23"/>
        <v>5.667234787062074E-2</v>
      </c>
      <c r="K388" s="321">
        <f t="shared" si="24"/>
        <v>-3.667122005851383E-2</v>
      </c>
    </row>
    <row r="389" spans="1:11" x14ac:dyDescent="0.2">
      <c r="A389" s="320">
        <v>288</v>
      </c>
      <c r="B389" s="174">
        <v>36</v>
      </c>
      <c r="C389" s="174">
        <v>14</v>
      </c>
      <c r="D389" s="174">
        <v>51</v>
      </c>
      <c r="E389" s="174">
        <v>72</v>
      </c>
      <c r="F389" s="174">
        <v>5</v>
      </c>
      <c r="G389" s="68">
        <f t="shared" si="20"/>
        <v>0.40330791142396638</v>
      </c>
      <c r="H389" s="68">
        <f t="shared" si="21"/>
        <v>0.39441122696642639</v>
      </c>
      <c r="I389" s="68">
        <f t="shared" si="22"/>
        <v>0.41249955839662777</v>
      </c>
      <c r="J389" s="232">
        <f t="shared" si="23"/>
        <v>6.3599768283844867E-3</v>
      </c>
      <c r="K389" s="321">
        <f t="shared" si="24"/>
        <v>1.2888604739989764E-2</v>
      </c>
    </row>
    <row r="390" spans="1:11" x14ac:dyDescent="0.2">
      <c r="A390" s="320">
        <v>289</v>
      </c>
      <c r="B390" s="174">
        <v>63</v>
      </c>
      <c r="C390" s="174">
        <v>32</v>
      </c>
      <c r="D390" s="174">
        <v>60</v>
      </c>
      <c r="E390" s="174">
        <v>58</v>
      </c>
      <c r="F390" s="174">
        <v>55</v>
      </c>
      <c r="G390" s="68">
        <f t="shared" si="20"/>
        <v>0.37161480498072219</v>
      </c>
      <c r="H390" s="68">
        <f t="shared" si="21"/>
        <v>0.40681655073789047</v>
      </c>
      <c r="I390" s="68">
        <f t="shared" si="22"/>
        <v>0.45568284710690476</v>
      </c>
      <c r="J390" s="232">
        <f t="shared" si="23"/>
        <v>-2.5340650863174139E-2</v>
      </c>
      <c r="K390" s="321">
        <f t="shared" si="24"/>
        <v>3.414571489726765E-2</v>
      </c>
    </row>
    <row r="391" spans="1:11" x14ac:dyDescent="0.2">
      <c r="A391" s="320">
        <v>290</v>
      </c>
      <c r="B391" s="174">
        <v>67</v>
      </c>
      <c r="C391" s="174">
        <v>61</v>
      </c>
      <c r="D391" s="174">
        <v>41</v>
      </c>
      <c r="E391" s="174">
        <v>66</v>
      </c>
      <c r="F391" s="174">
        <v>64</v>
      </c>
      <c r="G391" s="68">
        <f t="shared" si="20"/>
        <v>0.38316766314979134</v>
      </c>
      <c r="H391" s="68">
        <f t="shared" si="21"/>
        <v>0.35993351453567657</v>
      </c>
      <c r="I391" s="68">
        <f t="shared" si="22"/>
        <v>0.41229970683925066</v>
      </c>
      <c r="J391" s="232">
        <f t="shared" si="23"/>
        <v>1.6940464641885689E-2</v>
      </c>
      <c r="K391" s="321">
        <f t="shared" si="24"/>
        <v>3.7783561333877898E-2</v>
      </c>
    </row>
    <row r="392" spans="1:11" x14ac:dyDescent="0.2">
      <c r="A392" s="320">
        <v>291</v>
      </c>
      <c r="B392" s="174">
        <v>36</v>
      </c>
      <c r="C392" s="174">
        <v>62</v>
      </c>
      <c r="D392" s="174">
        <v>58</v>
      </c>
      <c r="E392" s="174">
        <v>66</v>
      </c>
      <c r="F392" s="174">
        <v>32</v>
      </c>
      <c r="G392" s="68">
        <f t="shared" si="20"/>
        <v>0.48475322633458706</v>
      </c>
      <c r="H392" s="68">
        <f t="shared" si="21"/>
        <v>0.48353925646666629</v>
      </c>
      <c r="I392" s="68">
        <f t="shared" si="22"/>
        <v>0.53541878902378315</v>
      </c>
      <c r="J392" s="232">
        <f t="shared" si="23"/>
        <v>8.1795843410940655E-4</v>
      </c>
      <c r="K392" s="321">
        <f t="shared" si="24"/>
        <v>3.4372548095241193E-2</v>
      </c>
    </row>
    <row r="393" spans="1:11" x14ac:dyDescent="0.2">
      <c r="A393" s="320">
        <v>292</v>
      </c>
      <c r="B393" s="174">
        <v>38</v>
      </c>
      <c r="C393" s="174">
        <v>11</v>
      </c>
      <c r="D393" s="174">
        <v>39</v>
      </c>
      <c r="E393" s="174">
        <v>49</v>
      </c>
      <c r="F393" s="174">
        <v>30</v>
      </c>
      <c r="G393" s="68">
        <f t="shared" si="20"/>
        <v>0.42722475156040884</v>
      </c>
      <c r="H393" s="68">
        <f t="shared" si="21"/>
        <v>0.3278367781474234</v>
      </c>
      <c r="I393" s="68">
        <f t="shared" si="22"/>
        <v>0.31214289842885568</v>
      </c>
      <c r="J393" s="232">
        <f t="shared" si="23"/>
        <v>7.2180689955628388E-2</v>
      </c>
      <c r="K393" s="321">
        <f t="shared" si="24"/>
        <v>-1.188953440257795E-2</v>
      </c>
    </row>
    <row r="394" spans="1:11" x14ac:dyDescent="0.2">
      <c r="A394" s="320">
        <v>293</v>
      </c>
      <c r="B394" s="174">
        <v>42</v>
      </c>
      <c r="C394" s="174">
        <v>36</v>
      </c>
      <c r="D394" s="174">
        <v>17</v>
      </c>
      <c r="E394" s="174">
        <v>19</v>
      </c>
      <c r="F394" s="174">
        <v>18</v>
      </c>
      <c r="G394" s="68">
        <f t="shared" si="20"/>
        <v>0.23727050996211729</v>
      </c>
      <c r="H394" s="68">
        <f t="shared" si="21"/>
        <v>0.2035880197294071</v>
      </c>
      <c r="I394" s="68">
        <f t="shared" si="22"/>
        <v>0.17120116050315404</v>
      </c>
      <c r="J394" s="232">
        <f t="shared" si="23"/>
        <v>2.7600639741641609E-2</v>
      </c>
      <c r="K394" s="321">
        <f t="shared" si="24"/>
        <v>-2.7277256935297305E-2</v>
      </c>
    </row>
    <row r="395" spans="1:11" x14ac:dyDescent="0.2">
      <c r="A395" s="320">
        <v>294</v>
      </c>
      <c r="B395" s="174">
        <v>3</v>
      </c>
      <c r="C395" s="174">
        <v>53</v>
      </c>
      <c r="D395" s="174">
        <v>28</v>
      </c>
      <c r="E395" s="174">
        <v>54</v>
      </c>
      <c r="F395" s="174">
        <v>60</v>
      </c>
      <c r="G395" s="68">
        <f t="shared" si="20"/>
        <v>0.49928183513053015</v>
      </c>
      <c r="H395" s="68">
        <f t="shared" si="21"/>
        <v>0.54069331236132956</v>
      </c>
      <c r="I395" s="68">
        <f t="shared" si="22"/>
        <v>0.57829148819819154</v>
      </c>
      <c r="J395" s="232">
        <f t="shared" si="23"/>
        <v>-2.7246301068265619E-2</v>
      </c>
      <c r="K395" s="321">
        <f t="shared" si="24"/>
        <v>2.4110407442561103E-2</v>
      </c>
    </row>
    <row r="396" spans="1:11" x14ac:dyDescent="0.2">
      <c r="A396" s="320">
        <v>295</v>
      </c>
      <c r="B396" s="174">
        <v>75</v>
      </c>
      <c r="C396" s="174">
        <v>72</v>
      </c>
      <c r="D396" s="174">
        <v>29</v>
      </c>
      <c r="E396" s="174">
        <v>61</v>
      </c>
      <c r="F396" s="174">
        <v>25</v>
      </c>
      <c r="G396" s="68">
        <f t="shared" si="20"/>
        <v>0.78581688680697281</v>
      </c>
      <c r="H396" s="68">
        <f t="shared" si="21"/>
        <v>0.77345323979475977</v>
      </c>
      <c r="I396" s="68">
        <f t="shared" si="22"/>
        <v>0.88561761846387488</v>
      </c>
      <c r="J396" s="232">
        <f t="shared" si="23"/>
        <v>6.947321389106643E-3</v>
      </c>
      <c r="K396" s="321">
        <f t="shared" si="24"/>
        <v>6.1326787462026515E-2</v>
      </c>
    </row>
    <row r="397" spans="1:11" x14ac:dyDescent="0.2">
      <c r="A397" s="320">
        <v>296</v>
      </c>
      <c r="B397" s="174">
        <v>48</v>
      </c>
      <c r="C397" s="174">
        <v>68</v>
      </c>
      <c r="D397" s="174">
        <v>41</v>
      </c>
      <c r="E397" s="174">
        <v>13</v>
      </c>
      <c r="F397" s="174">
        <v>1</v>
      </c>
      <c r="G397" s="68">
        <f t="shared" si="20"/>
        <v>0.75420643362774253</v>
      </c>
      <c r="H397" s="68">
        <f t="shared" si="21"/>
        <v>0.61381224158545544</v>
      </c>
      <c r="I397" s="68">
        <f t="shared" si="22"/>
        <v>0.65717927253676667</v>
      </c>
      <c r="J397" s="232">
        <f t="shared" si="23"/>
        <v>8.3417348116086171E-2</v>
      </c>
      <c r="K397" s="321">
        <f t="shared" si="24"/>
        <v>2.6517691653325882E-2</v>
      </c>
    </row>
    <row r="398" spans="1:11" x14ac:dyDescent="0.2">
      <c r="A398" s="320">
        <v>297</v>
      </c>
      <c r="B398" s="174">
        <v>26</v>
      </c>
      <c r="C398" s="174">
        <v>42</v>
      </c>
      <c r="D398" s="174">
        <v>71</v>
      </c>
      <c r="E398" s="174">
        <v>27</v>
      </c>
      <c r="F398" s="174">
        <v>24</v>
      </c>
      <c r="G398" s="68">
        <f t="shared" si="20"/>
        <v>1.0694214914307265</v>
      </c>
      <c r="H398" s="68">
        <f t="shared" si="21"/>
        <v>0.94440235472129119</v>
      </c>
      <c r="I398" s="68">
        <f t="shared" si="22"/>
        <v>1.0777026253760167</v>
      </c>
      <c r="J398" s="232">
        <f t="shared" si="23"/>
        <v>6.2314438263082972E-2</v>
      </c>
      <c r="K398" s="321">
        <f t="shared" si="24"/>
        <v>6.6308119049428127E-2</v>
      </c>
    </row>
    <row r="399" spans="1:11" x14ac:dyDescent="0.2">
      <c r="A399" s="320">
        <v>298</v>
      </c>
      <c r="B399" s="174">
        <v>60</v>
      </c>
      <c r="C399" s="174">
        <v>75</v>
      </c>
      <c r="D399" s="174">
        <v>14</v>
      </c>
      <c r="E399" s="174">
        <v>60</v>
      </c>
      <c r="F399" s="174">
        <v>39</v>
      </c>
      <c r="G399" s="68">
        <f t="shared" si="20"/>
        <v>0.82465435984974356</v>
      </c>
      <c r="H399" s="68">
        <f t="shared" si="21"/>
        <v>0.78574869491143984</v>
      </c>
      <c r="I399" s="68">
        <f t="shared" si="22"/>
        <v>0.8766629663662513</v>
      </c>
      <c r="J399" s="232">
        <f t="shared" si="23"/>
        <v>2.1552813016696159E-2</v>
      </c>
      <c r="K399" s="321">
        <f t="shared" si="24"/>
        <v>4.9657417522948298E-2</v>
      </c>
    </row>
    <row r="400" spans="1:11" x14ac:dyDescent="0.2">
      <c r="A400" s="320">
        <v>299</v>
      </c>
      <c r="B400" s="174">
        <v>54</v>
      </c>
      <c r="C400" s="174">
        <v>46</v>
      </c>
      <c r="D400" s="174">
        <v>13</v>
      </c>
      <c r="E400" s="174">
        <v>65</v>
      </c>
      <c r="F400" s="174">
        <v>67</v>
      </c>
      <c r="G400" s="68">
        <f t="shared" si="20"/>
        <v>0.46571705245850259</v>
      </c>
      <c r="H400" s="68">
        <f t="shared" si="21"/>
        <v>0.41864782959621638</v>
      </c>
      <c r="I400" s="68">
        <f t="shared" si="22"/>
        <v>0.46665256103909813</v>
      </c>
      <c r="J400" s="232">
        <f t="shared" si="23"/>
        <v>3.2640393054887709E-2</v>
      </c>
      <c r="K400" s="321">
        <f t="shared" si="24"/>
        <v>3.3278449463621261E-2</v>
      </c>
    </row>
    <row r="401" spans="1:11" x14ac:dyDescent="0.2">
      <c r="A401" s="320">
        <v>300</v>
      </c>
      <c r="B401" s="174">
        <v>48</v>
      </c>
      <c r="C401" s="174">
        <v>74</v>
      </c>
      <c r="D401" s="174">
        <v>27</v>
      </c>
      <c r="E401" s="174">
        <v>47</v>
      </c>
      <c r="F401" s="174">
        <v>29</v>
      </c>
      <c r="G401" s="68">
        <f t="shared" si="20"/>
        <v>0.7208726969660888</v>
      </c>
      <c r="H401" s="68">
        <f t="shared" si="21"/>
        <v>0.68375342332709943</v>
      </c>
      <c r="I401" s="68">
        <f t="shared" si="22"/>
        <v>0.77251699307650767</v>
      </c>
      <c r="J401" s="232">
        <f t="shared" si="23"/>
        <v>2.1806062210911449E-2</v>
      </c>
      <c r="K401" s="321">
        <f t="shared" si="24"/>
        <v>5.137508454855471E-2</v>
      </c>
    </row>
    <row r="402" spans="1:11" x14ac:dyDescent="0.2">
      <c r="A402" s="320">
        <v>301</v>
      </c>
      <c r="B402" s="174">
        <v>68</v>
      </c>
      <c r="C402" s="174">
        <v>28</v>
      </c>
      <c r="D402" s="174">
        <v>37</v>
      </c>
      <c r="E402" s="174">
        <v>63</v>
      </c>
      <c r="F402" s="174">
        <v>53</v>
      </c>
      <c r="G402" s="68">
        <f t="shared" si="20"/>
        <v>0.15129975553174102</v>
      </c>
      <c r="H402" s="68">
        <f t="shared" si="21"/>
        <v>0.19815024652131674</v>
      </c>
      <c r="I402" s="68">
        <f t="shared" si="22"/>
        <v>0.20341342467757384</v>
      </c>
      <c r="J402" s="232">
        <f t="shared" si="23"/>
        <v>-3.9887379931647961E-2</v>
      </c>
      <c r="K402" s="321">
        <f t="shared" si="24"/>
        <v>4.3831330775518018E-3</v>
      </c>
    </row>
    <row r="403" spans="1:11" x14ac:dyDescent="0.2">
      <c r="A403" s="320">
        <v>302</v>
      </c>
      <c r="B403" s="174">
        <v>45</v>
      </c>
      <c r="C403" s="174">
        <v>77</v>
      </c>
      <c r="D403" s="174">
        <v>69</v>
      </c>
      <c r="E403" s="174">
        <v>25</v>
      </c>
      <c r="F403" s="174">
        <v>24</v>
      </c>
      <c r="G403" s="68">
        <f t="shared" si="20"/>
        <v>0.63519242156043965</v>
      </c>
      <c r="H403" s="68">
        <f t="shared" si="21"/>
        <v>0.58223971701336463</v>
      </c>
      <c r="I403" s="68">
        <f t="shared" si="22"/>
        <v>0.66406564358637543</v>
      </c>
      <c r="J403" s="232">
        <f t="shared" si="23"/>
        <v>3.291910076457389E-2</v>
      </c>
      <c r="K403" s="321">
        <f t="shared" si="24"/>
        <v>5.0422405203948695E-2</v>
      </c>
    </row>
    <row r="404" spans="1:11" x14ac:dyDescent="0.2">
      <c r="A404" s="320">
        <v>303</v>
      </c>
      <c r="B404" s="174">
        <v>60</v>
      </c>
      <c r="C404" s="174">
        <v>60</v>
      </c>
      <c r="D404" s="174">
        <v>60</v>
      </c>
      <c r="E404" s="174">
        <v>28</v>
      </c>
      <c r="F404" s="174">
        <v>10</v>
      </c>
      <c r="G404" s="68">
        <f t="shared" si="20"/>
        <v>0.71388594225290936</v>
      </c>
      <c r="H404" s="68">
        <f t="shared" si="21"/>
        <v>0.80540700337888715</v>
      </c>
      <c r="I404" s="68">
        <f t="shared" si="22"/>
        <v>0.87357618776591472</v>
      </c>
      <c r="J404" s="232">
        <f t="shared" si="23"/>
        <v>-5.2022779818268979E-2</v>
      </c>
      <c r="K404" s="321">
        <f t="shared" si="24"/>
        <v>3.7062951429669991E-2</v>
      </c>
    </row>
    <row r="405" spans="1:11" x14ac:dyDescent="0.2">
      <c r="A405" s="320">
        <v>304</v>
      </c>
      <c r="B405" s="174">
        <v>46</v>
      </c>
      <c r="C405" s="174">
        <v>66</v>
      </c>
      <c r="D405" s="174">
        <v>30</v>
      </c>
      <c r="E405" s="174">
        <v>5</v>
      </c>
      <c r="F405" s="174">
        <v>31</v>
      </c>
      <c r="G405" s="68">
        <f t="shared" si="20"/>
        <v>0.40705423416509423</v>
      </c>
      <c r="H405" s="68">
        <f t="shared" si="21"/>
        <v>0.42142448853944914</v>
      </c>
      <c r="I405" s="68">
        <f t="shared" si="22"/>
        <v>0.44342996806482193</v>
      </c>
      <c r="J405" s="232">
        <f t="shared" si="23"/>
        <v>-1.0161206377824826E-2</v>
      </c>
      <c r="K405" s="321">
        <f t="shared" si="24"/>
        <v>1.5362673848170071E-2</v>
      </c>
    </row>
    <row r="406" spans="1:11" x14ac:dyDescent="0.2">
      <c r="A406" s="320">
        <v>305</v>
      </c>
      <c r="B406" s="174">
        <v>7</v>
      </c>
      <c r="C406" s="174">
        <v>6</v>
      </c>
      <c r="D406" s="174">
        <v>68</v>
      </c>
      <c r="E406" s="174">
        <v>76</v>
      </c>
      <c r="F406" s="174">
        <v>58</v>
      </c>
      <c r="G406" s="68">
        <f t="shared" si="20"/>
        <v>9.9576688826498838E-2</v>
      </c>
      <c r="H406" s="68">
        <f t="shared" si="21"/>
        <v>0.16370132307521845</v>
      </c>
      <c r="I406" s="68">
        <f t="shared" si="22"/>
        <v>0.14909260110368017</v>
      </c>
      <c r="J406" s="232">
        <f t="shared" si="23"/>
        <v>-5.6680443687485718E-2</v>
      </c>
      <c r="K406" s="321">
        <f t="shared" si="24"/>
        <v>-1.263313268811116E-2</v>
      </c>
    </row>
    <row r="407" spans="1:11" x14ac:dyDescent="0.2">
      <c r="A407" s="320">
        <v>306</v>
      </c>
      <c r="B407" s="174">
        <v>54</v>
      </c>
      <c r="C407" s="174">
        <v>20</v>
      </c>
      <c r="D407" s="174">
        <v>19</v>
      </c>
      <c r="E407" s="174">
        <v>44</v>
      </c>
      <c r="F407" s="174">
        <v>39</v>
      </c>
      <c r="G407" s="68">
        <f t="shared" si="20"/>
        <v>8.1466541508170787E-2</v>
      </c>
      <c r="H407" s="68">
        <f t="shared" si="21"/>
        <v>8.0078257017314858E-2</v>
      </c>
      <c r="I407" s="68">
        <f t="shared" si="22"/>
        <v>4.2918449403855252E-2</v>
      </c>
      <c r="J407" s="232">
        <f t="shared" si="23"/>
        <v>1.2845301033725227E-3</v>
      </c>
      <c r="K407" s="321">
        <f t="shared" si="24"/>
        <v>-3.5010514241506641E-2</v>
      </c>
    </row>
    <row r="408" spans="1:11" x14ac:dyDescent="0.2">
      <c r="A408" s="320">
        <v>307</v>
      </c>
      <c r="B408" s="174">
        <v>76</v>
      </c>
      <c r="C408" s="174">
        <v>69</v>
      </c>
      <c r="D408" s="174">
        <v>74</v>
      </c>
      <c r="E408" s="174">
        <v>6</v>
      </c>
      <c r="F408" s="174">
        <v>6</v>
      </c>
      <c r="G408" s="68">
        <f t="shared" si="20"/>
        <v>5.8768417069251511E-2</v>
      </c>
      <c r="H408" s="68">
        <f t="shared" si="21"/>
        <v>0.10779131647792939</v>
      </c>
      <c r="I408" s="68">
        <f t="shared" si="22"/>
        <v>9.2961797268117596E-2</v>
      </c>
      <c r="J408" s="232">
        <f t="shared" si="23"/>
        <v>-4.5261866117901034E-2</v>
      </c>
      <c r="K408" s="321">
        <f t="shared" si="24"/>
        <v>-1.3476971653121585E-2</v>
      </c>
    </row>
    <row r="409" spans="1:11" x14ac:dyDescent="0.2">
      <c r="A409" s="320">
        <v>308</v>
      </c>
      <c r="B409" s="174">
        <v>34</v>
      </c>
      <c r="C409" s="174">
        <v>54</v>
      </c>
      <c r="D409" s="174">
        <v>51</v>
      </c>
      <c r="E409" s="174">
        <v>64</v>
      </c>
      <c r="F409" s="174">
        <v>53</v>
      </c>
      <c r="G409" s="68">
        <f t="shared" si="20"/>
        <v>0.1013654645287394</v>
      </c>
      <c r="H409" s="68">
        <f t="shared" si="21"/>
        <v>0.13734577297421202</v>
      </c>
      <c r="I409" s="68">
        <f t="shared" si="22"/>
        <v>0.14067585729410781</v>
      </c>
      <c r="J409" s="232">
        <f t="shared" si="23"/>
        <v>-3.2146537072829148E-2</v>
      </c>
      <c r="K409" s="321">
        <f t="shared" si="24"/>
        <v>2.9236655593856951E-3</v>
      </c>
    </row>
    <row r="410" spans="1:11" x14ac:dyDescent="0.2">
      <c r="A410" s="320">
        <v>309</v>
      </c>
      <c r="B410" s="174">
        <v>12</v>
      </c>
      <c r="C410" s="174">
        <v>3</v>
      </c>
      <c r="D410" s="174">
        <v>31</v>
      </c>
      <c r="E410" s="174">
        <v>56</v>
      </c>
      <c r="F410" s="174">
        <v>33</v>
      </c>
      <c r="G410" s="68">
        <f t="shared" si="20"/>
        <v>0.78459957038484007</v>
      </c>
      <c r="H410" s="68">
        <f t="shared" si="21"/>
        <v>0.6862004608874499</v>
      </c>
      <c r="I410" s="68">
        <f t="shared" si="22"/>
        <v>0.74917726569411824</v>
      </c>
      <c r="J410" s="232">
        <f t="shared" si="23"/>
        <v>5.6716309913722791E-2</v>
      </c>
      <c r="K410" s="321">
        <f t="shared" si="24"/>
        <v>3.6667793663306816E-2</v>
      </c>
    </row>
    <row r="411" spans="1:11" x14ac:dyDescent="0.2">
      <c r="A411" s="320">
        <v>310</v>
      </c>
      <c r="B411" s="174">
        <v>66</v>
      </c>
      <c r="C411" s="174">
        <v>74</v>
      </c>
      <c r="D411" s="174">
        <v>39</v>
      </c>
      <c r="E411" s="174">
        <v>32</v>
      </c>
      <c r="F411" s="174">
        <v>39</v>
      </c>
      <c r="G411" s="68">
        <f t="shared" si="20"/>
        <v>0.61331356149655014</v>
      </c>
      <c r="H411" s="68">
        <f t="shared" si="21"/>
        <v>0.50986723851126259</v>
      </c>
      <c r="I411" s="68">
        <f t="shared" si="22"/>
        <v>0.53207612174389385</v>
      </c>
      <c r="J411" s="232">
        <f t="shared" si="23"/>
        <v>6.6268451268811007E-2</v>
      </c>
      <c r="K411" s="321">
        <f t="shared" si="24"/>
        <v>1.4602032460595901E-2</v>
      </c>
    </row>
    <row r="412" spans="1:11" x14ac:dyDescent="0.2">
      <c r="A412" s="320">
        <v>311</v>
      </c>
      <c r="B412" s="174">
        <v>67</v>
      </c>
      <c r="C412" s="174">
        <v>37</v>
      </c>
      <c r="D412" s="174">
        <v>49</v>
      </c>
      <c r="E412" s="174">
        <v>12</v>
      </c>
      <c r="F412" s="174">
        <v>8</v>
      </c>
      <c r="G412" s="68">
        <f t="shared" si="20"/>
        <v>0.10123188557596419</v>
      </c>
      <c r="H412" s="68">
        <f t="shared" si="21"/>
        <v>9.1437028972867873E-2</v>
      </c>
      <c r="I412" s="68">
        <f t="shared" si="22"/>
        <v>4.9259694780086516E-2</v>
      </c>
      <c r="J412" s="232">
        <f t="shared" si="23"/>
        <v>8.9342460147567981E-3</v>
      </c>
      <c r="K412" s="321">
        <f t="shared" si="24"/>
        <v>-3.941034023943063E-2</v>
      </c>
    </row>
    <row r="413" spans="1:11" x14ac:dyDescent="0.2">
      <c r="A413" s="320">
        <v>312</v>
      </c>
      <c r="B413" s="174">
        <v>50</v>
      </c>
      <c r="C413" s="174">
        <v>66</v>
      </c>
      <c r="D413" s="174">
        <v>26</v>
      </c>
      <c r="E413" s="174">
        <v>51</v>
      </c>
      <c r="F413" s="174">
        <v>75</v>
      </c>
      <c r="G413" s="68">
        <f t="shared" si="20"/>
        <v>0.79401084206246564</v>
      </c>
      <c r="H413" s="68">
        <f t="shared" si="21"/>
        <v>0.702935295610708</v>
      </c>
      <c r="I413" s="68">
        <f t="shared" si="22"/>
        <v>0.79405079927673872</v>
      </c>
      <c r="J413" s="232">
        <f t="shared" si="23"/>
        <v>5.2100400529276343E-2</v>
      </c>
      <c r="K413" s="321">
        <f t="shared" si="24"/>
        <v>5.2122672841331597E-2</v>
      </c>
    </row>
    <row r="414" spans="1:11" x14ac:dyDescent="0.2">
      <c r="A414" s="320">
        <v>313</v>
      </c>
      <c r="B414" s="174">
        <v>22</v>
      </c>
      <c r="C414" s="174">
        <v>25</v>
      </c>
      <c r="D414" s="174">
        <v>72</v>
      </c>
      <c r="E414" s="174">
        <v>65</v>
      </c>
      <c r="F414" s="174">
        <v>27</v>
      </c>
      <c r="G414" s="68">
        <f t="shared" si="20"/>
        <v>0.56735521007413814</v>
      </c>
      <c r="H414" s="68">
        <f t="shared" si="21"/>
        <v>0.53138012130414225</v>
      </c>
      <c r="I414" s="68">
        <f t="shared" si="22"/>
        <v>0.58693358184330324</v>
      </c>
      <c r="J414" s="232">
        <f t="shared" si="23"/>
        <v>2.322025041115891E-2</v>
      </c>
      <c r="K414" s="321">
        <f t="shared" si="24"/>
        <v>3.5634220399235396E-2</v>
      </c>
    </row>
    <row r="415" spans="1:11" x14ac:dyDescent="0.2">
      <c r="A415" s="320">
        <v>314</v>
      </c>
      <c r="B415" s="174">
        <v>32</v>
      </c>
      <c r="C415" s="174">
        <v>67</v>
      </c>
      <c r="D415" s="174">
        <v>24</v>
      </c>
      <c r="E415" s="174">
        <v>7</v>
      </c>
      <c r="F415" s="174">
        <v>56</v>
      </c>
      <c r="G415" s="68">
        <f t="shared" si="20"/>
        <v>0.24610346820433082</v>
      </c>
      <c r="H415" s="68">
        <f t="shared" si="21"/>
        <v>0.26543368753806251</v>
      </c>
      <c r="I415" s="68">
        <f t="shared" si="22"/>
        <v>0.25328073471997081</v>
      </c>
      <c r="J415" s="232">
        <f t="shared" si="23"/>
        <v>-1.5393442213112007E-2</v>
      </c>
      <c r="K415" s="321">
        <f t="shared" si="24"/>
        <v>-9.6501985488109763E-3</v>
      </c>
    </row>
    <row r="416" spans="1:11" x14ac:dyDescent="0.2">
      <c r="A416" s="320">
        <v>315</v>
      </c>
      <c r="B416" s="174">
        <v>19</v>
      </c>
      <c r="C416" s="174">
        <v>19</v>
      </c>
      <c r="D416" s="174">
        <v>23</v>
      </c>
      <c r="E416" s="174">
        <v>40</v>
      </c>
      <c r="F416" s="174">
        <v>58</v>
      </c>
      <c r="G416" s="68">
        <f t="shared" si="20"/>
        <v>0.38132060406817625</v>
      </c>
      <c r="H416" s="68">
        <f t="shared" si="21"/>
        <v>0.37438903452906347</v>
      </c>
      <c r="I416" s="68">
        <f t="shared" si="22"/>
        <v>0.37347398106491636</v>
      </c>
      <c r="J416" s="232">
        <f t="shared" si="23"/>
        <v>5.030707198399772E-3</v>
      </c>
      <c r="K416" s="321">
        <f t="shared" si="24"/>
        <v>-6.660110003871997E-4</v>
      </c>
    </row>
    <row r="417" spans="1:11" x14ac:dyDescent="0.2">
      <c r="A417" s="320">
        <v>316</v>
      </c>
      <c r="B417" s="174">
        <v>62</v>
      </c>
      <c r="C417" s="174">
        <v>14</v>
      </c>
      <c r="D417" s="174">
        <v>68</v>
      </c>
      <c r="E417" s="174">
        <v>37</v>
      </c>
      <c r="F417" s="174">
        <v>34</v>
      </c>
      <c r="G417" s="68">
        <f t="shared" si="20"/>
        <v>0.29624010360773667</v>
      </c>
      <c r="H417" s="68">
        <f t="shared" si="21"/>
        <v>0.30781581681282155</v>
      </c>
      <c r="I417" s="68">
        <f t="shared" si="22"/>
        <v>0.32926130377546059</v>
      </c>
      <c r="J417" s="232">
        <f t="shared" si="23"/>
        <v>-8.8905843856700775E-3</v>
      </c>
      <c r="K417" s="321">
        <f t="shared" si="24"/>
        <v>1.6264946955150166E-2</v>
      </c>
    </row>
    <row r="418" spans="1:11" x14ac:dyDescent="0.2">
      <c r="A418" s="320">
        <v>317</v>
      </c>
      <c r="B418" s="174">
        <v>29</v>
      </c>
      <c r="C418" s="174">
        <v>11</v>
      </c>
      <c r="D418" s="174">
        <v>64</v>
      </c>
      <c r="E418" s="174">
        <v>6</v>
      </c>
      <c r="F418" s="174">
        <v>33</v>
      </c>
      <c r="G418" s="68">
        <f t="shared" si="20"/>
        <v>0.12511762448629105</v>
      </c>
      <c r="H418" s="68">
        <f t="shared" si="21"/>
        <v>0.13973346172627688</v>
      </c>
      <c r="I418" s="68">
        <f t="shared" si="22"/>
        <v>0.13787980084760676</v>
      </c>
      <c r="J418" s="232">
        <f t="shared" si="23"/>
        <v>-1.290684427656498E-2</v>
      </c>
      <c r="K418" s="321">
        <f t="shared" si="24"/>
        <v>-1.6277225975099908E-3</v>
      </c>
    </row>
    <row r="419" spans="1:11" x14ac:dyDescent="0.2">
      <c r="A419" s="320">
        <v>318</v>
      </c>
      <c r="B419" s="174">
        <v>60</v>
      </c>
      <c r="C419" s="174">
        <v>7</v>
      </c>
      <c r="D419" s="174">
        <v>3</v>
      </c>
      <c r="E419" s="174">
        <v>36</v>
      </c>
      <c r="F419" s="174">
        <v>28</v>
      </c>
      <c r="G419" s="68">
        <f t="shared" si="20"/>
        <v>0.48640057694205763</v>
      </c>
      <c r="H419" s="68">
        <f t="shared" si="21"/>
        <v>0.50859391446855673</v>
      </c>
      <c r="I419" s="68">
        <f t="shared" si="22"/>
        <v>0.53099018285390231</v>
      </c>
      <c r="J419" s="232">
        <f t="shared" si="23"/>
        <v>-1.4820557311348298E-2</v>
      </c>
      <c r="K419" s="321">
        <f t="shared" si="24"/>
        <v>1.4736669874689549E-2</v>
      </c>
    </row>
    <row r="420" spans="1:11" x14ac:dyDescent="0.2">
      <c r="A420" s="320">
        <v>319</v>
      </c>
      <c r="B420" s="174">
        <v>35</v>
      </c>
      <c r="C420" s="174">
        <v>76</v>
      </c>
      <c r="D420" s="174">
        <v>49</v>
      </c>
      <c r="E420" s="174">
        <v>67</v>
      </c>
      <c r="F420" s="174">
        <v>27</v>
      </c>
      <c r="G420" s="68">
        <f t="shared" si="20"/>
        <v>0.72494950334160824</v>
      </c>
      <c r="H420" s="68">
        <f t="shared" si="21"/>
        <v>0.6901450379931382</v>
      </c>
      <c r="I420" s="68">
        <f t="shared" si="22"/>
        <v>0.77883927820155341</v>
      </c>
      <c r="J420" s="232">
        <f t="shared" si="23"/>
        <v>2.0383430079433284E-2</v>
      </c>
      <c r="K420" s="321">
        <f t="shared" si="24"/>
        <v>5.1146714151987266E-2</v>
      </c>
    </row>
    <row r="421" spans="1:11" x14ac:dyDescent="0.2">
      <c r="A421" s="320">
        <v>320</v>
      </c>
      <c r="B421" s="174">
        <v>39</v>
      </c>
      <c r="C421" s="174">
        <v>22</v>
      </c>
      <c r="D421" s="174">
        <v>25</v>
      </c>
      <c r="E421" s="174">
        <v>11</v>
      </c>
      <c r="F421" s="174">
        <v>29</v>
      </c>
      <c r="G421" s="68">
        <f t="shared" si="20"/>
        <v>0.42659925832139645</v>
      </c>
      <c r="H421" s="68">
        <f t="shared" si="21"/>
        <v>0.36632029692876333</v>
      </c>
      <c r="I421" s="68">
        <f t="shared" si="22"/>
        <v>0.35800378231015006</v>
      </c>
      <c r="J421" s="232">
        <f t="shared" si="23"/>
        <v>4.3172259320342E-2</v>
      </c>
      <c r="K421" s="321">
        <f t="shared" si="24"/>
        <v>-6.1053973099275101E-3</v>
      </c>
    </row>
    <row r="422" spans="1:11" x14ac:dyDescent="0.2">
      <c r="A422" s="320">
        <v>321</v>
      </c>
      <c r="B422" s="174">
        <v>6</v>
      </c>
      <c r="C422" s="174">
        <v>59</v>
      </c>
      <c r="D422" s="174">
        <v>54</v>
      </c>
      <c r="E422" s="174">
        <v>44</v>
      </c>
      <c r="F422" s="174">
        <v>33</v>
      </c>
      <c r="G422" s="68">
        <f t="shared" ref="G422:G485" si="25">(1+INDEX($Z$21:$Z$97,B422))*(1+INDEX($Z$21:$Z$97,C422))*(1+INDEX($Z$21:$Z$97,D422))*(1+INDEX($Z$21:$Z$97,E422))*(1+INDEX($Z$21:$Z$97,F422))-1</f>
        <v>0.36096294508774918</v>
      </c>
      <c r="H422" s="68">
        <f t="shared" ref="H422:H485" si="26">(1+INDEX($AA$21:$AA$97,B422))*(1+INDEX($AA$21:$AA$97,C422))*(1+INDEX($AA$21:$AA$97,D422))*(1+INDEX($AA$21:$AA$97,E422))*(1+INDEX($AA$21:$AA$97,F422))-1</f>
        <v>0.39368024847651739</v>
      </c>
      <c r="I422" s="68">
        <f t="shared" ref="I422:I485" si="27">(1+INDEX($AB$21:$AB$97,B422))*(1+INDEX($AB$21:$AB$97,C422))*(1+INDEX($AB$21:$AB$97,D422))*(1+INDEX($AB$21:$AB$97,E422))*(1+INDEX($AB$21:$AB$97,F422))-1</f>
        <v>0.41907190995766475</v>
      </c>
      <c r="J422" s="232">
        <f t="shared" ref="J422:J485" si="28">LN((1+G422)/(1+H422))</f>
        <v>-2.3755411978847046E-2</v>
      </c>
      <c r="K422" s="321">
        <f t="shared" ref="K422:K485" si="29">LN((1+I422)/(1+H422))</f>
        <v>1.8055164359008901E-2</v>
      </c>
    </row>
    <row r="423" spans="1:11" x14ac:dyDescent="0.2">
      <c r="A423" s="320">
        <v>322</v>
      </c>
      <c r="B423" s="174">
        <v>66</v>
      </c>
      <c r="C423" s="174">
        <v>57</v>
      </c>
      <c r="D423" s="174">
        <v>4</v>
      </c>
      <c r="E423" s="174">
        <v>39</v>
      </c>
      <c r="F423" s="174">
        <v>23</v>
      </c>
      <c r="G423" s="68">
        <f t="shared" si="25"/>
        <v>0.70739070658701664</v>
      </c>
      <c r="H423" s="68">
        <f t="shared" si="26"/>
        <v>0.58255363399430227</v>
      </c>
      <c r="I423" s="68">
        <f t="shared" si="27"/>
        <v>0.63852037303094145</v>
      </c>
      <c r="J423" s="232">
        <f t="shared" si="28"/>
        <v>7.5926536157480587E-2</v>
      </c>
      <c r="K423" s="321">
        <f t="shared" si="29"/>
        <v>3.47538566303882E-2</v>
      </c>
    </row>
    <row r="424" spans="1:11" x14ac:dyDescent="0.2">
      <c r="A424" s="320">
        <v>323</v>
      </c>
      <c r="B424" s="174">
        <v>55</v>
      </c>
      <c r="C424" s="174">
        <v>28</v>
      </c>
      <c r="D424" s="174">
        <v>49</v>
      </c>
      <c r="E424" s="174">
        <v>28</v>
      </c>
      <c r="F424" s="174">
        <v>3</v>
      </c>
      <c r="G424" s="68">
        <f t="shared" si="25"/>
        <v>0.75644390731709144</v>
      </c>
      <c r="H424" s="68">
        <f t="shared" si="26"/>
        <v>0.71920010375428345</v>
      </c>
      <c r="I424" s="68">
        <f t="shared" si="27"/>
        <v>0.80352881821557065</v>
      </c>
      <c r="J424" s="232">
        <f t="shared" si="28"/>
        <v>2.1432131168974886E-2</v>
      </c>
      <c r="K424" s="321">
        <f t="shared" si="29"/>
        <v>4.7886073586691065E-2</v>
      </c>
    </row>
    <row r="425" spans="1:11" x14ac:dyDescent="0.2">
      <c r="A425" s="320">
        <v>324</v>
      </c>
      <c r="B425" s="174">
        <v>19</v>
      </c>
      <c r="C425" s="174">
        <v>15</v>
      </c>
      <c r="D425" s="174">
        <v>3</v>
      </c>
      <c r="E425" s="174">
        <v>75</v>
      </c>
      <c r="F425" s="174">
        <v>77</v>
      </c>
      <c r="G425" s="68">
        <f t="shared" si="25"/>
        <v>0.32918683779861557</v>
      </c>
      <c r="H425" s="68">
        <f t="shared" si="26"/>
        <v>0.29181279836321905</v>
      </c>
      <c r="I425" s="68">
        <f t="shared" si="27"/>
        <v>0.31708584617784141</v>
      </c>
      <c r="J425" s="232">
        <f t="shared" si="28"/>
        <v>2.8520853146261991E-2</v>
      </c>
      <c r="K425" s="321">
        <f t="shared" si="29"/>
        <v>1.9375101808805691E-2</v>
      </c>
    </row>
    <row r="426" spans="1:11" x14ac:dyDescent="0.2">
      <c r="A426" s="320">
        <v>325</v>
      </c>
      <c r="B426" s="174">
        <v>73</v>
      </c>
      <c r="C426" s="174">
        <v>30</v>
      </c>
      <c r="D426" s="174">
        <v>58</v>
      </c>
      <c r="E426" s="174">
        <v>46</v>
      </c>
      <c r="F426" s="174">
        <v>64</v>
      </c>
      <c r="G426" s="68">
        <f t="shared" si="25"/>
        <v>0.44582881611954561</v>
      </c>
      <c r="H426" s="68">
        <f t="shared" si="26"/>
        <v>0.42526081209491018</v>
      </c>
      <c r="I426" s="68">
        <f t="shared" si="27"/>
        <v>0.49805739619645051</v>
      </c>
      <c r="J426" s="232">
        <f t="shared" si="28"/>
        <v>1.4327909297357548E-2</v>
      </c>
      <c r="K426" s="321">
        <f t="shared" si="29"/>
        <v>4.9814376574033661E-2</v>
      </c>
    </row>
    <row r="427" spans="1:11" x14ac:dyDescent="0.2">
      <c r="A427" s="320">
        <v>326</v>
      </c>
      <c r="B427" s="174">
        <v>4</v>
      </c>
      <c r="C427" s="174">
        <v>57</v>
      </c>
      <c r="D427" s="174">
        <v>42</v>
      </c>
      <c r="E427" s="174">
        <v>4</v>
      </c>
      <c r="F427" s="174">
        <v>35</v>
      </c>
      <c r="G427" s="68">
        <f t="shared" si="25"/>
        <v>0.58392689223280336</v>
      </c>
      <c r="H427" s="68">
        <f t="shared" si="26"/>
        <v>0.54092490579432106</v>
      </c>
      <c r="I427" s="68">
        <f t="shared" si="27"/>
        <v>0.61017459119309847</v>
      </c>
      <c r="J427" s="232">
        <f t="shared" si="28"/>
        <v>2.7524314110910244E-2</v>
      </c>
      <c r="K427" s="321">
        <f t="shared" si="29"/>
        <v>4.3959790529067601E-2</v>
      </c>
    </row>
    <row r="428" spans="1:11" x14ac:dyDescent="0.2">
      <c r="A428" s="320">
        <v>327</v>
      </c>
      <c r="B428" s="174">
        <v>8</v>
      </c>
      <c r="C428" s="174">
        <v>70</v>
      </c>
      <c r="D428" s="174">
        <v>71</v>
      </c>
      <c r="E428" s="174">
        <v>62</v>
      </c>
      <c r="F428" s="174">
        <v>11</v>
      </c>
      <c r="G428" s="68">
        <f t="shared" si="25"/>
        <v>-3.1670029121492971E-2</v>
      </c>
      <c r="H428" s="68">
        <f t="shared" si="26"/>
        <v>-5.5839603589401543E-3</v>
      </c>
      <c r="I428" s="68">
        <f t="shared" si="27"/>
        <v>-5.3012569242685825E-2</v>
      </c>
      <c r="J428" s="232">
        <f t="shared" si="28"/>
        <v>-2.6582761838050039E-2</v>
      </c>
      <c r="K428" s="321">
        <f t="shared" si="29"/>
        <v>-4.8869849632855157E-2</v>
      </c>
    </row>
    <row r="429" spans="1:11" x14ac:dyDescent="0.2">
      <c r="A429" s="320">
        <v>328</v>
      </c>
      <c r="B429" s="174">
        <v>36</v>
      </c>
      <c r="C429" s="174">
        <v>45</v>
      </c>
      <c r="D429" s="174">
        <v>46</v>
      </c>
      <c r="E429" s="174">
        <v>22</v>
      </c>
      <c r="F429" s="174">
        <v>38</v>
      </c>
      <c r="G429" s="68">
        <f t="shared" si="25"/>
        <v>0.30468344808854275</v>
      </c>
      <c r="H429" s="68">
        <f t="shared" si="26"/>
        <v>0.29628261434119985</v>
      </c>
      <c r="I429" s="68">
        <f t="shared" si="27"/>
        <v>0.29987970231788474</v>
      </c>
      <c r="J429" s="232">
        <f t="shared" si="28"/>
        <v>6.4598020573201076E-3</v>
      </c>
      <c r="K429" s="321">
        <f t="shared" si="29"/>
        <v>2.7710827288488522E-3</v>
      </c>
    </row>
    <row r="430" spans="1:11" x14ac:dyDescent="0.2">
      <c r="A430" s="320">
        <v>329</v>
      </c>
      <c r="B430" s="174">
        <v>32</v>
      </c>
      <c r="C430" s="174">
        <v>60</v>
      </c>
      <c r="D430" s="174">
        <v>20</v>
      </c>
      <c r="E430" s="174">
        <v>37</v>
      </c>
      <c r="F430" s="174">
        <v>52</v>
      </c>
      <c r="G430" s="68">
        <f t="shared" si="25"/>
        <v>0.47287152163139856</v>
      </c>
      <c r="H430" s="68">
        <f t="shared" si="26"/>
        <v>0.47629815917875806</v>
      </c>
      <c r="I430" s="68">
        <f t="shared" si="27"/>
        <v>0.47454402229277637</v>
      </c>
      <c r="J430" s="232">
        <f t="shared" si="28"/>
        <v>-2.3237992114561296E-3</v>
      </c>
      <c r="K430" s="321">
        <f t="shared" si="29"/>
        <v>-1.1889060713706329E-3</v>
      </c>
    </row>
    <row r="431" spans="1:11" x14ac:dyDescent="0.2">
      <c r="A431" s="320">
        <v>330</v>
      </c>
      <c r="B431" s="174">
        <v>37</v>
      </c>
      <c r="C431" s="174">
        <v>45</v>
      </c>
      <c r="D431" s="174">
        <v>75</v>
      </c>
      <c r="E431" s="174">
        <v>69</v>
      </c>
      <c r="F431" s="174">
        <v>77</v>
      </c>
      <c r="G431" s="68">
        <f t="shared" si="25"/>
        <v>0.33130122204545875</v>
      </c>
      <c r="H431" s="68">
        <f t="shared" si="26"/>
        <v>0.35416930725078477</v>
      </c>
      <c r="I431" s="68">
        <f t="shared" si="27"/>
        <v>0.40467444375736705</v>
      </c>
      <c r="J431" s="232">
        <f t="shared" si="28"/>
        <v>-1.7031382566398818E-2</v>
      </c>
      <c r="K431" s="321">
        <f t="shared" si="29"/>
        <v>3.6617354352326638E-2</v>
      </c>
    </row>
    <row r="432" spans="1:11" x14ac:dyDescent="0.2">
      <c r="A432" s="320">
        <v>331</v>
      </c>
      <c r="B432" s="174">
        <v>52</v>
      </c>
      <c r="C432" s="174">
        <v>2</v>
      </c>
      <c r="D432" s="174">
        <v>35</v>
      </c>
      <c r="E432" s="174">
        <v>16</v>
      </c>
      <c r="F432" s="174">
        <v>32</v>
      </c>
      <c r="G432" s="68">
        <f t="shared" si="25"/>
        <v>0.74699883819949742</v>
      </c>
      <c r="H432" s="68">
        <f t="shared" si="26"/>
        <v>0.66508227482683546</v>
      </c>
      <c r="I432" s="68">
        <f t="shared" si="27"/>
        <v>0.70508388305497927</v>
      </c>
      <c r="J432" s="232">
        <f t="shared" si="28"/>
        <v>4.8024829603680305E-2</v>
      </c>
      <c r="K432" s="321">
        <f t="shared" si="29"/>
        <v>2.373977127602795E-2</v>
      </c>
    </row>
    <row r="433" spans="1:11" x14ac:dyDescent="0.2">
      <c r="A433" s="320">
        <v>332</v>
      </c>
      <c r="B433" s="174">
        <v>67</v>
      </c>
      <c r="C433" s="174">
        <v>30</v>
      </c>
      <c r="D433" s="174">
        <v>58</v>
      </c>
      <c r="E433" s="174">
        <v>72</v>
      </c>
      <c r="F433" s="174">
        <v>51</v>
      </c>
      <c r="G433" s="68">
        <f t="shared" si="25"/>
        <v>0.88254266596634445</v>
      </c>
      <c r="H433" s="68">
        <f t="shared" si="26"/>
        <v>0.86374182507073116</v>
      </c>
      <c r="I433" s="68">
        <f t="shared" si="27"/>
        <v>0.96311516588718105</v>
      </c>
      <c r="J433" s="232">
        <f t="shared" si="28"/>
        <v>1.0037144151794856E-2</v>
      </c>
      <c r="K433" s="321">
        <f t="shared" si="29"/>
        <v>5.1946381073446332E-2</v>
      </c>
    </row>
    <row r="434" spans="1:11" x14ac:dyDescent="0.2">
      <c r="A434" s="320">
        <v>333</v>
      </c>
      <c r="B434" s="174">
        <v>52</v>
      </c>
      <c r="C434" s="174">
        <v>73</v>
      </c>
      <c r="D434" s="174">
        <v>52</v>
      </c>
      <c r="E434" s="174">
        <v>25</v>
      </c>
      <c r="F434" s="174">
        <v>21</v>
      </c>
      <c r="G434" s="68">
        <f t="shared" si="25"/>
        <v>0.7231368991001359</v>
      </c>
      <c r="H434" s="68">
        <f t="shared" si="26"/>
        <v>0.656718352371509</v>
      </c>
      <c r="I434" s="68">
        <f t="shared" si="27"/>
        <v>0.7186267364674952</v>
      </c>
      <c r="J434" s="232">
        <f t="shared" si="28"/>
        <v>3.9307658738807746E-2</v>
      </c>
      <c r="K434" s="321">
        <f t="shared" si="29"/>
        <v>3.6686813328239587E-2</v>
      </c>
    </row>
    <row r="435" spans="1:11" x14ac:dyDescent="0.2">
      <c r="A435" s="320">
        <v>334</v>
      </c>
      <c r="B435" s="174">
        <v>16</v>
      </c>
      <c r="C435" s="174">
        <v>52</v>
      </c>
      <c r="D435" s="174">
        <v>3</v>
      </c>
      <c r="E435" s="174">
        <v>57</v>
      </c>
      <c r="F435" s="174">
        <v>53</v>
      </c>
      <c r="G435" s="68">
        <f t="shared" si="25"/>
        <v>0.6099350042152818</v>
      </c>
      <c r="H435" s="68">
        <f t="shared" si="26"/>
        <v>0.53432515663717783</v>
      </c>
      <c r="I435" s="68">
        <f t="shared" si="27"/>
        <v>0.57541510006761398</v>
      </c>
      <c r="J435" s="232">
        <f t="shared" si="28"/>
        <v>4.8103161128457771E-2</v>
      </c>
      <c r="K435" s="321">
        <f t="shared" si="29"/>
        <v>2.6428146151004403E-2</v>
      </c>
    </row>
    <row r="436" spans="1:11" x14ac:dyDescent="0.2">
      <c r="A436" s="320">
        <v>335</v>
      </c>
      <c r="B436" s="174">
        <v>63</v>
      </c>
      <c r="C436" s="174">
        <v>15</v>
      </c>
      <c r="D436" s="174">
        <v>2</v>
      </c>
      <c r="E436" s="174">
        <v>57</v>
      </c>
      <c r="F436" s="174">
        <v>16</v>
      </c>
      <c r="G436" s="68">
        <f t="shared" si="25"/>
        <v>0.3599615962322078</v>
      </c>
      <c r="H436" s="68">
        <f t="shared" si="26"/>
        <v>0.26667824174826293</v>
      </c>
      <c r="I436" s="68">
        <f t="shared" si="27"/>
        <v>0.29294376187947635</v>
      </c>
      <c r="J436" s="232">
        <f t="shared" si="28"/>
        <v>7.1058545039915919E-2</v>
      </c>
      <c r="K436" s="321">
        <f t="shared" si="29"/>
        <v>2.0523688306277918E-2</v>
      </c>
    </row>
    <row r="437" spans="1:11" x14ac:dyDescent="0.2">
      <c r="A437" s="320">
        <v>336</v>
      </c>
      <c r="B437" s="174">
        <v>68</v>
      </c>
      <c r="C437" s="174">
        <v>48</v>
      </c>
      <c r="D437" s="174">
        <v>70</v>
      </c>
      <c r="E437" s="174">
        <v>6</v>
      </c>
      <c r="F437" s="174">
        <v>8</v>
      </c>
      <c r="G437" s="68">
        <f t="shared" si="25"/>
        <v>-0.1157388376663534</v>
      </c>
      <c r="H437" s="68">
        <f t="shared" si="26"/>
        <v>-6.1759061063715981E-2</v>
      </c>
      <c r="I437" s="68">
        <f t="shared" si="27"/>
        <v>-0.11739816466662845</v>
      </c>
      <c r="J437" s="232">
        <f t="shared" si="28"/>
        <v>-5.9254329049614154E-2</v>
      </c>
      <c r="K437" s="321">
        <f t="shared" si="29"/>
        <v>-6.1132604264270606E-2</v>
      </c>
    </row>
    <row r="438" spans="1:11" x14ac:dyDescent="0.2">
      <c r="A438" s="320">
        <v>337</v>
      </c>
      <c r="B438" s="174">
        <v>7</v>
      </c>
      <c r="C438" s="174">
        <v>21</v>
      </c>
      <c r="D438" s="174">
        <v>14</v>
      </c>
      <c r="E438" s="174">
        <v>20</v>
      </c>
      <c r="F438" s="174">
        <v>61</v>
      </c>
      <c r="G438" s="68">
        <f t="shared" si="25"/>
        <v>5.4419885403237833E-2</v>
      </c>
      <c r="H438" s="68">
        <f t="shared" si="26"/>
        <v>8.7423919474506118E-2</v>
      </c>
      <c r="I438" s="68">
        <f t="shared" si="27"/>
        <v>3.8855616935533632E-2</v>
      </c>
      <c r="J438" s="232">
        <f t="shared" si="28"/>
        <v>-3.082077839207762E-2</v>
      </c>
      <c r="K438" s="321">
        <f t="shared" si="29"/>
        <v>-4.5691783457195365E-2</v>
      </c>
    </row>
    <row r="439" spans="1:11" x14ac:dyDescent="0.2">
      <c r="A439" s="320">
        <v>338</v>
      </c>
      <c r="B439" s="174">
        <v>60</v>
      </c>
      <c r="C439" s="174">
        <v>62</v>
      </c>
      <c r="D439" s="174">
        <v>55</v>
      </c>
      <c r="E439" s="174">
        <v>53</v>
      </c>
      <c r="F439" s="174">
        <v>72</v>
      </c>
      <c r="G439" s="68">
        <f t="shared" si="25"/>
        <v>0.13958208467410071</v>
      </c>
      <c r="H439" s="68">
        <f t="shared" si="26"/>
        <v>0.23386243357723124</v>
      </c>
      <c r="I439" s="68">
        <f t="shared" si="27"/>
        <v>0.25291600803297154</v>
      </c>
      <c r="J439" s="232">
        <f t="shared" si="28"/>
        <v>-7.9487836381701552E-2</v>
      </c>
      <c r="K439" s="321">
        <f t="shared" si="29"/>
        <v>1.5324201786436694E-2</v>
      </c>
    </row>
    <row r="440" spans="1:11" x14ac:dyDescent="0.2">
      <c r="A440" s="320">
        <v>339</v>
      </c>
      <c r="B440" s="174">
        <v>61</v>
      </c>
      <c r="C440" s="174">
        <v>72</v>
      </c>
      <c r="D440" s="174">
        <v>47</v>
      </c>
      <c r="E440" s="174">
        <v>74</v>
      </c>
      <c r="F440" s="174">
        <v>5</v>
      </c>
      <c r="G440" s="68">
        <f t="shared" si="25"/>
        <v>0.43272036364840649</v>
      </c>
      <c r="H440" s="68">
        <f t="shared" si="26"/>
        <v>0.45750683739362596</v>
      </c>
      <c r="I440" s="68">
        <f t="shared" si="27"/>
        <v>0.5023216430768076</v>
      </c>
      <c r="J440" s="232">
        <f t="shared" si="28"/>
        <v>-1.7152341117551807E-2</v>
      </c>
      <c r="K440" s="321">
        <f t="shared" si="29"/>
        <v>3.0284343199508585E-2</v>
      </c>
    </row>
    <row r="441" spans="1:11" x14ac:dyDescent="0.2">
      <c r="A441" s="320">
        <v>340</v>
      </c>
      <c r="B441" s="174">
        <v>39</v>
      </c>
      <c r="C441" s="174">
        <v>44</v>
      </c>
      <c r="D441" s="174">
        <v>51</v>
      </c>
      <c r="E441" s="174">
        <v>49</v>
      </c>
      <c r="F441" s="174">
        <v>30</v>
      </c>
      <c r="G441" s="68">
        <f t="shared" si="25"/>
        <v>0.64813480862534045</v>
      </c>
      <c r="H441" s="68">
        <f t="shared" si="26"/>
        <v>0.53287363419275713</v>
      </c>
      <c r="I441" s="68">
        <f t="shared" si="27"/>
        <v>0.56819095890151816</v>
      </c>
      <c r="J441" s="232">
        <f t="shared" si="28"/>
        <v>7.2500063402592421E-2</v>
      </c>
      <c r="K441" s="321">
        <f t="shared" si="29"/>
        <v>2.2778533437279213E-2</v>
      </c>
    </row>
    <row r="442" spans="1:11" x14ac:dyDescent="0.2">
      <c r="A442" s="320">
        <v>341</v>
      </c>
      <c r="B442" s="174">
        <v>8</v>
      </c>
      <c r="C442" s="174">
        <v>24</v>
      </c>
      <c r="D442" s="174">
        <v>76</v>
      </c>
      <c r="E442" s="174">
        <v>44</v>
      </c>
      <c r="F442" s="174">
        <v>24</v>
      </c>
      <c r="G442" s="68">
        <f t="shared" si="25"/>
        <v>0.20990080383620646</v>
      </c>
      <c r="H442" s="68">
        <f t="shared" si="26"/>
        <v>0.19907179705246247</v>
      </c>
      <c r="I442" s="68">
        <f t="shared" si="27"/>
        <v>0.1886259634368157</v>
      </c>
      <c r="J442" s="232">
        <f t="shared" si="28"/>
        <v>8.9906209171302116E-3</v>
      </c>
      <c r="K442" s="321">
        <f t="shared" si="29"/>
        <v>-8.7497676058261014E-3</v>
      </c>
    </row>
    <row r="443" spans="1:11" x14ac:dyDescent="0.2">
      <c r="A443" s="320">
        <v>342</v>
      </c>
      <c r="B443" s="174">
        <v>17</v>
      </c>
      <c r="C443" s="174">
        <v>2</v>
      </c>
      <c r="D443" s="174">
        <v>27</v>
      </c>
      <c r="E443" s="174">
        <v>70</v>
      </c>
      <c r="F443" s="174">
        <v>59</v>
      </c>
      <c r="G443" s="68">
        <f t="shared" si="25"/>
        <v>0.90930032951017248</v>
      </c>
      <c r="H443" s="68">
        <f t="shared" si="26"/>
        <v>0.82032136735325123</v>
      </c>
      <c r="I443" s="68">
        <f t="shared" si="27"/>
        <v>0.89588980764750592</v>
      </c>
      <c r="J443" s="232">
        <f t="shared" si="28"/>
        <v>4.7723794349021499E-2</v>
      </c>
      <c r="K443" s="321">
        <f t="shared" si="29"/>
        <v>4.0675222844609824E-2</v>
      </c>
    </row>
    <row r="444" spans="1:11" x14ac:dyDescent="0.2">
      <c r="A444" s="320">
        <v>343</v>
      </c>
      <c r="B444" s="174">
        <v>44</v>
      </c>
      <c r="C444" s="174">
        <v>27</v>
      </c>
      <c r="D444" s="174">
        <v>6</v>
      </c>
      <c r="E444" s="174">
        <v>27</v>
      </c>
      <c r="F444" s="174">
        <v>66</v>
      </c>
      <c r="G444" s="68">
        <f t="shared" si="25"/>
        <v>0.50559731122526363</v>
      </c>
      <c r="H444" s="68">
        <f t="shared" si="26"/>
        <v>0.48394267148856795</v>
      </c>
      <c r="I444" s="68">
        <f t="shared" si="27"/>
        <v>0.53564907105430715</v>
      </c>
      <c r="J444" s="232">
        <f t="shared" si="28"/>
        <v>1.4487191071467264E-2</v>
      </c>
      <c r="K444" s="321">
        <f t="shared" si="29"/>
        <v>3.4250626330097414E-2</v>
      </c>
    </row>
    <row r="445" spans="1:11" x14ac:dyDescent="0.2">
      <c r="A445" s="320">
        <v>344</v>
      </c>
      <c r="B445" s="174">
        <v>50</v>
      </c>
      <c r="C445" s="174">
        <v>46</v>
      </c>
      <c r="D445" s="174">
        <v>2</v>
      </c>
      <c r="E445" s="174">
        <v>35</v>
      </c>
      <c r="F445" s="174">
        <v>45</v>
      </c>
      <c r="G445" s="68">
        <f t="shared" si="25"/>
        <v>0.599454887655678</v>
      </c>
      <c r="H445" s="68">
        <f t="shared" si="26"/>
        <v>0.54580587032232852</v>
      </c>
      <c r="I445" s="68">
        <f t="shared" si="27"/>
        <v>0.60306991994030934</v>
      </c>
      <c r="J445" s="232">
        <f t="shared" si="28"/>
        <v>3.4117502702326025E-2</v>
      </c>
      <c r="K445" s="321">
        <f t="shared" si="29"/>
        <v>3.6375117576371012E-2</v>
      </c>
    </row>
    <row r="446" spans="1:11" x14ac:dyDescent="0.2">
      <c r="A446" s="320">
        <v>345</v>
      </c>
      <c r="B446" s="174">
        <v>64</v>
      </c>
      <c r="C446" s="174">
        <v>45</v>
      </c>
      <c r="D446" s="174">
        <v>23</v>
      </c>
      <c r="E446" s="174">
        <v>45</v>
      </c>
      <c r="F446" s="174">
        <v>38</v>
      </c>
      <c r="G446" s="68">
        <f t="shared" si="25"/>
        <v>0.17566197750582857</v>
      </c>
      <c r="H446" s="68">
        <f t="shared" si="26"/>
        <v>0.15887640140149339</v>
      </c>
      <c r="I446" s="68">
        <f t="shared" si="27"/>
        <v>0.17702982632547193</v>
      </c>
      <c r="J446" s="232">
        <f t="shared" si="28"/>
        <v>1.438045784385087E-2</v>
      </c>
      <c r="K446" s="321">
        <f t="shared" si="29"/>
        <v>1.5543252708471152E-2</v>
      </c>
    </row>
    <row r="447" spans="1:11" x14ac:dyDescent="0.2">
      <c r="A447" s="320">
        <v>346</v>
      </c>
      <c r="B447" s="174">
        <v>50</v>
      </c>
      <c r="C447" s="174">
        <v>65</v>
      </c>
      <c r="D447" s="174">
        <v>46</v>
      </c>
      <c r="E447" s="174">
        <v>67</v>
      </c>
      <c r="F447" s="174">
        <v>2</v>
      </c>
      <c r="G447" s="68">
        <f t="shared" si="25"/>
        <v>0.5295804324989144</v>
      </c>
      <c r="H447" s="68">
        <f t="shared" si="26"/>
        <v>0.46390425269914104</v>
      </c>
      <c r="I447" s="68">
        <f t="shared" si="27"/>
        <v>0.51070505826971058</v>
      </c>
      <c r="J447" s="232">
        <f t="shared" si="28"/>
        <v>4.3886458433736432E-2</v>
      </c>
      <c r="K447" s="321">
        <f t="shared" si="29"/>
        <v>3.1469455618655634E-2</v>
      </c>
    </row>
    <row r="448" spans="1:11" x14ac:dyDescent="0.2">
      <c r="A448" s="320">
        <v>347</v>
      </c>
      <c r="B448" s="174">
        <v>9</v>
      </c>
      <c r="C448" s="174">
        <v>21</v>
      </c>
      <c r="D448" s="174">
        <v>28</v>
      </c>
      <c r="E448" s="174">
        <v>48</v>
      </c>
      <c r="F448" s="174">
        <v>10</v>
      </c>
      <c r="G448" s="68">
        <f t="shared" si="25"/>
        <v>-9.7359603005374384E-2</v>
      </c>
      <c r="H448" s="68">
        <f t="shared" si="26"/>
        <v>-3.299400726227264E-2</v>
      </c>
      <c r="I448" s="68">
        <f t="shared" si="27"/>
        <v>-8.6518650892971505E-2</v>
      </c>
      <c r="J448" s="232">
        <f t="shared" si="28"/>
        <v>-6.8880450035856203E-2</v>
      </c>
      <c r="K448" s="321">
        <f t="shared" si="29"/>
        <v>-5.6941734031345823E-2</v>
      </c>
    </row>
    <row r="449" spans="1:11" x14ac:dyDescent="0.2">
      <c r="A449" s="320">
        <v>348</v>
      </c>
      <c r="B449" s="174">
        <v>26</v>
      </c>
      <c r="C449" s="174">
        <v>49</v>
      </c>
      <c r="D449" s="174">
        <v>34</v>
      </c>
      <c r="E449" s="174">
        <v>17</v>
      </c>
      <c r="F449" s="174">
        <v>26</v>
      </c>
      <c r="G449" s="68">
        <f t="shared" si="25"/>
        <v>0.868689213326723</v>
      </c>
      <c r="H449" s="68">
        <f t="shared" si="26"/>
        <v>0.80052142131321502</v>
      </c>
      <c r="I449" s="68">
        <f t="shared" si="27"/>
        <v>0.90161495053134999</v>
      </c>
      <c r="J449" s="232">
        <f t="shared" si="28"/>
        <v>3.7160928181370255E-2</v>
      </c>
      <c r="K449" s="321">
        <f t="shared" si="29"/>
        <v>5.4627197652209906E-2</v>
      </c>
    </row>
    <row r="450" spans="1:11" x14ac:dyDescent="0.2">
      <c r="A450" s="320">
        <v>349</v>
      </c>
      <c r="B450" s="174">
        <v>45</v>
      </c>
      <c r="C450" s="174">
        <v>3</v>
      </c>
      <c r="D450" s="174">
        <v>30</v>
      </c>
      <c r="E450" s="174">
        <v>58</v>
      </c>
      <c r="F450" s="174">
        <v>67</v>
      </c>
      <c r="G450" s="68">
        <f t="shared" si="25"/>
        <v>0.7408444397103604</v>
      </c>
      <c r="H450" s="68">
        <f t="shared" si="26"/>
        <v>0.70957411082402033</v>
      </c>
      <c r="I450" s="68">
        <f t="shared" si="27"/>
        <v>0.79260532134787409</v>
      </c>
      <c r="J450" s="232">
        <f t="shared" si="28"/>
        <v>1.8126024183082567E-2</v>
      </c>
      <c r="K450" s="321">
        <f t="shared" si="29"/>
        <v>4.7425766948134232E-2</v>
      </c>
    </row>
    <row r="451" spans="1:11" x14ac:dyDescent="0.2">
      <c r="A451" s="320">
        <v>350</v>
      </c>
      <c r="B451" s="174">
        <v>72</v>
      </c>
      <c r="C451" s="174">
        <v>20</v>
      </c>
      <c r="D451" s="174">
        <v>28</v>
      </c>
      <c r="E451" s="174">
        <v>63</v>
      </c>
      <c r="F451" s="174">
        <v>53</v>
      </c>
      <c r="G451" s="68">
        <f t="shared" si="25"/>
        <v>0.17368501229728817</v>
      </c>
      <c r="H451" s="68">
        <f t="shared" si="26"/>
        <v>0.23922923926256567</v>
      </c>
      <c r="I451" s="68">
        <f t="shared" si="27"/>
        <v>0.25345056806542843</v>
      </c>
      <c r="J451" s="232">
        <f t="shared" si="28"/>
        <v>-5.4341222692721514E-2</v>
      </c>
      <c r="K451" s="321">
        <f t="shared" si="29"/>
        <v>1.1410597593959711E-2</v>
      </c>
    </row>
    <row r="452" spans="1:11" x14ac:dyDescent="0.2">
      <c r="A452" s="320">
        <v>351</v>
      </c>
      <c r="B452" s="174">
        <v>18</v>
      </c>
      <c r="C452" s="174">
        <v>73</v>
      </c>
      <c r="D452" s="174">
        <v>3</v>
      </c>
      <c r="E452" s="174">
        <v>71</v>
      </c>
      <c r="F452" s="174">
        <v>76</v>
      </c>
      <c r="G452" s="68">
        <f t="shared" si="25"/>
        <v>0.58344839986360952</v>
      </c>
      <c r="H452" s="68">
        <f t="shared" si="26"/>
        <v>0.48280188794915979</v>
      </c>
      <c r="I452" s="68">
        <f t="shared" si="27"/>
        <v>0.51272300063287224</v>
      </c>
      <c r="J452" s="232">
        <f t="shared" si="28"/>
        <v>6.5671534809775792E-2</v>
      </c>
      <c r="K452" s="321">
        <f t="shared" si="29"/>
        <v>1.9977872963702892E-2</v>
      </c>
    </row>
    <row r="453" spans="1:11" x14ac:dyDescent="0.2">
      <c r="A453" s="320">
        <v>352</v>
      </c>
      <c r="B453" s="174">
        <v>37</v>
      </c>
      <c r="C453" s="174">
        <v>10</v>
      </c>
      <c r="D453" s="174">
        <v>60</v>
      </c>
      <c r="E453" s="174">
        <v>20</v>
      </c>
      <c r="F453" s="174">
        <v>64</v>
      </c>
      <c r="G453" s="68">
        <f t="shared" si="25"/>
        <v>-9.7586979911459593E-2</v>
      </c>
      <c r="H453" s="68">
        <f t="shared" si="26"/>
        <v>-6.1276890709302534E-2</v>
      </c>
      <c r="I453" s="68">
        <f t="shared" si="27"/>
        <v>-0.10120886161376541</v>
      </c>
      <c r="J453" s="232">
        <f t="shared" si="28"/>
        <v>-3.9448248509131846E-2</v>
      </c>
      <c r="K453" s="321">
        <f t="shared" si="29"/>
        <v>-4.3469876559237106E-2</v>
      </c>
    </row>
    <row r="454" spans="1:11" x14ac:dyDescent="0.2">
      <c r="A454" s="320">
        <v>353</v>
      </c>
      <c r="B454" s="174">
        <v>49</v>
      </c>
      <c r="C454" s="174">
        <v>21</v>
      </c>
      <c r="D454" s="174">
        <v>29</v>
      </c>
      <c r="E454" s="174">
        <v>9</v>
      </c>
      <c r="F454" s="174">
        <v>69</v>
      </c>
      <c r="G454" s="68">
        <f t="shared" si="25"/>
        <v>0.21810900751267548</v>
      </c>
      <c r="H454" s="68">
        <f t="shared" si="26"/>
        <v>0.25834781221622527</v>
      </c>
      <c r="I454" s="68">
        <f t="shared" si="27"/>
        <v>0.23398829645011521</v>
      </c>
      <c r="J454" s="232">
        <f t="shared" si="28"/>
        <v>-3.2499937943761444E-2</v>
      </c>
      <c r="K454" s="321">
        <f t="shared" si="29"/>
        <v>-1.9548159163616331E-2</v>
      </c>
    </row>
    <row r="455" spans="1:11" x14ac:dyDescent="0.2">
      <c r="A455" s="320">
        <v>354</v>
      </c>
      <c r="B455" s="174">
        <v>58</v>
      </c>
      <c r="C455" s="174">
        <v>50</v>
      </c>
      <c r="D455" s="174">
        <v>13</v>
      </c>
      <c r="E455" s="174">
        <v>30</v>
      </c>
      <c r="F455" s="174">
        <v>11</v>
      </c>
      <c r="G455" s="68">
        <f t="shared" si="25"/>
        <v>0.84587546739898101</v>
      </c>
      <c r="H455" s="68">
        <f t="shared" si="26"/>
        <v>0.70825191078054894</v>
      </c>
      <c r="I455" s="68">
        <f t="shared" si="27"/>
        <v>0.7622968906171399</v>
      </c>
      <c r="J455" s="232">
        <f t="shared" si="28"/>
        <v>7.7483099786086557E-2</v>
      </c>
      <c r="K455" s="321">
        <f t="shared" si="29"/>
        <v>3.1147436459182821E-2</v>
      </c>
    </row>
    <row r="456" spans="1:11" x14ac:dyDescent="0.2">
      <c r="A456" s="320">
        <v>355</v>
      </c>
      <c r="B456" s="174">
        <v>76</v>
      </c>
      <c r="C456" s="174">
        <v>15</v>
      </c>
      <c r="D456" s="174">
        <v>65</v>
      </c>
      <c r="E456" s="174">
        <v>4</v>
      </c>
      <c r="F456" s="174">
        <v>76</v>
      </c>
      <c r="G456" s="68">
        <f t="shared" si="25"/>
        <v>0.23252816951872557</v>
      </c>
      <c r="H456" s="68">
        <f t="shared" si="26"/>
        <v>0.22105362856012434</v>
      </c>
      <c r="I456" s="68">
        <f t="shared" si="27"/>
        <v>0.24945819483441234</v>
      </c>
      <c r="J456" s="232">
        <f t="shared" si="28"/>
        <v>9.3533662681137414E-3</v>
      </c>
      <c r="K456" s="321">
        <f t="shared" si="29"/>
        <v>2.2995897218982757E-2</v>
      </c>
    </row>
    <row r="457" spans="1:11" x14ac:dyDescent="0.2">
      <c r="A457" s="320">
        <v>356</v>
      </c>
      <c r="B457" s="174">
        <v>45</v>
      </c>
      <c r="C457" s="174">
        <v>5</v>
      </c>
      <c r="D457" s="174">
        <v>65</v>
      </c>
      <c r="E457" s="174">
        <v>63</v>
      </c>
      <c r="F457" s="174">
        <v>7</v>
      </c>
      <c r="G457" s="68">
        <f t="shared" si="25"/>
        <v>-0.23864560368710297</v>
      </c>
      <c r="H457" s="68">
        <f t="shared" si="26"/>
        <v>-0.18475124457076142</v>
      </c>
      <c r="I457" s="68">
        <f t="shared" si="27"/>
        <v>-0.20452083310425317</v>
      </c>
      <c r="J457" s="232">
        <f t="shared" si="28"/>
        <v>-6.839434042065351E-2</v>
      </c>
      <c r="K457" s="321">
        <f t="shared" si="29"/>
        <v>-2.4548629312655969E-2</v>
      </c>
    </row>
    <row r="458" spans="1:11" x14ac:dyDescent="0.2">
      <c r="A458" s="320">
        <v>357</v>
      </c>
      <c r="B458" s="174">
        <v>31</v>
      </c>
      <c r="C458" s="174">
        <v>33</v>
      </c>
      <c r="D458" s="174">
        <v>59</v>
      </c>
      <c r="E458" s="174">
        <v>69</v>
      </c>
      <c r="F458" s="174">
        <v>37</v>
      </c>
      <c r="G458" s="68">
        <f t="shared" si="25"/>
        <v>0.77671006519757935</v>
      </c>
      <c r="H458" s="68">
        <f t="shared" si="26"/>
        <v>0.79330485926278493</v>
      </c>
      <c r="I458" s="68">
        <f t="shared" si="27"/>
        <v>0.85692068415596601</v>
      </c>
      <c r="J458" s="232">
        <f t="shared" si="28"/>
        <v>-9.2968314932374407E-3</v>
      </c>
      <c r="K458" s="321">
        <f t="shared" si="29"/>
        <v>3.4859361996441594E-2</v>
      </c>
    </row>
    <row r="459" spans="1:11" x14ac:dyDescent="0.2">
      <c r="A459" s="320">
        <v>358</v>
      </c>
      <c r="B459" s="174">
        <v>57</v>
      </c>
      <c r="C459" s="174">
        <v>7</v>
      </c>
      <c r="D459" s="174">
        <v>39</v>
      </c>
      <c r="E459" s="174">
        <v>43</v>
      </c>
      <c r="F459" s="174">
        <v>76</v>
      </c>
      <c r="G459" s="68">
        <f t="shared" si="25"/>
        <v>0.29078311508394106</v>
      </c>
      <c r="H459" s="68">
        <f t="shared" si="26"/>
        <v>0.27039506326111518</v>
      </c>
      <c r="I459" s="68">
        <f t="shared" si="27"/>
        <v>0.28976212559265169</v>
      </c>
      <c r="J459" s="232">
        <f t="shared" si="28"/>
        <v>1.5921174608986659E-2</v>
      </c>
      <c r="K459" s="321">
        <f t="shared" si="29"/>
        <v>1.5129877073512118E-2</v>
      </c>
    </row>
    <row r="460" spans="1:11" x14ac:dyDescent="0.2">
      <c r="A460" s="320">
        <v>359</v>
      </c>
      <c r="B460" s="174">
        <v>53</v>
      </c>
      <c r="C460" s="174">
        <v>12</v>
      </c>
      <c r="D460" s="174">
        <v>16</v>
      </c>
      <c r="E460" s="174">
        <v>12</v>
      </c>
      <c r="F460" s="174">
        <v>37</v>
      </c>
      <c r="G460" s="68">
        <f t="shared" si="25"/>
        <v>0.28765173112857156</v>
      </c>
      <c r="H460" s="68">
        <f t="shared" si="26"/>
        <v>0.23130762326499554</v>
      </c>
      <c r="I460" s="68">
        <f t="shared" si="27"/>
        <v>0.21703063065977224</v>
      </c>
      <c r="J460" s="232">
        <f t="shared" si="28"/>
        <v>4.4743483001943606E-2</v>
      </c>
      <c r="K460" s="321">
        <f t="shared" si="29"/>
        <v>-1.1662730352575541E-2</v>
      </c>
    </row>
    <row r="461" spans="1:11" x14ac:dyDescent="0.2">
      <c r="A461" s="320">
        <v>360</v>
      </c>
      <c r="B461" s="174">
        <v>12</v>
      </c>
      <c r="C461" s="174">
        <v>72</v>
      </c>
      <c r="D461" s="174">
        <v>41</v>
      </c>
      <c r="E461" s="174">
        <v>71</v>
      </c>
      <c r="F461" s="174">
        <v>6</v>
      </c>
      <c r="G461" s="68">
        <f t="shared" si="25"/>
        <v>0.5363757122433801</v>
      </c>
      <c r="H461" s="68">
        <f t="shared" si="26"/>
        <v>0.49423404967569695</v>
      </c>
      <c r="I461" s="68">
        <f t="shared" si="27"/>
        <v>0.53440586013924252</v>
      </c>
      <c r="J461" s="232">
        <f t="shared" si="28"/>
        <v>2.7812474942913772E-2</v>
      </c>
      <c r="K461" s="321">
        <f t="shared" si="29"/>
        <v>2.652951011594502E-2</v>
      </c>
    </row>
    <row r="462" spans="1:11" x14ac:dyDescent="0.2">
      <c r="A462" s="320">
        <v>361</v>
      </c>
      <c r="B462" s="174">
        <v>60</v>
      </c>
      <c r="C462" s="174">
        <v>19</v>
      </c>
      <c r="D462" s="174">
        <v>31</v>
      </c>
      <c r="E462" s="174">
        <v>22</v>
      </c>
      <c r="F462" s="174">
        <v>24</v>
      </c>
      <c r="G462" s="68">
        <f t="shared" si="25"/>
        <v>0.4780242868369633</v>
      </c>
      <c r="H462" s="68">
        <f t="shared" si="26"/>
        <v>0.48764446086442637</v>
      </c>
      <c r="I462" s="68">
        <f t="shared" si="27"/>
        <v>0.49389103208311913</v>
      </c>
      <c r="J462" s="232">
        <f t="shared" si="28"/>
        <v>-6.4877156479599199E-3</v>
      </c>
      <c r="K462" s="321">
        <f t="shared" si="29"/>
        <v>4.1901767549119779E-3</v>
      </c>
    </row>
    <row r="463" spans="1:11" x14ac:dyDescent="0.2">
      <c r="A463" s="320">
        <v>362</v>
      </c>
      <c r="B463" s="174">
        <v>64</v>
      </c>
      <c r="C463" s="174">
        <v>23</v>
      </c>
      <c r="D463" s="174">
        <v>48</v>
      </c>
      <c r="E463" s="174">
        <v>47</v>
      </c>
      <c r="F463" s="174">
        <v>45</v>
      </c>
      <c r="G463" s="68">
        <f t="shared" si="25"/>
        <v>0.22079129057322167</v>
      </c>
      <c r="H463" s="68">
        <f t="shared" si="26"/>
        <v>0.19824248416084789</v>
      </c>
      <c r="I463" s="68">
        <f t="shared" si="27"/>
        <v>0.23014696030318937</v>
      </c>
      <c r="J463" s="232">
        <f t="shared" si="28"/>
        <v>1.8643360634892935E-2</v>
      </c>
      <c r="K463" s="321">
        <f t="shared" si="29"/>
        <v>2.6277755476994048E-2</v>
      </c>
    </row>
    <row r="464" spans="1:11" x14ac:dyDescent="0.2">
      <c r="A464" s="320">
        <v>363</v>
      </c>
      <c r="B464" s="174">
        <v>41</v>
      </c>
      <c r="C464" s="174">
        <v>30</v>
      </c>
      <c r="D464" s="174">
        <v>36</v>
      </c>
      <c r="E464" s="174">
        <v>72</v>
      </c>
      <c r="F464" s="174">
        <v>25</v>
      </c>
      <c r="G464" s="68">
        <f t="shared" si="25"/>
        <v>0.75765882894323577</v>
      </c>
      <c r="H464" s="68">
        <f t="shared" si="26"/>
        <v>0.70124060242912956</v>
      </c>
      <c r="I464" s="68">
        <f t="shared" si="27"/>
        <v>0.77526698576084185</v>
      </c>
      <c r="J464" s="232">
        <f t="shared" si="28"/>
        <v>3.2624961659437887E-2</v>
      </c>
      <c r="K464" s="321">
        <f t="shared" si="29"/>
        <v>4.2593075082277096E-2</v>
      </c>
    </row>
    <row r="465" spans="1:11" x14ac:dyDescent="0.2">
      <c r="A465" s="320">
        <v>364</v>
      </c>
      <c r="B465" s="174">
        <v>3</v>
      </c>
      <c r="C465" s="174">
        <v>12</v>
      </c>
      <c r="D465" s="174">
        <v>15</v>
      </c>
      <c r="E465" s="174">
        <v>74</v>
      </c>
      <c r="F465" s="174">
        <v>41</v>
      </c>
      <c r="G465" s="68">
        <f t="shared" si="25"/>
        <v>0.69259979934325089</v>
      </c>
      <c r="H465" s="68">
        <f t="shared" si="26"/>
        <v>0.55850512948987818</v>
      </c>
      <c r="I465" s="68">
        <f t="shared" si="27"/>
        <v>0.61311064541958427</v>
      </c>
      <c r="J465" s="232">
        <f t="shared" si="28"/>
        <v>8.2538578185354428E-2</v>
      </c>
      <c r="K465" s="321">
        <f t="shared" si="29"/>
        <v>3.4437281315763887E-2</v>
      </c>
    </row>
    <row r="466" spans="1:11" x14ac:dyDescent="0.2">
      <c r="A466" s="320">
        <v>365</v>
      </c>
      <c r="B466" s="174">
        <v>48</v>
      </c>
      <c r="C466" s="174">
        <v>21</v>
      </c>
      <c r="D466" s="174">
        <v>60</v>
      </c>
      <c r="E466" s="174">
        <v>12</v>
      </c>
      <c r="F466" s="174">
        <v>59</v>
      </c>
      <c r="G466" s="68">
        <f t="shared" si="25"/>
        <v>0.67352777279915266</v>
      </c>
      <c r="H466" s="68">
        <f t="shared" si="26"/>
        <v>0.63195998658369557</v>
      </c>
      <c r="I466" s="68">
        <f t="shared" si="27"/>
        <v>0.67733180986702979</v>
      </c>
      <c r="J466" s="232">
        <f t="shared" si="28"/>
        <v>2.5152098952269344E-2</v>
      </c>
      <c r="K466" s="321">
        <f t="shared" si="29"/>
        <v>2.7422584246095814E-2</v>
      </c>
    </row>
    <row r="467" spans="1:11" x14ac:dyDescent="0.2">
      <c r="A467" s="320">
        <v>366</v>
      </c>
      <c r="B467" s="174">
        <v>62</v>
      </c>
      <c r="C467" s="174">
        <v>75</v>
      </c>
      <c r="D467" s="174">
        <v>41</v>
      </c>
      <c r="E467" s="174">
        <v>54</v>
      </c>
      <c r="F467" s="174">
        <v>7</v>
      </c>
      <c r="G467" s="68">
        <f t="shared" si="25"/>
        <v>-1.1220157413571741E-2</v>
      </c>
      <c r="H467" s="68">
        <f t="shared" si="26"/>
        <v>4.5454412613204598E-2</v>
      </c>
      <c r="I467" s="68">
        <f t="shared" si="27"/>
        <v>4.7456438550076196E-2</v>
      </c>
      <c r="J467" s="232">
        <f t="shared" si="28"/>
        <v>-5.5735213725488231E-2</v>
      </c>
      <c r="K467" s="321">
        <f t="shared" si="29"/>
        <v>1.9131503345216319E-3</v>
      </c>
    </row>
    <row r="468" spans="1:11" x14ac:dyDescent="0.2">
      <c r="A468" s="320">
        <v>367</v>
      </c>
      <c r="B468" s="174">
        <v>68</v>
      </c>
      <c r="C468" s="174">
        <v>63</v>
      </c>
      <c r="D468" s="174">
        <v>6</v>
      </c>
      <c r="E468" s="174">
        <v>10</v>
      </c>
      <c r="F468" s="174">
        <v>44</v>
      </c>
      <c r="G468" s="68">
        <f t="shared" si="25"/>
        <v>-0.129641429269583</v>
      </c>
      <c r="H468" s="68">
        <f t="shared" si="26"/>
        <v>-8.8604300880346987E-2</v>
      </c>
      <c r="I468" s="68">
        <f t="shared" si="27"/>
        <v>-0.11185941412401035</v>
      </c>
      <c r="J468" s="232">
        <f t="shared" si="28"/>
        <v>-4.6071882833594854E-2</v>
      </c>
      <c r="K468" s="321">
        <f t="shared" si="29"/>
        <v>-2.5847111947275847E-2</v>
      </c>
    </row>
    <row r="469" spans="1:11" x14ac:dyDescent="0.2">
      <c r="A469" s="320">
        <v>368</v>
      </c>
      <c r="B469" s="174">
        <v>1</v>
      </c>
      <c r="C469" s="174">
        <v>52</v>
      </c>
      <c r="D469" s="174">
        <v>55</v>
      </c>
      <c r="E469" s="174">
        <v>62</v>
      </c>
      <c r="F469" s="174">
        <v>32</v>
      </c>
      <c r="G469" s="68">
        <f t="shared" si="25"/>
        <v>0.33261120264254429</v>
      </c>
      <c r="H469" s="68">
        <f t="shared" si="26"/>
        <v>0.3186689254634274</v>
      </c>
      <c r="I469" s="68">
        <f t="shared" si="27"/>
        <v>0.33263491068264073</v>
      </c>
      <c r="J469" s="232">
        <f t="shared" si="28"/>
        <v>1.0517489685707192E-2</v>
      </c>
      <c r="K469" s="321">
        <f t="shared" si="29"/>
        <v>1.0535280192916704E-2</v>
      </c>
    </row>
    <row r="470" spans="1:11" x14ac:dyDescent="0.2">
      <c r="A470" s="320">
        <v>369</v>
      </c>
      <c r="B470" s="174">
        <v>27</v>
      </c>
      <c r="C470" s="174">
        <v>66</v>
      </c>
      <c r="D470" s="174">
        <v>73</v>
      </c>
      <c r="E470" s="174">
        <v>55</v>
      </c>
      <c r="F470" s="174">
        <v>53</v>
      </c>
      <c r="G470" s="68">
        <f t="shared" si="25"/>
        <v>0.27098741767037748</v>
      </c>
      <c r="H470" s="68">
        <f t="shared" si="26"/>
        <v>0.30998191039711953</v>
      </c>
      <c r="I470" s="68">
        <f t="shared" si="27"/>
        <v>0.33412683547710786</v>
      </c>
      <c r="J470" s="232">
        <f t="shared" si="28"/>
        <v>-3.0219235653477526E-2</v>
      </c>
      <c r="K470" s="321">
        <f t="shared" si="29"/>
        <v>1.8263693781444233E-2</v>
      </c>
    </row>
    <row r="471" spans="1:11" x14ac:dyDescent="0.2">
      <c r="A471" s="320">
        <v>370</v>
      </c>
      <c r="B471" s="174">
        <v>43</v>
      </c>
      <c r="C471" s="174">
        <v>64</v>
      </c>
      <c r="D471" s="174">
        <v>70</v>
      </c>
      <c r="E471" s="174">
        <v>9</v>
      </c>
      <c r="F471" s="174">
        <v>16</v>
      </c>
      <c r="G471" s="68">
        <f t="shared" si="25"/>
        <v>-7.3530111116861252E-2</v>
      </c>
      <c r="H471" s="68">
        <f t="shared" si="26"/>
        <v>-5.2244850922405384E-2</v>
      </c>
      <c r="I471" s="68">
        <f t="shared" si="27"/>
        <v>-7.4526308757210225E-2</v>
      </c>
      <c r="J471" s="232">
        <f t="shared" si="28"/>
        <v>-2.2714641989892176E-2</v>
      </c>
      <c r="K471" s="321">
        <f t="shared" si="29"/>
        <v>-2.3790482255357646E-2</v>
      </c>
    </row>
    <row r="472" spans="1:11" x14ac:dyDescent="0.2">
      <c r="A472" s="320">
        <v>371</v>
      </c>
      <c r="B472" s="174">
        <v>50</v>
      </c>
      <c r="C472" s="174">
        <v>68</v>
      </c>
      <c r="D472" s="174">
        <v>27</v>
      </c>
      <c r="E472" s="174">
        <v>20</v>
      </c>
      <c r="F472" s="174">
        <v>9</v>
      </c>
      <c r="G472" s="68">
        <f t="shared" si="25"/>
        <v>0.19302970120121832</v>
      </c>
      <c r="H472" s="68">
        <f t="shared" si="26"/>
        <v>0.20876189248749588</v>
      </c>
      <c r="I472" s="68">
        <f t="shared" si="27"/>
        <v>0.17407588815077291</v>
      </c>
      <c r="J472" s="232">
        <f t="shared" si="28"/>
        <v>-1.3100567368050552E-2</v>
      </c>
      <c r="K472" s="321">
        <f t="shared" si="29"/>
        <v>-2.9115246412583649E-2</v>
      </c>
    </row>
    <row r="473" spans="1:11" x14ac:dyDescent="0.2">
      <c r="A473" s="320">
        <v>372</v>
      </c>
      <c r="B473" s="174">
        <v>22</v>
      </c>
      <c r="C473" s="174">
        <v>26</v>
      </c>
      <c r="D473" s="174">
        <v>54</v>
      </c>
      <c r="E473" s="174">
        <v>37</v>
      </c>
      <c r="F473" s="174">
        <v>21</v>
      </c>
      <c r="G473" s="68">
        <f t="shared" si="25"/>
        <v>0.16435541846081003</v>
      </c>
      <c r="H473" s="68">
        <f t="shared" si="26"/>
        <v>0.18368119580617925</v>
      </c>
      <c r="I473" s="68">
        <f t="shared" si="27"/>
        <v>0.15826947870299413</v>
      </c>
      <c r="J473" s="232">
        <f t="shared" si="28"/>
        <v>-1.6461594883865505E-2</v>
      </c>
      <c r="K473" s="321">
        <f t="shared" si="29"/>
        <v>-2.1702177376353972E-2</v>
      </c>
    </row>
    <row r="474" spans="1:11" x14ac:dyDescent="0.2">
      <c r="A474" s="320">
        <v>373</v>
      </c>
      <c r="B474" s="174">
        <v>50</v>
      </c>
      <c r="C474" s="174">
        <v>8</v>
      </c>
      <c r="D474" s="174">
        <v>10</v>
      </c>
      <c r="E474" s="174">
        <v>63</v>
      </c>
      <c r="F474" s="174">
        <v>42</v>
      </c>
      <c r="G474" s="68">
        <f t="shared" si="25"/>
        <v>-0.22129699598266994</v>
      </c>
      <c r="H474" s="68">
        <f t="shared" si="26"/>
        <v>-0.18649756208259649</v>
      </c>
      <c r="I474" s="68">
        <f t="shared" si="27"/>
        <v>-0.22882575088691737</v>
      </c>
      <c r="J474" s="232">
        <f t="shared" si="28"/>
        <v>-4.3719203170603911E-2</v>
      </c>
      <c r="K474" s="321">
        <f t="shared" si="29"/>
        <v>-5.343457141394406E-2</v>
      </c>
    </row>
    <row r="475" spans="1:11" x14ac:dyDescent="0.2">
      <c r="A475" s="320">
        <v>374</v>
      </c>
      <c r="B475" s="174">
        <v>8</v>
      </c>
      <c r="C475" s="174">
        <v>72</v>
      </c>
      <c r="D475" s="174">
        <v>72</v>
      </c>
      <c r="E475" s="174">
        <v>7</v>
      </c>
      <c r="F475" s="174">
        <v>10</v>
      </c>
      <c r="G475" s="68">
        <f t="shared" si="25"/>
        <v>-0.20398098629967554</v>
      </c>
      <c r="H475" s="68">
        <f t="shared" si="26"/>
        <v>-0.11148395067491745</v>
      </c>
      <c r="I475" s="68">
        <f t="shared" si="27"/>
        <v>-0.16925070507969375</v>
      </c>
      <c r="J475" s="232">
        <f t="shared" si="28"/>
        <v>-0.10992963870771713</v>
      </c>
      <c r="K475" s="321">
        <f t="shared" si="29"/>
        <v>-6.7224652317359176E-2</v>
      </c>
    </row>
    <row r="476" spans="1:11" x14ac:dyDescent="0.2">
      <c r="A476" s="320">
        <v>375</v>
      </c>
      <c r="B476" s="174">
        <v>4</v>
      </c>
      <c r="C476" s="174">
        <v>63</v>
      </c>
      <c r="D476" s="174">
        <v>29</v>
      </c>
      <c r="E476" s="174">
        <v>68</v>
      </c>
      <c r="F476" s="174">
        <v>68</v>
      </c>
      <c r="G476" s="68">
        <f t="shared" si="25"/>
        <v>0.38979103290323902</v>
      </c>
      <c r="H476" s="68">
        <f t="shared" si="26"/>
        <v>0.39773360938477964</v>
      </c>
      <c r="I476" s="68">
        <f t="shared" si="27"/>
        <v>0.44235725981865515</v>
      </c>
      <c r="J476" s="232">
        <f t="shared" si="28"/>
        <v>-5.6986746273468194E-3</v>
      </c>
      <c r="K476" s="321">
        <f t="shared" si="29"/>
        <v>3.1426686744442128E-2</v>
      </c>
    </row>
    <row r="477" spans="1:11" x14ac:dyDescent="0.2">
      <c r="A477" s="320">
        <v>376</v>
      </c>
      <c r="B477" s="174">
        <v>62</v>
      </c>
      <c r="C477" s="174">
        <v>48</v>
      </c>
      <c r="D477" s="174">
        <v>69</v>
      </c>
      <c r="E477" s="174">
        <v>37</v>
      </c>
      <c r="F477" s="174">
        <v>64</v>
      </c>
      <c r="G477" s="68">
        <f t="shared" si="25"/>
        <v>-3.8065091268613127E-2</v>
      </c>
      <c r="H477" s="68">
        <f t="shared" si="26"/>
        <v>-2.4446133115578861E-2</v>
      </c>
      <c r="I477" s="68">
        <f t="shared" si="27"/>
        <v>-2.6896766843802045E-2</v>
      </c>
      <c r="J477" s="232">
        <f t="shared" si="28"/>
        <v>-1.4058592372251795E-2</v>
      </c>
      <c r="K477" s="321">
        <f t="shared" si="29"/>
        <v>-2.5152039526252939E-3</v>
      </c>
    </row>
    <row r="478" spans="1:11" x14ac:dyDescent="0.2">
      <c r="A478" s="320">
        <v>377</v>
      </c>
      <c r="B478" s="174">
        <v>26</v>
      </c>
      <c r="C478" s="174">
        <v>49</v>
      </c>
      <c r="D478" s="174">
        <v>5</v>
      </c>
      <c r="E478" s="174">
        <v>45</v>
      </c>
      <c r="F478" s="174">
        <v>21</v>
      </c>
      <c r="G478" s="68">
        <f t="shared" si="25"/>
        <v>0.28887231551119585</v>
      </c>
      <c r="H478" s="68">
        <f t="shared" si="26"/>
        <v>0.30197001699125359</v>
      </c>
      <c r="I478" s="68">
        <f t="shared" si="27"/>
        <v>0.31310701246902606</v>
      </c>
      <c r="J478" s="232">
        <f t="shared" si="28"/>
        <v>-1.0110853058363177E-2</v>
      </c>
      <c r="K478" s="321">
        <f t="shared" si="29"/>
        <v>8.5175791641010096E-3</v>
      </c>
    </row>
    <row r="479" spans="1:11" x14ac:dyDescent="0.2">
      <c r="A479" s="320">
        <v>378</v>
      </c>
      <c r="B479" s="174">
        <v>72</v>
      </c>
      <c r="C479" s="174">
        <v>44</v>
      </c>
      <c r="D479" s="174">
        <v>65</v>
      </c>
      <c r="E479" s="174">
        <v>60</v>
      </c>
      <c r="F479" s="174">
        <v>15</v>
      </c>
      <c r="G479" s="68">
        <f t="shared" si="25"/>
        <v>0.465430068223603</v>
      </c>
      <c r="H479" s="68">
        <f t="shared" si="26"/>
        <v>0.46948925648864837</v>
      </c>
      <c r="I479" s="68">
        <f t="shared" si="27"/>
        <v>0.52771169599865608</v>
      </c>
      <c r="J479" s="232">
        <f t="shared" si="28"/>
        <v>-2.7661345367188208E-3</v>
      </c>
      <c r="K479" s="321">
        <f t="shared" si="29"/>
        <v>3.8856096460495738E-2</v>
      </c>
    </row>
    <row r="480" spans="1:11" x14ac:dyDescent="0.2">
      <c r="A480" s="320">
        <v>379</v>
      </c>
      <c r="B480" s="174">
        <v>45</v>
      </c>
      <c r="C480" s="174">
        <v>17</v>
      </c>
      <c r="D480" s="174">
        <v>34</v>
      </c>
      <c r="E480" s="174">
        <v>72</v>
      </c>
      <c r="F480" s="174">
        <v>4</v>
      </c>
      <c r="G480" s="68">
        <f t="shared" si="25"/>
        <v>0.45666296703661824</v>
      </c>
      <c r="H480" s="68">
        <f t="shared" si="26"/>
        <v>0.48385816794881986</v>
      </c>
      <c r="I480" s="68">
        <f t="shared" si="27"/>
        <v>0.53637951072999823</v>
      </c>
      <c r="J480" s="232">
        <f t="shared" si="28"/>
        <v>-1.8497385374842069E-2</v>
      </c>
      <c r="K480" s="321">
        <f t="shared" si="29"/>
        <v>3.4783115485876918E-2</v>
      </c>
    </row>
    <row r="481" spans="1:11" x14ac:dyDescent="0.2">
      <c r="A481" s="320">
        <v>380</v>
      </c>
      <c r="B481" s="174">
        <v>67</v>
      </c>
      <c r="C481" s="174">
        <v>49</v>
      </c>
      <c r="D481" s="174">
        <v>52</v>
      </c>
      <c r="E481" s="174">
        <v>29</v>
      </c>
      <c r="F481" s="174">
        <v>43</v>
      </c>
      <c r="G481" s="68">
        <f t="shared" si="25"/>
        <v>0.77561102082368594</v>
      </c>
      <c r="H481" s="68">
        <f t="shared" si="26"/>
        <v>0.74533016189027945</v>
      </c>
      <c r="I481" s="68">
        <f t="shared" si="27"/>
        <v>0.84677122261525417</v>
      </c>
      <c r="J481" s="232">
        <f t="shared" si="28"/>
        <v>1.7200858496032107E-2</v>
      </c>
      <c r="K481" s="321">
        <f t="shared" si="29"/>
        <v>5.6495086953902131E-2</v>
      </c>
    </row>
    <row r="482" spans="1:11" x14ac:dyDescent="0.2">
      <c r="A482" s="320">
        <v>381</v>
      </c>
      <c r="B482" s="174">
        <v>56</v>
      </c>
      <c r="C482" s="174">
        <v>31</v>
      </c>
      <c r="D482" s="174">
        <v>27</v>
      </c>
      <c r="E482" s="174">
        <v>57</v>
      </c>
      <c r="F482" s="174">
        <v>38</v>
      </c>
      <c r="G482" s="68">
        <f t="shared" si="25"/>
        <v>0.70188637179127955</v>
      </c>
      <c r="H482" s="68">
        <f t="shared" si="26"/>
        <v>0.62606576995044372</v>
      </c>
      <c r="I482" s="68">
        <f t="shared" si="27"/>
        <v>0.68304972999406344</v>
      </c>
      <c r="J482" s="232">
        <f t="shared" si="28"/>
        <v>4.5573807111191911E-2</v>
      </c>
      <c r="K482" s="321">
        <f t="shared" si="29"/>
        <v>3.4444003962430962E-2</v>
      </c>
    </row>
    <row r="483" spans="1:11" x14ac:dyDescent="0.2">
      <c r="A483" s="320">
        <v>382</v>
      </c>
      <c r="B483" s="174">
        <v>72</v>
      </c>
      <c r="C483" s="174">
        <v>60</v>
      </c>
      <c r="D483" s="174">
        <v>10</v>
      </c>
      <c r="E483" s="174">
        <v>37</v>
      </c>
      <c r="F483" s="174">
        <v>19</v>
      </c>
      <c r="G483" s="68">
        <f t="shared" si="25"/>
        <v>0.11237160043851024</v>
      </c>
      <c r="H483" s="68">
        <f t="shared" si="26"/>
        <v>0.16711181913635298</v>
      </c>
      <c r="I483" s="68">
        <f t="shared" si="27"/>
        <v>0.13893168836816061</v>
      </c>
      <c r="J483" s="232">
        <f t="shared" si="28"/>
        <v>-4.8037853250541315E-2</v>
      </c>
      <c r="K483" s="321">
        <f t="shared" si="29"/>
        <v>-2.444145873910037E-2</v>
      </c>
    </row>
    <row r="484" spans="1:11" x14ac:dyDescent="0.2">
      <c r="A484" s="320">
        <v>383</v>
      </c>
      <c r="B484" s="174">
        <v>14</v>
      </c>
      <c r="C484" s="174">
        <v>62</v>
      </c>
      <c r="D484" s="174">
        <v>62</v>
      </c>
      <c r="E484" s="174">
        <v>43</v>
      </c>
      <c r="F484" s="174">
        <v>26</v>
      </c>
      <c r="G484" s="68">
        <f t="shared" si="25"/>
        <v>0.25322735690671871</v>
      </c>
      <c r="H484" s="68">
        <f t="shared" si="26"/>
        <v>0.25782078018462773</v>
      </c>
      <c r="I484" s="68">
        <f t="shared" si="27"/>
        <v>0.31709916054051357</v>
      </c>
      <c r="J484" s="232">
        <f t="shared" si="28"/>
        <v>-3.65857454797636E-3</v>
      </c>
      <c r="K484" s="321">
        <f t="shared" si="29"/>
        <v>4.6051028621150313E-2</v>
      </c>
    </row>
    <row r="485" spans="1:11" x14ac:dyDescent="0.2">
      <c r="A485" s="320">
        <v>384</v>
      </c>
      <c r="B485" s="174">
        <v>66</v>
      </c>
      <c r="C485" s="174">
        <v>64</v>
      </c>
      <c r="D485" s="174">
        <v>62</v>
      </c>
      <c r="E485" s="174">
        <v>50</v>
      </c>
      <c r="F485" s="174">
        <v>24</v>
      </c>
      <c r="G485" s="68">
        <f t="shared" si="25"/>
        <v>0.21848759086002167</v>
      </c>
      <c r="H485" s="68">
        <f t="shared" si="26"/>
        <v>0.17168778823324682</v>
      </c>
      <c r="I485" s="68">
        <f t="shared" si="27"/>
        <v>0.20614379140386108</v>
      </c>
      <c r="J485" s="232">
        <f t="shared" si="28"/>
        <v>3.9165146710168575E-2</v>
      </c>
      <c r="K485" s="321">
        <f t="shared" si="29"/>
        <v>2.8983057843805178E-2</v>
      </c>
    </row>
    <row r="486" spans="1:11" x14ac:dyDescent="0.2">
      <c r="A486" s="320">
        <v>385</v>
      </c>
      <c r="B486" s="174">
        <v>31</v>
      </c>
      <c r="C486" s="174">
        <v>18</v>
      </c>
      <c r="D486" s="174">
        <v>50</v>
      </c>
      <c r="E486" s="174">
        <v>16</v>
      </c>
      <c r="F486" s="174">
        <v>70</v>
      </c>
      <c r="G486" s="68">
        <f t="shared" ref="G486:G549" si="30">(1+INDEX($Z$21:$Z$97,B486))*(1+INDEX($Z$21:$Z$97,C486))*(1+INDEX($Z$21:$Z$97,D486))*(1+INDEX($Z$21:$Z$97,E486))*(1+INDEX($Z$21:$Z$97,F486))-1</f>
        <v>0.47957875691309093</v>
      </c>
      <c r="H486" s="68">
        <f t="shared" ref="H486:H549" si="31">(1+INDEX($AA$21:$AA$97,B486))*(1+INDEX($AA$21:$AA$97,C486))*(1+INDEX($AA$21:$AA$97,D486))*(1+INDEX($AA$21:$AA$97,E486))*(1+INDEX($AA$21:$AA$97,F486))-1</f>
        <v>0.42241958381191691</v>
      </c>
      <c r="I486" s="68">
        <f t="shared" ref="I486:I549" si="32">(1+INDEX($AB$21:$AB$97,B486))*(1+INDEX($AB$21:$AB$97,C486))*(1+INDEX($AB$21:$AB$97,D486))*(1+INDEX($AB$21:$AB$97,E486))*(1+INDEX($AB$21:$AB$97,F486))-1</f>
        <v>0.41812161392206249</v>
      </c>
      <c r="J486" s="232">
        <f t="shared" ref="J486:J549" si="33">LN((1+G486)/(1+H486))</f>
        <v>3.9398069726179021E-2</v>
      </c>
      <c r="K486" s="321">
        <f t="shared" ref="K486:K549" si="34">LN((1+I486)/(1+H486))</f>
        <v>-3.0261649950603319E-3</v>
      </c>
    </row>
    <row r="487" spans="1:11" x14ac:dyDescent="0.2">
      <c r="A487" s="320">
        <v>386</v>
      </c>
      <c r="B487" s="174">
        <v>58</v>
      </c>
      <c r="C487" s="174">
        <v>23</v>
      </c>
      <c r="D487" s="174">
        <v>47</v>
      </c>
      <c r="E487" s="174">
        <v>43</v>
      </c>
      <c r="F487" s="174">
        <v>4</v>
      </c>
      <c r="G487" s="68">
        <f t="shared" si="30"/>
        <v>0.67535198538986085</v>
      </c>
      <c r="H487" s="68">
        <f t="shared" si="31"/>
        <v>0.64809187479601005</v>
      </c>
      <c r="I487" s="68">
        <f t="shared" si="32"/>
        <v>0.73351719961053852</v>
      </c>
      <c r="J487" s="232">
        <f t="shared" si="33"/>
        <v>1.6405104529090577E-2</v>
      </c>
      <c r="K487" s="321">
        <f t="shared" si="34"/>
        <v>5.0534228789153597E-2</v>
      </c>
    </row>
    <row r="488" spans="1:11" x14ac:dyDescent="0.2">
      <c r="A488" s="320">
        <v>387</v>
      </c>
      <c r="B488" s="174">
        <v>26</v>
      </c>
      <c r="C488" s="174">
        <v>19</v>
      </c>
      <c r="D488" s="174">
        <v>73</v>
      </c>
      <c r="E488" s="174">
        <v>18</v>
      </c>
      <c r="F488" s="174">
        <v>55</v>
      </c>
      <c r="G488" s="68">
        <f t="shared" si="30"/>
        <v>0.23785714443688422</v>
      </c>
      <c r="H488" s="68">
        <f t="shared" si="31"/>
        <v>0.23235104378936944</v>
      </c>
      <c r="I488" s="68">
        <f t="shared" si="32"/>
        <v>0.22434503141469087</v>
      </c>
      <c r="J488" s="232">
        <f t="shared" si="33"/>
        <v>4.4580127235587484E-3</v>
      </c>
      <c r="K488" s="321">
        <f t="shared" si="34"/>
        <v>-6.5177298871313813E-3</v>
      </c>
    </row>
    <row r="489" spans="1:11" x14ac:dyDescent="0.2">
      <c r="A489" s="320">
        <v>388</v>
      </c>
      <c r="B489" s="174">
        <v>41</v>
      </c>
      <c r="C489" s="174">
        <v>67</v>
      </c>
      <c r="D489" s="174">
        <v>54</v>
      </c>
      <c r="E489" s="174">
        <v>17</v>
      </c>
      <c r="F489" s="174">
        <v>5</v>
      </c>
      <c r="G489" s="68">
        <f t="shared" si="30"/>
        <v>0.15224643716632191</v>
      </c>
      <c r="H489" s="68">
        <f t="shared" si="31"/>
        <v>0.18340192428491542</v>
      </c>
      <c r="I489" s="68">
        <f t="shared" si="32"/>
        <v>0.17346490003153359</v>
      </c>
      <c r="J489" s="232">
        <f t="shared" si="33"/>
        <v>-2.6679816776638141E-2</v>
      </c>
      <c r="K489" s="321">
        <f t="shared" si="34"/>
        <v>-8.4324519593804385E-3</v>
      </c>
    </row>
    <row r="490" spans="1:11" x14ac:dyDescent="0.2">
      <c r="A490" s="320">
        <v>389</v>
      </c>
      <c r="B490" s="174">
        <v>38</v>
      </c>
      <c r="C490" s="174">
        <v>35</v>
      </c>
      <c r="D490" s="174">
        <v>75</v>
      </c>
      <c r="E490" s="174">
        <v>29</v>
      </c>
      <c r="F490" s="174">
        <v>76</v>
      </c>
      <c r="G490" s="68">
        <f t="shared" si="30"/>
        <v>0.55305767285601548</v>
      </c>
      <c r="H490" s="68">
        <f t="shared" si="31"/>
        <v>0.55522128993225706</v>
      </c>
      <c r="I490" s="68">
        <f t="shared" si="32"/>
        <v>0.61838787121105154</v>
      </c>
      <c r="J490" s="232">
        <f t="shared" si="33"/>
        <v>-1.3921642501139469E-3</v>
      </c>
      <c r="K490" s="321">
        <f t="shared" si="34"/>
        <v>3.9812668390380404E-2</v>
      </c>
    </row>
    <row r="491" spans="1:11" x14ac:dyDescent="0.2">
      <c r="A491" s="320">
        <v>390</v>
      </c>
      <c r="B491" s="174">
        <v>36</v>
      </c>
      <c r="C491" s="174">
        <v>13</v>
      </c>
      <c r="D491" s="174">
        <v>57</v>
      </c>
      <c r="E491" s="174">
        <v>25</v>
      </c>
      <c r="F491" s="174">
        <v>7</v>
      </c>
      <c r="G491" s="68">
        <f t="shared" si="30"/>
        <v>0.59285277810805392</v>
      </c>
      <c r="H491" s="68">
        <f t="shared" si="31"/>
        <v>0.48996625488752987</v>
      </c>
      <c r="I491" s="68">
        <f t="shared" si="32"/>
        <v>0.51509970743051681</v>
      </c>
      <c r="J491" s="232">
        <f t="shared" si="33"/>
        <v>6.6773136671424246E-2</v>
      </c>
      <c r="K491" s="321">
        <f t="shared" si="34"/>
        <v>1.6727778306795508E-2</v>
      </c>
    </row>
    <row r="492" spans="1:11" x14ac:dyDescent="0.2">
      <c r="A492" s="320">
        <v>391</v>
      </c>
      <c r="B492" s="174">
        <v>55</v>
      </c>
      <c r="C492" s="174">
        <v>72</v>
      </c>
      <c r="D492" s="174">
        <v>11</v>
      </c>
      <c r="E492" s="174">
        <v>1</v>
      </c>
      <c r="F492" s="174">
        <v>18</v>
      </c>
      <c r="G492" s="68">
        <f t="shared" si="30"/>
        <v>0.26716065242892362</v>
      </c>
      <c r="H492" s="68">
        <f t="shared" si="31"/>
        <v>0.2297297873569113</v>
      </c>
      <c r="I492" s="68">
        <f t="shared" si="32"/>
        <v>0.20106806514728581</v>
      </c>
      <c r="J492" s="232">
        <f t="shared" si="33"/>
        <v>2.9984230623712818E-2</v>
      </c>
      <c r="K492" s="321">
        <f t="shared" si="34"/>
        <v>-2.3583244954427023E-2</v>
      </c>
    </row>
    <row r="493" spans="1:11" x14ac:dyDescent="0.2">
      <c r="A493" s="320">
        <v>392</v>
      </c>
      <c r="B493" s="174">
        <v>13</v>
      </c>
      <c r="C493" s="174">
        <v>52</v>
      </c>
      <c r="D493" s="174">
        <v>16</v>
      </c>
      <c r="E493" s="174">
        <v>40</v>
      </c>
      <c r="F493" s="174">
        <v>32</v>
      </c>
      <c r="G493" s="68">
        <f t="shared" si="30"/>
        <v>0.85957521850176022</v>
      </c>
      <c r="H493" s="68">
        <f t="shared" si="31"/>
        <v>0.72206599057518051</v>
      </c>
      <c r="I493" s="68">
        <f t="shared" si="32"/>
        <v>0.78750700951847907</v>
      </c>
      <c r="J493" s="232">
        <f t="shared" si="33"/>
        <v>7.6823357169267997E-2</v>
      </c>
      <c r="K493" s="321">
        <f t="shared" si="34"/>
        <v>3.7297189663057929E-2</v>
      </c>
    </row>
    <row r="494" spans="1:11" x14ac:dyDescent="0.2">
      <c r="A494" s="320">
        <v>393</v>
      </c>
      <c r="B494" s="174">
        <v>28</v>
      </c>
      <c r="C494" s="174">
        <v>59</v>
      </c>
      <c r="D494" s="174">
        <v>23</v>
      </c>
      <c r="E494" s="174">
        <v>23</v>
      </c>
      <c r="F494" s="174">
        <v>66</v>
      </c>
      <c r="G494" s="68">
        <f t="shared" si="30"/>
        <v>1.0391503340324357</v>
      </c>
      <c r="H494" s="68">
        <f t="shared" si="31"/>
        <v>0.96603708594090087</v>
      </c>
      <c r="I494" s="68">
        <f t="shared" si="32"/>
        <v>1.0792406016007074</v>
      </c>
      <c r="J494" s="232">
        <f t="shared" si="33"/>
        <v>3.6513332969811185E-2</v>
      </c>
      <c r="K494" s="321">
        <f t="shared" si="34"/>
        <v>5.5982846465803357E-2</v>
      </c>
    </row>
    <row r="495" spans="1:11" x14ac:dyDescent="0.2">
      <c r="A495" s="320">
        <v>394</v>
      </c>
      <c r="B495" s="174">
        <v>34</v>
      </c>
      <c r="C495" s="174">
        <v>31</v>
      </c>
      <c r="D495" s="174">
        <v>57</v>
      </c>
      <c r="E495" s="174">
        <v>66</v>
      </c>
      <c r="F495" s="174">
        <v>69</v>
      </c>
      <c r="G495" s="68">
        <f t="shared" si="30"/>
        <v>0.91019887570670122</v>
      </c>
      <c r="H495" s="68">
        <f t="shared" si="31"/>
        <v>0.88277345385646533</v>
      </c>
      <c r="I495" s="68">
        <f t="shared" si="32"/>
        <v>0.99759601608075243</v>
      </c>
      <c r="J495" s="232">
        <f t="shared" si="33"/>
        <v>1.4461428889439906E-2</v>
      </c>
      <c r="K495" s="321">
        <f t="shared" si="34"/>
        <v>5.9198534473307626E-2</v>
      </c>
    </row>
    <row r="496" spans="1:11" x14ac:dyDescent="0.2">
      <c r="A496" s="320">
        <v>395</v>
      </c>
      <c r="B496" s="174">
        <v>59</v>
      </c>
      <c r="C496" s="174">
        <v>58</v>
      </c>
      <c r="D496" s="174">
        <v>74</v>
      </c>
      <c r="E496" s="174">
        <v>63</v>
      </c>
      <c r="F496" s="174">
        <v>35</v>
      </c>
      <c r="G496" s="68">
        <f t="shared" si="30"/>
        <v>0.61701764311528162</v>
      </c>
      <c r="H496" s="68">
        <f t="shared" si="31"/>
        <v>0.61668745774345024</v>
      </c>
      <c r="I496" s="68">
        <f t="shared" si="32"/>
        <v>0.71149294119635864</v>
      </c>
      <c r="J496" s="232">
        <f t="shared" si="33"/>
        <v>2.0421489448190289E-4</v>
      </c>
      <c r="K496" s="321">
        <f t="shared" si="34"/>
        <v>5.6986777983638756E-2</v>
      </c>
    </row>
    <row r="497" spans="1:11" x14ac:dyDescent="0.2">
      <c r="A497" s="320">
        <v>396</v>
      </c>
      <c r="B497" s="174">
        <v>52</v>
      </c>
      <c r="C497" s="174">
        <v>4</v>
      </c>
      <c r="D497" s="174">
        <v>61</v>
      </c>
      <c r="E497" s="174">
        <v>52</v>
      </c>
      <c r="F497" s="174">
        <v>53</v>
      </c>
      <c r="G497" s="68">
        <f t="shared" si="30"/>
        <v>0.56807015736778177</v>
      </c>
      <c r="H497" s="68">
        <f t="shared" si="31"/>
        <v>0.57884976013162248</v>
      </c>
      <c r="I497" s="68">
        <f t="shared" si="32"/>
        <v>0.62812345264462399</v>
      </c>
      <c r="J497" s="232">
        <f t="shared" si="33"/>
        <v>-6.8509178550450285E-3</v>
      </c>
      <c r="K497" s="321">
        <f t="shared" si="34"/>
        <v>3.0731513566563402E-2</v>
      </c>
    </row>
    <row r="498" spans="1:11" x14ac:dyDescent="0.2">
      <c r="A498" s="320">
        <v>397</v>
      </c>
      <c r="B498" s="174">
        <v>26</v>
      </c>
      <c r="C498" s="174">
        <v>6</v>
      </c>
      <c r="D498" s="174">
        <v>35</v>
      </c>
      <c r="E498" s="174">
        <v>47</v>
      </c>
      <c r="F498" s="174">
        <v>60</v>
      </c>
      <c r="G498" s="68">
        <f t="shared" si="30"/>
        <v>0.52428184614155171</v>
      </c>
      <c r="H498" s="68">
        <f t="shared" si="31"/>
        <v>0.55777622991872633</v>
      </c>
      <c r="I498" s="68">
        <f t="shared" si="32"/>
        <v>0.61117844058449133</v>
      </c>
      <c r="J498" s="232">
        <f t="shared" si="33"/>
        <v>-2.1735932058412941E-2</v>
      </c>
      <c r="K498" s="321">
        <f t="shared" si="34"/>
        <v>3.370655128775827E-2</v>
      </c>
    </row>
    <row r="499" spans="1:11" x14ac:dyDescent="0.2">
      <c r="A499" s="320">
        <v>398</v>
      </c>
      <c r="B499" s="174">
        <v>75</v>
      </c>
      <c r="C499" s="174">
        <v>39</v>
      </c>
      <c r="D499" s="174">
        <v>74</v>
      </c>
      <c r="E499" s="174">
        <v>3</v>
      </c>
      <c r="F499" s="174">
        <v>8</v>
      </c>
      <c r="G499" s="68">
        <f t="shared" si="30"/>
        <v>0.19592326517176284</v>
      </c>
      <c r="H499" s="68">
        <f t="shared" si="31"/>
        <v>0.17658920776847986</v>
      </c>
      <c r="I499" s="68">
        <f t="shared" si="32"/>
        <v>0.152144356276813</v>
      </c>
      <c r="J499" s="232">
        <f t="shared" si="33"/>
        <v>1.6298742896423E-2</v>
      </c>
      <c r="K499" s="321">
        <f t="shared" si="34"/>
        <v>-2.099488732710663E-2</v>
      </c>
    </row>
    <row r="500" spans="1:11" x14ac:dyDescent="0.2">
      <c r="A500" s="320">
        <v>399</v>
      </c>
      <c r="B500" s="174">
        <v>47</v>
      </c>
      <c r="C500" s="174">
        <v>50</v>
      </c>
      <c r="D500" s="174">
        <v>22</v>
      </c>
      <c r="E500" s="174">
        <v>1</v>
      </c>
      <c r="F500" s="174">
        <v>58</v>
      </c>
      <c r="G500" s="68">
        <f t="shared" si="30"/>
        <v>0.67312064058834498</v>
      </c>
      <c r="H500" s="68">
        <f t="shared" si="31"/>
        <v>0.59916040083228439</v>
      </c>
      <c r="I500" s="68">
        <f t="shared" si="32"/>
        <v>0.63497243355401123</v>
      </c>
      <c r="J500" s="232">
        <f t="shared" si="33"/>
        <v>4.521178770187987E-2</v>
      </c>
      <c r="K500" s="321">
        <f t="shared" si="34"/>
        <v>2.2147201958747198E-2</v>
      </c>
    </row>
    <row r="501" spans="1:11" x14ac:dyDescent="0.2">
      <c r="A501" s="320">
        <v>400</v>
      </c>
      <c r="B501" s="174">
        <v>43</v>
      </c>
      <c r="C501" s="174">
        <v>5</v>
      </c>
      <c r="D501" s="174">
        <v>52</v>
      </c>
      <c r="E501" s="174">
        <v>73</v>
      </c>
      <c r="F501" s="174">
        <v>14</v>
      </c>
      <c r="G501" s="68">
        <f t="shared" si="30"/>
        <v>0.37575059192329152</v>
      </c>
      <c r="H501" s="68">
        <f t="shared" si="31"/>
        <v>0.37347186932066867</v>
      </c>
      <c r="I501" s="68">
        <f t="shared" si="32"/>
        <v>0.41638270597777827</v>
      </c>
      <c r="J501" s="232">
        <f t="shared" si="33"/>
        <v>1.6577218879749789E-3</v>
      </c>
      <c r="K501" s="321">
        <f t="shared" si="34"/>
        <v>3.076448601300415E-2</v>
      </c>
    </row>
    <row r="502" spans="1:11" x14ac:dyDescent="0.2">
      <c r="A502" s="320">
        <v>401</v>
      </c>
      <c r="B502" s="174">
        <v>39</v>
      </c>
      <c r="C502" s="174">
        <v>37</v>
      </c>
      <c r="D502" s="174">
        <v>42</v>
      </c>
      <c r="E502" s="174">
        <v>20</v>
      </c>
      <c r="F502" s="174">
        <v>12</v>
      </c>
      <c r="G502" s="68">
        <f t="shared" si="30"/>
        <v>0.27604118142017442</v>
      </c>
      <c r="H502" s="68">
        <f t="shared" si="31"/>
        <v>0.21632888480510659</v>
      </c>
      <c r="I502" s="68">
        <f t="shared" si="32"/>
        <v>0.1992340468535021</v>
      </c>
      <c r="J502" s="232">
        <f t="shared" si="33"/>
        <v>4.7925246789135449E-2</v>
      </c>
      <c r="K502" s="321">
        <f t="shared" si="34"/>
        <v>-1.4154152744254854E-2</v>
      </c>
    </row>
    <row r="503" spans="1:11" x14ac:dyDescent="0.2">
      <c r="A503" s="320">
        <v>402</v>
      </c>
      <c r="B503" s="174">
        <v>19</v>
      </c>
      <c r="C503" s="174">
        <v>74</v>
      </c>
      <c r="D503" s="174">
        <v>48</v>
      </c>
      <c r="E503" s="174">
        <v>56</v>
      </c>
      <c r="F503" s="174">
        <v>66</v>
      </c>
      <c r="G503" s="68">
        <f t="shared" si="30"/>
        <v>0.2250274762180422</v>
      </c>
      <c r="H503" s="68">
        <f t="shared" si="31"/>
        <v>0.20725902359859694</v>
      </c>
      <c r="I503" s="68">
        <f t="shared" si="32"/>
        <v>0.19754457754979593</v>
      </c>
      <c r="J503" s="232">
        <f t="shared" si="33"/>
        <v>1.4610753060302396E-2</v>
      </c>
      <c r="K503" s="321">
        <f t="shared" si="34"/>
        <v>-8.0792451292048505E-3</v>
      </c>
    </row>
    <row r="504" spans="1:11" x14ac:dyDescent="0.2">
      <c r="A504" s="320">
        <v>403</v>
      </c>
      <c r="B504" s="174">
        <v>11</v>
      </c>
      <c r="C504" s="174">
        <v>4</v>
      </c>
      <c r="D504" s="174">
        <v>26</v>
      </c>
      <c r="E504" s="174">
        <v>21</v>
      </c>
      <c r="F504" s="174">
        <v>47</v>
      </c>
      <c r="G504" s="68">
        <f t="shared" si="30"/>
        <v>0.41393275249563799</v>
      </c>
      <c r="H504" s="68">
        <f t="shared" si="31"/>
        <v>0.38794006089187572</v>
      </c>
      <c r="I504" s="68">
        <f t="shared" si="32"/>
        <v>0.39987663598245238</v>
      </c>
      <c r="J504" s="232">
        <f t="shared" si="33"/>
        <v>1.8554330638554568E-2</v>
      </c>
      <c r="K504" s="321">
        <f t="shared" si="34"/>
        <v>8.5634382265899894E-3</v>
      </c>
    </row>
    <row r="505" spans="1:11" x14ac:dyDescent="0.2">
      <c r="A505" s="320">
        <v>404</v>
      </c>
      <c r="B505" s="174">
        <v>52</v>
      </c>
      <c r="C505" s="174">
        <v>17</v>
      </c>
      <c r="D505" s="174">
        <v>30</v>
      </c>
      <c r="E505" s="174">
        <v>56</v>
      </c>
      <c r="F505" s="174">
        <v>7</v>
      </c>
      <c r="G505" s="68">
        <f t="shared" si="30"/>
        <v>0.23502294528813783</v>
      </c>
      <c r="H505" s="68">
        <f t="shared" si="31"/>
        <v>0.24311806155273685</v>
      </c>
      <c r="I505" s="68">
        <f t="shared" si="32"/>
        <v>0.22156428686092688</v>
      </c>
      <c r="J505" s="232">
        <f t="shared" si="33"/>
        <v>-6.5332400666776617E-3</v>
      </c>
      <c r="K505" s="321">
        <f t="shared" si="34"/>
        <v>-1.7490549383955126E-2</v>
      </c>
    </row>
    <row r="506" spans="1:11" x14ac:dyDescent="0.2">
      <c r="A506" s="320">
        <v>405</v>
      </c>
      <c r="B506" s="174">
        <v>66</v>
      </c>
      <c r="C506" s="174">
        <v>27</v>
      </c>
      <c r="D506" s="174">
        <v>25</v>
      </c>
      <c r="E506" s="174">
        <v>8</v>
      </c>
      <c r="F506" s="174">
        <v>28</v>
      </c>
      <c r="G506" s="68">
        <f t="shared" si="30"/>
        <v>0.45233194347181627</v>
      </c>
      <c r="H506" s="68">
        <f t="shared" si="31"/>
        <v>0.44575696095252071</v>
      </c>
      <c r="I506" s="68">
        <f t="shared" si="32"/>
        <v>0.44856949478942476</v>
      </c>
      <c r="J506" s="232">
        <f t="shared" si="33"/>
        <v>4.5374686677646086E-3</v>
      </c>
      <c r="K506" s="321">
        <f t="shared" si="34"/>
        <v>1.9434813350770101E-3</v>
      </c>
    </row>
    <row r="507" spans="1:11" x14ac:dyDescent="0.2">
      <c r="A507" s="320">
        <v>406</v>
      </c>
      <c r="B507" s="174">
        <v>31</v>
      </c>
      <c r="C507" s="174">
        <v>29</v>
      </c>
      <c r="D507" s="174">
        <v>48</v>
      </c>
      <c r="E507" s="174">
        <v>8</v>
      </c>
      <c r="F507" s="174">
        <v>73</v>
      </c>
      <c r="G507" s="68">
        <f t="shared" si="30"/>
        <v>7.4950053310991915E-2</v>
      </c>
      <c r="H507" s="68">
        <f t="shared" si="31"/>
        <v>0.13015098474400277</v>
      </c>
      <c r="I507" s="68">
        <f t="shared" si="32"/>
        <v>0.10592856162882702</v>
      </c>
      <c r="J507" s="232">
        <f t="shared" si="33"/>
        <v>-5.0077040152340407E-2</v>
      </c>
      <c r="K507" s="321">
        <f t="shared" si="34"/>
        <v>-2.1665929257945641E-2</v>
      </c>
    </row>
    <row r="508" spans="1:11" x14ac:dyDescent="0.2">
      <c r="A508" s="320">
        <v>407</v>
      </c>
      <c r="B508" s="174">
        <v>63</v>
      </c>
      <c r="C508" s="174">
        <v>10</v>
      </c>
      <c r="D508" s="174">
        <v>28</v>
      </c>
      <c r="E508" s="174">
        <v>65</v>
      </c>
      <c r="F508" s="174">
        <v>13</v>
      </c>
      <c r="G508" s="68">
        <f t="shared" si="30"/>
        <v>0.21948107775071835</v>
      </c>
      <c r="H508" s="68">
        <f t="shared" si="31"/>
        <v>0.20335156575497337</v>
      </c>
      <c r="I508" s="68">
        <f t="shared" si="32"/>
        <v>0.22909929988954891</v>
      </c>
      <c r="J508" s="232">
        <f t="shared" si="33"/>
        <v>1.3314786995056036E-2</v>
      </c>
      <c r="K508" s="321">
        <f t="shared" si="34"/>
        <v>2.1170989467531261E-2</v>
      </c>
    </row>
    <row r="509" spans="1:11" x14ac:dyDescent="0.2">
      <c r="A509" s="320">
        <v>408</v>
      </c>
      <c r="B509" s="174">
        <v>70</v>
      </c>
      <c r="C509" s="174">
        <v>44</v>
      </c>
      <c r="D509" s="174">
        <v>73</v>
      </c>
      <c r="E509" s="174">
        <v>46</v>
      </c>
      <c r="F509" s="174">
        <v>3</v>
      </c>
      <c r="G509" s="68">
        <f t="shared" si="30"/>
        <v>0.56250671798116159</v>
      </c>
      <c r="H509" s="68">
        <f t="shared" si="31"/>
        <v>0.50824991241046891</v>
      </c>
      <c r="I509" s="68">
        <f t="shared" si="32"/>
        <v>0.57964593162000155</v>
      </c>
      <c r="J509" s="232">
        <f t="shared" si="33"/>
        <v>3.5341421862003605E-2</v>
      </c>
      <c r="K509" s="321">
        <f t="shared" si="34"/>
        <v>4.6250747749575181E-2</v>
      </c>
    </row>
    <row r="510" spans="1:11" x14ac:dyDescent="0.2">
      <c r="A510" s="320">
        <v>409</v>
      </c>
      <c r="B510" s="174">
        <v>73</v>
      </c>
      <c r="C510" s="174">
        <v>29</v>
      </c>
      <c r="D510" s="174">
        <v>9</v>
      </c>
      <c r="E510" s="174">
        <v>14</v>
      </c>
      <c r="F510" s="174">
        <v>9</v>
      </c>
      <c r="G510" s="68">
        <f t="shared" si="30"/>
        <v>-7.3502504210342989E-2</v>
      </c>
      <c r="H510" s="68">
        <f t="shared" si="31"/>
        <v>-1.8099513105546805E-2</v>
      </c>
      <c r="I510" s="68">
        <f t="shared" si="32"/>
        <v>-5.844221627547963E-2</v>
      </c>
      <c r="J510" s="232">
        <f t="shared" si="33"/>
        <v>-5.8078623194444734E-2</v>
      </c>
      <c r="K510" s="321">
        <f t="shared" si="34"/>
        <v>-4.1954245720970139E-2</v>
      </c>
    </row>
    <row r="511" spans="1:11" x14ac:dyDescent="0.2">
      <c r="A511" s="320">
        <v>410</v>
      </c>
      <c r="B511" s="174">
        <v>46</v>
      </c>
      <c r="C511" s="174">
        <v>7</v>
      </c>
      <c r="D511" s="174">
        <v>69</v>
      </c>
      <c r="E511" s="174">
        <v>56</v>
      </c>
      <c r="F511" s="174">
        <v>66</v>
      </c>
      <c r="G511" s="68">
        <f t="shared" si="30"/>
        <v>0.22049987906760893</v>
      </c>
      <c r="H511" s="68">
        <f t="shared" si="31"/>
        <v>0.2493095447980529</v>
      </c>
      <c r="I511" s="68">
        <f t="shared" si="32"/>
        <v>0.24599807960813558</v>
      </c>
      <c r="J511" s="232">
        <f t="shared" si="33"/>
        <v>-2.3330522776798313E-2</v>
      </c>
      <c r="K511" s="321">
        <f t="shared" si="34"/>
        <v>-2.6541554247721511E-3</v>
      </c>
    </row>
    <row r="512" spans="1:11" x14ac:dyDescent="0.2">
      <c r="A512" s="320">
        <v>411</v>
      </c>
      <c r="B512" s="174">
        <v>30</v>
      </c>
      <c r="C512" s="174">
        <v>61</v>
      </c>
      <c r="D512" s="174">
        <v>52</v>
      </c>
      <c r="E512" s="174">
        <v>57</v>
      </c>
      <c r="F512" s="174">
        <v>61</v>
      </c>
      <c r="G512" s="68">
        <f t="shared" si="30"/>
        <v>0.96740974002936153</v>
      </c>
      <c r="H512" s="68">
        <f t="shared" si="31"/>
        <v>0.8746507349192385</v>
      </c>
      <c r="I512" s="68">
        <f t="shared" si="32"/>
        <v>0.98864684548438619</v>
      </c>
      <c r="J512" s="232">
        <f t="shared" si="33"/>
        <v>4.8295457434194271E-2</v>
      </c>
      <c r="K512" s="321">
        <f t="shared" si="34"/>
        <v>5.9032062942219E-2</v>
      </c>
    </row>
    <row r="513" spans="1:11" x14ac:dyDescent="0.2">
      <c r="A513" s="320">
        <v>412</v>
      </c>
      <c r="B513" s="174">
        <v>44</v>
      </c>
      <c r="C513" s="174">
        <v>52</v>
      </c>
      <c r="D513" s="174">
        <v>29</v>
      </c>
      <c r="E513" s="174">
        <v>62</v>
      </c>
      <c r="F513" s="174">
        <v>75</v>
      </c>
      <c r="G513" s="68">
        <f t="shared" si="30"/>
        <v>0.51624252332010068</v>
      </c>
      <c r="H513" s="68">
        <f t="shared" si="31"/>
        <v>0.52694614471613277</v>
      </c>
      <c r="I513" s="68">
        <f t="shared" si="32"/>
        <v>0.62156588046813144</v>
      </c>
      <c r="J513" s="232">
        <f t="shared" si="33"/>
        <v>-7.0345066980834516E-3</v>
      </c>
      <c r="K513" s="321">
        <f t="shared" si="34"/>
        <v>6.0122518347453087E-2</v>
      </c>
    </row>
    <row r="514" spans="1:11" x14ac:dyDescent="0.2">
      <c r="A514" s="320">
        <v>413</v>
      </c>
      <c r="B514" s="174">
        <v>50</v>
      </c>
      <c r="C514" s="174">
        <v>23</v>
      </c>
      <c r="D514" s="174">
        <v>49</v>
      </c>
      <c r="E514" s="174">
        <v>63</v>
      </c>
      <c r="F514" s="174">
        <v>30</v>
      </c>
      <c r="G514" s="68">
        <f t="shared" si="30"/>
        <v>0.44798612809117477</v>
      </c>
      <c r="H514" s="68">
        <f t="shared" si="31"/>
        <v>0.367862142622154</v>
      </c>
      <c r="I514" s="68">
        <f t="shared" si="32"/>
        <v>0.40690525821259782</v>
      </c>
      <c r="J514" s="232">
        <f t="shared" si="33"/>
        <v>5.6924672684701229E-2</v>
      </c>
      <c r="K514" s="321">
        <f t="shared" si="34"/>
        <v>2.8143398654515487E-2</v>
      </c>
    </row>
    <row r="515" spans="1:11" x14ac:dyDescent="0.2">
      <c r="A515" s="320">
        <v>414</v>
      </c>
      <c r="B515" s="174">
        <v>19</v>
      </c>
      <c r="C515" s="174">
        <v>34</v>
      </c>
      <c r="D515" s="174">
        <v>56</v>
      </c>
      <c r="E515" s="174">
        <v>31</v>
      </c>
      <c r="F515" s="174">
        <v>62</v>
      </c>
      <c r="G515" s="68">
        <f t="shared" si="30"/>
        <v>0.16810314602019116</v>
      </c>
      <c r="H515" s="68">
        <f t="shared" si="31"/>
        <v>0.21554771290936792</v>
      </c>
      <c r="I515" s="68">
        <f t="shared" si="32"/>
        <v>0.22104722794541409</v>
      </c>
      <c r="J515" s="232">
        <f t="shared" si="33"/>
        <v>-3.9813577278353253E-2</v>
      </c>
      <c r="K515" s="321">
        <f t="shared" si="34"/>
        <v>4.5141063724117468E-3</v>
      </c>
    </row>
    <row r="516" spans="1:11" x14ac:dyDescent="0.2">
      <c r="A516" s="320">
        <v>415</v>
      </c>
      <c r="B516" s="174">
        <v>14</v>
      </c>
      <c r="C516" s="174">
        <v>62</v>
      </c>
      <c r="D516" s="174">
        <v>8</v>
      </c>
      <c r="E516" s="174">
        <v>17</v>
      </c>
      <c r="F516" s="174">
        <v>51</v>
      </c>
      <c r="G516" s="68">
        <f t="shared" si="30"/>
        <v>-2.2083670084287133E-2</v>
      </c>
      <c r="H516" s="68">
        <f t="shared" si="31"/>
        <v>-1.466086482922202E-2</v>
      </c>
      <c r="I516" s="68">
        <f t="shared" si="32"/>
        <v>-5.8462181867610319E-2</v>
      </c>
      <c r="J516" s="232">
        <f t="shared" si="33"/>
        <v>-7.5617674387307102E-3</v>
      </c>
      <c r="K516" s="321">
        <f t="shared" si="34"/>
        <v>-4.547136633189975E-2</v>
      </c>
    </row>
    <row r="517" spans="1:11" x14ac:dyDescent="0.2">
      <c r="A517" s="320">
        <v>416</v>
      </c>
      <c r="B517" s="174">
        <v>68</v>
      </c>
      <c r="C517" s="174">
        <v>12</v>
      </c>
      <c r="D517" s="174">
        <v>20</v>
      </c>
      <c r="E517" s="174">
        <v>59</v>
      </c>
      <c r="F517" s="174">
        <v>49</v>
      </c>
      <c r="G517" s="68">
        <f t="shared" si="30"/>
        <v>0.71028518672524554</v>
      </c>
      <c r="H517" s="68">
        <f t="shared" si="31"/>
        <v>0.62800702933752794</v>
      </c>
      <c r="I517" s="68">
        <f t="shared" si="32"/>
        <v>0.66275387747823911</v>
      </c>
      <c r="J517" s="232">
        <f t="shared" si="33"/>
        <v>4.9303547125815778E-2</v>
      </c>
      <c r="K517" s="321">
        <f t="shared" si="34"/>
        <v>2.1118604800819223E-2</v>
      </c>
    </row>
    <row r="518" spans="1:11" x14ac:dyDescent="0.2">
      <c r="A518" s="320">
        <v>417</v>
      </c>
      <c r="B518" s="174">
        <v>38</v>
      </c>
      <c r="C518" s="174">
        <v>30</v>
      </c>
      <c r="D518" s="174">
        <v>7</v>
      </c>
      <c r="E518" s="174">
        <v>70</v>
      </c>
      <c r="F518" s="174">
        <v>40</v>
      </c>
      <c r="G518" s="68">
        <f t="shared" si="30"/>
        <v>0.23978469959020376</v>
      </c>
      <c r="H518" s="68">
        <f t="shared" si="31"/>
        <v>0.25196309643693748</v>
      </c>
      <c r="I518" s="68">
        <f t="shared" si="32"/>
        <v>0.23382025865714917</v>
      </c>
      <c r="J518" s="232">
        <f t="shared" si="33"/>
        <v>-9.7750613752592801E-3</v>
      </c>
      <c r="K518" s="321">
        <f t="shared" si="34"/>
        <v>-1.459753917018407E-2</v>
      </c>
    </row>
    <row r="519" spans="1:11" x14ac:dyDescent="0.2">
      <c r="A519" s="320">
        <v>418</v>
      </c>
      <c r="B519" s="174">
        <v>26</v>
      </c>
      <c r="C519" s="174">
        <v>20</v>
      </c>
      <c r="D519" s="174">
        <v>28</v>
      </c>
      <c r="E519" s="174">
        <v>21</v>
      </c>
      <c r="F519" s="174">
        <v>8</v>
      </c>
      <c r="G519" s="68">
        <f t="shared" si="30"/>
        <v>0.13199362823729577</v>
      </c>
      <c r="H519" s="68">
        <f t="shared" si="31"/>
        <v>0.18701550110568776</v>
      </c>
      <c r="I519" s="68">
        <f t="shared" si="32"/>
        <v>0.13748631749492413</v>
      </c>
      <c r="J519" s="232">
        <f t="shared" si="33"/>
        <v>-4.7461823603988817E-2</v>
      </c>
      <c r="K519" s="321">
        <f t="shared" si="34"/>
        <v>-4.2621331408765069E-2</v>
      </c>
    </row>
    <row r="520" spans="1:11" x14ac:dyDescent="0.2">
      <c r="A520" s="320">
        <v>419</v>
      </c>
      <c r="B520" s="174">
        <v>76</v>
      </c>
      <c r="C520" s="174">
        <v>49</v>
      </c>
      <c r="D520" s="174">
        <v>17</v>
      </c>
      <c r="E520" s="174">
        <v>42</v>
      </c>
      <c r="F520" s="174">
        <v>62</v>
      </c>
      <c r="G520" s="68">
        <f t="shared" si="30"/>
        <v>0.25791189752170207</v>
      </c>
      <c r="H520" s="68">
        <f t="shared" si="31"/>
        <v>0.2347287035416723</v>
      </c>
      <c r="I520" s="68">
        <f t="shared" si="32"/>
        <v>0.26558061489948082</v>
      </c>
      <c r="J520" s="232">
        <f t="shared" si="33"/>
        <v>1.8601849356608073E-2</v>
      </c>
      <c r="K520" s="321">
        <f t="shared" si="34"/>
        <v>2.4679728286128647E-2</v>
      </c>
    </row>
    <row r="521" spans="1:11" x14ac:dyDescent="0.2">
      <c r="A521" s="320">
        <v>420</v>
      </c>
      <c r="B521" s="174">
        <v>23</v>
      </c>
      <c r="C521" s="174">
        <v>61</v>
      </c>
      <c r="D521" s="174">
        <v>63</v>
      </c>
      <c r="E521" s="174">
        <v>51</v>
      </c>
      <c r="F521" s="174">
        <v>20</v>
      </c>
      <c r="G521" s="68">
        <f t="shared" si="30"/>
        <v>0.2362935431992832</v>
      </c>
      <c r="H521" s="68">
        <f t="shared" si="31"/>
        <v>0.2114754575503861</v>
      </c>
      <c r="I521" s="68">
        <f t="shared" si="32"/>
        <v>0.21222687785522298</v>
      </c>
      <c r="J521" s="232">
        <f t="shared" si="33"/>
        <v>2.0278822169804686E-2</v>
      </c>
      <c r="K521" s="321">
        <f t="shared" si="34"/>
        <v>6.2005991242010893E-4</v>
      </c>
    </row>
    <row r="522" spans="1:11" x14ac:dyDescent="0.2">
      <c r="A522" s="320">
        <v>421</v>
      </c>
      <c r="B522" s="174">
        <v>12</v>
      </c>
      <c r="C522" s="174">
        <v>58</v>
      </c>
      <c r="D522" s="174">
        <v>60</v>
      </c>
      <c r="E522" s="174">
        <v>13</v>
      </c>
      <c r="F522" s="174">
        <v>43</v>
      </c>
      <c r="G522" s="68">
        <f t="shared" si="30"/>
        <v>1.1386122924256572</v>
      </c>
      <c r="H522" s="68">
        <f t="shared" si="31"/>
        <v>0.99913080379900809</v>
      </c>
      <c r="I522" s="68">
        <f t="shared" si="32"/>
        <v>1.1464319704981918</v>
      </c>
      <c r="J522" s="232">
        <f t="shared" si="33"/>
        <v>6.7444669214012931E-2</v>
      </c>
      <c r="K522" s="321">
        <f t="shared" si="34"/>
        <v>7.1094426963547369E-2</v>
      </c>
    </row>
    <row r="523" spans="1:11" x14ac:dyDescent="0.2">
      <c r="A523" s="320">
        <v>422</v>
      </c>
      <c r="B523" s="174">
        <v>11</v>
      </c>
      <c r="C523" s="174">
        <v>48</v>
      </c>
      <c r="D523" s="174">
        <v>37</v>
      </c>
      <c r="E523" s="174">
        <v>25</v>
      </c>
      <c r="F523" s="174">
        <v>68</v>
      </c>
      <c r="G523" s="68">
        <f t="shared" si="30"/>
        <v>0.23482286512912554</v>
      </c>
      <c r="H523" s="68">
        <f t="shared" si="31"/>
        <v>0.19412719882667528</v>
      </c>
      <c r="I523" s="68">
        <f t="shared" si="32"/>
        <v>0.16865251430333794</v>
      </c>
      <c r="J523" s="232">
        <f t="shared" si="33"/>
        <v>3.3511989770822516E-2</v>
      </c>
      <c r="K523" s="321">
        <f t="shared" si="34"/>
        <v>-2.1564153056755676E-2</v>
      </c>
    </row>
    <row r="524" spans="1:11" x14ac:dyDescent="0.2">
      <c r="A524" s="320">
        <v>423</v>
      </c>
      <c r="B524" s="174">
        <v>49</v>
      </c>
      <c r="C524" s="174">
        <v>46</v>
      </c>
      <c r="D524" s="174">
        <v>21</v>
      </c>
      <c r="E524" s="174">
        <v>25</v>
      </c>
      <c r="F524" s="174">
        <v>40</v>
      </c>
      <c r="G524" s="68">
        <f t="shared" si="30"/>
        <v>0.53329679434733901</v>
      </c>
      <c r="H524" s="68">
        <f t="shared" si="31"/>
        <v>0.46464920583140046</v>
      </c>
      <c r="I524" s="68">
        <f t="shared" si="32"/>
        <v>0.49456789116564326</v>
      </c>
      <c r="J524" s="232">
        <f t="shared" si="33"/>
        <v>4.5804420917652501E-2</v>
      </c>
      <c r="K524" s="321">
        <f t="shared" si="34"/>
        <v>2.0221365202209719E-2</v>
      </c>
    </row>
    <row r="525" spans="1:11" x14ac:dyDescent="0.2">
      <c r="A525" s="320">
        <v>424</v>
      </c>
      <c r="B525" s="174">
        <v>76</v>
      </c>
      <c r="C525" s="174">
        <v>7</v>
      </c>
      <c r="D525" s="174">
        <v>22</v>
      </c>
      <c r="E525" s="174">
        <v>4</v>
      </c>
      <c r="F525" s="174">
        <v>51</v>
      </c>
      <c r="G525" s="68">
        <f t="shared" si="30"/>
        <v>0.1152296480631505</v>
      </c>
      <c r="H525" s="68">
        <f t="shared" si="31"/>
        <v>0.13596814830298509</v>
      </c>
      <c r="I525" s="68">
        <f t="shared" si="32"/>
        <v>0.11233292312022169</v>
      </c>
      <c r="J525" s="232">
        <f t="shared" si="33"/>
        <v>-1.8424935346975261E-2</v>
      </c>
      <c r="K525" s="321">
        <f t="shared" si="34"/>
        <v>-2.1025739125268814E-2</v>
      </c>
    </row>
    <row r="526" spans="1:11" x14ac:dyDescent="0.2">
      <c r="A526" s="320">
        <v>425</v>
      </c>
      <c r="B526" s="174">
        <v>63</v>
      </c>
      <c r="C526" s="174">
        <v>35</v>
      </c>
      <c r="D526" s="174">
        <v>62</v>
      </c>
      <c r="E526" s="174">
        <v>74</v>
      </c>
      <c r="F526" s="174">
        <v>27</v>
      </c>
      <c r="G526" s="68">
        <f t="shared" si="30"/>
        <v>0.26338183692326322</v>
      </c>
      <c r="H526" s="68">
        <f t="shared" si="31"/>
        <v>0.26880866987293017</v>
      </c>
      <c r="I526" s="68">
        <f t="shared" si="32"/>
        <v>0.32376332827574772</v>
      </c>
      <c r="J526" s="232">
        <f t="shared" si="33"/>
        <v>-4.2862819710261704E-3</v>
      </c>
      <c r="K526" s="321">
        <f t="shared" si="34"/>
        <v>4.2400281454284532E-2</v>
      </c>
    </row>
    <row r="527" spans="1:11" x14ac:dyDescent="0.2">
      <c r="A527" s="320">
        <v>426</v>
      </c>
      <c r="B527" s="174">
        <v>49</v>
      </c>
      <c r="C527" s="174">
        <v>45</v>
      </c>
      <c r="D527" s="174">
        <v>13</v>
      </c>
      <c r="E527" s="174">
        <v>37</v>
      </c>
      <c r="F527" s="174">
        <v>39</v>
      </c>
      <c r="G527" s="68">
        <f t="shared" si="30"/>
        <v>0.50977991854979177</v>
      </c>
      <c r="H527" s="68">
        <f t="shared" si="31"/>
        <v>0.3987593099554958</v>
      </c>
      <c r="I527" s="68">
        <f t="shared" si="32"/>
        <v>0.42173089938905295</v>
      </c>
      <c r="J527" s="232">
        <f t="shared" si="33"/>
        <v>7.6378254366760809E-2</v>
      </c>
      <c r="K527" s="321">
        <f t="shared" si="34"/>
        <v>1.628943600391905E-2</v>
      </c>
    </row>
    <row r="528" spans="1:11" x14ac:dyDescent="0.2">
      <c r="A528" s="320">
        <v>427</v>
      </c>
      <c r="B528" s="174">
        <v>54</v>
      </c>
      <c r="C528" s="174">
        <v>76</v>
      </c>
      <c r="D528" s="174">
        <v>49</v>
      </c>
      <c r="E528" s="174">
        <v>4</v>
      </c>
      <c r="F528" s="174">
        <v>16</v>
      </c>
      <c r="G528" s="68">
        <f t="shared" si="30"/>
        <v>0.26760094635129583</v>
      </c>
      <c r="H528" s="68">
        <f t="shared" si="31"/>
        <v>0.23980653639088856</v>
      </c>
      <c r="I528" s="68">
        <f t="shared" si="32"/>
        <v>0.25016334364218484</v>
      </c>
      <c r="J528" s="232">
        <f t="shared" si="33"/>
        <v>2.2170746998587343E-2</v>
      </c>
      <c r="K528" s="321">
        <f t="shared" si="34"/>
        <v>8.3188692856317106E-3</v>
      </c>
    </row>
    <row r="529" spans="1:11" x14ac:dyDescent="0.2">
      <c r="A529" s="320">
        <v>428</v>
      </c>
      <c r="B529" s="174">
        <v>58</v>
      </c>
      <c r="C529" s="174">
        <v>21</v>
      </c>
      <c r="D529" s="174">
        <v>36</v>
      </c>
      <c r="E529" s="174">
        <v>53</v>
      </c>
      <c r="F529" s="174">
        <v>30</v>
      </c>
      <c r="G529" s="68">
        <f t="shared" si="30"/>
        <v>0.39620900818966631</v>
      </c>
      <c r="H529" s="68">
        <f t="shared" si="31"/>
        <v>0.44168176912153756</v>
      </c>
      <c r="I529" s="68">
        <f t="shared" si="32"/>
        <v>0.44247321898886649</v>
      </c>
      <c r="J529" s="232">
        <f t="shared" si="33"/>
        <v>-3.2049614885171433E-2</v>
      </c>
      <c r="K529" s="321">
        <f t="shared" si="34"/>
        <v>5.4882618337627411E-4</v>
      </c>
    </row>
    <row r="530" spans="1:11" x14ac:dyDescent="0.2">
      <c r="A530" s="320">
        <v>429</v>
      </c>
      <c r="B530" s="174">
        <v>35</v>
      </c>
      <c r="C530" s="174">
        <v>74</v>
      </c>
      <c r="D530" s="174">
        <v>30</v>
      </c>
      <c r="E530" s="174">
        <v>44</v>
      </c>
      <c r="F530" s="174">
        <v>6</v>
      </c>
      <c r="G530" s="68">
        <f t="shared" si="30"/>
        <v>0.31839104290855547</v>
      </c>
      <c r="H530" s="68">
        <f t="shared" si="31"/>
        <v>0.33317882983374369</v>
      </c>
      <c r="I530" s="68">
        <f t="shared" si="32"/>
        <v>0.34354758793732199</v>
      </c>
      <c r="J530" s="232">
        <f t="shared" si="33"/>
        <v>-1.1154101873146255E-2</v>
      </c>
      <c r="K530" s="321">
        <f t="shared" si="34"/>
        <v>7.7473812022131258E-3</v>
      </c>
    </row>
    <row r="531" spans="1:11" x14ac:dyDescent="0.2">
      <c r="A531" s="320">
        <v>430</v>
      </c>
      <c r="B531" s="174">
        <v>40</v>
      </c>
      <c r="C531" s="174">
        <v>36</v>
      </c>
      <c r="D531" s="174">
        <v>33</v>
      </c>
      <c r="E531" s="174">
        <v>46</v>
      </c>
      <c r="F531" s="174">
        <v>51</v>
      </c>
      <c r="G531" s="68">
        <f t="shared" si="30"/>
        <v>0.72180385244007872</v>
      </c>
      <c r="H531" s="68">
        <f t="shared" si="31"/>
        <v>0.66797955130367148</v>
      </c>
      <c r="I531" s="68">
        <f t="shared" si="32"/>
        <v>0.73677646258717799</v>
      </c>
      <c r="J531" s="232">
        <f t="shared" si="33"/>
        <v>3.1759448237302021E-2</v>
      </c>
      <c r="K531" s="321">
        <f t="shared" si="34"/>
        <v>4.0417742866690975E-2</v>
      </c>
    </row>
    <row r="532" spans="1:11" x14ac:dyDescent="0.2">
      <c r="A532" s="320">
        <v>431</v>
      </c>
      <c r="B532" s="174">
        <v>41</v>
      </c>
      <c r="C532" s="174">
        <v>59</v>
      </c>
      <c r="D532" s="174">
        <v>73</v>
      </c>
      <c r="E532" s="174">
        <v>24</v>
      </c>
      <c r="F532" s="174">
        <v>63</v>
      </c>
      <c r="G532" s="68">
        <f t="shared" si="30"/>
        <v>0.50658376281668782</v>
      </c>
      <c r="H532" s="68">
        <f t="shared" si="31"/>
        <v>0.46703451372360494</v>
      </c>
      <c r="I532" s="68">
        <f t="shared" si="32"/>
        <v>0.55761875673762873</v>
      </c>
      <c r="J532" s="232">
        <f t="shared" si="33"/>
        <v>2.6601653361541789E-2</v>
      </c>
      <c r="K532" s="321">
        <f t="shared" si="34"/>
        <v>5.9915191457994746E-2</v>
      </c>
    </row>
    <row r="533" spans="1:11" x14ac:dyDescent="0.2">
      <c r="A533" s="320">
        <v>432</v>
      </c>
      <c r="B533" s="174">
        <v>5</v>
      </c>
      <c r="C533" s="174">
        <v>49</v>
      </c>
      <c r="D533" s="174">
        <v>24</v>
      </c>
      <c r="E533" s="174">
        <v>37</v>
      </c>
      <c r="F533" s="174">
        <v>34</v>
      </c>
      <c r="G533" s="68">
        <f t="shared" si="30"/>
        <v>0.29470054578162364</v>
      </c>
      <c r="H533" s="68">
        <f t="shared" si="31"/>
        <v>0.29122710826555287</v>
      </c>
      <c r="I533" s="68">
        <f t="shared" si="32"/>
        <v>0.29643858703426762</v>
      </c>
      <c r="J533" s="232">
        <f t="shared" si="33"/>
        <v>2.6864166904048323E-3</v>
      </c>
      <c r="K533" s="321">
        <f t="shared" si="34"/>
        <v>4.027943659214937E-3</v>
      </c>
    </row>
    <row r="534" spans="1:11" x14ac:dyDescent="0.2">
      <c r="A534" s="320">
        <v>433</v>
      </c>
      <c r="B534" s="174">
        <v>12</v>
      </c>
      <c r="C534" s="174">
        <v>76</v>
      </c>
      <c r="D534" s="174">
        <v>66</v>
      </c>
      <c r="E534" s="174">
        <v>77</v>
      </c>
      <c r="F534" s="174">
        <v>63</v>
      </c>
      <c r="G534" s="68">
        <f t="shared" si="30"/>
        <v>0.3423832371096811</v>
      </c>
      <c r="H534" s="68">
        <f t="shared" si="31"/>
        <v>0.28058935611761804</v>
      </c>
      <c r="I534" s="68">
        <f t="shared" si="32"/>
        <v>0.34869889999728665</v>
      </c>
      <c r="J534" s="232">
        <f t="shared" si="33"/>
        <v>4.7126162967437206E-2</v>
      </c>
      <c r="K534" s="321">
        <f t="shared" si="34"/>
        <v>5.1819943507130893E-2</v>
      </c>
    </row>
    <row r="535" spans="1:11" x14ac:dyDescent="0.2">
      <c r="A535" s="320">
        <v>434</v>
      </c>
      <c r="B535" s="174">
        <v>60</v>
      </c>
      <c r="C535" s="174">
        <v>30</v>
      </c>
      <c r="D535" s="174">
        <v>59</v>
      </c>
      <c r="E535" s="174">
        <v>23</v>
      </c>
      <c r="F535" s="174">
        <v>22</v>
      </c>
      <c r="G535" s="68">
        <f t="shared" si="30"/>
        <v>0.83545184417544149</v>
      </c>
      <c r="H535" s="68">
        <f t="shared" si="31"/>
        <v>0.81518994787899546</v>
      </c>
      <c r="I535" s="68">
        <f t="shared" si="32"/>
        <v>0.87542377740830535</v>
      </c>
      <c r="J535" s="232">
        <f t="shared" si="33"/>
        <v>1.110057108344422E-2</v>
      </c>
      <c r="K535" s="321">
        <f t="shared" si="34"/>
        <v>3.2644531782979568E-2</v>
      </c>
    </row>
    <row r="536" spans="1:11" x14ac:dyDescent="0.2">
      <c r="A536" s="320">
        <v>435</v>
      </c>
      <c r="B536" s="174">
        <v>41</v>
      </c>
      <c r="C536" s="174">
        <v>45</v>
      </c>
      <c r="D536" s="174">
        <v>19</v>
      </c>
      <c r="E536" s="174">
        <v>11</v>
      </c>
      <c r="F536" s="174">
        <v>42</v>
      </c>
      <c r="G536" s="68">
        <f t="shared" si="30"/>
        <v>0.22161698900289473</v>
      </c>
      <c r="H536" s="68">
        <f t="shared" si="31"/>
        <v>0.21632056395305566</v>
      </c>
      <c r="I536" s="68">
        <f t="shared" si="32"/>
        <v>0.21970822932380085</v>
      </c>
      <c r="J536" s="232">
        <f t="shared" si="33"/>
        <v>4.3450115250661019E-3</v>
      </c>
      <c r="K536" s="321">
        <f t="shared" si="34"/>
        <v>2.7813033769634623E-3</v>
      </c>
    </row>
    <row r="537" spans="1:11" x14ac:dyDescent="0.2">
      <c r="A537" s="320">
        <v>436</v>
      </c>
      <c r="B537" s="174">
        <v>26</v>
      </c>
      <c r="C537" s="174">
        <v>57</v>
      </c>
      <c r="D537" s="174">
        <v>29</v>
      </c>
      <c r="E537" s="174">
        <v>47</v>
      </c>
      <c r="F537" s="174">
        <v>27</v>
      </c>
      <c r="G537" s="68">
        <f t="shared" si="30"/>
        <v>1.2157534809247741</v>
      </c>
      <c r="H537" s="68">
        <f t="shared" si="31"/>
        <v>1.1065481055473421</v>
      </c>
      <c r="I537" s="68">
        <f t="shared" si="32"/>
        <v>1.30283967645703</v>
      </c>
      <c r="J537" s="232">
        <f t="shared" si="33"/>
        <v>5.054187873220204E-2</v>
      </c>
      <c r="K537" s="321">
        <f t="shared" si="34"/>
        <v>8.9092364434748175E-2</v>
      </c>
    </row>
    <row r="538" spans="1:11" x14ac:dyDescent="0.2">
      <c r="A538" s="320">
        <v>437</v>
      </c>
      <c r="B538" s="174">
        <v>31</v>
      </c>
      <c r="C538" s="174">
        <v>51</v>
      </c>
      <c r="D538" s="174">
        <v>54</v>
      </c>
      <c r="E538" s="174">
        <v>7</v>
      </c>
      <c r="F538" s="174">
        <v>32</v>
      </c>
      <c r="G538" s="68">
        <f t="shared" si="30"/>
        <v>0.18669233222842929</v>
      </c>
      <c r="H538" s="68">
        <f t="shared" si="31"/>
        <v>0.22416191836778432</v>
      </c>
      <c r="I538" s="68">
        <f t="shared" si="32"/>
        <v>0.19921331484083171</v>
      </c>
      <c r="J538" s="232">
        <f t="shared" si="33"/>
        <v>-3.1086577344944299E-2</v>
      </c>
      <c r="K538" s="321">
        <f t="shared" si="34"/>
        <v>-2.0590690741896431E-2</v>
      </c>
    </row>
    <row r="539" spans="1:11" x14ac:dyDescent="0.2">
      <c r="A539" s="320">
        <v>438</v>
      </c>
      <c r="B539" s="174">
        <v>38</v>
      </c>
      <c r="C539" s="174">
        <v>69</v>
      </c>
      <c r="D539" s="174">
        <v>68</v>
      </c>
      <c r="E539" s="174">
        <v>41</v>
      </c>
      <c r="F539" s="174">
        <v>40</v>
      </c>
      <c r="G539" s="68">
        <f t="shared" si="30"/>
        <v>0.62501177168570132</v>
      </c>
      <c r="H539" s="68">
        <f t="shared" si="31"/>
        <v>0.59180424083496264</v>
      </c>
      <c r="I539" s="68">
        <f t="shared" si="32"/>
        <v>0.63507193501891845</v>
      </c>
      <c r="J539" s="232">
        <f t="shared" si="33"/>
        <v>2.0646944307924655E-2</v>
      </c>
      <c r="K539" s="321">
        <f t="shared" si="34"/>
        <v>2.68186847730306E-2</v>
      </c>
    </row>
    <row r="540" spans="1:11" x14ac:dyDescent="0.2">
      <c r="A540" s="320">
        <v>439</v>
      </c>
      <c r="B540" s="174">
        <v>26</v>
      </c>
      <c r="C540" s="174">
        <v>50</v>
      </c>
      <c r="D540" s="174">
        <v>37</v>
      </c>
      <c r="E540" s="174">
        <v>55</v>
      </c>
      <c r="F540" s="174">
        <v>2</v>
      </c>
      <c r="G540" s="68">
        <f t="shared" si="30"/>
        <v>0.39916054532353318</v>
      </c>
      <c r="H540" s="68">
        <f t="shared" si="31"/>
        <v>0.35279927584923754</v>
      </c>
      <c r="I540" s="68">
        <f t="shared" si="32"/>
        <v>0.36296587464434982</v>
      </c>
      <c r="J540" s="232">
        <f t="shared" si="33"/>
        <v>3.3696462995399148E-2</v>
      </c>
      <c r="K540" s="321">
        <f t="shared" si="34"/>
        <v>7.4871321518831637E-3</v>
      </c>
    </row>
    <row r="541" spans="1:11" x14ac:dyDescent="0.2">
      <c r="A541" s="320">
        <v>440</v>
      </c>
      <c r="B541" s="174">
        <v>6</v>
      </c>
      <c r="C541" s="174">
        <v>41</v>
      </c>
      <c r="D541" s="174">
        <v>3</v>
      </c>
      <c r="E541" s="174">
        <v>22</v>
      </c>
      <c r="F541" s="174">
        <v>18</v>
      </c>
      <c r="G541" s="68">
        <f t="shared" si="30"/>
        <v>0.21496712826312137</v>
      </c>
      <c r="H541" s="68">
        <f t="shared" si="31"/>
        <v>0.18384471573781669</v>
      </c>
      <c r="I541" s="68">
        <f t="shared" si="32"/>
        <v>0.1569806410754937</v>
      </c>
      <c r="J541" s="232">
        <f t="shared" si="33"/>
        <v>2.5949645886908488E-2</v>
      </c>
      <c r="K541" s="321">
        <f t="shared" si="34"/>
        <v>-2.295365954101963E-2</v>
      </c>
    </row>
    <row r="542" spans="1:11" x14ac:dyDescent="0.2">
      <c r="A542" s="320">
        <v>441</v>
      </c>
      <c r="B542" s="174">
        <v>42</v>
      </c>
      <c r="C542" s="174">
        <v>77</v>
      </c>
      <c r="D542" s="174">
        <v>14</v>
      </c>
      <c r="E542" s="174">
        <v>4</v>
      </c>
      <c r="F542" s="174">
        <v>67</v>
      </c>
      <c r="G542" s="68">
        <f t="shared" si="30"/>
        <v>0.4820517091041332</v>
      </c>
      <c r="H542" s="68">
        <f t="shared" si="31"/>
        <v>0.45254212160156837</v>
      </c>
      <c r="I542" s="68">
        <f t="shared" si="32"/>
        <v>0.51803109029558003</v>
      </c>
      <c r="J542" s="232">
        <f t="shared" si="33"/>
        <v>2.0112208993577851E-2</v>
      </c>
      <c r="K542" s="321">
        <f t="shared" si="34"/>
        <v>4.4098951149422139E-2</v>
      </c>
    </row>
    <row r="543" spans="1:11" x14ac:dyDescent="0.2">
      <c r="A543" s="320">
        <v>442</v>
      </c>
      <c r="B543" s="174">
        <v>71</v>
      </c>
      <c r="C543" s="174">
        <v>10</v>
      </c>
      <c r="D543" s="174">
        <v>30</v>
      </c>
      <c r="E543" s="174">
        <v>24</v>
      </c>
      <c r="F543" s="174">
        <v>5</v>
      </c>
      <c r="G543" s="68">
        <f t="shared" si="30"/>
        <v>0.24363751675584333</v>
      </c>
      <c r="H543" s="68">
        <f t="shared" si="31"/>
        <v>0.25032706572843666</v>
      </c>
      <c r="I543" s="68">
        <f t="shared" si="32"/>
        <v>0.22705739850471041</v>
      </c>
      <c r="J543" s="232">
        <f t="shared" si="33"/>
        <v>-5.3646030603320682E-3</v>
      </c>
      <c r="K543" s="321">
        <f t="shared" si="34"/>
        <v>-1.8786225489805203E-2</v>
      </c>
    </row>
    <row r="544" spans="1:11" x14ac:dyDescent="0.2">
      <c r="A544" s="320">
        <v>443</v>
      </c>
      <c r="B544" s="174">
        <v>4</v>
      </c>
      <c r="C544" s="174">
        <v>43</v>
      </c>
      <c r="D544" s="174">
        <v>22</v>
      </c>
      <c r="E544" s="174">
        <v>28</v>
      </c>
      <c r="F544" s="174">
        <v>36</v>
      </c>
      <c r="G544" s="68">
        <f t="shared" si="30"/>
        <v>0.46372580688454801</v>
      </c>
      <c r="H544" s="68">
        <f t="shared" si="31"/>
        <v>0.47800246041144168</v>
      </c>
      <c r="I544" s="68">
        <f t="shared" si="32"/>
        <v>0.51504101565577165</v>
      </c>
      <c r="J544" s="232">
        <f t="shared" si="33"/>
        <v>-9.7063795956890339E-3</v>
      </c>
      <c r="K544" s="321">
        <f t="shared" si="34"/>
        <v>2.47510244206092E-2</v>
      </c>
    </row>
    <row r="545" spans="1:11" x14ac:dyDescent="0.2">
      <c r="A545" s="320">
        <v>444</v>
      </c>
      <c r="B545" s="174">
        <v>5</v>
      </c>
      <c r="C545" s="174">
        <v>16</v>
      </c>
      <c r="D545" s="174">
        <v>73</v>
      </c>
      <c r="E545" s="174">
        <v>25</v>
      </c>
      <c r="F545" s="174">
        <v>74</v>
      </c>
      <c r="G545" s="68">
        <f t="shared" si="30"/>
        <v>0.26414883327859506</v>
      </c>
      <c r="H545" s="68">
        <f t="shared" si="31"/>
        <v>0.2427939910453536</v>
      </c>
      <c r="I545" s="68">
        <f t="shared" si="32"/>
        <v>0.24439752942542059</v>
      </c>
      <c r="J545" s="232">
        <f t="shared" si="33"/>
        <v>1.703697312824954E-2</v>
      </c>
      <c r="K545" s="321">
        <f t="shared" si="34"/>
        <v>1.2894371736522172E-3</v>
      </c>
    </row>
    <row r="546" spans="1:11" x14ac:dyDescent="0.2">
      <c r="A546" s="320">
        <v>445</v>
      </c>
      <c r="B546" s="174">
        <v>71</v>
      </c>
      <c r="C546" s="174">
        <v>65</v>
      </c>
      <c r="D546" s="174">
        <v>69</v>
      </c>
      <c r="E546" s="174">
        <v>53</v>
      </c>
      <c r="F546" s="174">
        <v>69</v>
      </c>
      <c r="G546" s="68">
        <f t="shared" si="30"/>
        <v>0.44197817062436284</v>
      </c>
      <c r="H546" s="68">
        <f t="shared" si="31"/>
        <v>0.47795553837211413</v>
      </c>
      <c r="I546" s="68">
        <f t="shared" si="32"/>
        <v>0.49816979156376617</v>
      </c>
      <c r="J546" s="232">
        <f t="shared" si="33"/>
        <v>-2.4643839296417773E-2</v>
      </c>
      <c r="K546" s="321">
        <f t="shared" si="34"/>
        <v>1.3584484393774059E-2</v>
      </c>
    </row>
    <row r="547" spans="1:11" x14ac:dyDescent="0.2">
      <c r="A547" s="320">
        <v>446</v>
      </c>
      <c r="B547" s="174">
        <v>25</v>
      </c>
      <c r="C547" s="174">
        <v>20</v>
      </c>
      <c r="D547" s="174">
        <v>36</v>
      </c>
      <c r="E547" s="174">
        <v>17</v>
      </c>
      <c r="F547" s="174">
        <v>74</v>
      </c>
      <c r="G547" s="68">
        <f t="shared" si="30"/>
        <v>0.36295703633270948</v>
      </c>
      <c r="H547" s="68">
        <f t="shared" si="31"/>
        <v>0.32031411517279773</v>
      </c>
      <c r="I547" s="68">
        <f t="shared" si="32"/>
        <v>0.29955395401573703</v>
      </c>
      <c r="J547" s="232">
        <f t="shared" si="33"/>
        <v>3.1786956489402329E-2</v>
      </c>
      <c r="K547" s="321">
        <f t="shared" si="34"/>
        <v>-1.5848581033438176E-2</v>
      </c>
    </row>
    <row r="548" spans="1:11" x14ac:dyDescent="0.2">
      <c r="A548" s="320">
        <v>447</v>
      </c>
      <c r="B548" s="174">
        <v>53</v>
      </c>
      <c r="C548" s="174">
        <v>29</v>
      </c>
      <c r="D548" s="174">
        <v>26</v>
      </c>
      <c r="E548" s="174">
        <v>42</v>
      </c>
      <c r="F548" s="174">
        <v>50</v>
      </c>
      <c r="G548" s="68">
        <f t="shared" si="30"/>
        <v>0.56023894217913628</v>
      </c>
      <c r="H548" s="68">
        <f t="shared" si="31"/>
        <v>0.57098674026648055</v>
      </c>
      <c r="I548" s="68">
        <f t="shared" si="32"/>
        <v>0.63278825533746907</v>
      </c>
      <c r="J548" s="232">
        <f t="shared" si="33"/>
        <v>-6.8649413277565418E-3</v>
      </c>
      <c r="K548" s="321">
        <f t="shared" si="34"/>
        <v>3.8585220605473564E-2</v>
      </c>
    </row>
    <row r="549" spans="1:11" x14ac:dyDescent="0.2">
      <c r="A549" s="320">
        <v>448</v>
      </c>
      <c r="B549" s="174">
        <v>49</v>
      </c>
      <c r="C549" s="174">
        <v>41</v>
      </c>
      <c r="D549" s="174">
        <v>19</v>
      </c>
      <c r="E549" s="174">
        <v>76</v>
      </c>
      <c r="F549" s="174">
        <v>3</v>
      </c>
      <c r="G549" s="68">
        <f t="shared" si="30"/>
        <v>0.48401377513046451</v>
      </c>
      <c r="H549" s="68">
        <f t="shared" si="31"/>
        <v>0.40975664407551315</v>
      </c>
      <c r="I549" s="68">
        <f t="shared" si="32"/>
        <v>0.44195455373688475</v>
      </c>
      <c r="J549" s="232">
        <f t="shared" si="33"/>
        <v>5.1333330495064514E-2</v>
      </c>
      <c r="K549" s="321">
        <f t="shared" si="34"/>
        <v>2.2582425593608371E-2</v>
      </c>
    </row>
    <row r="550" spans="1:11" x14ac:dyDescent="0.2">
      <c r="A550" s="320">
        <v>449</v>
      </c>
      <c r="B550" s="174">
        <v>55</v>
      </c>
      <c r="C550" s="174">
        <v>36</v>
      </c>
      <c r="D550" s="174">
        <v>61</v>
      </c>
      <c r="E550" s="174">
        <v>26</v>
      </c>
      <c r="F550" s="174">
        <v>9</v>
      </c>
      <c r="G550" s="68">
        <f t="shared" ref="G550:G613" si="35">(1+INDEX($Z$21:$Z$97,B550))*(1+INDEX($Z$21:$Z$97,C550))*(1+INDEX($Z$21:$Z$97,D550))*(1+INDEX($Z$21:$Z$97,E550))*(1+INDEX($Z$21:$Z$97,F550))-1</f>
        <v>0.10338795823848468</v>
      </c>
      <c r="H550" s="68">
        <f t="shared" ref="H550:H613" si="36">(1+INDEX($AA$21:$AA$97,B550))*(1+INDEX($AA$21:$AA$97,C550))*(1+INDEX($AA$21:$AA$97,D550))*(1+INDEX($AA$21:$AA$97,E550))*(1+INDEX($AA$21:$AA$97,F550))-1</f>
        <v>0.15000303408512194</v>
      </c>
      <c r="I550" s="68">
        <f t="shared" ref="I550:I613" si="37">(1+INDEX($AB$21:$AB$97,B550))*(1+INDEX($AB$21:$AB$97,C550))*(1+INDEX($AB$21:$AB$97,D550))*(1+INDEX($AB$21:$AB$97,E550))*(1+INDEX($AB$21:$AB$97,F550))-1</f>
        <v>0.13133255854079762</v>
      </c>
      <c r="J550" s="232">
        <f t="shared" ref="J550:J613" si="38">LN((1+G550)/(1+H550))</f>
        <v>-4.1379172233755507E-2</v>
      </c>
      <c r="K550" s="321">
        <f t="shared" ref="K550:K613" si="39">LN((1+I550)/(1+H550))</f>
        <v>-1.6368387411906399E-2</v>
      </c>
    </row>
    <row r="551" spans="1:11" x14ac:dyDescent="0.2">
      <c r="A551" s="320">
        <v>450</v>
      </c>
      <c r="B551" s="174">
        <v>48</v>
      </c>
      <c r="C551" s="174">
        <v>48</v>
      </c>
      <c r="D551" s="174">
        <v>52</v>
      </c>
      <c r="E551" s="174">
        <v>56</v>
      </c>
      <c r="F551" s="174">
        <v>59</v>
      </c>
      <c r="G551" s="68">
        <f t="shared" si="35"/>
        <v>0.48039325682195377</v>
      </c>
      <c r="H551" s="68">
        <f t="shared" si="36"/>
        <v>0.45095919741206658</v>
      </c>
      <c r="I551" s="68">
        <f t="shared" si="37"/>
        <v>0.48912952040388724</v>
      </c>
      <c r="J551" s="232">
        <f t="shared" si="38"/>
        <v>2.0082913365003549E-2</v>
      </c>
      <c r="K551" s="321">
        <f t="shared" si="39"/>
        <v>2.5966881559373375E-2</v>
      </c>
    </row>
    <row r="552" spans="1:11" x14ac:dyDescent="0.2">
      <c r="A552" s="320">
        <v>451</v>
      </c>
      <c r="B552" s="174">
        <v>6</v>
      </c>
      <c r="C552" s="174">
        <v>5</v>
      </c>
      <c r="D552" s="174">
        <v>70</v>
      </c>
      <c r="E552" s="174">
        <v>8</v>
      </c>
      <c r="F552" s="174">
        <v>16</v>
      </c>
      <c r="G552" s="68">
        <f t="shared" si="35"/>
        <v>-0.25670855765349754</v>
      </c>
      <c r="H552" s="68">
        <f t="shared" si="36"/>
        <v>-0.19832564795991903</v>
      </c>
      <c r="I552" s="68">
        <f t="shared" si="37"/>
        <v>-0.26400555199185438</v>
      </c>
      <c r="J552" s="232">
        <f t="shared" si="38"/>
        <v>-7.5614261959828968E-2</v>
      </c>
      <c r="K552" s="321">
        <f t="shared" si="39"/>
        <v>-8.5479905336952391E-2</v>
      </c>
    </row>
    <row r="553" spans="1:11" x14ac:dyDescent="0.2">
      <c r="A553" s="320">
        <v>452</v>
      </c>
      <c r="B553" s="174">
        <v>22</v>
      </c>
      <c r="C553" s="174">
        <v>10</v>
      </c>
      <c r="D553" s="174">
        <v>72</v>
      </c>
      <c r="E553" s="174">
        <v>57</v>
      </c>
      <c r="F553" s="174">
        <v>9</v>
      </c>
      <c r="G553" s="68">
        <f t="shared" si="35"/>
        <v>2.7094227992517261E-2</v>
      </c>
      <c r="H553" s="68">
        <f t="shared" si="36"/>
        <v>7.27824357696496E-2</v>
      </c>
      <c r="I553" s="68">
        <f t="shared" si="37"/>
        <v>3.884718995050962E-2</v>
      </c>
      <c r="J553" s="232">
        <f t="shared" si="38"/>
        <v>-4.3522003065642065E-2</v>
      </c>
      <c r="K553" s="321">
        <f t="shared" si="39"/>
        <v>-3.2144053382947159E-2</v>
      </c>
    </row>
    <row r="554" spans="1:11" x14ac:dyDescent="0.2">
      <c r="A554" s="320">
        <v>453</v>
      </c>
      <c r="B554" s="174">
        <v>4</v>
      </c>
      <c r="C554" s="174">
        <v>26</v>
      </c>
      <c r="D554" s="174">
        <v>53</v>
      </c>
      <c r="E554" s="174">
        <v>18</v>
      </c>
      <c r="F554" s="174">
        <v>14</v>
      </c>
      <c r="G554" s="68">
        <f t="shared" si="35"/>
        <v>0.42470001992673878</v>
      </c>
      <c r="H554" s="68">
        <f t="shared" si="36"/>
        <v>0.40065697417918078</v>
      </c>
      <c r="I554" s="68">
        <f t="shared" si="37"/>
        <v>0.40585129684837673</v>
      </c>
      <c r="J554" s="232">
        <f t="shared" si="38"/>
        <v>1.7019885407065078E-2</v>
      </c>
      <c r="K554" s="321">
        <f t="shared" si="39"/>
        <v>3.701630708805042E-3</v>
      </c>
    </row>
    <row r="555" spans="1:11" x14ac:dyDescent="0.2">
      <c r="A555" s="320">
        <v>454</v>
      </c>
      <c r="B555" s="174">
        <v>66</v>
      </c>
      <c r="C555" s="174">
        <v>43</v>
      </c>
      <c r="D555" s="174">
        <v>31</v>
      </c>
      <c r="E555" s="174">
        <v>52</v>
      </c>
      <c r="F555" s="174">
        <v>67</v>
      </c>
      <c r="G555" s="68">
        <f t="shared" si="35"/>
        <v>0.70017659989073588</v>
      </c>
      <c r="H555" s="68">
        <f t="shared" si="36"/>
        <v>0.69199890807369036</v>
      </c>
      <c r="I555" s="68">
        <f t="shared" si="37"/>
        <v>0.77505899764212316</v>
      </c>
      <c r="J555" s="232">
        <f t="shared" si="38"/>
        <v>4.8215121181426727E-3</v>
      </c>
      <c r="K555" s="321">
        <f t="shared" si="39"/>
        <v>4.7923044645939217E-2</v>
      </c>
    </row>
    <row r="556" spans="1:11" x14ac:dyDescent="0.2">
      <c r="A556" s="320">
        <v>455</v>
      </c>
      <c r="B556" s="174">
        <v>60</v>
      </c>
      <c r="C556" s="174">
        <v>9</v>
      </c>
      <c r="D556" s="174">
        <v>28</v>
      </c>
      <c r="E556" s="174">
        <v>55</v>
      </c>
      <c r="F556" s="174">
        <v>2</v>
      </c>
      <c r="G556" s="68">
        <f t="shared" si="35"/>
        <v>0.28298872584349621</v>
      </c>
      <c r="H556" s="68">
        <f t="shared" si="36"/>
        <v>0.33240928762472643</v>
      </c>
      <c r="I556" s="68">
        <f t="shared" si="37"/>
        <v>0.32415616232490163</v>
      </c>
      <c r="J556" s="232">
        <f t="shared" si="38"/>
        <v>-3.779649965560769E-2</v>
      </c>
      <c r="K556" s="321">
        <f t="shared" si="39"/>
        <v>-6.2133999761813568E-3</v>
      </c>
    </row>
    <row r="557" spans="1:11" x14ac:dyDescent="0.2">
      <c r="A557" s="320">
        <v>456</v>
      </c>
      <c r="B557" s="174">
        <v>39</v>
      </c>
      <c r="C557" s="174">
        <v>73</v>
      </c>
      <c r="D557" s="174">
        <v>14</v>
      </c>
      <c r="E557" s="174">
        <v>76</v>
      </c>
      <c r="F557" s="174">
        <v>25</v>
      </c>
      <c r="G557" s="68">
        <f t="shared" si="35"/>
        <v>0.55469204353509571</v>
      </c>
      <c r="H557" s="68">
        <f t="shared" si="36"/>
        <v>0.45858336362073349</v>
      </c>
      <c r="I557" s="68">
        <f t="shared" si="37"/>
        <v>0.50720634404112763</v>
      </c>
      <c r="J557" s="232">
        <f t="shared" si="38"/>
        <v>6.381181748979893E-2</v>
      </c>
      <c r="K557" s="321">
        <f t="shared" si="39"/>
        <v>3.2792168202260989E-2</v>
      </c>
    </row>
    <row r="558" spans="1:11" x14ac:dyDescent="0.2">
      <c r="A558" s="320">
        <v>457</v>
      </c>
      <c r="B558" s="174">
        <v>35</v>
      </c>
      <c r="C558" s="174">
        <v>20</v>
      </c>
      <c r="D558" s="174">
        <v>6</v>
      </c>
      <c r="E558" s="174">
        <v>68</v>
      </c>
      <c r="F558" s="174">
        <v>15</v>
      </c>
      <c r="G558" s="68">
        <f t="shared" si="35"/>
        <v>9.3509569597900244E-2</v>
      </c>
      <c r="H558" s="68">
        <f t="shared" si="36"/>
        <v>0.12991151014582569</v>
      </c>
      <c r="I558" s="68">
        <f t="shared" si="37"/>
        <v>9.2426456796204759E-2</v>
      </c>
      <c r="J558" s="232">
        <f t="shared" si="38"/>
        <v>-3.2747007609075791E-2</v>
      </c>
      <c r="K558" s="321">
        <f t="shared" si="39"/>
        <v>-3.3737990764352445E-2</v>
      </c>
    </row>
    <row r="559" spans="1:11" x14ac:dyDescent="0.2">
      <c r="A559" s="320">
        <v>458</v>
      </c>
      <c r="B559" s="174">
        <v>40</v>
      </c>
      <c r="C559" s="174">
        <v>32</v>
      </c>
      <c r="D559" s="174">
        <v>72</v>
      </c>
      <c r="E559" s="174">
        <v>33</v>
      </c>
      <c r="F559" s="174">
        <v>65</v>
      </c>
      <c r="G559" s="68">
        <f t="shared" si="35"/>
        <v>0.65995062614073596</v>
      </c>
      <c r="H559" s="68">
        <f t="shared" si="36"/>
        <v>0.65176696055416405</v>
      </c>
      <c r="I559" s="68">
        <f t="shared" si="37"/>
        <v>0.73506024339165332</v>
      </c>
      <c r="J559" s="232">
        <f t="shared" si="38"/>
        <v>4.9422585290727766E-3</v>
      </c>
      <c r="K559" s="321">
        <f t="shared" si="39"/>
        <v>4.9196535103626433E-2</v>
      </c>
    </row>
    <row r="560" spans="1:11" x14ac:dyDescent="0.2">
      <c r="A560" s="320">
        <v>459</v>
      </c>
      <c r="B560" s="174">
        <v>47</v>
      </c>
      <c r="C560" s="174">
        <v>52</v>
      </c>
      <c r="D560" s="174">
        <v>66</v>
      </c>
      <c r="E560" s="174">
        <v>20</v>
      </c>
      <c r="F560" s="174">
        <v>12</v>
      </c>
      <c r="G560" s="68">
        <f t="shared" si="35"/>
        <v>0.67337123303345514</v>
      </c>
      <c r="H560" s="68">
        <f t="shared" si="36"/>
        <v>0.58570116023484609</v>
      </c>
      <c r="I560" s="68">
        <f t="shared" si="37"/>
        <v>0.63083151603768339</v>
      </c>
      <c r="J560" s="232">
        <f t="shared" si="38"/>
        <v>5.3813612102877155E-2</v>
      </c>
      <c r="K560" s="321">
        <f t="shared" si="39"/>
        <v>2.8063335384416743E-2</v>
      </c>
    </row>
    <row r="561" spans="1:11" x14ac:dyDescent="0.2">
      <c r="A561" s="320">
        <v>460</v>
      </c>
      <c r="B561" s="174">
        <v>59</v>
      </c>
      <c r="C561" s="174">
        <v>69</v>
      </c>
      <c r="D561" s="174">
        <v>12</v>
      </c>
      <c r="E561" s="174">
        <v>69</v>
      </c>
      <c r="F561" s="174">
        <v>64</v>
      </c>
      <c r="G561" s="68">
        <f t="shared" si="35"/>
        <v>0.67750284899768864</v>
      </c>
      <c r="H561" s="68">
        <f t="shared" si="36"/>
        <v>0.6254552704726255</v>
      </c>
      <c r="I561" s="68">
        <f t="shared" si="37"/>
        <v>0.70670793597390236</v>
      </c>
      <c r="J561" s="232">
        <f t="shared" si="38"/>
        <v>3.1518345234431484E-2</v>
      </c>
      <c r="K561" s="321">
        <f t="shared" si="39"/>
        <v>4.8778388338549972E-2</v>
      </c>
    </row>
    <row r="562" spans="1:11" x14ac:dyDescent="0.2">
      <c r="A562" s="320">
        <v>461</v>
      </c>
      <c r="B562" s="174">
        <v>67</v>
      </c>
      <c r="C562" s="174">
        <v>36</v>
      </c>
      <c r="D562" s="174">
        <v>29</v>
      </c>
      <c r="E562" s="174">
        <v>9</v>
      </c>
      <c r="F562" s="174">
        <v>61</v>
      </c>
      <c r="G562" s="68">
        <f t="shared" si="35"/>
        <v>0.21938417989331493</v>
      </c>
      <c r="H562" s="68">
        <f t="shared" si="36"/>
        <v>0.27513766406595952</v>
      </c>
      <c r="I562" s="68">
        <f t="shared" si="37"/>
        <v>0.26526917678876583</v>
      </c>
      <c r="J562" s="232">
        <f t="shared" si="38"/>
        <v>-4.4708183871931956E-2</v>
      </c>
      <c r="K562" s="321">
        <f t="shared" si="39"/>
        <v>-7.7692570796489523E-3</v>
      </c>
    </row>
    <row r="563" spans="1:11" x14ac:dyDescent="0.2">
      <c r="A563" s="320">
        <v>462</v>
      </c>
      <c r="B563" s="174">
        <v>3</v>
      </c>
      <c r="C563" s="174">
        <v>11</v>
      </c>
      <c r="D563" s="174">
        <v>60</v>
      </c>
      <c r="E563" s="174">
        <v>3</v>
      </c>
      <c r="F563" s="174">
        <v>11</v>
      </c>
      <c r="G563" s="68">
        <f t="shared" si="35"/>
        <v>0.48248566696734119</v>
      </c>
      <c r="H563" s="68">
        <f t="shared" si="36"/>
        <v>0.38841594681667879</v>
      </c>
      <c r="I563" s="68">
        <f t="shared" si="37"/>
        <v>0.38727100510521995</v>
      </c>
      <c r="J563" s="232">
        <f t="shared" si="38"/>
        <v>6.5556693002288599E-2</v>
      </c>
      <c r="K563" s="321">
        <f t="shared" si="39"/>
        <v>-8.2497903850605099E-4</v>
      </c>
    </row>
    <row r="564" spans="1:11" x14ac:dyDescent="0.2">
      <c r="A564" s="320">
        <v>463</v>
      </c>
      <c r="B564" s="174">
        <v>25</v>
      </c>
      <c r="C564" s="174">
        <v>33</v>
      </c>
      <c r="D564" s="174">
        <v>19</v>
      </c>
      <c r="E564" s="174">
        <v>45</v>
      </c>
      <c r="F564" s="174">
        <v>5</v>
      </c>
      <c r="G564" s="68">
        <f t="shared" si="35"/>
        <v>0.28343011651224881</v>
      </c>
      <c r="H564" s="68">
        <f t="shared" si="36"/>
        <v>0.29791544444719187</v>
      </c>
      <c r="I564" s="68">
        <f t="shared" si="37"/>
        <v>0.29598367744905207</v>
      </c>
      <c r="J564" s="232">
        <f t="shared" si="38"/>
        <v>-1.1223200955077121E-2</v>
      </c>
      <c r="K564" s="321">
        <f t="shared" si="39"/>
        <v>-1.4894699172929341E-3</v>
      </c>
    </row>
    <row r="565" spans="1:11" x14ac:dyDescent="0.2">
      <c r="A565" s="320">
        <v>464</v>
      </c>
      <c r="B565" s="174">
        <v>28</v>
      </c>
      <c r="C565" s="174">
        <v>26</v>
      </c>
      <c r="D565" s="174">
        <v>65</v>
      </c>
      <c r="E565" s="174">
        <v>48</v>
      </c>
      <c r="F565" s="174">
        <v>15</v>
      </c>
      <c r="G565" s="68">
        <f t="shared" si="35"/>
        <v>0.48570604353151303</v>
      </c>
      <c r="H565" s="68">
        <f t="shared" si="36"/>
        <v>0.46388018432922018</v>
      </c>
      <c r="I565" s="68">
        <f t="shared" si="37"/>
        <v>0.51930154540616735</v>
      </c>
      <c r="J565" s="232">
        <f t="shared" si="38"/>
        <v>1.4799538568845489E-2</v>
      </c>
      <c r="K565" s="321">
        <f t="shared" si="39"/>
        <v>3.7160148765329623E-2</v>
      </c>
    </row>
    <row r="566" spans="1:11" x14ac:dyDescent="0.2">
      <c r="A566" s="320">
        <v>465</v>
      </c>
      <c r="B566" s="174">
        <v>76</v>
      </c>
      <c r="C566" s="174">
        <v>57</v>
      </c>
      <c r="D566" s="174">
        <v>15</v>
      </c>
      <c r="E566" s="174">
        <v>20</v>
      </c>
      <c r="F566" s="174">
        <v>65</v>
      </c>
      <c r="G566" s="68">
        <f t="shared" si="35"/>
        <v>0.28986280756254312</v>
      </c>
      <c r="H566" s="68">
        <f t="shared" si="36"/>
        <v>0.25522627995946645</v>
      </c>
      <c r="I566" s="68">
        <f t="shared" si="37"/>
        <v>0.26995534767688367</v>
      </c>
      <c r="J566" s="232">
        <f t="shared" si="38"/>
        <v>2.7220002903524804E-2</v>
      </c>
      <c r="K566" s="321">
        <f t="shared" si="39"/>
        <v>1.1665881455150778E-2</v>
      </c>
    </row>
    <row r="567" spans="1:11" x14ac:dyDescent="0.2">
      <c r="A567" s="320">
        <v>466</v>
      </c>
      <c r="B567" s="174">
        <v>3</v>
      </c>
      <c r="C567" s="174">
        <v>32</v>
      </c>
      <c r="D567" s="174">
        <v>61</v>
      </c>
      <c r="E567" s="174">
        <v>23</v>
      </c>
      <c r="F567" s="174">
        <v>10</v>
      </c>
      <c r="G567" s="68">
        <f t="shared" si="35"/>
        <v>0.3922446442719929</v>
      </c>
      <c r="H567" s="68">
        <f t="shared" si="36"/>
        <v>0.36433029538418471</v>
      </c>
      <c r="I567" s="68">
        <f t="shared" si="37"/>
        <v>0.36155759930238629</v>
      </c>
      <c r="J567" s="232">
        <f t="shared" si="38"/>
        <v>2.0253614516980645E-2</v>
      </c>
      <c r="K567" s="321">
        <f t="shared" si="39"/>
        <v>-2.0343441441224423E-3</v>
      </c>
    </row>
    <row r="568" spans="1:11" x14ac:dyDescent="0.2">
      <c r="A568" s="320">
        <v>467</v>
      </c>
      <c r="B568" s="174">
        <v>16</v>
      </c>
      <c r="C568" s="174">
        <v>70</v>
      </c>
      <c r="D568" s="174">
        <v>29</v>
      </c>
      <c r="E568" s="174">
        <v>13</v>
      </c>
      <c r="F568" s="174">
        <v>63</v>
      </c>
      <c r="G568" s="68">
        <f t="shared" si="35"/>
        <v>0.49595652874093377</v>
      </c>
      <c r="H568" s="68">
        <f t="shared" si="36"/>
        <v>0.42754467080633574</v>
      </c>
      <c r="I568" s="68">
        <f t="shared" si="37"/>
        <v>0.48064846048461796</v>
      </c>
      <c r="J568" s="232">
        <f t="shared" si="38"/>
        <v>4.6809865709209149E-2</v>
      </c>
      <c r="K568" s="321">
        <f t="shared" si="39"/>
        <v>3.6524185700260767E-2</v>
      </c>
    </row>
    <row r="569" spans="1:11" x14ac:dyDescent="0.2">
      <c r="A569" s="320">
        <v>468</v>
      </c>
      <c r="B569" s="174">
        <v>55</v>
      </c>
      <c r="C569" s="174">
        <v>6</v>
      </c>
      <c r="D569" s="174">
        <v>56</v>
      </c>
      <c r="E569" s="174">
        <v>21</v>
      </c>
      <c r="F569" s="174">
        <v>76</v>
      </c>
      <c r="G569" s="68">
        <f t="shared" si="35"/>
        <v>-7.4498895272459231E-2</v>
      </c>
      <c r="H569" s="68">
        <f t="shared" si="36"/>
        <v>-2.744672809087223E-2</v>
      </c>
      <c r="I569" s="68">
        <f t="shared" si="37"/>
        <v>-5.9281737710728089E-2</v>
      </c>
      <c r="J569" s="232">
        <f t="shared" si="38"/>
        <v>-4.9589526637387145E-2</v>
      </c>
      <c r="K569" s="321">
        <f t="shared" si="39"/>
        <v>-3.3281160005145138E-2</v>
      </c>
    </row>
    <row r="570" spans="1:11" x14ac:dyDescent="0.2">
      <c r="A570" s="320">
        <v>469</v>
      </c>
      <c r="B570" s="174">
        <v>44</v>
      </c>
      <c r="C570" s="174">
        <v>25</v>
      </c>
      <c r="D570" s="174">
        <v>64</v>
      </c>
      <c r="E570" s="174">
        <v>49</v>
      </c>
      <c r="F570" s="174">
        <v>21</v>
      </c>
      <c r="G570" s="68">
        <f t="shared" si="35"/>
        <v>0.27975219685686392</v>
      </c>
      <c r="H570" s="68">
        <f t="shared" si="36"/>
        <v>0.22029060577088244</v>
      </c>
      <c r="I570" s="68">
        <f t="shared" si="37"/>
        <v>0.23321126465242825</v>
      </c>
      <c r="J570" s="232">
        <f t="shared" si="38"/>
        <v>4.7577431152539616E-2</v>
      </c>
      <c r="K570" s="321">
        <f t="shared" si="39"/>
        <v>1.0532519646373556E-2</v>
      </c>
    </row>
    <row r="571" spans="1:11" x14ac:dyDescent="0.2">
      <c r="A571" s="320">
        <v>470</v>
      </c>
      <c r="B571" s="174">
        <v>33</v>
      </c>
      <c r="C571" s="174">
        <v>30</v>
      </c>
      <c r="D571" s="174">
        <v>37</v>
      </c>
      <c r="E571" s="174">
        <v>66</v>
      </c>
      <c r="F571" s="174">
        <v>40</v>
      </c>
      <c r="G571" s="68">
        <f t="shared" si="35"/>
        <v>0.58547818565453946</v>
      </c>
      <c r="H571" s="68">
        <f t="shared" si="36"/>
        <v>0.5501811054326371</v>
      </c>
      <c r="I571" s="68">
        <f t="shared" si="37"/>
        <v>0.58722516090320198</v>
      </c>
      <c r="J571" s="232">
        <f t="shared" si="38"/>
        <v>2.2514289927661676E-2</v>
      </c>
      <c r="K571" s="321">
        <f t="shared" si="39"/>
        <v>2.3615543486153474E-2</v>
      </c>
    </row>
    <row r="572" spans="1:11" x14ac:dyDescent="0.2">
      <c r="A572" s="320">
        <v>471</v>
      </c>
      <c r="B572" s="174">
        <v>21</v>
      </c>
      <c r="C572" s="174">
        <v>31</v>
      </c>
      <c r="D572" s="174">
        <v>5</v>
      </c>
      <c r="E572" s="174">
        <v>19</v>
      </c>
      <c r="F572" s="174">
        <v>8</v>
      </c>
      <c r="G572" s="68">
        <f t="shared" si="35"/>
        <v>-0.19473648108023778</v>
      </c>
      <c r="H572" s="68">
        <f t="shared" si="36"/>
        <v>-0.12574173920610354</v>
      </c>
      <c r="I572" s="68">
        <f t="shared" si="37"/>
        <v>-0.20046619399058219</v>
      </c>
      <c r="J572" s="232">
        <f t="shared" si="38"/>
        <v>-8.2206248359585551E-2</v>
      </c>
      <c r="K572" s="321">
        <f t="shared" si="39"/>
        <v>-8.934700958599967E-2</v>
      </c>
    </row>
    <row r="573" spans="1:11" x14ac:dyDescent="0.2">
      <c r="A573" s="320">
        <v>472</v>
      </c>
      <c r="B573" s="174">
        <v>62</v>
      </c>
      <c r="C573" s="174">
        <v>24</v>
      </c>
      <c r="D573" s="174">
        <v>58</v>
      </c>
      <c r="E573" s="174">
        <v>21</v>
      </c>
      <c r="F573" s="174">
        <v>19</v>
      </c>
      <c r="G573" s="68">
        <f t="shared" si="35"/>
        <v>0.26734553824834584</v>
      </c>
      <c r="H573" s="68">
        <f t="shared" si="36"/>
        <v>0.27824318689617877</v>
      </c>
      <c r="I573" s="68">
        <f t="shared" si="37"/>
        <v>0.28397380182373877</v>
      </c>
      <c r="J573" s="232">
        <f t="shared" si="38"/>
        <v>-8.5620391969141348E-3</v>
      </c>
      <c r="K573" s="321">
        <f t="shared" si="39"/>
        <v>4.4731765562838668E-3</v>
      </c>
    </row>
    <row r="574" spans="1:11" x14ac:dyDescent="0.2">
      <c r="A574" s="320">
        <v>473</v>
      </c>
      <c r="B574" s="174">
        <v>2</v>
      </c>
      <c r="C574" s="174">
        <v>74</v>
      </c>
      <c r="D574" s="174">
        <v>31</v>
      </c>
      <c r="E574" s="174">
        <v>14</v>
      </c>
      <c r="F574" s="174">
        <v>42</v>
      </c>
      <c r="G574" s="68">
        <f t="shared" si="35"/>
        <v>0.71784723763037328</v>
      </c>
      <c r="H574" s="68">
        <f t="shared" si="36"/>
        <v>0.6386359859242472</v>
      </c>
      <c r="I574" s="68">
        <f t="shared" si="37"/>
        <v>0.69849312629183258</v>
      </c>
      <c r="J574" s="232">
        <f t="shared" si="38"/>
        <v>4.7207721014825899E-2</v>
      </c>
      <c r="K574" s="321">
        <f t="shared" si="39"/>
        <v>3.5877281813059075E-2</v>
      </c>
    </row>
    <row r="575" spans="1:11" x14ac:dyDescent="0.2">
      <c r="A575" s="320">
        <v>474</v>
      </c>
      <c r="B575" s="174">
        <v>51</v>
      </c>
      <c r="C575" s="174">
        <v>26</v>
      </c>
      <c r="D575" s="174">
        <v>15</v>
      </c>
      <c r="E575" s="174">
        <v>21</v>
      </c>
      <c r="F575" s="174">
        <v>17</v>
      </c>
      <c r="G575" s="68">
        <f t="shared" si="35"/>
        <v>0.44270884956159362</v>
      </c>
      <c r="H575" s="68">
        <f t="shared" si="36"/>
        <v>0.39382028886707121</v>
      </c>
      <c r="I575" s="68">
        <f t="shared" si="37"/>
        <v>0.38971442219610686</v>
      </c>
      <c r="J575" s="232">
        <f t="shared" si="38"/>
        <v>3.4474105549559604E-2</v>
      </c>
      <c r="K575" s="321">
        <f t="shared" si="39"/>
        <v>-2.9501120517592227E-3</v>
      </c>
    </row>
    <row r="576" spans="1:11" x14ac:dyDescent="0.2">
      <c r="A576" s="320">
        <v>475</v>
      </c>
      <c r="B576" s="174">
        <v>25</v>
      </c>
      <c r="C576" s="174">
        <v>73</v>
      </c>
      <c r="D576" s="174">
        <v>37</v>
      </c>
      <c r="E576" s="174">
        <v>67</v>
      </c>
      <c r="F576" s="174">
        <v>44</v>
      </c>
      <c r="G576" s="68">
        <f t="shared" si="35"/>
        <v>0.36732292778943032</v>
      </c>
      <c r="H576" s="68">
        <f t="shared" si="36"/>
        <v>0.34107597522812383</v>
      </c>
      <c r="I576" s="68">
        <f t="shared" si="37"/>
        <v>0.36488125869804788</v>
      </c>
      <c r="J576" s="232">
        <f t="shared" si="38"/>
        <v>1.9382502506984652E-2</v>
      </c>
      <c r="K576" s="321">
        <f t="shared" si="39"/>
        <v>1.7595176542506738E-2</v>
      </c>
    </row>
    <row r="577" spans="1:11" x14ac:dyDescent="0.2">
      <c r="A577" s="320">
        <v>476</v>
      </c>
      <c r="B577" s="174">
        <v>61</v>
      </c>
      <c r="C577" s="174">
        <v>66</v>
      </c>
      <c r="D577" s="174">
        <v>21</v>
      </c>
      <c r="E577" s="174">
        <v>46</v>
      </c>
      <c r="F577" s="174">
        <v>77</v>
      </c>
      <c r="G577" s="68">
        <f t="shared" si="35"/>
        <v>0.43486620432153811</v>
      </c>
      <c r="H577" s="68">
        <f t="shared" si="36"/>
        <v>0.41737481430303913</v>
      </c>
      <c r="I577" s="68">
        <f t="shared" si="37"/>
        <v>0.46165660298408584</v>
      </c>
      <c r="J577" s="232">
        <f t="shared" si="38"/>
        <v>1.2265169162955607E-2</v>
      </c>
      <c r="K577" s="321">
        <f t="shared" si="39"/>
        <v>3.0764013763575036E-2</v>
      </c>
    </row>
    <row r="578" spans="1:11" x14ac:dyDescent="0.2">
      <c r="A578" s="320">
        <v>477</v>
      </c>
      <c r="B578" s="174">
        <v>72</v>
      </c>
      <c r="C578" s="174">
        <v>34</v>
      </c>
      <c r="D578" s="174">
        <v>40</v>
      </c>
      <c r="E578" s="174">
        <v>55</v>
      </c>
      <c r="F578" s="174">
        <v>49</v>
      </c>
      <c r="G578" s="68">
        <f t="shared" si="35"/>
        <v>0.48637179485570203</v>
      </c>
      <c r="H578" s="68">
        <f t="shared" si="36"/>
        <v>0.50540094865106799</v>
      </c>
      <c r="I578" s="68">
        <f t="shared" si="37"/>
        <v>0.568581827760406</v>
      </c>
      <c r="J578" s="232">
        <f t="shared" si="38"/>
        <v>-1.2721160359973336E-2</v>
      </c>
      <c r="K578" s="321">
        <f t="shared" si="39"/>
        <v>4.1112642940297969E-2</v>
      </c>
    </row>
    <row r="579" spans="1:11" x14ac:dyDescent="0.2">
      <c r="A579" s="320">
        <v>478</v>
      </c>
      <c r="B579" s="174">
        <v>65</v>
      </c>
      <c r="C579" s="174">
        <v>53</v>
      </c>
      <c r="D579" s="174">
        <v>41</v>
      </c>
      <c r="E579" s="174">
        <v>67</v>
      </c>
      <c r="F579" s="174">
        <v>47</v>
      </c>
      <c r="G579" s="68">
        <f t="shared" si="35"/>
        <v>0.31741341229949116</v>
      </c>
      <c r="H579" s="68">
        <f t="shared" si="36"/>
        <v>0.34997857472868144</v>
      </c>
      <c r="I579" s="68">
        <f t="shared" si="37"/>
        <v>0.38476788229903458</v>
      </c>
      <c r="J579" s="232">
        <f t="shared" si="38"/>
        <v>-2.441844369421297E-2</v>
      </c>
      <c r="K579" s="321">
        <f t="shared" si="39"/>
        <v>2.5443809832887413E-2</v>
      </c>
    </row>
    <row r="580" spans="1:11" x14ac:dyDescent="0.2">
      <c r="A580" s="320">
        <v>479</v>
      </c>
      <c r="B580" s="174">
        <v>54</v>
      </c>
      <c r="C580" s="174">
        <v>55</v>
      </c>
      <c r="D580" s="174">
        <v>75</v>
      </c>
      <c r="E580" s="174">
        <v>3</v>
      </c>
      <c r="F580" s="174">
        <v>49</v>
      </c>
      <c r="G580" s="68">
        <f t="shared" si="35"/>
        <v>0.2993186768244267</v>
      </c>
      <c r="H580" s="68">
        <f t="shared" si="36"/>
        <v>0.2812366091698113</v>
      </c>
      <c r="I580" s="68">
        <f t="shared" si="37"/>
        <v>0.30523597392700652</v>
      </c>
      <c r="J580" s="232">
        <f t="shared" si="38"/>
        <v>1.4014319861086364E-2</v>
      </c>
      <c r="K580" s="321">
        <f t="shared" si="39"/>
        <v>1.8558134890427142E-2</v>
      </c>
    </row>
    <row r="581" spans="1:11" x14ac:dyDescent="0.2">
      <c r="A581" s="320">
        <v>480</v>
      </c>
      <c r="B581" s="174">
        <v>32</v>
      </c>
      <c r="C581" s="174">
        <v>17</v>
      </c>
      <c r="D581" s="174">
        <v>19</v>
      </c>
      <c r="E581" s="174">
        <v>29</v>
      </c>
      <c r="F581" s="174">
        <v>31</v>
      </c>
      <c r="G581" s="68">
        <f t="shared" si="35"/>
        <v>0.44063390550821802</v>
      </c>
      <c r="H581" s="68">
        <f t="shared" si="36"/>
        <v>0.45161071922481177</v>
      </c>
      <c r="I581" s="68">
        <f t="shared" si="37"/>
        <v>0.44858847169775062</v>
      </c>
      <c r="J581" s="232">
        <f t="shared" si="38"/>
        <v>-7.5905518685749993E-3</v>
      </c>
      <c r="K581" s="321">
        <f t="shared" si="39"/>
        <v>-2.0841662396919782E-3</v>
      </c>
    </row>
    <row r="582" spans="1:11" x14ac:dyDescent="0.2">
      <c r="A582" s="320">
        <v>481</v>
      </c>
      <c r="B582" s="174">
        <v>10</v>
      </c>
      <c r="C582" s="174">
        <v>40</v>
      </c>
      <c r="D582" s="174">
        <v>39</v>
      </c>
      <c r="E582" s="174">
        <v>70</v>
      </c>
      <c r="F582" s="174">
        <v>53</v>
      </c>
      <c r="G582" s="68">
        <f t="shared" si="35"/>
        <v>9.9908874335682851E-2</v>
      </c>
      <c r="H582" s="68">
        <f t="shared" si="36"/>
        <v>0.13763293242463326</v>
      </c>
      <c r="I582" s="68">
        <f t="shared" si="37"/>
        <v>0.11262009279984375</v>
      </c>
      <c r="J582" s="232">
        <f t="shared" si="38"/>
        <v>-3.3722393825187338E-2</v>
      </c>
      <c r="K582" s="321">
        <f t="shared" si="39"/>
        <v>-2.223205086859063E-2</v>
      </c>
    </row>
    <row r="583" spans="1:11" x14ac:dyDescent="0.2">
      <c r="A583" s="320">
        <v>482</v>
      </c>
      <c r="B583" s="174">
        <v>43</v>
      </c>
      <c r="C583" s="174">
        <v>1</v>
      </c>
      <c r="D583" s="174">
        <v>36</v>
      </c>
      <c r="E583" s="174">
        <v>42</v>
      </c>
      <c r="F583" s="174">
        <v>65</v>
      </c>
      <c r="G583" s="68">
        <f t="shared" si="35"/>
        <v>0.35394076520602136</v>
      </c>
      <c r="H583" s="68">
        <f t="shared" si="36"/>
        <v>0.31498349218979937</v>
      </c>
      <c r="I583" s="68">
        <f t="shared" si="37"/>
        <v>0.34320582073836348</v>
      </c>
      <c r="J583" s="232">
        <f t="shared" si="38"/>
        <v>2.9195313448550878E-2</v>
      </c>
      <c r="K583" s="321">
        <f t="shared" si="39"/>
        <v>2.1235048174681609E-2</v>
      </c>
    </row>
    <row r="584" spans="1:11" x14ac:dyDescent="0.2">
      <c r="A584" s="320">
        <v>483</v>
      </c>
      <c r="B584" s="174">
        <v>6</v>
      </c>
      <c r="C584" s="174">
        <v>37</v>
      </c>
      <c r="D584" s="174">
        <v>25</v>
      </c>
      <c r="E584" s="174">
        <v>75</v>
      </c>
      <c r="F584" s="174">
        <v>75</v>
      </c>
      <c r="G584" s="68">
        <f t="shared" si="35"/>
        <v>0.17677674090447004</v>
      </c>
      <c r="H584" s="68">
        <f t="shared" si="36"/>
        <v>0.18943204865815755</v>
      </c>
      <c r="I584" s="68">
        <f t="shared" si="37"/>
        <v>0.19430427101298831</v>
      </c>
      <c r="J584" s="232">
        <f t="shared" si="38"/>
        <v>-1.0696797746000318E-2</v>
      </c>
      <c r="K584" s="321">
        <f t="shared" si="39"/>
        <v>4.0878926914386833E-3</v>
      </c>
    </row>
    <row r="585" spans="1:11" x14ac:dyDescent="0.2">
      <c r="A585" s="320">
        <v>484</v>
      </c>
      <c r="B585" s="174">
        <v>13</v>
      </c>
      <c r="C585" s="174">
        <v>23</v>
      </c>
      <c r="D585" s="174">
        <v>43</v>
      </c>
      <c r="E585" s="174">
        <v>70</v>
      </c>
      <c r="F585" s="174">
        <v>52</v>
      </c>
      <c r="G585" s="68">
        <f t="shared" si="35"/>
        <v>0.96086878292554534</v>
      </c>
      <c r="H585" s="68">
        <f t="shared" si="36"/>
        <v>0.83520618098362309</v>
      </c>
      <c r="I585" s="68">
        <f t="shared" si="37"/>
        <v>0.94115300193900242</v>
      </c>
      <c r="J585" s="232">
        <f t="shared" si="38"/>
        <v>6.623079622425071E-2</v>
      </c>
      <c r="K585" s="321">
        <f t="shared" si="39"/>
        <v>5.6125292023312776E-2</v>
      </c>
    </row>
    <row r="586" spans="1:11" x14ac:dyDescent="0.2">
      <c r="A586" s="320">
        <v>485</v>
      </c>
      <c r="B586" s="174">
        <v>54</v>
      </c>
      <c r="C586" s="174">
        <v>73</v>
      </c>
      <c r="D586" s="174">
        <v>40</v>
      </c>
      <c r="E586" s="174">
        <v>7</v>
      </c>
      <c r="F586" s="174">
        <v>47</v>
      </c>
      <c r="G586" s="68">
        <f t="shared" si="35"/>
        <v>9.1041038162181342E-2</v>
      </c>
      <c r="H586" s="68">
        <f t="shared" si="36"/>
        <v>0.13080396394006755</v>
      </c>
      <c r="I586" s="68">
        <f t="shared" si="37"/>
        <v>0.13161170868004768</v>
      </c>
      <c r="J586" s="232">
        <f t="shared" si="38"/>
        <v>-3.5796530936763132E-2</v>
      </c>
      <c r="K586" s="321">
        <f t="shared" si="39"/>
        <v>7.1405514386782673E-4</v>
      </c>
    </row>
    <row r="587" spans="1:11" x14ac:dyDescent="0.2">
      <c r="A587" s="320">
        <v>486</v>
      </c>
      <c r="B587" s="174">
        <v>25</v>
      </c>
      <c r="C587" s="174">
        <v>17</v>
      </c>
      <c r="D587" s="174">
        <v>74</v>
      </c>
      <c r="E587" s="174">
        <v>31</v>
      </c>
      <c r="F587" s="174">
        <v>61</v>
      </c>
      <c r="G587" s="68">
        <f t="shared" si="35"/>
        <v>0.59410857292825003</v>
      </c>
      <c r="H587" s="68">
        <f t="shared" si="36"/>
        <v>0.54558438641724427</v>
      </c>
      <c r="I587" s="68">
        <f t="shared" si="37"/>
        <v>0.57201090734425053</v>
      </c>
      <c r="J587" s="232">
        <f t="shared" si="38"/>
        <v>3.0912609084832038E-2</v>
      </c>
      <c r="K587" s="321">
        <f t="shared" si="39"/>
        <v>1.6953550027723079E-2</v>
      </c>
    </row>
    <row r="588" spans="1:11" x14ac:dyDescent="0.2">
      <c r="A588" s="320">
        <v>487</v>
      </c>
      <c r="B588" s="174">
        <v>48</v>
      </c>
      <c r="C588" s="174">
        <v>57</v>
      </c>
      <c r="D588" s="174">
        <v>28</v>
      </c>
      <c r="E588" s="174">
        <v>55</v>
      </c>
      <c r="F588" s="174">
        <v>43</v>
      </c>
      <c r="G588" s="68">
        <f t="shared" si="35"/>
        <v>0.48594184482142166</v>
      </c>
      <c r="H588" s="68">
        <f t="shared" si="36"/>
        <v>0.47763278470903248</v>
      </c>
      <c r="I588" s="68">
        <f t="shared" si="37"/>
        <v>0.54297966861807101</v>
      </c>
      <c r="J588" s="232">
        <f t="shared" si="38"/>
        <v>5.6074726797267598E-3</v>
      </c>
      <c r="K588" s="321">
        <f t="shared" si="39"/>
        <v>4.3274059299306604E-2</v>
      </c>
    </row>
    <row r="589" spans="1:11" x14ac:dyDescent="0.2">
      <c r="A589" s="320">
        <v>488</v>
      </c>
      <c r="B589" s="174">
        <v>76</v>
      </c>
      <c r="C589" s="174">
        <v>32</v>
      </c>
      <c r="D589" s="174">
        <v>6</v>
      </c>
      <c r="E589" s="174">
        <v>4</v>
      </c>
      <c r="F589" s="174">
        <v>22</v>
      </c>
      <c r="G589" s="68">
        <f t="shared" si="35"/>
        <v>0.13767353837897511</v>
      </c>
      <c r="H589" s="68">
        <f t="shared" si="36"/>
        <v>0.16399704770063783</v>
      </c>
      <c r="I589" s="68">
        <f t="shared" si="37"/>
        <v>0.14819681220063097</v>
      </c>
      <c r="J589" s="232">
        <f t="shared" si="38"/>
        <v>-2.2874391547395338E-2</v>
      </c>
      <c r="K589" s="321">
        <f t="shared" si="39"/>
        <v>-1.3667090563860831E-2</v>
      </c>
    </row>
    <row r="590" spans="1:11" x14ac:dyDescent="0.2">
      <c r="A590" s="320">
        <v>489</v>
      </c>
      <c r="B590" s="174">
        <v>56</v>
      </c>
      <c r="C590" s="174">
        <v>44</v>
      </c>
      <c r="D590" s="174">
        <v>49</v>
      </c>
      <c r="E590" s="174">
        <v>23</v>
      </c>
      <c r="F590" s="174">
        <v>5</v>
      </c>
      <c r="G590" s="68">
        <f t="shared" si="35"/>
        <v>0.26136948154893958</v>
      </c>
      <c r="H590" s="68">
        <f t="shared" si="36"/>
        <v>0.24275227523082221</v>
      </c>
      <c r="I590" s="68">
        <f t="shared" si="37"/>
        <v>0.2455081775304464</v>
      </c>
      <c r="J590" s="232">
        <f t="shared" si="38"/>
        <v>1.4869524049885631E-2</v>
      </c>
      <c r="K590" s="321">
        <f t="shared" si="39"/>
        <v>2.2151245649940036E-3</v>
      </c>
    </row>
    <row r="591" spans="1:11" x14ac:dyDescent="0.2">
      <c r="A591" s="320">
        <v>490</v>
      </c>
      <c r="B591" s="174">
        <v>33</v>
      </c>
      <c r="C591" s="174">
        <v>28</v>
      </c>
      <c r="D591" s="174">
        <v>5</v>
      </c>
      <c r="E591" s="174">
        <v>72</v>
      </c>
      <c r="F591" s="174">
        <v>69</v>
      </c>
      <c r="G591" s="68">
        <f t="shared" si="35"/>
        <v>0.73358553371393698</v>
      </c>
      <c r="H591" s="68">
        <f t="shared" si="36"/>
        <v>0.79851760744187095</v>
      </c>
      <c r="I591" s="68">
        <f t="shared" si="37"/>
        <v>0.88690124121287561</v>
      </c>
      <c r="J591" s="232">
        <f t="shared" si="38"/>
        <v>-3.6770947621441029E-2</v>
      </c>
      <c r="K591" s="321">
        <f t="shared" si="39"/>
        <v>4.7973154440482266E-2</v>
      </c>
    </row>
    <row r="592" spans="1:11" x14ac:dyDescent="0.2">
      <c r="A592" s="320">
        <v>491</v>
      </c>
      <c r="B592" s="174">
        <v>21</v>
      </c>
      <c r="C592" s="174">
        <v>7</v>
      </c>
      <c r="D592" s="174">
        <v>55</v>
      </c>
      <c r="E592" s="174">
        <v>36</v>
      </c>
      <c r="F592" s="174">
        <v>60</v>
      </c>
      <c r="G592" s="68">
        <f t="shared" si="35"/>
        <v>4.9202933589835407E-2</v>
      </c>
      <c r="H592" s="68">
        <f t="shared" si="36"/>
        <v>0.11928571095072038</v>
      </c>
      <c r="I592" s="68">
        <f t="shared" si="37"/>
        <v>8.2673128499564541E-2</v>
      </c>
      <c r="J592" s="232">
        <f t="shared" si="38"/>
        <v>-6.4659958741038429E-2</v>
      </c>
      <c r="K592" s="321">
        <f t="shared" si="39"/>
        <v>-3.3257621717870695E-2</v>
      </c>
    </row>
    <row r="593" spans="1:11" x14ac:dyDescent="0.2">
      <c r="A593" s="320">
        <v>492</v>
      </c>
      <c r="B593" s="174">
        <v>67</v>
      </c>
      <c r="C593" s="174">
        <v>49</v>
      </c>
      <c r="D593" s="174">
        <v>45</v>
      </c>
      <c r="E593" s="174">
        <v>25</v>
      </c>
      <c r="F593" s="174">
        <v>54</v>
      </c>
      <c r="G593" s="68">
        <f t="shared" si="35"/>
        <v>0.41938487758558884</v>
      </c>
      <c r="H593" s="68">
        <f t="shared" si="36"/>
        <v>0.39504880622175942</v>
      </c>
      <c r="I593" s="68">
        <f t="shared" si="37"/>
        <v>0.42787226956299618</v>
      </c>
      <c r="J593" s="232">
        <f t="shared" si="38"/>
        <v>1.7294191762438953E-2</v>
      </c>
      <c r="K593" s="321">
        <f t="shared" si="39"/>
        <v>2.3256011631817029E-2</v>
      </c>
    </row>
    <row r="594" spans="1:11" x14ac:dyDescent="0.2">
      <c r="A594" s="320">
        <v>493</v>
      </c>
      <c r="B594" s="174">
        <v>45</v>
      </c>
      <c r="C594" s="174">
        <v>50</v>
      </c>
      <c r="D594" s="174">
        <v>15</v>
      </c>
      <c r="E594" s="174">
        <v>19</v>
      </c>
      <c r="F594" s="174">
        <v>73</v>
      </c>
      <c r="G594" s="68">
        <f t="shared" si="35"/>
        <v>0.21539873968542667</v>
      </c>
      <c r="H594" s="68">
        <f t="shared" si="36"/>
        <v>0.20539477782530846</v>
      </c>
      <c r="I594" s="68">
        <f t="shared" si="37"/>
        <v>0.20960846707314595</v>
      </c>
      <c r="J594" s="232">
        <f t="shared" si="38"/>
        <v>8.2650740234143094E-3</v>
      </c>
      <c r="K594" s="321">
        <f t="shared" si="39"/>
        <v>3.4895965731546333E-3</v>
      </c>
    </row>
    <row r="595" spans="1:11" x14ac:dyDescent="0.2">
      <c r="A595" s="320">
        <v>494</v>
      </c>
      <c r="B595" s="174">
        <v>49</v>
      </c>
      <c r="C595" s="174">
        <v>70</v>
      </c>
      <c r="D595" s="174">
        <v>52</v>
      </c>
      <c r="E595" s="174">
        <v>11</v>
      </c>
      <c r="F595" s="174">
        <v>21</v>
      </c>
      <c r="G595" s="68">
        <f t="shared" si="35"/>
        <v>0.48293250646413233</v>
      </c>
      <c r="H595" s="68">
        <f t="shared" si="36"/>
        <v>0.43594925907251025</v>
      </c>
      <c r="I595" s="68">
        <f t="shared" si="37"/>
        <v>0.44228835631719798</v>
      </c>
      <c r="J595" s="232">
        <f t="shared" si="38"/>
        <v>3.2195415538662661E-2</v>
      </c>
      <c r="K595" s="321">
        <f t="shared" si="39"/>
        <v>4.4048534842579647E-3</v>
      </c>
    </row>
    <row r="596" spans="1:11" x14ac:dyDescent="0.2">
      <c r="A596" s="320">
        <v>495</v>
      </c>
      <c r="B596" s="174">
        <v>54</v>
      </c>
      <c r="C596" s="174">
        <v>64</v>
      </c>
      <c r="D596" s="174">
        <v>48</v>
      </c>
      <c r="E596" s="174">
        <v>74</v>
      </c>
      <c r="F596" s="174">
        <v>33</v>
      </c>
      <c r="G596" s="68">
        <f t="shared" si="35"/>
        <v>0.22533873861966547</v>
      </c>
      <c r="H596" s="68">
        <f t="shared" si="36"/>
        <v>0.21649607563523832</v>
      </c>
      <c r="I596" s="68">
        <f t="shared" si="37"/>
        <v>0.2385864417930661</v>
      </c>
      <c r="J596" s="232">
        <f t="shared" si="38"/>
        <v>7.2426698048491146E-3</v>
      </c>
      <c r="K596" s="321">
        <f t="shared" si="39"/>
        <v>1.7996105776183633E-2</v>
      </c>
    </row>
    <row r="597" spans="1:11" x14ac:dyDescent="0.2">
      <c r="A597" s="320">
        <v>496</v>
      </c>
      <c r="B597" s="174">
        <v>66</v>
      </c>
      <c r="C597" s="174">
        <v>67</v>
      </c>
      <c r="D597" s="174">
        <v>23</v>
      </c>
      <c r="E597" s="174">
        <v>21</v>
      </c>
      <c r="F597" s="174">
        <v>41</v>
      </c>
      <c r="G597" s="68">
        <f t="shared" si="35"/>
        <v>0.55075411581621436</v>
      </c>
      <c r="H597" s="68">
        <f t="shared" si="36"/>
        <v>0.52321021581373084</v>
      </c>
      <c r="I597" s="68">
        <f t="shared" si="37"/>
        <v>0.55431614159305531</v>
      </c>
      <c r="J597" s="232">
        <f t="shared" si="38"/>
        <v>1.7921247105676316E-2</v>
      </c>
      <c r="K597" s="321">
        <f t="shared" si="39"/>
        <v>2.0215576730500635E-2</v>
      </c>
    </row>
    <row r="598" spans="1:11" x14ac:dyDescent="0.2">
      <c r="A598" s="320">
        <v>497</v>
      </c>
      <c r="B598" s="174">
        <v>51</v>
      </c>
      <c r="C598" s="174">
        <v>1</v>
      </c>
      <c r="D598" s="174">
        <v>42</v>
      </c>
      <c r="E598" s="174">
        <v>70</v>
      </c>
      <c r="F598" s="174">
        <v>77</v>
      </c>
      <c r="G598" s="68">
        <f t="shared" si="35"/>
        <v>0.57884691706329328</v>
      </c>
      <c r="H598" s="68">
        <f t="shared" si="36"/>
        <v>0.50126935640202008</v>
      </c>
      <c r="I598" s="68">
        <f t="shared" si="37"/>
        <v>0.55154415032324478</v>
      </c>
      <c r="J598" s="232">
        <f t="shared" si="38"/>
        <v>5.0383793426334492E-2</v>
      </c>
      <c r="K598" s="321">
        <f t="shared" si="39"/>
        <v>3.2939673189996875E-2</v>
      </c>
    </row>
    <row r="599" spans="1:11" x14ac:dyDescent="0.2">
      <c r="A599" s="320">
        <v>498</v>
      </c>
      <c r="B599" s="174">
        <v>10</v>
      </c>
      <c r="C599" s="174">
        <v>74</v>
      </c>
      <c r="D599" s="174">
        <v>7</v>
      </c>
      <c r="E599" s="174">
        <v>14</v>
      </c>
      <c r="F599" s="174">
        <v>31</v>
      </c>
      <c r="G599" s="68">
        <f t="shared" si="35"/>
        <v>6.5683229880873606E-2</v>
      </c>
      <c r="H599" s="68">
        <f t="shared" si="36"/>
        <v>0.11121837466409912</v>
      </c>
      <c r="I599" s="68">
        <f t="shared" si="37"/>
        <v>7.6539600968359878E-2</v>
      </c>
      <c r="J599" s="232">
        <f t="shared" si="38"/>
        <v>-4.1840924322798158E-2</v>
      </c>
      <c r="K599" s="321">
        <f t="shared" si="39"/>
        <v>-3.1705224270724489E-2</v>
      </c>
    </row>
    <row r="600" spans="1:11" x14ac:dyDescent="0.2">
      <c r="A600" s="320">
        <v>499</v>
      </c>
      <c r="B600" s="174">
        <v>77</v>
      </c>
      <c r="C600" s="174">
        <v>26</v>
      </c>
      <c r="D600" s="174">
        <v>40</v>
      </c>
      <c r="E600" s="174">
        <v>11</v>
      </c>
      <c r="F600" s="174">
        <v>41</v>
      </c>
      <c r="G600" s="68">
        <f t="shared" si="35"/>
        <v>0.52904906626717185</v>
      </c>
      <c r="H600" s="68">
        <f t="shared" si="36"/>
        <v>0.47910570621567805</v>
      </c>
      <c r="I600" s="68">
        <f t="shared" si="37"/>
        <v>0.547303036854625</v>
      </c>
      <c r="J600" s="232">
        <f t="shared" si="38"/>
        <v>3.320836427694545E-2</v>
      </c>
      <c r="K600" s="321">
        <f t="shared" si="39"/>
        <v>4.5075786606575963E-2</v>
      </c>
    </row>
    <row r="601" spans="1:11" x14ac:dyDescent="0.2">
      <c r="A601" s="320">
        <v>500</v>
      </c>
      <c r="B601" s="174">
        <v>47</v>
      </c>
      <c r="C601" s="174">
        <v>60</v>
      </c>
      <c r="D601" s="174">
        <v>51</v>
      </c>
      <c r="E601" s="174">
        <v>42</v>
      </c>
      <c r="F601" s="174">
        <v>32</v>
      </c>
      <c r="G601" s="68">
        <f t="shared" si="35"/>
        <v>0.78354068655773168</v>
      </c>
      <c r="H601" s="68">
        <f t="shared" si="36"/>
        <v>0.74057125464786422</v>
      </c>
      <c r="I601" s="68">
        <f t="shared" si="37"/>
        <v>0.81924143646976089</v>
      </c>
      <c r="J601" s="232">
        <f t="shared" si="38"/>
        <v>2.4387171702468038E-2</v>
      </c>
      <c r="K601" s="321">
        <f t="shared" si="39"/>
        <v>4.4206254443527951E-2</v>
      </c>
    </row>
    <row r="602" spans="1:11" x14ac:dyDescent="0.2">
      <c r="A602" s="320">
        <v>501</v>
      </c>
      <c r="B602" s="174">
        <v>30</v>
      </c>
      <c r="C602" s="174">
        <v>20</v>
      </c>
      <c r="D602" s="174">
        <v>56</v>
      </c>
      <c r="E602" s="174">
        <v>26</v>
      </c>
      <c r="F602" s="174">
        <v>44</v>
      </c>
      <c r="G602" s="68">
        <f t="shared" si="35"/>
        <v>0.4326719507364003</v>
      </c>
      <c r="H602" s="68">
        <f t="shared" si="36"/>
        <v>0.41456818915962335</v>
      </c>
      <c r="I602" s="68">
        <f t="shared" si="37"/>
        <v>0.42978570051428644</v>
      </c>
      <c r="J602" s="232">
        <f t="shared" si="38"/>
        <v>1.271687997043108E-2</v>
      </c>
      <c r="K602" s="321">
        <f t="shared" si="39"/>
        <v>1.0700255410765133E-2</v>
      </c>
    </row>
    <row r="603" spans="1:11" x14ac:dyDescent="0.2">
      <c r="A603" s="320">
        <v>502</v>
      </c>
      <c r="B603" s="174">
        <v>26</v>
      </c>
      <c r="C603" s="174">
        <v>6</v>
      </c>
      <c r="D603" s="174">
        <v>47</v>
      </c>
      <c r="E603" s="174">
        <v>43</v>
      </c>
      <c r="F603" s="174">
        <v>59</v>
      </c>
      <c r="G603" s="68">
        <f t="shared" si="35"/>
        <v>0.51855516352475406</v>
      </c>
      <c r="H603" s="68">
        <f t="shared" si="36"/>
        <v>0.53065280377572521</v>
      </c>
      <c r="I603" s="68">
        <f t="shared" si="37"/>
        <v>0.59754131159255475</v>
      </c>
      <c r="J603" s="232">
        <f t="shared" si="38"/>
        <v>-7.9349810553308829E-3</v>
      </c>
      <c r="K603" s="321">
        <f t="shared" si="39"/>
        <v>4.2771453545606047E-2</v>
      </c>
    </row>
    <row r="604" spans="1:11" x14ac:dyDescent="0.2">
      <c r="A604" s="320">
        <v>503</v>
      </c>
      <c r="B604" s="174">
        <v>74</v>
      </c>
      <c r="C604" s="174">
        <v>6</v>
      </c>
      <c r="D604" s="174">
        <v>15</v>
      </c>
      <c r="E604" s="174">
        <v>20</v>
      </c>
      <c r="F604" s="174">
        <v>44</v>
      </c>
      <c r="G604" s="68">
        <f t="shared" si="35"/>
        <v>6.0468422243590503E-2</v>
      </c>
      <c r="H604" s="68">
        <f t="shared" si="36"/>
        <v>7.5827594341879134E-2</v>
      </c>
      <c r="I604" s="68">
        <f t="shared" si="37"/>
        <v>4.5008239384481508E-2</v>
      </c>
      <c r="J604" s="232">
        <f t="shared" si="38"/>
        <v>-1.4379502306400005E-2</v>
      </c>
      <c r="K604" s="321">
        <f t="shared" si="39"/>
        <v>-2.906545063071999E-2</v>
      </c>
    </row>
    <row r="605" spans="1:11" x14ac:dyDescent="0.2">
      <c r="A605" s="320">
        <v>504</v>
      </c>
      <c r="B605" s="174">
        <v>3</v>
      </c>
      <c r="C605" s="174">
        <v>62</v>
      </c>
      <c r="D605" s="174">
        <v>61</v>
      </c>
      <c r="E605" s="174">
        <v>61</v>
      </c>
      <c r="F605" s="174">
        <v>66</v>
      </c>
      <c r="G605" s="68">
        <f t="shared" si="35"/>
        <v>0.41823012685256344</v>
      </c>
      <c r="H605" s="68">
        <f t="shared" si="36"/>
        <v>0.38378512942952403</v>
      </c>
      <c r="I605" s="68">
        <f t="shared" si="37"/>
        <v>0.43068530338825339</v>
      </c>
      <c r="J605" s="232">
        <f t="shared" si="38"/>
        <v>2.4587112843187944E-2</v>
      </c>
      <c r="K605" s="321">
        <f t="shared" si="39"/>
        <v>3.3330970774859109E-2</v>
      </c>
    </row>
    <row r="606" spans="1:11" x14ac:dyDescent="0.2">
      <c r="A606" s="320">
        <v>505</v>
      </c>
      <c r="B606" s="174">
        <v>47</v>
      </c>
      <c r="C606" s="174">
        <v>72</v>
      </c>
      <c r="D606" s="174">
        <v>23</v>
      </c>
      <c r="E606" s="174">
        <v>29</v>
      </c>
      <c r="F606" s="174">
        <v>42</v>
      </c>
      <c r="G606" s="68">
        <f t="shared" si="35"/>
        <v>0.77366956060713066</v>
      </c>
      <c r="H606" s="68">
        <f t="shared" si="36"/>
        <v>0.75571964473298969</v>
      </c>
      <c r="I606" s="68">
        <f t="shared" si="37"/>
        <v>0.86654310223672848</v>
      </c>
      <c r="J606" s="232">
        <f t="shared" si="38"/>
        <v>1.0171771711827779E-2</v>
      </c>
      <c r="K606" s="321">
        <f t="shared" si="39"/>
        <v>6.1209284804085287E-2</v>
      </c>
    </row>
    <row r="607" spans="1:11" x14ac:dyDescent="0.2">
      <c r="A607" s="320">
        <v>506</v>
      </c>
      <c r="B607" s="174">
        <v>25</v>
      </c>
      <c r="C607" s="174">
        <v>26</v>
      </c>
      <c r="D607" s="174">
        <v>33</v>
      </c>
      <c r="E607" s="174">
        <v>31</v>
      </c>
      <c r="F607" s="174">
        <v>68</v>
      </c>
      <c r="G607" s="68">
        <f t="shared" si="35"/>
        <v>1.0357138514103021</v>
      </c>
      <c r="H607" s="68">
        <f t="shared" si="36"/>
        <v>0.9758401498850322</v>
      </c>
      <c r="I607" s="68">
        <f t="shared" si="37"/>
        <v>1.0821527216622568</v>
      </c>
      <c r="J607" s="232">
        <f t="shared" si="38"/>
        <v>2.9852844070751963E-2</v>
      </c>
      <c r="K607" s="321">
        <f t="shared" si="39"/>
        <v>5.2408620600311782E-2</v>
      </c>
    </row>
    <row r="608" spans="1:11" x14ac:dyDescent="0.2">
      <c r="A608" s="320">
        <v>507</v>
      </c>
      <c r="B608" s="174">
        <v>69</v>
      </c>
      <c r="C608" s="174">
        <v>71</v>
      </c>
      <c r="D608" s="174">
        <v>32</v>
      </c>
      <c r="E608" s="174">
        <v>54</v>
      </c>
      <c r="F608" s="174">
        <v>49</v>
      </c>
      <c r="G608" s="68">
        <f t="shared" si="35"/>
        <v>0.63709483051770777</v>
      </c>
      <c r="H608" s="68">
        <f t="shared" si="36"/>
        <v>0.5954032708939383</v>
      </c>
      <c r="I608" s="68">
        <f t="shared" si="37"/>
        <v>0.62582294050745202</v>
      </c>
      <c r="J608" s="232">
        <f t="shared" si="38"/>
        <v>2.5796687470238375E-2</v>
      </c>
      <c r="K608" s="321">
        <f t="shared" si="39"/>
        <v>1.8887573823701501E-2</v>
      </c>
    </row>
    <row r="609" spans="1:11" x14ac:dyDescent="0.2">
      <c r="A609" s="320">
        <v>508</v>
      </c>
      <c r="B609" s="174">
        <v>10</v>
      </c>
      <c r="C609" s="174">
        <v>19</v>
      </c>
      <c r="D609" s="174">
        <v>50</v>
      </c>
      <c r="E609" s="174">
        <v>29</v>
      </c>
      <c r="F609" s="174">
        <v>46</v>
      </c>
      <c r="G609" s="68">
        <f t="shared" si="35"/>
        <v>0.20579939925297341</v>
      </c>
      <c r="H609" s="68">
        <f t="shared" si="36"/>
        <v>0.22328793332926411</v>
      </c>
      <c r="I609" s="68">
        <f t="shared" si="37"/>
        <v>0.21065659697303407</v>
      </c>
      <c r="J609" s="232">
        <f t="shared" si="38"/>
        <v>-1.439951213120612E-2</v>
      </c>
      <c r="K609" s="321">
        <f t="shared" si="39"/>
        <v>-1.0379406431638755E-2</v>
      </c>
    </row>
    <row r="610" spans="1:11" x14ac:dyDescent="0.2">
      <c r="A610" s="320">
        <v>509</v>
      </c>
      <c r="B610" s="174">
        <v>43</v>
      </c>
      <c r="C610" s="174">
        <v>38</v>
      </c>
      <c r="D610" s="174">
        <v>45</v>
      </c>
      <c r="E610" s="174">
        <v>43</v>
      </c>
      <c r="F610" s="174">
        <v>8</v>
      </c>
      <c r="G610" s="68">
        <f t="shared" si="35"/>
        <v>-1.9869072984363245E-2</v>
      </c>
      <c r="H610" s="68">
        <f t="shared" si="36"/>
        <v>1.8456184732718039E-2</v>
      </c>
      <c r="I610" s="68">
        <f t="shared" si="37"/>
        <v>-9.9510282498318503E-3</v>
      </c>
      <c r="J610" s="232">
        <f t="shared" si="38"/>
        <v>-3.8357053596655255E-2</v>
      </c>
      <c r="K610" s="321">
        <f t="shared" si="39"/>
        <v>-2.8288807013745393E-2</v>
      </c>
    </row>
    <row r="611" spans="1:11" x14ac:dyDescent="0.2">
      <c r="A611" s="320">
        <v>510</v>
      </c>
      <c r="B611" s="174">
        <v>70</v>
      </c>
      <c r="C611" s="174">
        <v>72</v>
      </c>
      <c r="D611" s="174">
        <v>71</v>
      </c>
      <c r="E611" s="174">
        <v>16</v>
      </c>
      <c r="F611" s="174">
        <v>56</v>
      </c>
      <c r="G611" s="68">
        <f t="shared" si="35"/>
        <v>0.53836385045129154</v>
      </c>
      <c r="H611" s="68">
        <f t="shared" si="36"/>
        <v>0.50779543632028368</v>
      </c>
      <c r="I611" s="68">
        <f t="shared" si="37"/>
        <v>0.53657062973710268</v>
      </c>
      <c r="J611" s="232">
        <f t="shared" si="38"/>
        <v>2.0070808793107121E-2</v>
      </c>
      <c r="K611" s="321">
        <f t="shared" si="39"/>
        <v>1.8904461393493336E-2</v>
      </c>
    </row>
    <row r="612" spans="1:11" x14ac:dyDescent="0.2">
      <c r="A612" s="320">
        <v>511</v>
      </c>
      <c r="B612" s="174">
        <v>36</v>
      </c>
      <c r="C612" s="174">
        <v>11</v>
      </c>
      <c r="D612" s="174">
        <v>57</v>
      </c>
      <c r="E612" s="174">
        <v>14</v>
      </c>
      <c r="F612" s="174">
        <v>76</v>
      </c>
      <c r="G612" s="68">
        <f t="shared" si="35"/>
        <v>0.54045959117846665</v>
      </c>
      <c r="H612" s="68">
        <f t="shared" si="36"/>
        <v>0.45322438248947838</v>
      </c>
      <c r="I612" s="68">
        <f t="shared" si="37"/>
        <v>0.49216328671630372</v>
      </c>
      <c r="J612" s="232">
        <f t="shared" si="38"/>
        <v>5.8296008026831922E-2</v>
      </c>
      <c r="K612" s="321">
        <f t="shared" si="39"/>
        <v>2.6442137586383713E-2</v>
      </c>
    </row>
    <row r="613" spans="1:11" x14ac:dyDescent="0.2">
      <c r="A613" s="320">
        <v>512</v>
      </c>
      <c r="B613" s="174">
        <v>75</v>
      </c>
      <c r="C613" s="174">
        <v>1</v>
      </c>
      <c r="D613" s="174">
        <v>7</v>
      </c>
      <c r="E613" s="174">
        <v>7</v>
      </c>
      <c r="F613" s="174">
        <v>33</v>
      </c>
      <c r="G613" s="68">
        <f t="shared" si="35"/>
        <v>0.1176257451936138</v>
      </c>
      <c r="H613" s="68">
        <f t="shared" si="36"/>
        <v>0.16205109400588635</v>
      </c>
      <c r="I613" s="68">
        <f t="shared" si="37"/>
        <v>0.13163117214994946</v>
      </c>
      <c r="J613" s="232">
        <f t="shared" si="38"/>
        <v>-3.8980063369740199E-2</v>
      </c>
      <c r="K613" s="321">
        <f t="shared" si="39"/>
        <v>-2.6526521173490334E-2</v>
      </c>
    </row>
    <row r="614" spans="1:11" x14ac:dyDescent="0.2">
      <c r="A614" s="320">
        <v>513</v>
      </c>
      <c r="B614" s="174">
        <v>55</v>
      </c>
      <c r="C614" s="174">
        <v>18</v>
      </c>
      <c r="D614" s="174">
        <v>9</v>
      </c>
      <c r="E614" s="174">
        <v>11</v>
      </c>
      <c r="F614" s="174">
        <v>67</v>
      </c>
      <c r="G614" s="68">
        <f t="shared" ref="G614:G677" si="40">(1+INDEX($Z$21:$Z$97,B614))*(1+INDEX($Z$21:$Z$97,C614))*(1+INDEX($Z$21:$Z$97,D614))*(1+INDEX($Z$21:$Z$97,E614))*(1+INDEX($Z$21:$Z$97,F614))-1</f>
        <v>-8.8219849566833597E-2</v>
      </c>
      <c r="H614" s="68">
        <f t="shared" ref="H614:H677" si="41">(1+INDEX($AA$21:$AA$97,B614))*(1+INDEX($AA$21:$AA$97,C614))*(1+INDEX($AA$21:$AA$97,D614))*(1+INDEX($AA$21:$AA$97,E614))*(1+INDEX($AA$21:$AA$97,F614))-1</f>
        <v>-5.9734572705452793E-2</v>
      </c>
      <c r="I614" s="68">
        <f t="shared" ref="I614:I677" si="42">(1+INDEX($AB$21:$AB$97,B614))*(1+INDEX($AB$21:$AB$97,C614))*(1+INDEX($AB$21:$AB$97,D614))*(1+INDEX($AB$21:$AB$97,E614))*(1+INDEX($AB$21:$AB$97,F614))-1</f>
        <v>-0.11990860239385304</v>
      </c>
      <c r="J614" s="232">
        <f t="shared" ref="J614:J677" si="43">LN((1+G614)/(1+H614))</f>
        <v>-3.0763306975161584E-2</v>
      </c>
      <c r="K614" s="321">
        <f t="shared" ref="K614:K677" si="44">LN((1+I614)/(1+H614))</f>
        <v>-6.6136441872423568E-2</v>
      </c>
    </row>
    <row r="615" spans="1:11" x14ac:dyDescent="0.2">
      <c r="A615" s="320">
        <v>514</v>
      </c>
      <c r="B615" s="174">
        <v>22</v>
      </c>
      <c r="C615" s="174">
        <v>21</v>
      </c>
      <c r="D615" s="174">
        <v>55</v>
      </c>
      <c r="E615" s="174">
        <v>1</v>
      </c>
      <c r="F615" s="174">
        <v>28</v>
      </c>
      <c r="G615" s="68">
        <f t="shared" si="40"/>
        <v>0.31780592131811436</v>
      </c>
      <c r="H615" s="68">
        <f t="shared" si="41"/>
        <v>0.32839324790010749</v>
      </c>
      <c r="I615" s="68">
        <f t="shared" si="42"/>
        <v>0.30865825661592394</v>
      </c>
      <c r="J615" s="232">
        <f t="shared" si="43"/>
        <v>-8.0019548025183369E-3</v>
      </c>
      <c r="K615" s="321">
        <f t="shared" si="44"/>
        <v>-1.4967746887400959E-2</v>
      </c>
    </row>
    <row r="616" spans="1:11" x14ac:dyDescent="0.2">
      <c r="A616" s="320">
        <v>515</v>
      </c>
      <c r="B616" s="174">
        <v>39</v>
      </c>
      <c r="C616" s="174">
        <v>39</v>
      </c>
      <c r="D616" s="174">
        <v>9</v>
      </c>
      <c r="E616" s="174">
        <v>18</v>
      </c>
      <c r="F616" s="174">
        <v>25</v>
      </c>
      <c r="G616" s="68">
        <f t="shared" si="40"/>
        <v>0.16647022057010608</v>
      </c>
      <c r="H616" s="68">
        <f t="shared" si="41"/>
        <v>0.10562505218236828</v>
      </c>
      <c r="I616" s="68">
        <f t="shared" si="42"/>
        <v>5.2405122862730469E-2</v>
      </c>
      <c r="J616" s="232">
        <f t="shared" si="43"/>
        <v>5.3571450151796103E-2</v>
      </c>
      <c r="K616" s="321">
        <f t="shared" si="44"/>
        <v>-4.9332695166418208E-2</v>
      </c>
    </row>
    <row r="617" spans="1:11" x14ac:dyDescent="0.2">
      <c r="A617" s="320">
        <v>516</v>
      </c>
      <c r="B617" s="174">
        <v>65</v>
      </c>
      <c r="C617" s="174">
        <v>56</v>
      </c>
      <c r="D617" s="174">
        <v>35</v>
      </c>
      <c r="E617" s="174">
        <v>68</v>
      </c>
      <c r="F617" s="174">
        <v>71</v>
      </c>
      <c r="G617" s="68">
        <f t="shared" si="40"/>
        <v>0.45606819274689236</v>
      </c>
      <c r="H617" s="68">
        <f t="shared" si="41"/>
        <v>0.4390500760476943</v>
      </c>
      <c r="I617" s="68">
        <f t="shared" si="42"/>
        <v>0.46192318655756903</v>
      </c>
      <c r="J617" s="232">
        <f t="shared" si="43"/>
        <v>1.1756557856564598E-2</v>
      </c>
      <c r="K617" s="321">
        <f t="shared" si="44"/>
        <v>1.5769593474026702E-2</v>
      </c>
    </row>
    <row r="618" spans="1:11" x14ac:dyDescent="0.2">
      <c r="A618" s="320">
        <v>517</v>
      </c>
      <c r="B618" s="174">
        <v>41</v>
      </c>
      <c r="C618" s="174">
        <v>47</v>
      </c>
      <c r="D618" s="174">
        <v>17</v>
      </c>
      <c r="E618" s="174">
        <v>73</v>
      </c>
      <c r="F618" s="174">
        <v>52</v>
      </c>
      <c r="G618" s="68">
        <f t="shared" si="40"/>
        <v>0.64029238977290492</v>
      </c>
      <c r="H618" s="68">
        <f t="shared" si="41"/>
        <v>0.58807538112505142</v>
      </c>
      <c r="I618" s="68">
        <f t="shared" si="42"/>
        <v>0.66292761999700311</v>
      </c>
      <c r="J618" s="232">
        <f t="shared" si="43"/>
        <v>3.235168147121973E-2</v>
      </c>
      <c r="K618" s="321">
        <f t="shared" si="44"/>
        <v>4.605684458890693E-2</v>
      </c>
    </row>
    <row r="619" spans="1:11" x14ac:dyDescent="0.2">
      <c r="A619" s="320">
        <v>518</v>
      </c>
      <c r="B619" s="174">
        <v>13</v>
      </c>
      <c r="C619" s="174">
        <v>5</v>
      </c>
      <c r="D619" s="174">
        <v>10</v>
      </c>
      <c r="E619" s="174">
        <v>48</v>
      </c>
      <c r="F619" s="174">
        <v>45</v>
      </c>
      <c r="G619" s="68">
        <f t="shared" si="40"/>
        <v>6.3418205186091425E-2</v>
      </c>
      <c r="H619" s="68">
        <f t="shared" si="41"/>
        <v>7.5237703851675386E-2</v>
      </c>
      <c r="I619" s="68">
        <f t="shared" si="42"/>
        <v>5.6445665233650466E-2</v>
      </c>
      <c r="J619" s="232">
        <f t="shared" si="43"/>
        <v>-1.1053315265375578E-2</v>
      </c>
      <c r="K619" s="321">
        <f t="shared" si="44"/>
        <v>-1.7631629273159803E-2</v>
      </c>
    </row>
    <row r="620" spans="1:11" x14ac:dyDescent="0.2">
      <c r="A620" s="320">
        <v>519</v>
      </c>
      <c r="B620" s="174">
        <v>54</v>
      </c>
      <c r="C620" s="174">
        <v>17</v>
      </c>
      <c r="D620" s="174">
        <v>7</v>
      </c>
      <c r="E620" s="174">
        <v>56</v>
      </c>
      <c r="F620" s="174">
        <v>60</v>
      </c>
      <c r="G620" s="68">
        <f t="shared" si="40"/>
        <v>4.7825334521854002E-2</v>
      </c>
      <c r="H620" s="68">
        <f t="shared" si="41"/>
        <v>9.5507160097200172E-2</v>
      </c>
      <c r="I620" s="68">
        <f t="shared" si="42"/>
        <v>6.2143697848814572E-2</v>
      </c>
      <c r="J620" s="232">
        <f t="shared" si="43"/>
        <v>-4.4500509473115693E-2</v>
      </c>
      <c r="K620" s="321">
        <f t="shared" si="44"/>
        <v>-3.0928193573926427E-2</v>
      </c>
    </row>
    <row r="621" spans="1:11" x14ac:dyDescent="0.2">
      <c r="A621" s="320">
        <v>520</v>
      </c>
      <c r="B621" s="174">
        <v>39</v>
      </c>
      <c r="C621" s="174">
        <v>25</v>
      </c>
      <c r="D621" s="174">
        <v>17</v>
      </c>
      <c r="E621" s="174">
        <v>76</v>
      </c>
      <c r="F621" s="174">
        <v>63</v>
      </c>
      <c r="G621" s="68">
        <f t="shared" si="40"/>
        <v>0.25508368979575713</v>
      </c>
      <c r="H621" s="68">
        <f t="shared" si="41"/>
        <v>0.19057111590493392</v>
      </c>
      <c r="I621" s="68">
        <f t="shared" si="42"/>
        <v>0.20418860834326358</v>
      </c>
      <c r="J621" s="232">
        <f t="shared" si="43"/>
        <v>5.2769134130547984E-2</v>
      </c>
      <c r="K621" s="321">
        <f t="shared" si="44"/>
        <v>1.1372864739897818E-2</v>
      </c>
    </row>
    <row r="622" spans="1:11" x14ac:dyDescent="0.2">
      <c r="A622" s="320">
        <v>521</v>
      </c>
      <c r="B622" s="174">
        <v>44</v>
      </c>
      <c r="C622" s="174">
        <v>30</v>
      </c>
      <c r="D622" s="174">
        <v>14</v>
      </c>
      <c r="E622" s="174">
        <v>23</v>
      </c>
      <c r="F622" s="174">
        <v>72</v>
      </c>
      <c r="G622" s="68">
        <f t="shared" si="40"/>
        <v>0.7464529459057283</v>
      </c>
      <c r="H622" s="68">
        <f t="shared" si="41"/>
        <v>0.68305922925721774</v>
      </c>
      <c r="I622" s="68">
        <f t="shared" si="42"/>
        <v>0.75802325942230153</v>
      </c>
      <c r="J622" s="232">
        <f t="shared" si="43"/>
        <v>3.6973735708440612E-2</v>
      </c>
      <c r="K622" s="321">
        <f t="shared" si="44"/>
        <v>4.3576922535481656E-2</v>
      </c>
    </row>
    <row r="623" spans="1:11" x14ac:dyDescent="0.2">
      <c r="A623" s="320">
        <v>522</v>
      </c>
      <c r="B623" s="174">
        <v>9</v>
      </c>
      <c r="C623" s="174">
        <v>42</v>
      </c>
      <c r="D623" s="174">
        <v>32</v>
      </c>
      <c r="E623" s="174">
        <v>54</v>
      </c>
      <c r="F623" s="174">
        <v>63</v>
      </c>
      <c r="G623" s="68">
        <f t="shared" si="40"/>
        <v>-9.5322838810642518E-2</v>
      </c>
      <c r="H623" s="68">
        <f t="shared" si="41"/>
        <v>-5.7831899873309833E-2</v>
      </c>
      <c r="I623" s="68">
        <f t="shared" si="42"/>
        <v>-7.8690029005922368E-2</v>
      </c>
      <c r="J623" s="232">
        <f t="shared" si="43"/>
        <v>-4.060555680685253E-2</v>
      </c>
      <c r="K623" s="321">
        <f t="shared" si="44"/>
        <v>-2.2387170096306662E-2</v>
      </c>
    </row>
    <row r="624" spans="1:11" x14ac:dyDescent="0.2">
      <c r="A624" s="320">
        <v>523</v>
      </c>
      <c r="B624" s="174">
        <v>13</v>
      </c>
      <c r="C624" s="174">
        <v>59</v>
      </c>
      <c r="D624" s="174">
        <v>16</v>
      </c>
      <c r="E624" s="174">
        <v>9</v>
      </c>
      <c r="F624" s="174">
        <v>12</v>
      </c>
      <c r="G624" s="68">
        <f t="shared" si="40"/>
        <v>0.49091133939418885</v>
      </c>
      <c r="H624" s="68">
        <f t="shared" si="41"/>
        <v>0.40516426122180205</v>
      </c>
      <c r="I624" s="68">
        <f t="shared" si="42"/>
        <v>0.40639452033884016</v>
      </c>
      <c r="J624" s="232">
        <f t="shared" si="43"/>
        <v>5.9233362307209873E-2</v>
      </c>
      <c r="K624" s="321">
        <f t="shared" si="44"/>
        <v>8.7514385516369267E-4</v>
      </c>
    </row>
    <row r="625" spans="1:11" x14ac:dyDescent="0.2">
      <c r="A625" s="320">
        <v>524</v>
      </c>
      <c r="B625" s="174">
        <v>18</v>
      </c>
      <c r="C625" s="174">
        <v>40</v>
      </c>
      <c r="D625" s="174">
        <v>66</v>
      </c>
      <c r="E625" s="174">
        <v>24</v>
      </c>
      <c r="F625" s="174">
        <v>20</v>
      </c>
      <c r="G625" s="68">
        <f t="shared" si="40"/>
        <v>0.41551445812428622</v>
      </c>
      <c r="H625" s="68">
        <f t="shared" si="41"/>
        <v>0.35312258985346778</v>
      </c>
      <c r="I625" s="68">
        <f t="shared" si="42"/>
        <v>0.34372168030884453</v>
      </c>
      <c r="J625" s="232">
        <f t="shared" si="43"/>
        <v>4.5078088627609557E-2</v>
      </c>
      <c r="K625" s="321">
        <f t="shared" si="44"/>
        <v>-6.9718134837309939E-3</v>
      </c>
    </row>
    <row r="626" spans="1:11" x14ac:dyDescent="0.2">
      <c r="A626" s="320">
        <v>525</v>
      </c>
      <c r="B626" s="174">
        <v>71</v>
      </c>
      <c r="C626" s="174">
        <v>49</v>
      </c>
      <c r="D626" s="174">
        <v>40</v>
      </c>
      <c r="E626" s="174">
        <v>19</v>
      </c>
      <c r="F626" s="174">
        <v>2</v>
      </c>
      <c r="G626" s="68">
        <f t="shared" si="40"/>
        <v>0.59331970937291989</v>
      </c>
      <c r="H626" s="68">
        <f t="shared" si="41"/>
        <v>0.49516509520818541</v>
      </c>
      <c r="I626" s="68">
        <f t="shared" si="42"/>
        <v>0.5079658045863702</v>
      </c>
      <c r="J626" s="232">
        <f t="shared" si="43"/>
        <v>6.3583074873014872E-2</v>
      </c>
      <c r="K626" s="321">
        <f t="shared" si="44"/>
        <v>8.5249610020129932E-3</v>
      </c>
    </row>
    <row r="627" spans="1:11" x14ac:dyDescent="0.2">
      <c r="A627" s="320">
        <v>526</v>
      </c>
      <c r="B627" s="174">
        <v>31</v>
      </c>
      <c r="C627" s="174">
        <v>13</v>
      </c>
      <c r="D627" s="174">
        <v>38</v>
      </c>
      <c r="E627" s="174">
        <v>70</v>
      </c>
      <c r="F627" s="174">
        <v>47</v>
      </c>
      <c r="G627" s="68">
        <f t="shared" si="40"/>
        <v>0.7978796531495449</v>
      </c>
      <c r="H627" s="68">
        <f t="shared" si="41"/>
        <v>0.70009072870812372</v>
      </c>
      <c r="I627" s="68">
        <f t="shared" si="42"/>
        <v>0.75845544166623013</v>
      </c>
      <c r="J627" s="232">
        <f t="shared" si="43"/>
        <v>5.5926380610729021E-2</v>
      </c>
      <c r="K627" s="321">
        <f t="shared" si="44"/>
        <v>3.3754214313815846E-2</v>
      </c>
    </row>
    <row r="628" spans="1:11" x14ac:dyDescent="0.2">
      <c r="A628" s="320">
        <v>527</v>
      </c>
      <c r="B628" s="174">
        <v>14</v>
      </c>
      <c r="C628" s="174">
        <v>22</v>
      </c>
      <c r="D628" s="174">
        <v>48</v>
      </c>
      <c r="E628" s="174">
        <v>33</v>
      </c>
      <c r="F628" s="174">
        <v>40</v>
      </c>
      <c r="G628" s="68">
        <f t="shared" si="40"/>
        <v>0.50584326312167027</v>
      </c>
      <c r="H628" s="68">
        <f t="shared" si="41"/>
        <v>0.47116702601920712</v>
      </c>
      <c r="I628" s="68">
        <f t="shared" si="42"/>
        <v>0.5005983640420808</v>
      </c>
      <c r="J628" s="232">
        <f t="shared" si="43"/>
        <v>2.3297067935456498E-2</v>
      </c>
      <c r="K628" s="321">
        <f t="shared" si="44"/>
        <v>1.9807956852703756E-2</v>
      </c>
    </row>
    <row r="629" spans="1:11" x14ac:dyDescent="0.2">
      <c r="A629" s="320">
        <v>528</v>
      </c>
      <c r="B629" s="174">
        <v>74</v>
      </c>
      <c r="C629" s="174">
        <v>32</v>
      </c>
      <c r="D629" s="174">
        <v>25</v>
      </c>
      <c r="E629" s="174">
        <v>26</v>
      </c>
      <c r="F629" s="174">
        <v>69</v>
      </c>
      <c r="G629" s="68">
        <f t="shared" si="40"/>
        <v>0.92569495326686368</v>
      </c>
      <c r="H629" s="68">
        <f t="shared" si="41"/>
        <v>0.84999360943055158</v>
      </c>
      <c r="I629" s="68">
        <f t="shared" si="42"/>
        <v>0.93454861803491363</v>
      </c>
      <c r="J629" s="232">
        <f t="shared" si="43"/>
        <v>4.010473255130792E-2</v>
      </c>
      <c r="K629" s="321">
        <f t="shared" si="44"/>
        <v>4.4691842213741222E-2</v>
      </c>
    </row>
    <row r="630" spans="1:11" x14ac:dyDescent="0.2">
      <c r="A630" s="320">
        <v>529</v>
      </c>
      <c r="B630" s="174">
        <v>47</v>
      </c>
      <c r="C630" s="174">
        <v>29</v>
      </c>
      <c r="D630" s="174">
        <v>72</v>
      </c>
      <c r="E630" s="174">
        <v>27</v>
      </c>
      <c r="F630" s="174">
        <v>72</v>
      </c>
      <c r="G630" s="68">
        <f t="shared" si="40"/>
        <v>0.9831800381396163</v>
      </c>
      <c r="H630" s="68">
        <f t="shared" si="41"/>
        <v>0.98770900065632561</v>
      </c>
      <c r="I630" s="68">
        <f t="shared" si="42"/>
        <v>1.1570831150339544</v>
      </c>
      <c r="J630" s="232">
        <f t="shared" si="43"/>
        <v>-2.2810833726514402E-3</v>
      </c>
      <c r="K630" s="321">
        <f t="shared" si="44"/>
        <v>8.1774179784067022E-2</v>
      </c>
    </row>
    <row r="631" spans="1:11" x14ac:dyDescent="0.2">
      <c r="A631" s="320">
        <v>530</v>
      </c>
      <c r="B631" s="174">
        <v>31</v>
      </c>
      <c r="C631" s="174">
        <v>7</v>
      </c>
      <c r="D631" s="174">
        <v>59</v>
      </c>
      <c r="E631" s="174">
        <v>67</v>
      </c>
      <c r="F631" s="174">
        <v>16</v>
      </c>
      <c r="G631" s="68">
        <f t="shared" si="40"/>
        <v>0.31632524747926571</v>
      </c>
      <c r="H631" s="68">
        <f t="shared" si="41"/>
        <v>0.36072756441127707</v>
      </c>
      <c r="I631" s="68">
        <f t="shared" si="42"/>
        <v>0.35617481037928767</v>
      </c>
      <c r="J631" s="232">
        <f t="shared" si="43"/>
        <v>-3.3175579624865552E-2</v>
      </c>
      <c r="K631" s="321">
        <f t="shared" si="44"/>
        <v>-3.3514331141595009E-3</v>
      </c>
    </row>
    <row r="632" spans="1:11" x14ac:dyDescent="0.2">
      <c r="A632" s="320">
        <v>531</v>
      </c>
      <c r="B632" s="174">
        <v>10</v>
      </c>
      <c r="C632" s="174">
        <v>34</v>
      </c>
      <c r="D632" s="174">
        <v>69</v>
      </c>
      <c r="E632" s="174">
        <v>50</v>
      </c>
      <c r="F632" s="174">
        <v>40</v>
      </c>
      <c r="G632" s="68">
        <f t="shared" si="40"/>
        <v>0.36906309291326789</v>
      </c>
      <c r="H632" s="68">
        <f t="shared" si="41"/>
        <v>0.39746601639488954</v>
      </c>
      <c r="I632" s="68">
        <f t="shared" si="42"/>
        <v>0.41512927103037156</v>
      </c>
      <c r="J632" s="232">
        <f t="shared" si="43"/>
        <v>-2.0533976218062182E-2</v>
      </c>
      <c r="K632" s="321">
        <f t="shared" si="44"/>
        <v>1.25602762171696E-2</v>
      </c>
    </row>
    <row r="633" spans="1:11" x14ac:dyDescent="0.2">
      <c r="A633" s="320">
        <v>532</v>
      </c>
      <c r="B633" s="174">
        <v>57</v>
      </c>
      <c r="C633" s="174">
        <v>41</v>
      </c>
      <c r="D633" s="174">
        <v>69</v>
      </c>
      <c r="E633" s="174">
        <v>32</v>
      </c>
      <c r="F633" s="174">
        <v>70</v>
      </c>
      <c r="G633" s="68">
        <f t="shared" si="40"/>
        <v>0.91815791784797862</v>
      </c>
      <c r="H633" s="68">
        <f t="shared" si="41"/>
        <v>0.85482232941418923</v>
      </c>
      <c r="I633" s="68">
        <f t="shared" si="42"/>
        <v>0.95991712501649618</v>
      </c>
      <c r="J633" s="232">
        <f t="shared" si="43"/>
        <v>3.3576395535618718E-2</v>
      </c>
      <c r="K633" s="321">
        <f t="shared" si="44"/>
        <v>5.5113277012892183E-2</v>
      </c>
    </row>
    <row r="634" spans="1:11" x14ac:dyDescent="0.2">
      <c r="A634" s="320">
        <v>533</v>
      </c>
      <c r="B634" s="174">
        <v>32</v>
      </c>
      <c r="C634" s="174">
        <v>41</v>
      </c>
      <c r="D634" s="174">
        <v>28</v>
      </c>
      <c r="E634" s="174">
        <v>44</v>
      </c>
      <c r="F634" s="174">
        <v>56</v>
      </c>
      <c r="G634" s="68">
        <f t="shared" si="40"/>
        <v>0.65802238476088393</v>
      </c>
      <c r="H634" s="68">
        <f t="shared" si="41"/>
        <v>0.63769943158789122</v>
      </c>
      <c r="I634" s="68">
        <f t="shared" si="42"/>
        <v>0.70882820392692314</v>
      </c>
      <c r="J634" s="232">
        <f t="shared" si="43"/>
        <v>1.2333086289900581E-2</v>
      </c>
      <c r="K634" s="321">
        <f t="shared" si="44"/>
        <v>4.2515403360461383E-2</v>
      </c>
    </row>
    <row r="635" spans="1:11" x14ac:dyDescent="0.2">
      <c r="A635" s="320">
        <v>534</v>
      </c>
      <c r="B635" s="174">
        <v>18</v>
      </c>
      <c r="C635" s="174">
        <v>33</v>
      </c>
      <c r="D635" s="174">
        <v>64</v>
      </c>
      <c r="E635" s="174">
        <v>51</v>
      </c>
      <c r="F635" s="174">
        <v>20</v>
      </c>
      <c r="G635" s="68">
        <f t="shared" si="40"/>
        <v>0.28897623550645002</v>
      </c>
      <c r="H635" s="68">
        <f t="shared" si="41"/>
        <v>0.24144358935524934</v>
      </c>
      <c r="I635" s="68">
        <f t="shared" si="42"/>
        <v>0.22575770934930839</v>
      </c>
      <c r="J635" s="232">
        <f t="shared" si="43"/>
        <v>3.7573399964274973E-2</v>
      </c>
      <c r="K635" s="321">
        <f t="shared" si="44"/>
        <v>-1.2715696417943281E-2</v>
      </c>
    </row>
    <row r="636" spans="1:11" x14ac:dyDescent="0.2">
      <c r="A636" s="320">
        <v>535</v>
      </c>
      <c r="B636" s="174">
        <v>60</v>
      </c>
      <c r="C636" s="174">
        <v>68</v>
      </c>
      <c r="D636" s="174">
        <v>23</v>
      </c>
      <c r="E636" s="174">
        <v>59</v>
      </c>
      <c r="F636" s="174">
        <v>21</v>
      </c>
      <c r="G636" s="68">
        <f t="shared" si="40"/>
        <v>0.80275358966319632</v>
      </c>
      <c r="H636" s="68">
        <f t="shared" si="41"/>
        <v>0.79761185014213098</v>
      </c>
      <c r="I636" s="68">
        <f t="shared" si="42"/>
        <v>0.84984411104042046</v>
      </c>
      <c r="J636" s="232">
        <f t="shared" si="43"/>
        <v>2.8562339587949711E-3</v>
      </c>
      <c r="K636" s="321">
        <f t="shared" si="44"/>
        <v>2.8642337168170811E-2</v>
      </c>
    </row>
    <row r="637" spans="1:11" x14ac:dyDescent="0.2">
      <c r="A637" s="320">
        <v>536</v>
      </c>
      <c r="B637" s="174">
        <v>68</v>
      </c>
      <c r="C637" s="174">
        <v>9</v>
      </c>
      <c r="D637" s="174">
        <v>56</v>
      </c>
      <c r="E637" s="174">
        <v>35</v>
      </c>
      <c r="F637" s="174">
        <v>60</v>
      </c>
      <c r="G637" s="68">
        <f t="shared" si="40"/>
        <v>0.20980615514984713</v>
      </c>
      <c r="H637" s="68">
        <f t="shared" si="41"/>
        <v>0.26925015654084761</v>
      </c>
      <c r="I637" s="68">
        <f t="shared" si="42"/>
        <v>0.24920923467124689</v>
      </c>
      <c r="J637" s="232">
        <f t="shared" si="43"/>
        <v>-4.7966153759320229E-2</v>
      </c>
      <c r="K637" s="321">
        <f t="shared" si="44"/>
        <v>-1.5915559311064132E-2</v>
      </c>
    </row>
    <row r="638" spans="1:11" x14ac:dyDescent="0.2">
      <c r="A638" s="320">
        <v>537</v>
      </c>
      <c r="B638" s="174">
        <v>55</v>
      </c>
      <c r="C638" s="174">
        <v>36</v>
      </c>
      <c r="D638" s="174">
        <v>59</v>
      </c>
      <c r="E638" s="174">
        <v>65</v>
      </c>
      <c r="F638" s="174">
        <v>13</v>
      </c>
      <c r="G638" s="68">
        <f t="shared" si="40"/>
        <v>0.52440751214539327</v>
      </c>
      <c r="H638" s="68">
        <f t="shared" si="41"/>
        <v>0.47727071229850138</v>
      </c>
      <c r="I638" s="68">
        <f t="shared" si="42"/>
        <v>0.52373976860181748</v>
      </c>
      <c r="J638" s="232">
        <f t="shared" si="43"/>
        <v>3.1409545947372219E-2</v>
      </c>
      <c r="K638" s="321">
        <f t="shared" si="44"/>
        <v>3.097141517956126E-2</v>
      </c>
    </row>
    <row r="639" spans="1:11" x14ac:dyDescent="0.2">
      <c r="A639" s="320">
        <v>538</v>
      </c>
      <c r="B639" s="174">
        <v>24</v>
      </c>
      <c r="C639" s="174">
        <v>76</v>
      </c>
      <c r="D639" s="174">
        <v>69</v>
      </c>
      <c r="E639" s="174">
        <v>8</v>
      </c>
      <c r="F639" s="174">
        <v>1</v>
      </c>
      <c r="G639" s="68">
        <f t="shared" si="40"/>
        <v>0.23926054013858544</v>
      </c>
      <c r="H639" s="68">
        <f t="shared" si="41"/>
        <v>0.23209746373537699</v>
      </c>
      <c r="I639" s="68">
        <f t="shared" si="42"/>
        <v>0.20170496789694359</v>
      </c>
      <c r="J639" s="232">
        <f t="shared" si="43"/>
        <v>5.796890981345235E-3</v>
      </c>
      <c r="K639" s="321">
        <f t="shared" si="44"/>
        <v>-2.4976617172992158E-2</v>
      </c>
    </row>
    <row r="640" spans="1:11" x14ac:dyDescent="0.2">
      <c r="A640" s="320">
        <v>539</v>
      </c>
      <c r="B640" s="174">
        <v>74</v>
      </c>
      <c r="C640" s="174">
        <v>21</v>
      </c>
      <c r="D640" s="174">
        <v>43</v>
      </c>
      <c r="E640" s="174">
        <v>20</v>
      </c>
      <c r="F640" s="174">
        <v>74</v>
      </c>
      <c r="G640" s="68">
        <f t="shared" si="40"/>
        <v>0.29017038242941795</v>
      </c>
      <c r="H640" s="68">
        <f t="shared" si="41"/>
        <v>0.296294449867615</v>
      </c>
      <c r="I640" s="68">
        <f t="shared" si="42"/>
        <v>0.28664744343277748</v>
      </c>
      <c r="J640" s="232">
        <f t="shared" si="43"/>
        <v>-4.7354820417163284E-3</v>
      </c>
      <c r="K640" s="321">
        <f t="shared" si="44"/>
        <v>-7.469816736428E-3</v>
      </c>
    </row>
    <row r="641" spans="1:11" x14ac:dyDescent="0.2">
      <c r="A641" s="320">
        <v>540</v>
      </c>
      <c r="B641" s="174">
        <v>10</v>
      </c>
      <c r="C641" s="174">
        <v>53</v>
      </c>
      <c r="D641" s="174">
        <v>53</v>
      </c>
      <c r="E641" s="174">
        <v>18</v>
      </c>
      <c r="F641" s="174">
        <v>64</v>
      </c>
      <c r="G641" s="68">
        <f t="shared" si="40"/>
        <v>-0.20386313183431171</v>
      </c>
      <c r="H641" s="68">
        <f t="shared" si="41"/>
        <v>-0.15059427992641461</v>
      </c>
      <c r="I641" s="68">
        <f t="shared" si="42"/>
        <v>-0.20037726296030978</v>
      </c>
      <c r="J641" s="232">
        <f t="shared" si="43"/>
        <v>-6.4765836113104436E-2</v>
      </c>
      <c r="K641" s="321">
        <f t="shared" si="44"/>
        <v>-6.0396914369086313E-2</v>
      </c>
    </row>
    <row r="642" spans="1:11" x14ac:dyDescent="0.2">
      <c r="A642" s="320">
        <v>541</v>
      </c>
      <c r="B642" s="174">
        <v>20</v>
      </c>
      <c r="C642" s="174">
        <v>59</v>
      </c>
      <c r="D642" s="174">
        <v>46</v>
      </c>
      <c r="E642" s="174">
        <v>2</v>
      </c>
      <c r="F642" s="174">
        <v>4</v>
      </c>
      <c r="G642" s="68">
        <f t="shared" si="40"/>
        <v>0.56431671211715972</v>
      </c>
      <c r="H642" s="68">
        <f t="shared" si="41"/>
        <v>0.52292210109327453</v>
      </c>
      <c r="I642" s="68">
        <f t="shared" si="42"/>
        <v>0.54825128354533015</v>
      </c>
      <c r="J642" s="232">
        <f t="shared" si="43"/>
        <v>2.6818198701355114E-2</v>
      </c>
      <c r="K642" s="321">
        <f t="shared" si="44"/>
        <v>1.6495165590636986E-2</v>
      </c>
    </row>
    <row r="643" spans="1:11" x14ac:dyDescent="0.2">
      <c r="A643" s="320">
        <v>542</v>
      </c>
      <c r="B643" s="174">
        <v>23</v>
      </c>
      <c r="C643" s="174">
        <v>38</v>
      </c>
      <c r="D643" s="174">
        <v>54</v>
      </c>
      <c r="E643" s="174">
        <v>73</v>
      </c>
      <c r="F643" s="174">
        <v>25</v>
      </c>
      <c r="G643" s="68">
        <f t="shared" si="40"/>
        <v>0.38502604131648699</v>
      </c>
      <c r="H643" s="68">
        <f t="shared" si="41"/>
        <v>0.33264214669063752</v>
      </c>
      <c r="I643" s="68">
        <f t="shared" si="42"/>
        <v>0.34232409569686428</v>
      </c>
      <c r="J643" s="232">
        <f t="shared" si="43"/>
        <v>3.8555393797895493E-2</v>
      </c>
      <c r="K643" s="321">
        <f t="shared" si="44"/>
        <v>7.2389633429408061E-3</v>
      </c>
    </row>
    <row r="644" spans="1:11" x14ac:dyDescent="0.2">
      <c r="A644" s="320">
        <v>543</v>
      </c>
      <c r="B644" s="174">
        <v>4</v>
      </c>
      <c r="C644" s="174">
        <v>75</v>
      </c>
      <c r="D644" s="174">
        <v>38</v>
      </c>
      <c r="E644" s="174">
        <v>21</v>
      </c>
      <c r="F644" s="174">
        <v>22</v>
      </c>
      <c r="G644" s="68">
        <f t="shared" si="40"/>
        <v>0.2484905807086335</v>
      </c>
      <c r="H644" s="68">
        <f t="shared" si="41"/>
        <v>0.24998375548253593</v>
      </c>
      <c r="I644" s="68">
        <f t="shared" si="42"/>
        <v>0.23442071592070124</v>
      </c>
      <c r="J644" s="232">
        <f t="shared" si="43"/>
        <v>-1.195269393040711E-3</v>
      </c>
      <c r="K644" s="321">
        <f t="shared" si="44"/>
        <v>-1.2528751511655646E-2</v>
      </c>
    </row>
    <row r="645" spans="1:11" x14ac:dyDescent="0.2">
      <c r="A645" s="320">
        <v>544</v>
      </c>
      <c r="B645" s="174">
        <v>55</v>
      </c>
      <c r="C645" s="174">
        <v>11</v>
      </c>
      <c r="D645" s="174">
        <v>65</v>
      </c>
      <c r="E645" s="174">
        <v>48</v>
      </c>
      <c r="F645" s="174">
        <v>19</v>
      </c>
      <c r="G645" s="68">
        <f t="shared" si="40"/>
        <v>-7.315097430381623E-2</v>
      </c>
      <c r="H645" s="68">
        <f t="shared" si="41"/>
        <v>-6.1141145934938024E-2</v>
      </c>
      <c r="I645" s="68">
        <f t="shared" si="42"/>
        <v>-9.591126693090779E-2</v>
      </c>
      <c r="J645" s="232">
        <f t="shared" si="43"/>
        <v>-1.2874463774607782E-2</v>
      </c>
      <c r="K645" s="321">
        <f t="shared" si="44"/>
        <v>-3.7737641125061276E-2</v>
      </c>
    </row>
    <row r="646" spans="1:11" x14ac:dyDescent="0.2">
      <c r="A646" s="320">
        <v>545</v>
      </c>
      <c r="B646" s="174">
        <v>29</v>
      </c>
      <c r="C646" s="174">
        <v>29</v>
      </c>
      <c r="D646" s="174">
        <v>13</v>
      </c>
      <c r="E646" s="174">
        <v>59</v>
      </c>
      <c r="F646" s="174">
        <v>60</v>
      </c>
      <c r="G646" s="68">
        <f t="shared" si="40"/>
        <v>1.3069512920697988</v>
      </c>
      <c r="H646" s="68">
        <f t="shared" si="41"/>
        <v>1.2412866074366233</v>
      </c>
      <c r="I646" s="68">
        <f t="shared" si="42"/>
        <v>1.4202991922794559</v>
      </c>
      <c r="J646" s="232">
        <f t="shared" si="43"/>
        <v>2.8876786570267252E-2</v>
      </c>
      <c r="K646" s="321">
        <f t="shared" si="44"/>
        <v>7.6841086405193382E-2</v>
      </c>
    </row>
    <row r="647" spans="1:11" x14ac:dyDescent="0.2">
      <c r="A647" s="320">
        <v>546</v>
      </c>
      <c r="B647" s="174">
        <v>26</v>
      </c>
      <c r="C647" s="174">
        <v>60</v>
      </c>
      <c r="D647" s="174">
        <v>18</v>
      </c>
      <c r="E647" s="174">
        <v>19</v>
      </c>
      <c r="F647" s="174">
        <v>42</v>
      </c>
      <c r="G647" s="68">
        <f t="shared" si="40"/>
        <v>0.55852670213471245</v>
      </c>
      <c r="H647" s="68">
        <f t="shared" si="41"/>
        <v>0.52691389209330053</v>
      </c>
      <c r="I647" s="68">
        <f t="shared" si="42"/>
        <v>0.54971708950709397</v>
      </c>
      <c r="J647" s="232">
        <f t="shared" si="43"/>
        <v>2.0492318905947299E-2</v>
      </c>
      <c r="K647" s="321">
        <f t="shared" si="44"/>
        <v>1.4823756973361617E-2</v>
      </c>
    </row>
    <row r="648" spans="1:11" x14ac:dyDescent="0.2">
      <c r="A648" s="320">
        <v>547</v>
      </c>
      <c r="B648" s="174">
        <v>18</v>
      </c>
      <c r="C648" s="174">
        <v>15</v>
      </c>
      <c r="D648" s="174">
        <v>28</v>
      </c>
      <c r="E648" s="174">
        <v>39</v>
      </c>
      <c r="F648" s="174">
        <v>11</v>
      </c>
      <c r="G648" s="68">
        <f t="shared" si="40"/>
        <v>0.41538040565126377</v>
      </c>
      <c r="H648" s="68">
        <f t="shared" si="41"/>
        <v>0.34277809987401153</v>
      </c>
      <c r="I648" s="68">
        <f t="shared" si="42"/>
        <v>0.32434263298479848</v>
      </c>
      <c r="J648" s="232">
        <f t="shared" si="43"/>
        <v>5.2657656188578719E-2</v>
      </c>
      <c r="K648" s="321">
        <f t="shared" si="44"/>
        <v>-1.3824466414544897E-2</v>
      </c>
    </row>
    <row r="649" spans="1:11" x14ac:dyDescent="0.2">
      <c r="A649" s="320">
        <v>548</v>
      </c>
      <c r="B649" s="174">
        <v>16</v>
      </c>
      <c r="C649" s="174">
        <v>6</v>
      </c>
      <c r="D649" s="174">
        <v>71</v>
      </c>
      <c r="E649" s="174">
        <v>67</v>
      </c>
      <c r="F649" s="174">
        <v>1</v>
      </c>
      <c r="G649" s="68">
        <f t="shared" si="40"/>
        <v>0.30272909405346282</v>
      </c>
      <c r="H649" s="68">
        <f t="shared" si="41"/>
        <v>0.2691423262271837</v>
      </c>
      <c r="I649" s="68">
        <f t="shared" si="42"/>
        <v>0.24261390262913451</v>
      </c>
      <c r="J649" s="232">
        <f t="shared" si="43"/>
        <v>2.6120028477220975E-2</v>
      </c>
      <c r="K649" s="321">
        <f t="shared" si="44"/>
        <v>-2.1124191727470425E-2</v>
      </c>
    </row>
    <row r="650" spans="1:11" x14ac:dyDescent="0.2">
      <c r="A650" s="320">
        <v>549</v>
      </c>
      <c r="B650" s="174">
        <v>20</v>
      </c>
      <c r="C650" s="174">
        <v>49</v>
      </c>
      <c r="D650" s="174">
        <v>36</v>
      </c>
      <c r="E650" s="174">
        <v>70</v>
      </c>
      <c r="F650" s="174">
        <v>8</v>
      </c>
      <c r="G650" s="68">
        <f t="shared" si="40"/>
        <v>2.7798494483360026E-2</v>
      </c>
      <c r="H650" s="68">
        <f t="shared" si="41"/>
        <v>5.4272806974399623E-2</v>
      </c>
      <c r="I650" s="68">
        <f t="shared" si="42"/>
        <v>-2.0548511179426798E-3</v>
      </c>
      <c r="J650" s="232">
        <f t="shared" si="43"/>
        <v>-2.5432115995326701E-2</v>
      </c>
      <c r="K650" s="321">
        <f t="shared" si="44"/>
        <v>-5.4908211996025316E-2</v>
      </c>
    </row>
    <row r="651" spans="1:11" x14ac:dyDescent="0.2">
      <c r="A651" s="320">
        <v>550</v>
      </c>
      <c r="B651" s="174">
        <v>70</v>
      </c>
      <c r="C651" s="174">
        <v>20</v>
      </c>
      <c r="D651" s="174">
        <v>30</v>
      </c>
      <c r="E651" s="174">
        <v>63</v>
      </c>
      <c r="F651" s="174">
        <v>13</v>
      </c>
      <c r="G651" s="68">
        <f t="shared" si="40"/>
        <v>0.39773480799427019</v>
      </c>
      <c r="H651" s="68">
        <f t="shared" si="41"/>
        <v>0.34354132878339505</v>
      </c>
      <c r="I651" s="68">
        <f t="shared" si="42"/>
        <v>0.36317304277614482</v>
      </c>
      <c r="J651" s="232">
        <f t="shared" si="43"/>
        <v>3.954402133765357E-2</v>
      </c>
      <c r="K651" s="321">
        <f t="shared" si="44"/>
        <v>1.4506191311216146E-2</v>
      </c>
    </row>
    <row r="652" spans="1:11" x14ac:dyDescent="0.2">
      <c r="A652" s="320">
        <v>551</v>
      </c>
      <c r="B652" s="174">
        <v>49</v>
      </c>
      <c r="C652" s="174">
        <v>31</v>
      </c>
      <c r="D652" s="174">
        <v>12</v>
      </c>
      <c r="E652" s="174">
        <v>77</v>
      </c>
      <c r="F652" s="174">
        <v>71</v>
      </c>
      <c r="G652" s="68">
        <f t="shared" si="40"/>
        <v>0.78787843804233071</v>
      </c>
      <c r="H652" s="68">
        <f t="shared" si="41"/>
        <v>0.67079707873623406</v>
      </c>
      <c r="I652" s="68">
        <f t="shared" si="42"/>
        <v>0.74861270109408684</v>
      </c>
      <c r="J652" s="232">
        <f t="shared" si="43"/>
        <v>6.7728881550799147E-2</v>
      </c>
      <c r="K652" s="321">
        <f t="shared" si="44"/>
        <v>4.5521926100004537E-2</v>
      </c>
    </row>
    <row r="653" spans="1:11" x14ac:dyDescent="0.2">
      <c r="A653" s="320">
        <v>552</v>
      </c>
      <c r="B653" s="174">
        <v>43</v>
      </c>
      <c r="C653" s="174">
        <v>1</v>
      </c>
      <c r="D653" s="174">
        <v>48</v>
      </c>
      <c r="E653" s="174">
        <v>61</v>
      </c>
      <c r="F653" s="174">
        <v>47</v>
      </c>
      <c r="G653" s="68">
        <f t="shared" si="40"/>
        <v>0.46343099651722142</v>
      </c>
      <c r="H653" s="68">
        <f t="shared" si="41"/>
        <v>0.41517541443864103</v>
      </c>
      <c r="I653" s="68">
        <f t="shared" si="42"/>
        <v>0.44942959539050431</v>
      </c>
      <c r="J653" s="232">
        <f t="shared" si="43"/>
        <v>3.3530185195733357E-2</v>
      </c>
      <c r="K653" s="321">
        <f t="shared" si="44"/>
        <v>2.3916605334998422E-2</v>
      </c>
    </row>
    <row r="654" spans="1:11" x14ac:dyDescent="0.2">
      <c r="A654" s="320">
        <v>553</v>
      </c>
      <c r="B654" s="174">
        <v>54</v>
      </c>
      <c r="C654" s="174">
        <v>51</v>
      </c>
      <c r="D654" s="174">
        <v>46</v>
      </c>
      <c r="E654" s="174">
        <v>25</v>
      </c>
      <c r="F654" s="174">
        <v>42</v>
      </c>
      <c r="G654" s="68">
        <f t="shared" si="40"/>
        <v>0.48391616008872962</v>
      </c>
      <c r="H654" s="68">
        <f t="shared" si="41"/>
        <v>0.42858482367908812</v>
      </c>
      <c r="I654" s="68">
        <f t="shared" si="42"/>
        <v>0.46610963326175137</v>
      </c>
      <c r="J654" s="232">
        <f t="shared" si="43"/>
        <v>3.8000326782018673E-2</v>
      </c>
      <c r="K654" s="321">
        <f t="shared" si="44"/>
        <v>2.5928064142041685E-2</v>
      </c>
    </row>
    <row r="655" spans="1:11" x14ac:dyDescent="0.2">
      <c r="A655" s="320">
        <v>554</v>
      </c>
      <c r="B655" s="174">
        <v>77</v>
      </c>
      <c r="C655" s="174">
        <v>20</v>
      </c>
      <c r="D655" s="174">
        <v>68</v>
      </c>
      <c r="E655" s="174">
        <v>74</v>
      </c>
      <c r="F655" s="174">
        <v>31</v>
      </c>
      <c r="G655" s="68">
        <f t="shared" si="40"/>
        <v>0.42457264535734618</v>
      </c>
      <c r="H655" s="68">
        <f t="shared" si="41"/>
        <v>0.43237856009084985</v>
      </c>
      <c r="I655" s="68">
        <f t="shared" si="42"/>
        <v>0.45281522308161581</v>
      </c>
      <c r="J655" s="232">
        <f t="shared" si="43"/>
        <v>-5.4645204601086747E-3</v>
      </c>
      <c r="K655" s="321">
        <f t="shared" si="44"/>
        <v>1.4166816045254238E-2</v>
      </c>
    </row>
    <row r="656" spans="1:11" x14ac:dyDescent="0.2">
      <c r="A656" s="320">
        <v>555</v>
      </c>
      <c r="B656" s="174">
        <v>11</v>
      </c>
      <c r="C656" s="174">
        <v>48</v>
      </c>
      <c r="D656" s="174">
        <v>37</v>
      </c>
      <c r="E656" s="174">
        <v>14</v>
      </c>
      <c r="F656" s="174">
        <v>77</v>
      </c>
      <c r="G656" s="68">
        <f t="shared" si="40"/>
        <v>0.1522506532910739</v>
      </c>
      <c r="H656" s="68">
        <f t="shared" si="41"/>
        <v>0.11722223933199105</v>
      </c>
      <c r="I656" s="68">
        <f t="shared" si="42"/>
        <v>0.10882192447562655</v>
      </c>
      <c r="J656" s="232">
        <f t="shared" si="43"/>
        <v>3.0871658385267984E-2</v>
      </c>
      <c r="K656" s="321">
        <f t="shared" si="44"/>
        <v>-7.5473387887133887E-3</v>
      </c>
    </row>
    <row r="657" spans="1:11" x14ac:dyDescent="0.2">
      <c r="A657" s="320">
        <v>556</v>
      </c>
      <c r="B657" s="174">
        <v>63</v>
      </c>
      <c r="C657" s="174">
        <v>59</v>
      </c>
      <c r="D657" s="174">
        <v>37</v>
      </c>
      <c r="E657" s="174">
        <v>20</v>
      </c>
      <c r="F657" s="174">
        <v>58</v>
      </c>
      <c r="G657" s="68">
        <f t="shared" si="40"/>
        <v>0.24419995129334859</v>
      </c>
      <c r="H657" s="68">
        <f t="shared" si="41"/>
        <v>0.25910661659597034</v>
      </c>
      <c r="I657" s="68">
        <f t="shared" si="42"/>
        <v>0.26985369347094301</v>
      </c>
      <c r="J657" s="232">
        <f t="shared" si="43"/>
        <v>-1.1909721080120662E-2</v>
      </c>
      <c r="K657" s="321">
        <f t="shared" si="44"/>
        <v>8.499256810918128E-3</v>
      </c>
    </row>
    <row r="658" spans="1:11" x14ac:dyDescent="0.2">
      <c r="A658" s="320">
        <v>557</v>
      </c>
      <c r="B658" s="174">
        <v>27</v>
      </c>
      <c r="C658" s="174">
        <v>66</v>
      </c>
      <c r="D658" s="174">
        <v>59</v>
      </c>
      <c r="E658" s="174">
        <v>53</v>
      </c>
      <c r="F658" s="174">
        <v>35</v>
      </c>
      <c r="G658" s="68">
        <f t="shared" si="40"/>
        <v>0.68199284303274244</v>
      </c>
      <c r="H658" s="68">
        <f t="shared" si="41"/>
        <v>0.70512355844701879</v>
      </c>
      <c r="I658" s="68">
        <f t="shared" si="42"/>
        <v>0.77384729886397685</v>
      </c>
      <c r="J658" s="232">
        <f t="shared" si="43"/>
        <v>-1.3658269899489353E-2</v>
      </c>
      <c r="K658" s="321">
        <f t="shared" si="44"/>
        <v>3.9513226472089928E-2</v>
      </c>
    </row>
    <row r="659" spans="1:11" x14ac:dyDescent="0.2">
      <c r="A659" s="320">
        <v>558</v>
      </c>
      <c r="B659" s="174">
        <v>63</v>
      </c>
      <c r="C659" s="174">
        <v>1</v>
      </c>
      <c r="D659" s="174">
        <v>2</v>
      </c>
      <c r="E659" s="174">
        <v>51</v>
      </c>
      <c r="F659" s="174">
        <v>21</v>
      </c>
      <c r="G659" s="68">
        <f t="shared" si="40"/>
        <v>0.3333756181826073</v>
      </c>
      <c r="H659" s="68">
        <f t="shared" si="41"/>
        <v>0.25276898997749164</v>
      </c>
      <c r="I659" s="68">
        <f t="shared" si="42"/>
        <v>0.24633087228021955</v>
      </c>
      <c r="J659" s="232">
        <f t="shared" si="43"/>
        <v>6.2357492210062905E-2</v>
      </c>
      <c r="K659" s="321">
        <f t="shared" si="44"/>
        <v>-5.1523606856423597E-3</v>
      </c>
    </row>
    <row r="660" spans="1:11" x14ac:dyDescent="0.2">
      <c r="A660" s="320">
        <v>559</v>
      </c>
      <c r="B660" s="174">
        <v>58</v>
      </c>
      <c r="C660" s="174">
        <v>3</v>
      </c>
      <c r="D660" s="174">
        <v>13</v>
      </c>
      <c r="E660" s="174">
        <v>15</v>
      </c>
      <c r="F660" s="174">
        <v>7</v>
      </c>
      <c r="G660" s="68">
        <f t="shared" si="40"/>
        <v>0.5057515928902041</v>
      </c>
      <c r="H660" s="68">
        <f t="shared" si="41"/>
        <v>0.43935796391158255</v>
      </c>
      <c r="I660" s="68">
        <f t="shared" si="42"/>
        <v>0.45470083559384533</v>
      </c>
      <c r="J660" s="232">
        <f t="shared" si="43"/>
        <v>4.5095015043995067E-2</v>
      </c>
      <c r="K660" s="321">
        <f t="shared" si="44"/>
        <v>1.0603112438084901E-2</v>
      </c>
    </row>
    <row r="661" spans="1:11" x14ac:dyDescent="0.2">
      <c r="A661" s="320">
        <v>560</v>
      </c>
      <c r="B661" s="174">
        <v>6</v>
      </c>
      <c r="C661" s="174">
        <v>10</v>
      </c>
      <c r="D661" s="174">
        <v>48</v>
      </c>
      <c r="E661" s="174">
        <v>61</v>
      </c>
      <c r="F661" s="174">
        <v>47</v>
      </c>
      <c r="G661" s="68">
        <f t="shared" si="40"/>
        <v>-2.583828655794862E-2</v>
      </c>
      <c r="H661" s="68">
        <f t="shared" si="41"/>
        <v>1.4565908905838754E-2</v>
      </c>
      <c r="I661" s="68">
        <f t="shared" si="42"/>
        <v>-1.2161020887533236E-2</v>
      </c>
      <c r="J661" s="232">
        <f t="shared" si="43"/>
        <v>-4.0638803952583499E-2</v>
      </c>
      <c r="K661" s="321">
        <f t="shared" si="44"/>
        <v>-2.6696416182682144E-2</v>
      </c>
    </row>
    <row r="662" spans="1:11" x14ac:dyDescent="0.2">
      <c r="A662" s="320">
        <v>561</v>
      </c>
      <c r="B662" s="174">
        <v>36</v>
      </c>
      <c r="C662" s="174">
        <v>72</v>
      </c>
      <c r="D662" s="174">
        <v>23</v>
      </c>
      <c r="E662" s="174">
        <v>56</v>
      </c>
      <c r="F662" s="174">
        <v>35</v>
      </c>
      <c r="G662" s="68">
        <f t="shared" si="40"/>
        <v>0.52091156124524574</v>
      </c>
      <c r="H662" s="68">
        <f t="shared" si="41"/>
        <v>0.5190542860893681</v>
      </c>
      <c r="I662" s="68">
        <f t="shared" si="42"/>
        <v>0.559239460987357</v>
      </c>
      <c r="J662" s="232">
        <f t="shared" si="43"/>
        <v>1.2219054293589257E-3</v>
      </c>
      <c r="K662" s="321">
        <f t="shared" si="44"/>
        <v>2.611021635498776E-2</v>
      </c>
    </row>
    <row r="663" spans="1:11" x14ac:dyDescent="0.2">
      <c r="A663" s="320">
        <v>562</v>
      </c>
      <c r="B663" s="174">
        <v>63</v>
      </c>
      <c r="C663" s="174">
        <v>42</v>
      </c>
      <c r="D663" s="174">
        <v>38</v>
      </c>
      <c r="E663" s="174">
        <v>13</v>
      </c>
      <c r="F663" s="174">
        <v>67</v>
      </c>
      <c r="G663" s="68">
        <f t="shared" si="40"/>
        <v>0.42395318711468355</v>
      </c>
      <c r="H663" s="68">
        <f t="shared" si="41"/>
        <v>0.34833951092602033</v>
      </c>
      <c r="I663" s="68">
        <f t="shared" si="42"/>
        <v>0.39088718850464277</v>
      </c>
      <c r="J663" s="232">
        <f t="shared" si="43"/>
        <v>5.4563094749406689E-2</v>
      </c>
      <c r="K663" s="321">
        <f t="shared" si="44"/>
        <v>3.1067965166517404E-2</v>
      </c>
    </row>
    <row r="664" spans="1:11" x14ac:dyDescent="0.2">
      <c r="A664" s="320">
        <v>563</v>
      </c>
      <c r="B664" s="174">
        <v>51</v>
      </c>
      <c r="C664" s="174">
        <v>63</v>
      </c>
      <c r="D664" s="174">
        <v>12</v>
      </c>
      <c r="E664" s="174">
        <v>73</v>
      </c>
      <c r="F664" s="174">
        <v>18</v>
      </c>
      <c r="G664" s="68">
        <f t="shared" si="40"/>
        <v>0.33467014545666496</v>
      </c>
      <c r="H664" s="68">
        <f t="shared" si="41"/>
        <v>0.24672583622903077</v>
      </c>
      <c r="I664" s="68">
        <f t="shared" si="42"/>
        <v>0.26788698228576502</v>
      </c>
      <c r="J664" s="232">
        <f t="shared" si="43"/>
        <v>6.8163395419644571E-2</v>
      </c>
      <c r="K664" s="321">
        <f t="shared" si="44"/>
        <v>1.6830937505362926E-2</v>
      </c>
    </row>
    <row r="665" spans="1:11" x14ac:dyDescent="0.2">
      <c r="A665" s="320">
        <v>564</v>
      </c>
      <c r="B665" s="174">
        <v>21</v>
      </c>
      <c r="C665" s="174">
        <v>17</v>
      </c>
      <c r="D665" s="174">
        <v>26</v>
      </c>
      <c r="E665" s="174">
        <v>54</v>
      </c>
      <c r="F665" s="174">
        <v>25</v>
      </c>
      <c r="G665" s="68">
        <f t="shared" si="40"/>
        <v>0.39453366823102209</v>
      </c>
      <c r="H665" s="68">
        <f t="shared" si="41"/>
        <v>0.36310215804576318</v>
      </c>
      <c r="I665" s="68">
        <f t="shared" si="42"/>
        <v>0.36145766972517412</v>
      </c>
      <c r="J665" s="232">
        <f t="shared" si="43"/>
        <v>2.2796970597181103E-2</v>
      </c>
      <c r="K665" s="321">
        <f t="shared" si="44"/>
        <v>-1.2071590453087474E-3</v>
      </c>
    </row>
    <row r="666" spans="1:11" x14ac:dyDescent="0.2">
      <c r="A666" s="320">
        <v>565</v>
      </c>
      <c r="B666" s="174">
        <v>36</v>
      </c>
      <c r="C666" s="174">
        <v>67</v>
      </c>
      <c r="D666" s="174">
        <v>69</v>
      </c>
      <c r="E666" s="174">
        <v>44</v>
      </c>
      <c r="F666" s="174">
        <v>21</v>
      </c>
      <c r="G666" s="68">
        <f t="shared" si="40"/>
        <v>0.45021161484155359</v>
      </c>
      <c r="H666" s="68">
        <f t="shared" si="41"/>
        <v>0.46711481745380024</v>
      </c>
      <c r="I666" s="68">
        <f t="shared" si="42"/>
        <v>0.48519189492883874</v>
      </c>
      <c r="J666" s="232">
        <f t="shared" si="43"/>
        <v>-1.1588275883699496E-2</v>
      </c>
      <c r="K666" s="321">
        <f t="shared" si="44"/>
        <v>1.2246223142670846E-2</v>
      </c>
    </row>
    <row r="667" spans="1:11" x14ac:dyDescent="0.2">
      <c r="A667" s="320">
        <v>566</v>
      </c>
      <c r="B667" s="174">
        <v>62</v>
      </c>
      <c r="C667" s="174">
        <v>19</v>
      </c>
      <c r="D667" s="174">
        <v>19</v>
      </c>
      <c r="E667" s="174">
        <v>49</v>
      </c>
      <c r="F667" s="174">
        <v>39</v>
      </c>
      <c r="G667" s="68">
        <f t="shared" si="40"/>
        <v>8.1609934232174774E-2</v>
      </c>
      <c r="H667" s="68">
        <f t="shared" si="41"/>
        <v>6.2933015474970544E-2</v>
      </c>
      <c r="I667" s="68">
        <f t="shared" si="42"/>
        <v>3.8022586467013397E-2</v>
      </c>
      <c r="J667" s="232">
        <f t="shared" si="43"/>
        <v>1.741852825107406E-2</v>
      </c>
      <c r="K667" s="321">
        <f t="shared" si="44"/>
        <v>-2.3714538660295138E-2</v>
      </c>
    </row>
    <row r="668" spans="1:11" x14ac:dyDescent="0.2">
      <c r="A668" s="320">
        <v>567</v>
      </c>
      <c r="B668" s="174">
        <v>1</v>
      </c>
      <c r="C668" s="174">
        <v>52</v>
      </c>
      <c r="D668" s="174">
        <v>5</v>
      </c>
      <c r="E668" s="174">
        <v>31</v>
      </c>
      <c r="F668" s="174">
        <v>50</v>
      </c>
      <c r="G668" s="68">
        <f t="shared" si="40"/>
        <v>0.4933904975477601</v>
      </c>
      <c r="H668" s="68">
        <f t="shared" si="41"/>
        <v>0.4568245966309783</v>
      </c>
      <c r="I668" s="68">
        <f t="shared" si="42"/>
        <v>0.46621817195850368</v>
      </c>
      <c r="J668" s="232">
        <f t="shared" si="43"/>
        <v>2.4789903331709332E-2</v>
      </c>
      <c r="K668" s="321">
        <f t="shared" si="44"/>
        <v>6.4272803434665265E-3</v>
      </c>
    </row>
    <row r="669" spans="1:11" x14ac:dyDescent="0.2">
      <c r="A669" s="320">
        <v>568</v>
      </c>
      <c r="B669" s="174">
        <v>22</v>
      </c>
      <c r="C669" s="174">
        <v>34</v>
      </c>
      <c r="D669" s="174">
        <v>69</v>
      </c>
      <c r="E669" s="174">
        <v>20</v>
      </c>
      <c r="F669" s="174">
        <v>18</v>
      </c>
      <c r="G669" s="68">
        <f t="shared" si="40"/>
        <v>0.3545527982594463</v>
      </c>
      <c r="H669" s="68">
        <f t="shared" si="41"/>
        <v>0.36884423416200596</v>
      </c>
      <c r="I669" s="68">
        <f t="shared" si="42"/>
        <v>0.34202605334972525</v>
      </c>
      <c r="J669" s="232">
        <f t="shared" si="43"/>
        <v>-1.049539741702195E-2</v>
      </c>
      <c r="K669" s="321">
        <f t="shared" si="44"/>
        <v>-1.9786306905695595E-2</v>
      </c>
    </row>
    <row r="670" spans="1:11" x14ac:dyDescent="0.2">
      <c r="A670" s="320">
        <v>569</v>
      </c>
      <c r="B670" s="174">
        <v>50</v>
      </c>
      <c r="C670" s="174">
        <v>3</v>
      </c>
      <c r="D670" s="174">
        <v>64</v>
      </c>
      <c r="E670" s="174">
        <v>60</v>
      </c>
      <c r="F670" s="174">
        <v>5</v>
      </c>
      <c r="G670" s="68">
        <f t="shared" si="40"/>
        <v>0.24724315419076959</v>
      </c>
      <c r="H670" s="68">
        <f t="shared" si="41"/>
        <v>0.22290136171508146</v>
      </c>
      <c r="I670" s="68">
        <f t="shared" si="42"/>
        <v>0.23792763164801456</v>
      </c>
      <c r="J670" s="232">
        <f t="shared" si="43"/>
        <v>1.9709438295777874E-2</v>
      </c>
      <c r="K670" s="321">
        <f t="shared" si="44"/>
        <v>1.2212515970375891E-2</v>
      </c>
    </row>
    <row r="671" spans="1:11" x14ac:dyDescent="0.2">
      <c r="A671" s="320">
        <v>570</v>
      </c>
      <c r="B671" s="174">
        <v>51</v>
      </c>
      <c r="C671" s="174">
        <v>76</v>
      </c>
      <c r="D671" s="174">
        <v>11</v>
      </c>
      <c r="E671" s="174">
        <v>72</v>
      </c>
      <c r="F671" s="174">
        <v>57</v>
      </c>
      <c r="G671" s="68">
        <f t="shared" si="40"/>
        <v>0.63432244846516994</v>
      </c>
      <c r="H671" s="68">
        <f t="shared" si="41"/>
        <v>0.55603680083244811</v>
      </c>
      <c r="I671" s="68">
        <f t="shared" si="42"/>
        <v>0.6178089316744324</v>
      </c>
      <c r="J671" s="232">
        <f t="shared" si="43"/>
        <v>4.9086237454321079E-2</v>
      </c>
      <c r="K671" s="321">
        <f t="shared" si="44"/>
        <v>3.89306460661238E-2</v>
      </c>
    </row>
    <row r="672" spans="1:11" x14ac:dyDescent="0.2">
      <c r="A672" s="320">
        <v>571</v>
      </c>
      <c r="B672" s="174">
        <v>37</v>
      </c>
      <c r="C672" s="174">
        <v>62</v>
      </c>
      <c r="D672" s="174">
        <v>74</v>
      </c>
      <c r="E672" s="174">
        <v>45</v>
      </c>
      <c r="F672" s="174">
        <v>55</v>
      </c>
      <c r="G672" s="68">
        <f t="shared" si="40"/>
        <v>-5.1203195875670904E-4</v>
      </c>
      <c r="H672" s="68">
        <f t="shared" si="41"/>
        <v>3.7577217943446373E-2</v>
      </c>
      <c r="I672" s="68">
        <f t="shared" si="42"/>
        <v>3.5211924980991016E-2</v>
      </c>
      <c r="J672" s="232">
        <f t="shared" si="43"/>
        <v>-3.7400560378496775E-2</v>
      </c>
      <c r="K672" s="321">
        <f t="shared" si="44"/>
        <v>-2.2822330936866386E-3</v>
      </c>
    </row>
    <row r="673" spans="1:11" x14ac:dyDescent="0.2">
      <c r="A673" s="320">
        <v>572</v>
      </c>
      <c r="B673" s="174">
        <v>76</v>
      </c>
      <c r="C673" s="174">
        <v>77</v>
      </c>
      <c r="D673" s="174">
        <v>42</v>
      </c>
      <c r="E673" s="174">
        <v>34</v>
      </c>
      <c r="F673" s="174">
        <v>62</v>
      </c>
      <c r="G673" s="68">
        <f t="shared" si="40"/>
        <v>0.30773495787831129</v>
      </c>
      <c r="H673" s="68">
        <f t="shared" si="41"/>
        <v>0.33051546177393609</v>
      </c>
      <c r="I673" s="68">
        <f t="shared" si="42"/>
        <v>0.40975217658990193</v>
      </c>
      <c r="J673" s="232">
        <f t="shared" si="43"/>
        <v>-1.7269831482266611E-2</v>
      </c>
      <c r="K673" s="321">
        <f t="shared" si="44"/>
        <v>5.7847495265281157E-2</v>
      </c>
    </row>
    <row r="674" spans="1:11" x14ac:dyDescent="0.2">
      <c r="A674" s="320">
        <v>573</v>
      </c>
      <c r="B674" s="174">
        <v>33</v>
      </c>
      <c r="C674" s="174">
        <v>32</v>
      </c>
      <c r="D674" s="174">
        <v>28</v>
      </c>
      <c r="E674" s="174">
        <v>13</v>
      </c>
      <c r="F674" s="174">
        <v>1</v>
      </c>
      <c r="G674" s="68">
        <f t="shared" si="40"/>
        <v>1.2651783785508037</v>
      </c>
      <c r="H674" s="68">
        <f t="shared" si="41"/>
        <v>1.098110149069091</v>
      </c>
      <c r="I674" s="68">
        <f t="shared" si="42"/>
        <v>1.2077317699508936</v>
      </c>
      <c r="J674" s="232">
        <f t="shared" si="43"/>
        <v>7.6616499625667411E-2</v>
      </c>
      <c r="K674" s="321">
        <f t="shared" si="44"/>
        <v>5.0928629499497106E-2</v>
      </c>
    </row>
    <row r="675" spans="1:11" x14ac:dyDescent="0.2">
      <c r="A675" s="320">
        <v>574</v>
      </c>
      <c r="B675" s="174">
        <v>58</v>
      </c>
      <c r="C675" s="174">
        <v>54</v>
      </c>
      <c r="D675" s="174">
        <v>65</v>
      </c>
      <c r="E675" s="174">
        <v>33</v>
      </c>
      <c r="F675" s="174">
        <v>74</v>
      </c>
      <c r="G675" s="68">
        <f t="shared" si="40"/>
        <v>0.55867873645632571</v>
      </c>
      <c r="H675" s="68">
        <f t="shared" si="41"/>
        <v>0.56174075088131326</v>
      </c>
      <c r="I675" s="68">
        <f t="shared" si="42"/>
        <v>0.62760727341364286</v>
      </c>
      <c r="J675" s="232">
        <f t="shared" si="43"/>
        <v>-1.9625665204531261E-3</v>
      </c>
      <c r="K675" s="321">
        <f t="shared" si="44"/>
        <v>4.1309940836842793E-2</v>
      </c>
    </row>
    <row r="676" spans="1:11" x14ac:dyDescent="0.2">
      <c r="A676" s="320">
        <v>575</v>
      </c>
      <c r="B676" s="174">
        <v>50</v>
      </c>
      <c r="C676" s="174">
        <v>25</v>
      </c>
      <c r="D676" s="174">
        <v>67</v>
      </c>
      <c r="E676" s="174">
        <v>30</v>
      </c>
      <c r="F676" s="174">
        <v>72</v>
      </c>
      <c r="G676" s="68">
        <f t="shared" si="40"/>
        <v>0.77697964178331658</v>
      </c>
      <c r="H676" s="68">
        <f t="shared" si="41"/>
        <v>0.71469909728736436</v>
      </c>
      <c r="I676" s="68">
        <f t="shared" si="42"/>
        <v>0.78420619100653988</v>
      </c>
      <c r="J676" s="232">
        <f t="shared" si="43"/>
        <v>3.5677480850394905E-2</v>
      </c>
      <c r="K676" s="321">
        <f t="shared" si="44"/>
        <v>3.9735993650282693E-2</v>
      </c>
    </row>
    <row r="677" spans="1:11" x14ac:dyDescent="0.2">
      <c r="A677" s="320">
        <v>576</v>
      </c>
      <c r="B677" s="174">
        <v>46</v>
      </c>
      <c r="C677" s="174">
        <v>71</v>
      </c>
      <c r="D677" s="174">
        <v>57</v>
      </c>
      <c r="E677" s="174">
        <v>5</v>
      </c>
      <c r="F677" s="174">
        <v>4</v>
      </c>
      <c r="G677" s="68">
        <f t="shared" si="40"/>
        <v>0.50742702461325151</v>
      </c>
      <c r="H677" s="68">
        <f t="shared" si="41"/>
        <v>0.46499371914268117</v>
      </c>
      <c r="I677" s="68">
        <f t="shared" si="42"/>
        <v>0.50242265660388519</v>
      </c>
      <c r="J677" s="232">
        <f t="shared" si="43"/>
        <v>2.8553285045519447E-2</v>
      </c>
      <c r="K677" s="321">
        <f t="shared" si="44"/>
        <v>2.522795444708692E-2</v>
      </c>
    </row>
    <row r="678" spans="1:11" x14ac:dyDescent="0.2">
      <c r="A678" s="320">
        <v>577</v>
      </c>
      <c r="B678" s="174">
        <v>8</v>
      </c>
      <c r="C678" s="174">
        <v>30</v>
      </c>
      <c r="D678" s="174">
        <v>20</v>
      </c>
      <c r="E678" s="174">
        <v>15</v>
      </c>
      <c r="F678" s="174">
        <v>39</v>
      </c>
      <c r="G678" s="68">
        <f t="shared" ref="G678:G741" si="45">(1+INDEX($Z$21:$Z$97,B678))*(1+INDEX($Z$21:$Z$97,C678))*(1+INDEX($Z$21:$Z$97,D678))*(1+INDEX($Z$21:$Z$97,E678))*(1+INDEX($Z$21:$Z$97,F678))-1</f>
        <v>-1.8212925152702453E-2</v>
      </c>
      <c r="H678" s="68">
        <f t="shared" ref="H678:H741" si="46">(1+INDEX($AA$21:$AA$97,B678))*(1+INDEX($AA$21:$AA$97,C678))*(1+INDEX($AA$21:$AA$97,D678))*(1+INDEX($AA$21:$AA$97,E678))*(1+INDEX($AA$21:$AA$97,F678))-1</f>
        <v>-7.4773090527626707E-3</v>
      </c>
      <c r="I678" s="68">
        <f t="shared" ref="I678:I741" si="47">(1+INDEX($AB$21:$AB$97,B678))*(1+INDEX($AB$21:$AB$97,C678))*(1+INDEX($AB$21:$AB$97,D678))*(1+INDEX($AB$21:$AB$97,E678))*(1+INDEX($AB$21:$AB$97,F678))-1</f>
        <v>-7.5810155328400186E-2</v>
      </c>
      <c r="J678" s="232">
        <f t="shared" ref="J678:J741" si="48">LN((1+G678)/(1+H678))</f>
        <v>-1.0875417929234741E-2</v>
      </c>
      <c r="K678" s="321">
        <f t="shared" ref="K678:K741" si="49">LN((1+I678)/(1+H678))</f>
        <v>-7.133236457630758E-2</v>
      </c>
    </row>
    <row r="679" spans="1:11" x14ac:dyDescent="0.2">
      <c r="A679" s="320">
        <v>578</v>
      </c>
      <c r="B679" s="174">
        <v>16</v>
      </c>
      <c r="C679" s="174">
        <v>11</v>
      </c>
      <c r="D679" s="174">
        <v>21</v>
      </c>
      <c r="E679" s="174">
        <v>12</v>
      </c>
      <c r="F679" s="174">
        <v>24</v>
      </c>
      <c r="G679" s="68">
        <f t="shared" si="45"/>
        <v>0.38099761453103342</v>
      </c>
      <c r="H679" s="68">
        <f t="shared" si="46"/>
        <v>0.29238673888443434</v>
      </c>
      <c r="I679" s="68">
        <f t="shared" si="47"/>
        <v>0.27656708347414338</v>
      </c>
      <c r="J679" s="232">
        <f t="shared" si="48"/>
        <v>6.6315453005705183E-2</v>
      </c>
      <c r="K679" s="321">
        <f t="shared" si="49"/>
        <v>-1.2316185089539104E-2</v>
      </c>
    </row>
    <row r="680" spans="1:11" x14ac:dyDescent="0.2">
      <c r="A680" s="320">
        <v>579</v>
      </c>
      <c r="B680" s="174">
        <v>33</v>
      </c>
      <c r="C680" s="174">
        <v>15</v>
      </c>
      <c r="D680" s="174">
        <v>43</v>
      </c>
      <c r="E680" s="174">
        <v>45</v>
      </c>
      <c r="F680" s="174">
        <v>70</v>
      </c>
      <c r="G680" s="68">
        <f t="shared" si="45"/>
        <v>0.51835229647350434</v>
      </c>
      <c r="H680" s="68">
        <f t="shared" si="46"/>
        <v>0.52455183878371803</v>
      </c>
      <c r="I680" s="68">
        <f t="shared" si="47"/>
        <v>0.5856862520237005</v>
      </c>
      <c r="J680" s="232">
        <f t="shared" si="48"/>
        <v>-4.0747592514038984E-3</v>
      </c>
      <c r="K680" s="321">
        <f t="shared" si="49"/>
        <v>3.9316789540826326E-2</v>
      </c>
    </row>
    <row r="681" spans="1:11" x14ac:dyDescent="0.2">
      <c r="A681" s="320">
        <v>580</v>
      </c>
      <c r="B681" s="174">
        <v>9</v>
      </c>
      <c r="C681" s="174">
        <v>11</v>
      </c>
      <c r="D681" s="174">
        <v>51</v>
      </c>
      <c r="E681" s="174">
        <v>66</v>
      </c>
      <c r="F681" s="174">
        <v>43</v>
      </c>
      <c r="G681" s="68">
        <f t="shared" si="45"/>
        <v>8.0890796015087085E-2</v>
      </c>
      <c r="H681" s="68">
        <f t="shared" si="46"/>
        <v>8.1904637252414147E-2</v>
      </c>
      <c r="I681" s="68">
        <f t="shared" si="47"/>
        <v>4.9738937987011678E-2</v>
      </c>
      <c r="J681" s="232">
        <f t="shared" si="48"/>
        <v>-9.3752862244197771E-4</v>
      </c>
      <c r="K681" s="321">
        <f t="shared" si="49"/>
        <v>-3.0181538146695074E-2</v>
      </c>
    </row>
    <row r="682" spans="1:11" x14ac:dyDescent="0.2">
      <c r="A682" s="320">
        <v>581</v>
      </c>
      <c r="B682" s="174">
        <v>63</v>
      </c>
      <c r="C682" s="174">
        <v>73</v>
      </c>
      <c r="D682" s="174">
        <v>3</v>
      </c>
      <c r="E682" s="174">
        <v>22</v>
      </c>
      <c r="F682" s="174">
        <v>43</v>
      </c>
      <c r="G682" s="68">
        <f t="shared" si="45"/>
        <v>0.18582679897178345</v>
      </c>
      <c r="H682" s="68">
        <f t="shared" si="46"/>
        <v>0.16667523051014843</v>
      </c>
      <c r="I682" s="68">
        <f t="shared" si="47"/>
        <v>0.19665573704240535</v>
      </c>
      <c r="J682" s="232">
        <f t="shared" si="48"/>
        <v>1.6282231706908342E-2</v>
      </c>
      <c r="K682" s="321">
        <f t="shared" si="49"/>
        <v>2.5372760162033055E-2</v>
      </c>
    </row>
    <row r="683" spans="1:11" x14ac:dyDescent="0.2">
      <c r="A683" s="320">
        <v>582</v>
      </c>
      <c r="B683" s="174">
        <v>74</v>
      </c>
      <c r="C683" s="174">
        <v>19</v>
      </c>
      <c r="D683" s="174">
        <v>33</v>
      </c>
      <c r="E683" s="174">
        <v>34</v>
      </c>
      <c r="F683" s="174">
        <v>46</v>
      </c>
      <c r="G683" s="68">
        <f t="shared" si="45"/>
        <v>0.63702957230910306</v>
      </c>
      <c r="H683" s="68">
        <f t="shared" si="46"/>
        <v>0.63805994998616411</v>
      </c>
      <c r="I683" s="68">
        <f t="shared" si="47"/>
        <v>0.69488982829447554</v>
      </c>
      <c r="J683" s="232">
        <f t="shared" si="48"/>
        <v>-6.2922109703708053E-4</v>
      </c>
      <c r="K683" s="321">
        <f t="shared" si="49"/>
        <v>3.4105156399306849E-2</v>
      </c>
    </row>
    <row r="684" spans="1:11" x14ac:dyDescent="0.2">
      <c r="A684" s="320">
        <v>583</v>
      </c>
      <c r="B684" s="174">
        <v>62</v>
      </c>
      <c r="C684" s="174">
        <v>53</v>
      </c>
      <c r="D684" s="174">
        <v>21</v>
      </c>
      <c r="E684" s="174">
        <v>65</v>
      </c>
      <c r="F684" s="174">
        <v>51</v>
      </c>
      <c r="G684" s="68">
        <f t="shared" si="45"/>
        <v>1.3660160225363871E-2</v>
      </c>
      <c r="H684" s="68">
        <f t="shared" si="46"/>
        <v>5.0637254516543218E-2</v>
      </c>
      <c r="I684" s="68">
        <f t="shared" si="47"/>
        <v>3.5205340994631129E-2</v>
      </c>
      <c r="J684" s="232">
        <f t="shared" si="48"/>
        <v>-3.5829187850277493E-2</v>
      </c>
      <c r="K684" s="321">
        <f t="shared" si="49"/>
        <v>-1.4797085002489831E-2</v>
      </c>
    </row>
    <row r="685" spans="1:11" x14ac:dyDescent="0.2">
      <c r="A685" s="320">
        <v>584</v>
      </c>
      <c r="B685" s="174">
        <v>43</v>
      </c>
      <c r="C685" s="174">
        <v>75</v>
      </c>
      <c r="D685" s="174">
        <v>63</v>
      </c>
      <c r="E685" s="174">
        <v>26</v>
      </c>
      <c r="F685" s="174">
        <v>50</v>
      </c>
      <c r="G685" s="68">
        <f t="shared" si="45"/>
        <v>0.41394553396186073</v>
      </c>
      <c r="H685" s="68">
        <f t="shared" si="46"/>
        <v>0.38773407287230133</v>
      </c>
      <c r="I685" s="68">
        <f t="shared" si="47"/>
        <v>0.47142798767175487</v>
      </c>
      <c r="J685" s="232">
        <f t="shared" si="48"/>
        <v>1.8711794031524651E-2</v>
      </c>
      <c r="K685" s="321">
        <f t="shared" si="49"/>
        <v>5.8561095873027769E-2</v>
      </c>
    </row>
    <row r="686" spans="1:11" x14ac:dyDescent="0.2">
      <c r="A686" s="320">
        <v>585</v>
      </c>
      <c r="B686" s="174">
        <v>23</v>
      </c>
      <c r="C686" s="174">
        <v>24</v>
      </c>
      <c r="D686" s="174">
        <v>68</v>
      </c>
      <c r="E686" s="174">
        <v>57</v>
      </c>
      <c r="F686" s="174">
        <v>3</v>
      </c>
      <c r="G686" s="68">
        <f t="shared" si="45"/>
        <v>0.97949250976903124</v>
      </c>
      <c r="H686" s="68">
        <f t="shared" si="46"/>
        <v>0.80727483345539119</v>
      </c>
      <c r="I686" s="68">
        <f t="shared" si="47"/>
        <v>0.8989674966325496</v>
      </c>
      <c r="J686" s="232">
        <f t="shared" si="48"/>
        <v>9.1020409834224644E-2</v>
      </c>
      <c r="K686" s="321">
        <f t="shared" si="49"/>
        <v>4.9490221817522877E-2</v>
      </c>
    </row>
    <row r="687" spans="1:11" x14ac:dyDescent="0.2">
      <c r="A687" s="320">
        <v>586</v>
      </c>
      <c r="B687" s="174">
        <v>61</v>
      </c>
      <c r="C687" s="174">
        <v>63</v>
      </c>
      <c r="D687" s="174">
        <v>1</v>
      </c>
      <c r="E687" s="174">
        <v>53</v>
      </c>
      <c r="F687" s="174">
        <v>72</v>
      </c>
      <c r="G687" s="68">
        <f t="shared" si="45"/>
        <v>0.21975748906462655</v>
      </c>
      <c r="H687" s="68">
        <f t="shared" si="46"/>
        <v>0.23665134115086883</v>
      </c>
      <c r="I687" s="68">
        <f t="shared" si="47"/>
        <v>0.25326915556284679</v>
      </c>
      <c r="J687" s="232">
        <f t="shared" si="48"/>
        <v>-1.3755135743382963E-2</v>
      </c>
      <c r="K687" s="321">
        <f t="shared" si="49"/>
        <v>1.3348266480627565E-2</v>
      </c>
    </row>
    <row r="688" spans="1:11" x14ac:dyDescent="0.2">
      <c r="A688" s="320">
        <v>587</v>
      </c>
      <c r="B688" s="174">
        <v>40</v>
      </c>
      <c r="C688" s="174">
        <v>60</v>
      </c>
      <c r="D688" s="174">
        <v>75</v>
      </c>
      <c r="E688" s="174">
        <v>70</v>
      </c>
      <c r="F688" s="174">
        <v>57</v>
      </c>
      <c r="G688" s="68">
        <f t="shared" si="45"/>
        <v>0.86332851122136645</v>
      </c>
      <c r="H688" s="68">
        <f t="shared" si="46"/>
        <v>0.82699009362578502</v>
      </c>
      <c r="I688" s="68">
        <f t="shared" si="47"/>
        <v>0.95654735389314838</v>
      </c>
      <c r="J688" s="232">
        <f t="shared" si="48"/>
        <v>1.9694555426978996E-2</v>
      </c>
      <c r="K688" s="321">
        <f t="shared" si="49"/>
        <v>6.8511510572241682E-2</v>
      </c>
    </row>
    <row r="689" spans="1:11" x14ac:dyDescent="0.2">
      <c r="A689" s="320">
        <v>588</v>
      </c>
      <c r="B689" s="174">
        <v>70</v>
      </c>
      <c r="C689" s="174">
        <v>53</v>
      </c>
      <c r="D689" s="174">
        <v>20</v>
      </c>
      <c r="E689" s="174">
        <v>57</v>
      </c>
      <c r="F689" s="174">
        <v>24</v>
      </c>
      <c r="G689" s="68">
        <f t="shared" si="45"/>
        <v>0.4290468069871014</v>
      </c>
      <c r="H689" s="68">
        <f t="shared" si="46"/>
        <v>0.4204433066854576</v>
      </c>
      <c r="I689" s="68">
        <f t="shared" si="47"/>
        <v>0.43214776591639903</v>
      </c>
      <c r="J689" s="232">
        <f t="shared" si="48"/>
        <v>6.0386427763906587E-3</v>
      </c>
      <c r="K689" s="321">
        <f t="shared" si="49"/>
        <v>8.2062410046374514E-3</v>
      </c>
    </row>
    <row r="690" spans="1:11" x14ac:dyDescent="0.2">
      <c r="A690" s="320">
        <v>589</v>
      </c>
      <c r="B690" s="174">
        <v>21</v>
      </c>
      <c r="C690" s="174">
        <v>4</v>
      </c>
      <c r="D690" s="174">
        <v>41</v>
      </c>
      <c r="E690" s="174">
        <v>44</v>
      </c>
      <c r="F690" s="174">
        <v>7</v>
      </c>
      <c r="G690" s="68">
        <f t="shared" si="45"/>
        <v>0.11666343658642675</v>
      </c>
      <c r="H690" s="68">
        <f t="shared" si="46"/>
        <v>0.14689212220078529</v>
      </c>
      <c r="I690" s="68">
        <f t="shared" si="47"/>
        <v>0.12915666439513385</v>
      </c>
      <c r="J690" s="232">
        <f t="shared" si="48"/>
        <v>-2.6710617033220148E-2</v>
      </c>
      <c r="K690" s="321">
        <f t="shared" si="49"/>
        <v>-1.5584742190505981E-2</v>
      </c>
    </row>
    <row r="691" spans="1:11" x14ac:dyDescent="0.2">
      <c r="A691" s="320">
        <v>590</v>
      </c>
      <c r="B691" s="174">
        <v>31</v>
      </c>
      <c r="C691" s="174">
        <v>11</v>
      </c>
      <c r="D691" s="174">
        <v>53</v>
      </c>
      <c r="E691" s="174">
        <v>51</v>
      </c>
      <c r="F691" s="174">
        <v>43</v>
      </c>
      <c r="G691" s="68">
        <f t="shared" si="45"/>
        <v>0.25140486281660102</v>
      </c>
      <c r="H691" s="68">
        <f t="shared" si="46"/>
        <v>0.27341982268780685</v>
      </c>
      <c r="I691" s="68">
        <f t="shared" si="47"/>
        <v>0.26502736960814466</v>
      </c>
      <c r="J691" s="232">
        <f t="shared" si="48"/>
        <v>-1.7439244744836522E-2</v>
      </c>
      <c r="K691" s="321">
        <f t="shared" si="49"/>
        <v>-6.6122972211872339E-3</v>
      </c>
    </row>
    <row r="692" spans="1:11" x14ac:dyDescent="0.2">
      <c r="A692" s="320">
        <v>591</v>
      </c>
      <c r="B692" s="174">
        <v>58</v>
      </c>
      <c r="C692" s="174">
        <v>15</v>
      </c>
      <c r="D692" s="174">
        <v>76</v>
      </c>
      <c r="E692" s="174">
        <v>24</v>
      </c>
      <c r="F692" s="174">
        <v>65</v>
      </c>
      <c r="G692" s="68">
        <f t="shared" si="45"/>
        <v>0.49789547167497572</v>
      </c>
      <c r="H692" s="68">
        <f t="shared" si="46"/>
        <v>0.4598529161195406</v>
      </c>
      <c r="I692" s="68">
        <f t="shared" si="47"/>
        <v>0.51967145781859836</v>
      </c>
      <c r="J692" s="232">
        <f t="shared" si="48"/>
        <v>2.5725415810741035E-2</v>
      </c>
      <c r="K692" s="321">
        <f t="shared" si="49"/>
        <v>4.0158477061745912E-2</v>
      </c>
    </row>
    <row r="693" spans="1:11" x14ac:dyDescent="0.2">
      <c r="A693" s="320">
        <v>592</v>
      </c>
      <c r="B693" s="174">
        <v>5</v>
      </c>
      <c r="C693" s="174">
        <v>5</v>
      </c>
      <c r="D693" s="174">
        <v>53</v>
      </c>
      <c r="E693" s="174">
        <v>16</v>
      </c>
      <c r="F693" s="174">
        <v>24</v>
      </c>
      <c r="G693" s="68">
        <f t="shared" si="45"/>
        <v>-4.0583610336976106E-2</v>
      </c>
      <c r="H693" s="68">
        <f t="shared" si="46"/>
        <v>7.7101008680540151E-3</v>
      </c>
      <c r="I693" s="68">
        <f t="shared" si="47"/>
        <v>-3.0458988798420017E-2</v>
      </c>
      <c r="J693" s="232">
        <f t="shared" si="48"/>
        <v>-4.9110636757071134E-2</v>
      </c>
      <c r="K693" s="321">
        <f t="shared" si="49"/>
        <v>-3.8613033739666527E-2</v>
      </c>
    </row>
    <row r="694" spans="1:11" x14ac:dyDescent="0.2">
      <c r="A694" s="320">
        <v>593</v>
      </c>
      <c r="B694" s="174">
        <v>64</v>
      </c>
      <c r="C694" s="174">
        <v>55</v>
      </c>
      <c r="D694" s="174">
        <v>20</v>
      </c>
      <c r="E694" s="174">
        <v>9</v>
      </c>
      <c r="F694" s="174">
        <v>9</v>
      </c>
      <c r="G694" s="68">
        <f t="shared" si="45"/>
        <v>-0.41248351480290846</v>
      </c>
      <c r="H694" s="68">
        <f t="shared" si="46"/>
        <v>-0.35619129355087331</v>
      </c>
      <c r="I694" s="68">
        <f t="shared" si="47"/>
        <v>-0.41772864661013598</v>
      </c>
      <c r="J694" s="232">
        <f t="shared" si="48"/>
        <v>-9.1497336769476856E-2</v>
      </c>
      <c r="K694" s="321">
        <f t="shared" si="49"/>
        <v>-0.1004650602921795</v>
      </c>
    </row>
    <row r="695" spans="1:11" x14ac:dyDescent="0.2">
      <c r="A695" s="320">
        <v>594</v>
      </c>
      <c r="B695" s="174">
        <v>61</v>
      </c>
      <c r="C695" s="174">
        <v>65</v>
      </c>
      <c r="D695" s="174">
        <v>27</v>
      </c>
      <c r="E695" s="174">
        <v>8</v>
      </c>
      <c r="F695" s="174">
        <v>68</v>
      </c>
      <c r="G695" s="68">
        <f t="shared" si="45"/>
        <v>0.17034001955743316</v>
      </c>
      <c r="H695" s="68">
        <f t="shared" si="46"/>
        <v>0.19931481895762881</v>
      </c>
      <c r="I695" s="68">
        <f t="shared" si="47"/>
        <v>0.18077982010353844</v>
      </c>
      <c r="J695" s="232">
        <f t="shared" si="48"/>
        <v>-2.4456087922764609E-2</v>
      </c>
      <c r="K695" s="321">
        <f t="shared" si="49"/>
        <v>-1.5575324821102403E-2</v>
      </c>
    </row>
    <row r="696" spans="1:11" x14ac:dyDescent="0.2">
      <c r="A696" s="320">
        <v>595</v>
      </c>
      <c r="B696" s="174">
        <v>30</v>
      </c>
      <c r="C696" s="174">
        <v>36</v>
      </c>
      <c r="D696" s="174">
        <v>23</v>
      </c>
      <c r="E696" s="174">
        <v>14</v>
      </c>
      <c r="F696" s="174">
        <v>56</v>
      </c>
      <c r="G696" s="68">
        <f t="shared" si="45"/>
        <v>0.54799784877252788</v>
      </c>
      <c r="H696" s="68">
        <f t="shared" si="46"/>
        <v>0.48750774199350655</v>
      </c>
      <c r="I696" s="68">
        <f t="shared" si="47"/>
        <v>0.50938405065539705</v>
      </c>
      <c r="J696" s="232">
        <f t="shared" si="48"/>
        <v>3.9860322359119939E-2</v>
      </c>
      <c r="K696" s="321">
        <f t="shared" si="49"/>
        <v>1.4599591008633171E-2</v>
      </c>
    </row>
    <row r="697" spans="1:11" x14ac:dyDescent="0.2">
      <c r="A697" s="320">
        <v>596</v>
      </c>
      <c r="B697" s="174">
        <v>47</v>
      </c>
      <c r="C697" s="174">
        <v>15</v>
      </c>
      <c r="D697" s="174">
        <v>51</v>
      </c>
      <c r="E697" s="174">
        <v>6</v>
      </c>
      <c r="F697" s="174">
        <v>22</v>
      </c>
      <c r="G697" s="68">
        <f t="shared" si="45"/>
        <v>0.16790346823122637</v>
      </c>
      <c r="H697" s="68">
        <f t="shared" si="46"/>
        <v>0.16681262589386936</v>
      </c>
      <c r="I697" s="68">
        <f t="shared" si="47"/>
        <v>0.14562921483173219</v>
      </c>
      <c r="J697" s="232">
        <f t="shared" si="48"/>
        <v>9.3445401732499792E-4</v>
      </c>
      <c r="K697" s="321">
        <f t="shared" si="49"/>
        <v>-1.8321761238358734E-2</v>
      </c>
    </row>
    <row r="698" spans="1:11" x14ac:dyDescent="0.2">
      <c r="A698" s="320">
        <v>597</v>
      </c>
      <c r="B698" s="174">
        <v>57</v>
      </c>
      <c r="C698" s="174">
        <v>68</v>
      </c>
      <c r="D698" s="174">
        <v>23</v>
      </c>
      <c r="E698" s="174">
        <v>16</v>
      </c>
      <c r="F698" s="174">
        <v>14</v>
      </c>
      <c r="G698" s="68">
        <f t="shared" si="45"/>
        <v>0.76164186529736555</v>
      </c>
      <c r="H698" s="68">
        <f t="shared" si="46"/>
        <v>0.63807665157616067</v>
      </c>
      <c r="I698" s="68">
        <f t="shared" si="47"/>
        <v>0.69040289973454327</v>
      </c>
      <c r="J698" s="232">
        <f t="shared" si="48"/>
        <v>7.2723472029634612E-2</v>
      </c>
      <c r="K698" s="321">
        <f t="shared" si="49"/>
        <v>3.1444122561451265E-2</v>
      </c>
    </row>
    <row r="699" spans="1:11" x14ac:dyDescent="0.2">
      <c r="A699" s="320">
        <v>598</v>
      </c>
      <c r="B699" s="174">
        <v>69</v>
      </c>
      <c r="C699" s="174">
        <v>54</v>
      </c>
      <c r="D699" s="174">
        <v>23</v>
      </c>
      <c r="E699" s="174">
        <v>28</v>
      </c>
      <c r="F699" s="174">
        <v>32</v>
      </c>
      <c r="G699" s="68">
        <f t="shared" si="45"/>
        <v>0.69694420826755299</v>
      </c>
      <c r="H699" s="68">
        <f t="shared" si="46"/>
        <v>0.70229774829399938</v>
      </c>
      <c r="I699" s="68">
        <f t="shared" si="47"/>
        <v>0.75791616163784403</v>
      </c>
      <c r="J699" s="232">
        <f t="shared" si="48"/>
        <v>-3.1498460663487503E-3</v>
      </c>
      <c r="K699" s="321">
        <f t="shared" si="49"/>
        <v>3.2150153405833902E-2</v>
      </c>
    </row>
    <row r="700" spans="1:11" x14ac:dyDescent="0.2">
      <c r="A700" s="320">
        <v>599</v>
      </c>
      <c r="B700" s="174">
        <v>2</v>
      </c>
      <c r="C700" s="174">
        <v>72</v>
      </c>
      <c r="D700" s="174">
        <v>21</v>
      </c>
      <c r="E700" s="174">
        <v>10</v>
      </c>
      <c r="F700" s="174">
        <v>34</v>
      </c>
      <c r="G700" s="68">
        <f t="shared" si="45"/>
        <v>0.33196469779909132</v>
      </c>
      <c r="H700" s="68">
        <f t="shared" si="46"/>
        <v>0.36488132091888681</v>
      </c>
      <c r="I700" s="68">
        <f t="shared" si="47"/>
        <v>0.36455513063506917</v>
      </c>
      <c r="J700" s="232">
        <f t="shared" si="48"/>
        <v>-2.4412411862125977E-2</v>
      </c>
      <c r="K700" s="321">
        <f t="shared" si="49"/>
        <v>-2.3901658174520145E-4</v>
      </c>
    </row>
    <row r="701" spans="1:11" x14ac:dyDescent="0.2">
      <c r="A701" s="320">
        <v>600</v>
      </c>
      <c r="B701" s="174">
        <v>11</v>
      </c>
      <c r="C701" s="174">
        <v>40</v>
      </c>
      <c r="D701" s="174">
        <v>35</v>
      </c>
      <c r="E701" s="174">
        <v>34</v>
      </c>
      <c r="F701" s="174">
        <v>16</v>
      </c>
      <c r="G701" s="68">
        <f t="shared" si="45"/>
        <v>0.38351177930603297</v>
      </c>
      <c r="H701" s="68">
        <f t="shared" si="46"/>
        <v>0.37547565801952065</v>
      </c>
      <c r="I701" s="68">
        <f t="shared" si="47"/>
        <v>0.38780175087850921</v>
      </c>
      <c r="J701" s="232">
        <f t="shared" si="48"/>
        <v>5.8254299412071713E-3</v>
      </c>
      <c r="K701" s="321">
        <f t="shared" si="49"/>
        <v>8.9214167015740573E-3</v>
      </c>
    </row>
    <row r="702" spans="1:11" x14ac:dyDescent="0.2">
      <c r="A702" s="320">
        <v>601</v>
      </c>
      <c r="B702" s="174">
        <v>4</v>
      </c>
      <c r="C702" s="174">
        <v>11</v>
      </c>
      <c r="D702" s="174">
        <v>60</v>
      </c>
      <c r="E702" s="174">
        <v>15</v>
      </c>
      <c r="F702" s="174">
        <v>68</v>
      </c>
      <c r="G702" s="68">
        <f t="shared" si="45"/>
        <v>0.41082718672875229</v>
      </c>
      <c r="H702" s="68">
        <f t="shared" si="46"/>
        <v>0.39808118230961331</v>
      </c>
      <c r="I702" s="68">
        <f t="shared" si="47"/>
        <v>0.40038199464715873</v>
      </c>
      <c r="J702" s="232">
        <f t="shared" si="48"/>
        <v>9.0754771812027301E-3</v>
      </c>
      <c r="K702" s="321">
        <f t="shared" si="49"/>
        <v>1.6443402757004499E-3</v>
      </c>
    </row>
    <row r="703" spans="1:11" x14ac:dyDescent="0.2">
      <c r="A703" s="320">
        <v>602</v>
      </c>
      <c r="B703" s="174">
        <v>77</v>
      </c>
      <c r="C703" s="174">
        <v>22</v>
      </c>
      <c r="D703" s="174">
        <v>74</v>
      </c>
      <c r="E703" s="174">
        <v>74</v>
      </c>
      <c r="F703" s="174">
        <v>38</v>
      </c>
      <c r="G703" s="68">
        <f t="shared" si="45"/>
        <v>0.40150702263165461</v>
      </c>
      <c r="H703" s="68">
        <f t="shared" si="46"/>
        <v>0.36350779693394797</v>
      </c>
      <c r="I703" s="68">
        <f t="shared" si="47"/>
        <v>0.3808961034209033</v>
      </c>
      <c r="J703" s="232">
        <f t="shared" si="48"/>
        <v>2.748746079635796E-2</v>
      </c>
      <c r="K703" s="321">
        <f t="shared" si="49"/>
        <v>1.2671997126878729E-2</v>
      </c>
    </row>
    <row r="704" spans="1:11" x14ac:dyDescent="0.2">
      <c r="A704" s="320">
        <v>603</v>
      </c>
      <c r="B704" s="174">
        <v>45</v>
      </c>
      <c r="C704" s="174">
        <v>74</v>
      </c>
      <c r="D704" s="174">
        <v>67</v>
      </c>
      <c r="E704" s="174">
        <v>39</v>
      </c>
      <c r="F704" s="174">
        <v>13</v>
      </c>
      <c r="G704" s="68">
        <f t="shared" si="45"/>
        <v>0.70434337154111115</v>
      </c>
      <c r="H704" s="68">
        <f t="shared" si="46"/>
        <v>0.606038520136847</v>
      </c>
      <c r="I704" s="68">
        <f t="shared" si="47"/>
        <v>0.66725136772959237</v>
      </c>
      <c r="J704" s="232">
        <f t="shared" si="48"/>
        <v>5.9409316849077992E-2</v>
      </c>
      <c r="K704" s="321">
        <f t="shared" si="49"/>
        <v>3.7405782502394104E-2</v>
      </c>
    </row>
    <row r="705" spans="1:11" x14ac:dyDescent="0.2">
      <c r="A705" s="320">
        <v>604</v>
      </c>
      <c r="B705" s="174">
        <v>41</v>
      </c>
      <c r="C705" s="174">
        <v>60</v>
      </c>
      <c r="D705" s="174">
        <v>18</v>
      </c>
      <c r="E705" s="174">
        <v>52</v>
      </c>
      <c r="F705" s="174">
        <v>14</v>
      </c>
      <c r="G705" s="68">
        <f t="shared" si="45"/>
        <v>0.86128053245441349</v>
      </c>
      <c r="H705" s="68">
        <f t="shared" si="46"/>
        <v>0.7703568898036357</v>
      </c>
      <c r="I705" s="68">
        <f t="shared" si="47"/>
        <v>0.83763926395857857</v>
      </c>
      <c r="J705" s="232">
        <f t="shared" si="48"/>
        <v>5.00835502372005E-2</v>
      </c>
      <c r="K705" s="321">
        <f t="shared" si="49"/>
        <v>3.7300580224348193E-2</v>
      </c>
    </row>
    <row r="706" spans="1:11" x14ac:dyDescent="0.2">
      <c r="A706" s="320">
        <v>605</v>
      </c>
      <c r="B706" s="174">
        <v>23</v>
      </c>
      <c r="C706" s="174">
        <v>15</v>
      </c>
      <c r="D706" s="174">
        <v>59</v>
      </c>
      <c r="E706" s="174">
        <v>63</v>
      </c>
      <c r="F706" s="174">
        <v>44</v>
      </c>
      <c r="G706" s="68">
        <f t="shared" si="45"/>
        <v>0.38491657588371098</v>
      </c>
      <c r="H706" s="68">
        <f t="shared" si="46"/>
        <v>0.34947457052675479</v>
      </c>
      <c r="I706" s="68">
        <f t="shared" si="47"/>
        <v>0.39464990331433691</v>
      </c>
      <c r="J706" s="232">
        <f t="shared" si="48"/>
        <v>2.5924594133769348E-2</v>
      </c>
      <c r="K706" s="321">
        <f t="shared" si="49"/>
        <v>3.2928108737774894E-2</v>
      </c>
    </row>
    <row r="707" spans="1:11" x14ac:dyDescent="0.2">
      <c r="A707" s="320">
        <v>606</v>
      </c>
      <c r="B707" s="174">
        <v>76</v>
      </c>
      <c r="C707" s="174">
        <v>30</v>
      </c>
      <c r="D707" s="174">
        <v>64</v>
      </c>
      <c r="E707" s="174">
        <v>45</v>
      </c>
      <c r="F707" s="174">
        <v>67</v>
      </c>
      <c r="G707" s="68">
        <f t="shared" si="45"/>
        <v>0.2770742959093877</v>
      </c>
      <c r="H707" s="68">
        <f t="shared" si="46"/>
        <v>0.27988880161380636</v>
      </c>
      <c r="I707" s="68">
        <f t="shared" si="47"/>
        <v>0.32442210008847483</v>
      </c>
      <c r="J707" s="232">
        <f t="shared" si="48"/>
        <v>-2.2014450218859785E-3</v>
      </c>
      <c r="K707" s="321">
        <f t="shared" si="49"/>
        <v>3.4203013001534013E-2</v>
      </c>
    </row>
    <row r="708" spans="1:11" x14ac:dyDescent="0.2">
      <c r="A708" s="320">
        <v>607</v>
      </c>
      <c r="B708" s="174">
        <v>8</v>
      </c>
      <c r="C708" s="174">
        <v>40</v>
      </c>
      <c r="D708" s="174">
        <v>63</v>
      </c>
      <c r="E708" s="174">
        <v>45</v>
      </c>
      <c r="F708" s="174">
        <v>74</v>
      </c>
      <c r="G708" s="68">
        <f t="shared" si="45"/>
        <v>-8.1340190352769293E-2</v>
      </c>
      <c r="H708" s="68">
        <f t="shared" si="46"/>
        <v>-4.6329984087196019E-2</v>
      </c>
      <c r="I708" s="68">
        <f t="shared" si="47"/>
        <v>-6.5344103039046919E-2</v>
      </c>
      <c r="J708" s="232">
        <f t="shared" si="48"/>
        <v>-3.7401837005070125E-2</v>
      </c>
      <c r="K708" s="321">
        <f t="shared" si="49"/>
        <v>-2.0139279432814922E-2</v>
      </c>
    </row>
    <row r="709" spans="1:11" x14ac:dyDescent="0.2">
      <c r="A709" s="320">
        <v>608</v>
      </c>
      <c r="B709" s="174">
        <v>34</v>
      </c>
      <c r="C709" s="174">
        <v>60</v>
      </c>
      <c r="D709" s="174">
        <v>63</v>
      </c>
      <c r="E709" s="174">
        <v>8</v>
      </c>
      <c r="F709" s="174">
        <v>28</v>
      </c>
      <c r="G709" s="68">
        <f t="shared" si="45"/>
        <v>0.17781559278618198</v>
      </c>
      <c r="H709" s="68">
        <f t="shared" si="46"/>
        <v>0.25297115640692258</v>
      </c>
      <c r="I709" s="68">
        <f t="shared" si="47"/>
        <v>0.25885697383754036</v>
      </c>
      <c r="J709" s="232">
        <f t="shared" si="48"/>
        <v>-6.1856125672631171E-2</v>
      </c>
      <c r="K709" s="321">
        <f t="shared" si="49"/>
        <v>4.6864895988317449E-3</v>
      </c>
    </row>
    <row r="710" spans="1:11" x14ac:dyDescent="0.2">
      <c r="A710" s="320">
        <v>609</v>
      </c>
      <c r="B710" s="174">
        <v>47</v>
      </c>
      <c r="C710" s="174">
        <v>53</v>
      </c>
      <c r="D710" s="174">
        <v>56</v>
      </c>
      <c r="E710" s="174">
        <v>19</v>
      </c>
      <c r="F710" s="174">
        <v>41</v>
      </c>
      <c r="G710" s="68">
        <f t="shared" si="45"/>
        <v>0.19374982520728867</v>
      </c>
      <c r="H710" s="68">
        <f t="shared" si="46"/>
        <v>0.22313400190816846</v>
      </c>
      <c r="I710" s="68">
        <f t="shared" si="47"/>
        <v>0.21679711026571225</v>
      </c>
      <c r="J710" s="232">
        <f t="shared" si="48"/>
        <v>-2.4316952512947149E-2</v>
      </c>
      <c r="K710" s="321">
        <f t="shared" si="49"/>
        <v>-5.1943318062126816E-3</v>
      </c>
    </row>
    <row r="711" spans="1:11" x14ac:dyDescent="0.2">
      <c r="A711" s="320">
        <v>610</v>
      </c>
      <c r="B711" s="174">
        <v>73</v>
      </c>
      <c r="C711" s="174">
        <v>70</v>
      </c>
      <c r="D711" s="174">
        <v>54</v>
      </c>
      <c r="E711" s="174">
        <v>52</v>
      </c>
      <c r="F711" s="174">
        <v>68</v>
      </c>
      <c r="G711" s="68">
        <f t="shared" si="45"/>
        <v>0.52591953496889388</v>
      </c>
      <c r="H711" s="68">
        <f t="shared" si="46"/>
        <v>0.52861678467814177</v>
      </c>
      <c r="I711" s="68">
        <f t="shared" si="47"/>
        <v>0.58277150415105905</v>
      </c>
      <c r="J711" s="232">
        <f t="shared" si="48"/>
        <v>-1.7660620978402011E-3</v>
      </c>
      <c r="K711" s="321">
        <f t="shared" si="49"/>
        <v>3.4814162732791511E-2</v>
      </c>
    </row>
    <row r="712" spans="1:11" x14ac:dyDescent="0.2">
      <c r="A712" s="320">
        <v>611</v>
      </c>
      <c r="B712" s="174">
        <v>3</v>
      </c>
      <c r="C712" s="174">
        <v>32</v>
      </c>
      <c r="D712" s="174">
        <v>57</v>
      </c>
      <c r="E712" s="174">
        <v>16</v>
      </c>
      <c r="F712" s="174">
        <v>37</v>
      </c>
      <c r="G712" s="68">
        <f t="shared" si="45"/>
        <v>0.53169712481457232</v>
      </c>
      <c r="H712" s="68">
        <f t="shared" si="46"/>
        <v>0.42793732446912935</v>
      </c>
      <c r="I712" s="68">
        <f t="shared" si="47"/>
        <v>0.4431955710921569</v>
      </c>
      <c r="J712" s="232">
        <f t="shared" si="48"/>
        <v>7.0145380039737831E-2</v>
      </c>
      <c r="K712" s="321">
        <f t="shared" si="49"/>
        <v>1.0628828984247298E-2</v>
      </c>
    </row>
    <row r="713" spans="1:11" x14ac:dyDescent="0.2">
      <c r="A713" s="320">
        <v>612</v>
      </c>
      <c r="B713" s="174">
        <v>58</v>
      </c>
      <c r="C713" s="174">
        <v>30</v>
      </c>
      <c r="D713" s="174">
        <v>20</v>
      </c>
      <c r="E713" s="174">
        <v>10</v>
      </c>
      <c r="F713" s="174">
        <v>24</v>
      </c>
      <c r="G713" s="68">
        <f t="shared" si="45"/>
        <v>0.33512018560478629</v>
      </c>
      <c r="H713" s="68">
        <f t="shared" si="46"/>
        <v>0.34791845013250544</v>
      </c>
      <c r="I713" s="68">
        <f t="shared" si="47"/>
        <v>0.335650185805632</v>
      </c>
      <c r="J713" s="232">
        <f t="shared" si="48"/>
        <v>-9.5401992554515203E-3</v>
      </c>
      <c r="K713" s="321">
        <f t="shared" si="49"/>
        <v>-9.143309868421946E-3</v>
      </c>
    </row>
    <row r="714" spans="1:11" x14ac:dyDescent="0.2">
      <c r="A714" s="320">
        <v>613</v>
      </c>
      <c r="B714" s="174">
        <v>48</v>
      </c>
      <c r="C714" s="174">
        <v>38</v>
      </c>
      <c r="D714" s="174">
        <v>65</v>
      </c>
      <c r="E714" s="174">
        <v>75</v>
      </c>
      <c r="F714" s="174">
        <v>74</v>
      </c>
      <c r="G714" s="68">
        <f t="shared" si="45"/>
        <v>0.28433666494539556</v>
      </c>
      <c r="H714" s="68">
        <f t="shared" si="46"/>
        <v>0.25848802580321872</v>
      </c>
      <c r="I714" s="68">
        <f t="shared" si="47"/>
        <v>0.27875785027222189</v>
      </c>
      <c r="J714" s="232">
        <f t="shared" si="48"/>
        <v>2.0331350122347051E-2</v>
      </c>
      <c r="K714" s="321">
        <f t="shared" si="49"/>
        <v>1.597815639494931E-2</v>
      </c>
    </row>
    <row r="715" spans="1:11" x14ac:dyDescent="0.2">
      <c r="A715" s="320">
        <v>614</v>
      </c>
      <c r="B715" s="174">
        <v>67</v>
      </c>
      <c r="C715" s="174">
        <v>34</v>
      </c>
      <c r="D715" s="174">
        <v>32</v>
      </c>
      <c r="E715" s="174">
        <v>23</v>
      </c>
      <c r="F715" s="174">
        <v>37</v>
      </c>
      <c r="G715" s="68">
        <f t="shared" si="45"/>
        <v>0.520014298879234</v>
      </c>
      <c r="H715" s="68">
        <f t="shared" si="46"/>
        <v>0.52262491282526691</v>
      </c>
      <c r="I715" s="68">
        <f t="shared" si="47"/>
        <v>0.5467815959089124</v>
      </c>
      <c r="J715" s="232">
        <f t="shared" si="48"/>
        <v>-1.7160198137317168E-3</v>
      </c>
      <c r="K715" s="321">
        <f t="shared" si="49"/>
        <v>1.5740620724041247E-2</v>
      </c>
    </row>
    <row r="716" spans="1:11" x14ac:dyDescent="0.2">
      <c r="A716" s="320">
        <v>615</v>
      </c>
      <c r="B716" s="174">
        <v>68</v>
      </c>
      <c r="C716" s="174">
        <v>18</v>
      </c>
      <c r="D716" s="174">
        <v>41</v>
      </c>
      <c r="E716" s="174">
        <v>26</v>
      </c>
      <c r="F716" s="174">
        <v>77</v>
      </c>
      <c r="G716" s="68">
        <f t="shared" si="45"/>
        <v>0.68769197734086007</v>
      </c>
      <c r="H716" s="68">
        <f t="shared" si="46"/>
        <v>0.61854105689296213</v>
      </c>
      <c r="I716" s="68">
        <f t="shared" si="47"/>
        <v>0.68735166851760754</v>
      </c>
      <c r="J716" s="232">
        <f t="shared" si="48"/>
        <v>4.1836740332313868E-2</v>
      </c>
      <c r="K716" s="321">
        <f t="shared" si="49"/>
        <v>4.1635078451690108E-2</v>
      </c>
    </row>
    <row r="717" spans="1:11" x14ac:dyDescent="0.2">
      <c r="A717" s="320">
        <v>616</v>
      </c>
      <c r="B717" s="174">
        <v>29</v>
      </c>
      <c r="C717" s="174">
        <v>77</v>
      </c>
      <c r="D717" s="174">
        <v>5</v>
      </c>
      <c r="E717" s="174">
        <v>73</v>
      </c>
      <c r="F717" s="174">
        <v>59</v>
      </c>
      <c r="G717" s="68">
        <f t="shared" si="45"/>
        <v>0.42333033690737354</v>
      </c>
      <c r="H717" s="68">
        <f t="shared" si="46"/>
        <v>0.45879383826943076</v>
      </c>
      <c r="I717" s="68">
        <f t="shared" si="47"/>
        <v>0.52647798971908855</v>
      </c>
      <c r="J717" s="232">
        <f t="shared" si="48"/>
        <v>-2.4610522755513321E-2</v>
      </c>
      <c r="K717" s="321">
        <f t="shared" si="49"/>
        <v>4.5353158191750488E-2</v>
      </c>
    </row>
    <row r="718" spans="1:11" x14ac:dyDescent="0.2">
      <c r="A718" s="320">
        <v>617</v>
      </c>
      <c r="B718" s="174">
        <v>60</v>
      </c>
      <c r="C718" s="174">
        <v>68</v>
      </c>
      <c r="D718" s="174">
        <v>7</v>
      </c>
      <c r="E718" s="174">
        <v>44</v>
      </c>
      <c r="F718" s="174">
        <v>7</v>
      </c>
      <c r="G718" s="68">
        <f t="shared" si="45"/>
        <v>6.8038894630805702E-2</v>
      </c>
      <c r="H718" s="68">
        <f t="shared" si="46"/>
        <v>0.14223692920254605</v>
      </c>
      <c r="I718" s="68">
        <f t="shared" si="47"/>
        <v>0.11133074299448475</v>
      </c>
      <c r="J718" s="232">
        <f t="shared" si="48"/>
        <v>-6.7164400300376542E-2</v>
      </c>
      <c r="K718" s="321">
        <f t="shared" si="49"/>
        <v>-2.7430393549911426E-2</v>
      </c>
    </row>
    <row r="719" spans="1:11" x14ac:dyDescent="0.2">
      <c r="A719" s="320">
        <v>618</v>
      </c>
      <c r="B719" s="174">
        <v>75</v>
      </c>
      <c r="C719" s="174">
        <v>12</v>
      </c>
      <c r="D719" s="174">
        <v>59</v>
      </c>
      <c r="E719" s="174">
        <v>20</v>
      </c>
      <c r="F719" s="174">
        <v>63</v>
      </c>
      <c r="G719" s="68">
        <f t="shared" si="45"/>
        <v>0.3805038291715197</v>
      </c>
      <c r="H719" s="68">
        <f t="shared" si="46"/>
        <v>0.3507164596171457</v>
      </c>
      <c r="I719" s="68">
        <f t="shared" si="47"/>
        <v>0.39383166833723848</v>
      </c>
      <c r="J719" s="232">
        <f t="shared" si="48"/>
        <v>2.1813363640543593E-2</v>
      </c>
      <c r="K719" s="321">
        <f t="shared" si="49"/>
        <v>3.1421388125342738E-2</v>
      </c>
    </row>
    <row r="720" spans="1:11" x14ac:dyDescent="0.2">
      <c r="A720" s="320">
        <v>619</v>
      </c>
      <c r="B720" s="174">
        <v>36</v>
      </c>
      <c r="C720" s="174">
        <v>25</v>
      </c>
      <c r="D720" s="174">
        <v>26</v>
      </c>
      <c r="E720" s="174">
        <v>40</v>
      </c>
      <c r="F720" s="174">
        <v>15</v>
      </c>
      <c r="G720" s="68">
        <f t="shared" si="45"/>
        <v>0.61774582401360401</v>
      </c>
      <c r="H720" s="68">
        <f t="shared" si="46"/>
        <v>0.54609821072963505</v>
      </c>
      <c r="I720" s="68">
        <f t="shared" si="47"/>
        <v>0.59363078649003342</v>
      </c>
      <c r="J720" s="232">
        <f t="shared" si="48"/>
        <v>4.5299239751412236E-2</v>
      </c>
      <c r="K720" s="321">
        <f t="shared" si="49"/>
        <v>3.0280452647288434E-2</v>
      </c>
    </row>
    <row r="721" spans="1:11" x14ac:dyDescent="0.2">
      <c r="A721" s="320">
        <v>620</v>
      </c>
      <c r="B721" s="174">
        <v>22</v>
      </c>
      <c r="C721" s="174">
        <v>13</v>
      </c>
      <c r="D721" s="174">
        <v>46</v>
      </c>
      <c r="E721" s="174">
        <v>61</v>
      </c>
      <c r="F721" s="174">
        <v>41</v>
      </c>
      <c r="G721" s="68">
        <f t="shared" si="45"/>
        <v>0.72087773750525574</v>
      </c>
      <c r="H721" s="68">
        <f t="shared" si="46"/>
        <v>0.632529533076442</v>
      </c>
      <c r="I721" s="68">
        <f t="shared" si="47"/>
        <v>0.69837465655237696</v>
      </c>
      <c r="J721" s="232">
        <f t="shared" si="48"/>
        <v>5.2703800453134754E-2</v>
      </c>
      <c r="K721" s="321">
        <f t="shared" si="49"/>
        <v>3.9541036630878247E-2</v>
      </c>
    </row>
    <row r="722" spans="1:11" x14ac:dyDescent="0.2">
      <c r="A722" s="320">
        <v>621</v>
      </c>
      <c r="B722" s="174">
        <v>48</v>
      </c>
      <c r="C722" s="174">
        <v>34</v>
      </c>
      <c r="D722" s="174">
        <v>58</v>
      </c>
      <c r="E722" s="174">
        <v>23</v>
      </c>
      <c r="F722" s="174">
        <v>68</v>
      </c>
      <c r="G722" s="68">
        <f t="shared" si="45"/>
        <v>0.71528193416755892</v>
      </c>
      <c r="H722" s="68">
        <f t="shared" si="46"/>
        <v>0.70748662930181938</v>
      </c>
      <c r="I722" s="68">
        <f t="shared" si="47"/>
        <v>0.77936424042503316</v>
      </c>
      <c r="J722" s="232">
        <f t="shared" si="48"/>
        <v>4.5549783452514085E-3</v>
      </c>
      <c r="K722" s="321">
        <f t="shared" si="49"/>
        <v>4.1233650341456991E-2</v>
      </c>
    </row>
    <row r="723" spans="1:11" x14ac:dyDescent="0.2">
      <c r="A723" s="320">
        <v>622</v>
      </c>
      <c r="B723" s="174">
        <v>75</v>
      </c>
      <c r="C723" s="174">
        <v>75</v>
      </c>
      <c r="D723" s="174">
        <v>67</v>
      </c>
      <c r="E723" s="174">
        <v>63</v>
      </c>
      <c r="F723" s="174">
        <v>61</v>
      </c>
      <c r="G723" s="68">
        <f t="shared" si="45"/>
        <v>0.33850238871916605</v>
      </c>
      <c r="H723" s="68">
        <f t="shared" si="46"/>
        <v>0.36008273047013306</v>
      </c>
      <c r="I723" s="68">
        <f t="shared" si="47"/>
        <v>0.43511259851194417</v>
      </c>
      <c r="J723" s="232">
        <f t="shared" si="48"/>
        <v>-1.5994160525221124E-2</v>
      </c>
      <c r="K723" s="321">
        <f t="shared" si="49"/>
        <v>5.3697782869426128E-2</v>
      </c>
    </row>
    <row r="724" spans="1:11" x14ac:dyDescent="0.2">
      <c r="A724" s="320">
        <v>623</v>
      </c>
      <c r="B724" s="174">
        <v>49</v>
      </c>
      <c r="C724" s="174">
        <v>34</v>
      </c>
      <c r="D724" s="174">
        <v>67</v>
      </c>
      <c r="E724" s="174">
        <v>32</v>
      </c>
      <c r="F724" s="174">
        <v>9</v>
      </c>
      <c r="G724" s="68">
        <f t="shared" si="45"/>
        <v>0.29302622402687639</v>
      </c>
      <c r="H724" s="68">
        <f t="shared" si="46"/>
        <v>0.32816215062373777</v>
      </c>
      <c r="I724" s="68">
        <f t="shared" si="47"/>
        <v>0.32216518721574938</v>
      </c>
      <c r="J724" s="232">
        <f t="shared" si="48"/>
        <v>-2.6810763853079182E-2</v>
      </c>
      <c r="K724" s="321">
        <f t="shared" si="49"/>
        <v>-4.5254588420614002E-3</v>
      </c>
    </row>
    <row r="725" spans="1:11" x14ac:dyDescent="0.2">
      <c r="A725" s="320">
        <v>624</v>
      </c>
      <c r="B725" s="174">
        <v>70</v>
      </c>
      <c r="C725" s="174">
        <v>55</v>
      </c>
      <c r="D725" s="174">
        <v>41</v>
      </c>
      <c r="E725" s="174">
        <v>15</v>
      </c>
      <c r="F725" s="174">
        <v>67</v>
      </c>
      <c r="G725" s="68">
        <f t="shared" si="45"/>
        <v>0.33996007365695946</v>
      </c>
      <c r="H725" s="68">
        <f t="shared" si="46"/>
        <v>0.35769426910139157</v>
      </c>
      <c r="I725" s="68">
        <f t="shared" si="47"/>
        <v>0.37963575005657368</v>
      </c>
      <c r="J725" s="232">
        <f t="shared" si="48"/>
        <v>-1.314805284011147E-2</v>
      </c>
      <c r="K725" s="321">
        <f t="shared" si="49"/>
        <v>1.6031644513376266E-2</v>
      </c>
    </row>
    <row r="726" spans="1:11" x14ac:dyDescent="0.2">
      <c r="A726" s="320">
        <v>625</v>
      </c>
      <c r="B726" s="174">
        <v>62</v>
      </c>
      <c r="C726" s="174">
        <v>30</v>
      </c>
      <c r="D726" s="174">
        <v>73</v>
      </c>
      <c r="E726" s="174">
        <v>74</v>
      </c>
      <c r="F726" s="174">
        <v>43</v>
      </c>
      <c r="G726" s="68">
        <f t="shared" si="45"/>
        <v>0.32243909602209042</v>
      </c>
      <c r="H726" s="68">
        <f t="shared" si="46"/>
        <v>0.32835727613052157</v>
      </c>
      <c r="I726" s="68">
        <f t="shared" si="47"/>
        <v>0.38092786457079542</v>
      </c>
      <c r="J726" s="232">
        <f t="shared" si="48"/>
        <v>-4.4652165694316339E-3</v>
      </c>
      <c r="K726" s="321">
        <f t="shared" si="49"/>
        <v>3.8812590761516219E-2</v>
      </c>
    </row>
    <row r="727" spans="1:11" x14ac:dyDescent="0.2">
      <c r="A727" s="320">
        <v>626</v>
      </c>
      <c r="B727" s="174">
        <v>47</v>
      </c>
      <c r="C727" s="174">
        <v>36</v>
      </c>
      <c r="D727" s="174">
        <v>73</v>
      </c>
      <c r="E727" s="174">
        <v>68</v>
      </c>
      <c r="F727" s="174">
        <v>11</v>
      </c>
      <c r="G727" s="68">
        <f t="shared" si="45"/>
        <v>0.40711730645308886</v>
      </c>
      <c r="H727" s="68">
        <f t="shared" si="46"/>
        <v>0.38458655183518609</v>
      </c>
      <c r="I727" s="68">
        <f t="shared" si="47"/>
        <v>0.40631755871938702</v>
      </c>
      <c r="J727" s="232">
        <f t="shared" si="48"/>
        <v>1.6141571570007243E-2</v>
      </c>
      <c r="K727" s="321">
        <f t="shared" si="49"/>
        <v>1.5573051029409075E-2</v>
      </c>
    </row>
    <row r="728" spans="1:11" x14ac:dyDescent="0.2">
      <c r="A728" s="320">
        <v>627</v>
      </c>
      <c r="B728" s="174">
        <v>34</v>
      </c>
      <c r="C728" s="174">
        <v>77</v>
      </c>
      <c r="D728" s="174">
        <v>38</v>
      </c>
      <c r="E728" s="174">
        <v>11</v>
      </c>
      <c r="F728" s="174">
        <v>49</v>
      </c>
      <c r="G728" s="68">
        <f t="shared" si="45"/>
        <v>0.40293442732684759</v>
      </c>
      <c r="H728" s="68">
        <f t="shared" si="46"/>
        <v>0.35355652632185453</v>
      </c>
      <c r="I728" s="68">
        <f t="shared" si="47"/>
        <v>0.37569293106207557</v>
      </c>
      <c r="J728" s="232">
        <f t="shared" si="48"/>
        <v>3.5830470281090383E-2</v>
      </c>
      <c r="K728" s="321">
        <f t="shared" si="49"/>
        <v>1.6221961766726644E-2</v>
      </c>
    </row>
    <row r="729" spans="1:11" x14ac:dyDescent="0.2">
      <c r="A729" s="320">
        <v>628</v>
      </c>
      <c r="B729" s="174">
        <v>9</v>
      </c>
      <c r="C729" s="174">
        <v>19</v>
      </c>
      <c r="D729" s="174">
        <v>23</v>
      </c>
      <c r="E729" s="174">
        <v>37</v>
      </c>
      <c r="F729" s="174">
        <v>65</v>
      </c>
      <c r="G729" s="68">
        <f t="shared" si="45"/>
        <v>-0.12586847467578099</v>
      </c>
      <c r="H729" s="68">
        <f t="shared" si="46"/>
        <v>-0.10054229105724799</v>
      </c>
      <c r="I729" s="68">
        <f t="shared" si="47"/>
        <v>-0.15295835618806519</v>
      </c>
      <c r="J729" s="232">
        <f t="shared" si="48"/>
        <v>-2.8561185127041856E-2</v>
      </c>
      <c r="K729" s="321">
        <f t="shared" si="49"/>
        <v>-6.0042176410290513E-2</v>
      </c>
    </row>
    <row r="730" spans="1:11" x14ac:dyDescent="0.2">
      <c r="A730" s="320">
        <v>629</v>
      </c>
      <c r="B730" s="174">
        <v>31</v>
      </c>
      <c r="C730" s="174">
        <v>31</v>
      </c>
      <c r="D730" s="174">
        <v>63</v>
      </c>
      <c r="E730" s="174">
        <v>32</v>
      </c>
      <c r="F730" s="174">
        <v>9</v>
      </c>
      <c r="G730" s="68">
        <f t="shared" si="45"/>
        <v>4.848609233244261E-2</v>
      </c>
      <c r="H730" s="68">
        <f t="shared" si="46"/>
        <v>0.10120072225632404</v>
      </c>
      <c r="I730" s="68">
        <f t="shared" si="47"/>
        <v>8.2700144541581144E-2</v>
      </c>
      <c r="J730" s="232">
        <f t="shared" si="48"/>
        <v>-4.9053843242126735E-2</v>
      </c>
      <c r="K730" s="321">
        <f t="shared" si="49"/>
        <v>-1.6943095331500214E-2</v>
      </c>
    </row>
    <row r="731" spans="1:11" x14ac:dyDescent="0.2">
      <c r="A731" s="320">
        <v>630</v>
      </c>
      <c r="B731" s="174">
        <v>68</v>
      </c>
      <c r="C731" s="174">
        <v>42</v>
      </c>
      <c r="D731" s="174">
        <v>7</v>
      </c>
      <c r="E731" s="174">
        <v>4</v>
      </c>
      <c r="F731" s="174">
        <v>36</v>
      </c>
      <c r="G731" s="68">
        <f t="shared" si="45"/>
        <v>0.18231758467789438</v>
      </c>
      <c r="H731" s="68">
        <f t="shared" si="46"/>
        <v>0.21375610551902402</v>
      </c>
      <c r="I731" s="68">
        <f t="shared" si="47"/>
        <v>0.20343349445802228</v>
      </c>
      <c r="J731" s="232">
        <f t="shared" si="48"/>
        <v>-2.6243203849046631E-2</v>
      </c>
      <c r="K731" s="321">
        <f t="shared" si="49"/>
        <v>-8.541054300051457E-3</v>
      </c>
    </row>
    <row r="732" spans="1:11" x14ac:dyDescent="0.2">
      <c r="A732" s="320">
        <v>631</v>
      </c>
      <c r="B732" s="174">
        <v>19</v>
      </c>
      <c r="C732" s="174">
        <v>21</v>
      </c>
      <c r="D732" s="174">
        <v>48</v>
      </c>
      <c r="E732" s="174">
        <v>4</v>
      </c>
      <c r="F732" s="174">
        <v>28</v>
      </c>
      <c r="G732" s="68">
        <f t="shared" si="45"/>
        <v>0.2605286291098019</v>
      </c>
      <c r="H732" s="68">
        <f t="shared" si="46"/>
        <v>0.27712189426109313</v>
      </c>
      <c r="I732" s="68">
        <f t="shared" si="47"/>
        <v>0.26496506807119391</v>
      </c>
      <c r="J732" s="232">
        <f t="shared" si="48"/>
        <v>-1.3077846215145433E-2</v>
      </c>
      <c r="K732" s="321">
        <f t="shared" si="49"/>
        <v>-9.5645184806397148E-3</v>
      </c>
    </row>
    <row r="733" spans="1:11" x14ac:dyDescent="0.2">
      <c r="A733" s="320">
        <v>632</v>
      </c>
      <c r="B733" s="174">
        <v>5</v>
      </c>
      <c r="C733" s="174">
        <v>31</v>
      </c>
      <c r="D733" s="174">
        <v>70</v>
      </c>
      <c r="E733" s="174">
        <v>17</v>
      </c>
      <c r="F733" s="174">
        <v>4</v>
      </c>
      <c r="G733" s="68">
        <f t="shared" si="45"/>
        <v>0.22919859804002973</v>
      </c>
      <c r="H733" s="68">
        <f t="shared" si="46"/>
        <v>0.26055550140225203</v>
      </c>
      <c r="I733" s="68">
        <f t="shared" si="47"/>
        <v>0.2497043736491853</v>
      </c>
      <c r="J733" s="232">
        <f t="shared" si="48"/>
        <v>-2.51900872088449E-2</v>
      </c>
      <c r="K733" s="321">
        <f t="shared" si="49"/>
        <v>-8.6454756729469288E-3</v>
      </c>
    </row>
    <row r="734" spans="1:11" x14ac:dyDescent="0.2">
      <c r="A734" s="320">
        <v>633</v>
      </c>
      <c r="B734" s="174">
        <v>76</v>
      </c>
      <c r="C734" s="174">
        <v>13</v>
      </c>
      <c r="D734" s="174">
        <v>10</v>
      </c>
      <c r="E734" s="174">
        <v>66</v>
      </c>
      <c r="F734" s="174">
        <v>46</v>
      </c>
      <c r="G734" s="68">
        <f t="shared" si="45"/>
        <v>0.43835965072373595</v>
      </c>
      <c r="H734" s="68">
        <f t="shared" si="46"/>
        <v>0.38748485761208706</v>
      </c>
      <c r="I734" s="68">
        <f t="shared" si="47"/>
        <v>0.41811766006437767</v>
      </c>
      <c r="J734" s="232">
        <f t="shared" si="48"/>
        <v>3.601067969652632E-2</v>
      </c>
      <c r="K734" s="321">
        <f t="shared" si="49"/>
        <v>2.183774758940903E-2</v>
      </c>
    </row>
    <row r="735" spans="1:11" x14ac:dyDescent="0.2">
      <c r="A735" s="320">
        <v>634</v>
      </c>
      <c r="B735" s="174">
        <v>27</v>
      </c>
      <c r="C735" s="174">
        <v>30</v>
      </c>
      <c r="D735" s="174">
        <v>7</v>
      </c>
      <c r="E735" s="174">
        <v>13</v>
      </c>
      <c r="F735" s="174">
        <v>76</v>
      </c>
      <c r="G735" s="68">
        <f t="shared" si="45"/>
        <v>0.57102079045499776</v>
      </c>
      <c r="H735" s="68">
        <f t="shared" si="46"/>
        <v>0.52177671916895974</v>
      </c>
      <c r="I735" s="68">
        <f t="shared" si="47"/>
        <v>0.55946091121494024</v>
      </c>
      <c r="J735" s="232">
        <f t="shared" si="48"/>
        <v>3.1847046661337329E-2</v>
      </c>
      <c r="K735" s="321">
        <f t="shared" si="49"/>
        <v>2.4461645381084435E-2</v>
      </c>
    </row>
    <row r="736" spans="1:11" x14ac:dyDescent="0.2">
      <c r="A736" s="320">
        <v>635</v>
      </c>
      <c r="B736" s="174">
        <v>52</v>
      </c>
      <c r="C736" s="174">
        <v>69</v>
      </c>
      <c r="D736" s="174">
        <v>67</v>
      </c>
      <c r="E736" s="174">
        <v>24</v>
      </c>
      <c r="F736" s="174">
        <v>71</v>
      </c>
      <c r="G736" s="68">
        <f t="shared" si="45"/>
        <v>0.99790741853381504</v>
      </c>
      <c r="H736" s="68">
        <f t="shared" si="46"/>
        <v>0.92286853694169513</v>
      </c>
      <c r="I736" s="68">
        <f t="shared" si="47"/>
        <v>1.017142849814106</v>
      </c>
      <c r="J736" s="232">
        <f t="shared" si="48"/>
        <v>3.8282241337712949E-2</v>
      </c>
      <c r="K736" s="321">
        <f t="shared" si="49"/>
        <v>4.7863978631658199E-2</v>
      </c>
    </row>
    <row r="737" spans="1:11" x14ac:dyDescent="0.2">
      <c r="A737" s="320">
        <v>636</v>
      </c>
      <c r="B737" s="174">
        <v>53</v>
      </c>
      <c r="C737" s="174">
        <v>39</v>
      </c>
      <c r="D737" s="174">
        <v>11</v>
      </c>
      <c r="E737" s="174">
        <v>38</v>
      </c>
      <c r="F737" s="174">
        <v>66</v>
      </c>
      <c r="G737" s="68">
        <f t="shared" si="45"/>
        <v>0.19329561972695375</v>
      </c>
      <c r="H737" s="68">
        <f t="shared" si="46"/>
        <v>0.16599478273292378</v>
      </c>
      <c r="I737" s="68">
        <f t="shared" si="47"/>
        <v>0.1322698575645358</v>
      </c>
      <c r="J737" s="232">
        <f t="shared" si="48"/>
        <v>2.3144294246105857E-2</v>
      </c>
      <c r="K737" s="321">
        <f t="shared" si="49"/>
        <v>-2.9350271972953923E-2</v>
      </c>
    </row>
    <row r="738" spans="1:11" x14ac:dyDescent="0.2">
      <c r="A738" s="320">
        <v>637</v>
      </c>
      <c r="B738" s="174">
        <v>21</v>
      </c>
      <c r="C738" s="174">
        <v>22</v>
      </c>
      <c r="D738" s="174">
        <v>36</v>
      </c>
      <c r="E738" s="174">
        <v>48</v>
      </c>
      <c r="F738" s="174">
        <v>17</v>
      </c>
      <c r="G738" s="68">
        <f t="shared" si="45"/>
        <v>0.14995947391777298</v>
      </c>
      <c r="H738" s="68">
        <f t="shared" si="46"/>
        <v>0.14981608842976057</v>
      </c>
      <c r="I738" s="68">
        <f t="shared" si="47"/>
        <v>0.11226430840170876</v>
      </c>
      <c r="J738" s="232">
        <f t="shared" si="48"/>
        <v>1.2469520117149572E-4</v>
      </c>
      <c r="K738" s="321">
        <f t="shared" si="49"/>
        <v>-3.3204151484717795E-2</v>
      </c>
    </row>
    <row r="739" spans="1:11" x14ac:dyDescent="0.2">
      <c r="A739" s="320">
        <v>638</v>
      </c>
      <c r="B739" s="174">
        <v>55</v>
      </c>
      <c r="C739" s="174">
        <v>74</v>
      </c>
      <c r="D739" s="174">
        <v>73</v>
      </c>
      <c r="E739" s="174">
        <v>29</v>
      </c>
      <c r="F739" s="174">
        <v>56</v>
      </c>
      <c r="G739" s="68">
        <f t="shared" si="45"/>
        <v>0.29456775773129062</v>
      </c>
      <c r="H739" s="68">
        <f t="shared" si="46"/>
        <v>0.31986694465461762</v>
      </c>
      <c r="I739" s="68">
        <f t="shared" si="47"/>
        <v>0.3487946636317889</v>
      </c>
      <c r="J739" s="232">
        <f t="shared" si="48"/>
        <v>-1.9354070391977327E-2</v>
      </c>
      <c r="K739" s="321">
        <f t="shared" si="49"/>
        <v>2.1680419861911347E-2</v>
      </c>
    </row>
    <row r="740" spans="1:11" x14ac:dyDescent="0.2">
      <c r="A740" s="320">
        <v>639</v>
      </c>
      <c r="B740" s="174">
        <v>17</v>
      </c>
      <c r="C740" s="174">
        <v>76</v>
      </c>
      <c r="D740" s="174">
        <v>38</v>
      </c>
      <c r="E740" s="174">
        <v>10</v>
      </c>
      <c r="F740" s="174">
        <v>1</v>
      </c>
      <c r="G740" s="68">
        <f t="shared" si="45"/>
        <v>0.1465670834868007</v>
      </c>
      <c r="H740" s="68">
        <f t="shared" si="46"/>
        <v>0.11872649108373468</v>
      </c>
      <c r="I740" s="68">
        <f t="shared" si="47"/>
        <v>7.8522553419387187E-2</v>
      </c>
      <c r="J740" s="232">
        <f t="shared" si="48"/>
        <v>2.4581356319786075E-2</v>
      </c>
      <c r="K740" s="321">
        <f t="shared" si="49"/>
        <v>-3.6598878361326408E-2</v>
      </c>
    </row>
    <row r="741" spans="1:11" x14ac:dyDescent="0.2">
      <c r="A741" s="320">
        <v>640</v>
      </c>
      <c r="B741" s="174">
        <v>51</v>
      </c>
      <c r="C741" s="174">
        <v>76</v>
      </c>
      <c r="D741" s="174">
        <v>20</v>
      </c>
      <c r="E741" s="174">
        <v>44</v>
      </c>
      <c r="F741" s="174">
        <v>62</v>
      </c>
      <c r="G741" s="68">
        <f t="shared" si="45"/>
        <v>0.17731712128495847</v>
      </c>
      <c r="H741" s="68">
        <f t="shared" si="46"/>
        <v>0.17642006622773532</v>
      </c>
      <c r="I741" s="68">
        <f t="shared" si="47"/>
        <v>0.18344286056611359</v>
      </c>
      <c r="J741" s="232">
        <f t="shared" si="48"/>
        <v>7.6223896653832652E-4</v>
      </c>
      <c r="K741" s="321">
        <f t="shared" si="49"/>
        <v>5.9518838916086426E-3</v>
      </c>
    </row>
    <row r="742" spans="1:11" x14ac:dyDescent="0.2">
      <c r="A742" s="320">
        <v>641</v>
      </c>
      <c r="B742" s="174">
        <v>77</v>
      </c>
      <c r="C742" s="174">
        <v>25</v>
      </c>
      <c r="D742" s="174">
        <v>76</v>
      </c>
      <c r="E742" s="174">
        <v>56</v>
      </c>
      <c r="F742" s="174">
        <v>49</v>
      </c>
      <c r="G742" s="68">
        <f t="shared" ref="G742:G805" si="50">(1+INDEX($Z$21:$Z$97,B742))*(1+INDEX($Z$21:$Z$97,C742))*(1+INDEX($Z$21:$Z$97,D742))*(1+INDEX($Z$21:$Z$97,E742))*(1+INDEX($Z$21:$Z$97,F742))-1</f>
        <v>0.46357767408573247</v>
      </c>
      <c r="H742" s="68">
        <f t="shared" ref="H742:H805" si="51">(1+INDEX($AA$21:$AA$97,B742))*(1+INDEX($AA$21:$AA$97,C742))*(1+INDEX($AA$21:$AA$97,D742))*(1+INDEX($AA$21:$AA$97,E742))*(1+INDEX($AA$21:$AA$97,F742))-1</f>
        <v>0.39391590848974589</v>
      </c>
      <c r="I742" s="68">
        <f t="shared" ref="I742:I805" si="52">(1+INDEX($AB$21:$AB$97,B742))*(1+INDEX($AB$21:$AB$97,C742))*(1+INDEX($AB$21:$AB$97,D742))*(1+INDEX($AB$21:$AB$97,E742))*(1+INDEX($AB$21:$AB$97,F742))-1</f>
        <v>0.44617959337011093</v>
      </c>
      <c r="J742" s="232">
        <f t="shared" ref="J742:J805" si="53">LN((1+G742)/(1+H742))</f>
        <v>4.8766913314015475E-2</v>
      </c>
      <c r="K742" s="321">
        <f t="shared" ref="K742:K805" si="54">LN((1+I742)/(1+H742))</f>
        <v>3.6808329518694206E-2</v>
      </c>
    </row>
    <row r="743" spans="1:11" x14ac:dyDescent="0.2">
      <c r="A743" s="320">
        <v>642</v>
      </c>
      <c r="B743" s="174">
        <v>66</v>
      </c>
      <c r="C743" s="174">
        <v>31</v>
      </c>
      <c r="D743" s="174">
        <v>32</v>
      </c>
      <c r="E743" s="174">
        <v>17</v>
      </c>
      <c r="F743" s="174">
        <v>62</v>
      </c>
      <c r="G743" s="68">
        <f t="shared" si="50"/>
        <v>0.33993184066040394</v>
      </c>
      <c r="H743" s="68">
        <f t="shared" si="51"/>
        <v>0.33977773791208565</v>
      </c>
      <c r="I743" s="68">
        <f t="shared" si="52"/>
        <v>0.355219155534652</v>
      </c>
      <c r="J743" s="232">
        <f t="shared" si="53"/>
        <v>1.1501451479690502E-4</v>
      </c>
      <c r="K743" s="321">
        <f t="shared" si="54"/>
        <v>1.1459446679833391E-2</v>
      </c>
    </row>
    <row r="744" spans="1:11" x14ac:dyDescent="0.2">
      <c r="A744" s="320">
        <v>643</v>
      </c>
      <c r="B744" s="174">
        <v>4</v>
      </c>
      <c r="C744" s="174">
        <v>68</v>
      </c>
      <c r="D744" s="174">
        <v>39</v>
      </c>
      <c r="E744" s="174">
        <v>43</v>
      </c>
      <c r="F744" s="174">
        <v>37</v>
      </c>
      <c r="G744" s="68">
        <f t="shared" si="50"/>
        <v>0.30559866261066904</v>
      </c>
      <c r="H744" s="68">
        <f t="shared" si="51"/>
        <v>0.28187473118646666</v>
      </c>
      <c r="I744" s="68">
        <f t="shared" si="52"/>
        <v>0.28414062472782353</v>
      </c>
      <c r="J744" s="232">
        <f t="shared" si="53"/>
        <v>1.8338040737639234E-2</v>
      </c>
      <c r="K744" s="321">
        <f t="shared" si="54"/>
        <v>1.7660799457689124E-3</v>
      </c>
    </row>
    <row r="745" spans="1:11" x14ac:dyDescent="0.2">
      <c r="A745" s="320">
        <v>644</v>
      </c>
      <c r="B745" s="174">
        <v>76</v>
      </c>
      <c r="C745" s="174">
        <v>7</v>
      </c>
      <c r="D745" s="174">
        <v>63</v>
      </c>
      <c r="E745" s="174">
        <v>46</v>
      </c>
      <c r="F745" s="174">
        <v>63</v>
      </c>
      <c r="G745" s="68">
        <f t="shared" si="50"/>
        <v>-0.13320995871666341</v>
      </c>
      <c r="H745" s="68">
        <f t="shared" si="51"/>
        <v>-0.10565055454806893</v>
      </c>
      <c r="I745" s="68">
        <f t="shared" si="52"/>
        <v>-9.9449167093321744E-2</v>
      </c>
      <c r="J745" s="232">
        <f t="shared" si="53"/>
        <v>-3.1299796845128285E-2</v>
      </c>
      <c r="K745" s="321">
        <f t="shared" si="54"/>
        <v>6.9100352873341835E-3</v>
      </c>
    </row>
    <row r="746" spans="1:11" x14ac:dyDescent="0.2">
      <c r="A746" s="320">
        <v>645</v>
      </c>
      <c r="B746" s="174">
        <v>48</v>
      </c>
      <c r="C746" s="174">
        <v>57</v>
      </c>
      <c r="D746" s="174">
        <v>2</v>
      </c>
      <c r="E746" s="174">
        <v>65</v>
      </c>
      <c r="F746" s="174">
        <v>75</v>
      </c>
      <c r="G746" s="68">
        <f t="shared" si="50"/>
        <v>0.53365068545179173</v>
      </c>
      <c r="H746" s="68">
        <f t="shared" si="51"/>
        <v>0.45209074661866078</v>
      </c>
      <c r="I746" s="68">
        <f t="shared" si="52"/>
        <v>0.51756467245541038</v>
      </c>
      <c r="J746" s="232">
        <f t="shared" si="53"/>
        <v>5.4646550063805373E-2</v>
      </c>
      <c r="K746" s="321">
        <f t="shared" si="54"/>
        <v>4.4102448685483166E-2</v>
      </c>
    </row>
    <row r="747" spans="1:11" x14ac:dyDescent="0.2">
      <c r="A747" s="320">
        <v>646</v>
      </c>
      <c r="B747" s="174">
        <v>51</v>
      </c>
      <c r="C747" s="174">
        <v>24</v>
      </c>
      <c r="D747" s="174">
        <v>55</v>
      </c>
      <c r="E747" s="174">
        <v>11</v>
      </c>
      <c r="F747" s="174">
        <v>39</v>
      </c>
      <c r="G747" s="68">
        <f t="shared" si="50"/>
        <v>0.31501675000113494</v>
      </c>
      <c r="H747" s="68">
        <f t="shared" si="51"/>
        <v>0.25186875236244255</v>
      </c>
      <c r="I747" s="68">
        <f t="shared" si="52"/>
        <v>0.23969099959723805</v>
      </c>
      <c r="J747" s="232">
        <f t="shared" si="53"/>
        <v>4.9211966390670853E-2</v>
      </c>
      <c r="K747" s="321">
        <f t="shared" si="54"/>
        <v>-9.7752821115845278E-3</v>
      </c>
    </row>
    <row r="748" spans="1:11" x14ac:dyDescent="0.2">
      <c r="A748" s="320">
        <v>647</v>
      </c>
      <c r="B748" s="174">
        <v>54</v>
      </c>
      <c r="C748" s="174">
        <v>12</v>
      </c>
      <c r="D748" s="174">
        <v>1</v>
      </c>
      <c r="E748" s="174">
        <v>20</v>
      </c>
      <c r="F748" s="174">
        <v>63</v>
      </c>
      <c r="G748" s="68">
        <f t="shared" si="50"/>
        <v>0.13183962842532182</v>
      </c>
      <c r="H748" s="68">
        <f t="shared" si="51"/>
        <v>8.9309871823244347E-2</v>
      </c>
      <c r="I748" s="68">
        <f t="shared" si="52"/>
        <v>7.4092171475724333E-2</v>
      </c>
      <c r="J748" s="232">
        <f t="shared" si="53"/>
        <v>3.8299948138591174E-2</v>
      </c>
      <c r="K748" s="321">
        <f t="shared" si="54"/>
        <v>-1.4068537458568148E-2</v>
      </c>
    </row>
    <row r="749" spans="1:11" x14ac:dyDescent="0.2">
      <c r="A749" s="320">
        <v>648</v>
      </c>
      <c r="B749" s="174">
        <v>32</v>
      </c>
      <c r="C749" s="174">
        <v>15</v>
      </c>
      <c r="D749" s="174">
        <v>16</v>
      </c>
      <c r="E749" s="174">
        <v>2</v>
      </c>
      <c r="F749" s="174">
        <v>3</v>
      </c>
      <c r="G749" s="68">
        <f t="shared" si="50"/>
        <v>0.55543247025527642</v>
      </c>
      <c r="H749" s="68">
        <f t="shared" si="51"/>
        <v>0.44063600972547889</v>
      </c>
      <c r="I749" s="68">
        <f t="shared" si="52"/>
        <v>0.44510057341077536</v>
      </c>
      <c r="J749" s="232">
        <f t="shared" si="53"/>
        <v>7.6668933384540117E-2</v>
      </c>
      <c r="K749" s="321">
        <f t="shared" si="54"/>
        <v>3.0942306192890544E-3</v>
      </c>
    </row>
    <row r="750" spans="1:11" x14ac:dyDescent="0.2">
      <c r="A750" s="320">
        <v>649</v>
      </c>
      <c r="B750" s="174">
        <v>34</v>
      </c>
      <c r="C750" s="174">
        <v>23</v>
      </c>
      <c r="D750" s="174">
        <v>58</v>
      </c>
      <c r="E750" s="174">
        <v>5</v>
      </c>
      <c r="F750" s="174">
        <v>3</v>
      </c>
      <c r="G750" s="68">
        <f t="shared" si="50"/>
        <v>0.58461530696029906</v>
      </c>
      <c r="H750" s="68">
        <f t="shared" si="51"/>
        <v>0.57697590016114519</v>
      </c>
      <c r="I750" s="68">
        <f t="shared" si="52"/>
        <v>0.62667198839863825</v>
      </c>
      <c r="J750" s="232">
        <f t="shared" si="53"/>
        <v>4.8326435434040988E-3</v>
      </c>
      <c r="K750" s="321">
        <f t="shared" si="54"/>
        <v>3.1027176963177687E-2</v>
      </c>
    </row>
    <row r="751" spans="1:11" x14ac:dyDescent="0.2">
      <c r="A751" s="320">
        <v>650</v>
      </c>
      <c r="B751" s="174">
        <v>47</v>
      </c>
      <c r="C751" s="174">
        <v>35</v>
      </c>
      <c r="D751" s="174">
        <v>74</v>
      </c>
      <c r="E751" s="174">
        <v>14</v>
      </c>
      <c r="F751" s="174">
        <v>18</v>
      </c>
      <c r="G751" s="68">
        <f t="shared" si="50"/>
        <v>0.63096391562801957</v>
      </c>
      <c r="H751" s="68">
        <f t="shared" si="51"/>
        <v>0.55861508445223951</v>
      </c>
      <c r="I751" s="68">
        <f t="shared" si="52"/>
        <v>0.59070795333092652</v>
      </c>
      <c r="J751" s="232">
        <f t="shared" si="53"/>
        <v>4.537353872894237E-2</v>
      </c>
      <c r="K751" s="321">
        <f t="shared" si="54"/>
        <v>2.0381510216663661E-2</v>
      </c>
    </row>
    <row r="752" spans="1:11" x14ac:dyDescent="0.2">
      <c r="A752" s="320">
        <v>651</v>
      </c>
      <c r="B752" s="174">
        <v>57</v>
      </c>
      <c r="C752" s="174">
        <v>34</v>
      </c>
      <c r="D752" s="174">
        <v>8</v>
      </c>
      <c r="E752" s="174">
        <v>59</v>
      </c>
      <c r="F752" s="174">
        <v>72</v>
      </c>
      <c r="G752" s="68">
        <f t="shared" si="50"/>
        <v>0.5045711465314382</v>
      </c>
      <c r="H752" s="68">
        <f t="shared" si="51"/>
        <v>0.5400684929129087</v>
      </c>
      <c r="I752" s="68">
        <f t="shared" si="52"/>
        <v>0.57514715433155428</v>
      </c>
      <c r="J752" s="232">
        <f t="shared" si="53"/>
        <v>-2.3318986230622337E-2</v>
      </c>
      <c r="K752" s="321">
        <f t="shared" si="54"/>
        <v>2.2521807880797426E-2</v>
      </c>
    </row>
    <row r="753" spans="1:11" x14ac:dyDescent="0.2">
      <c r="A753" s="320">
        <v>652</v>
      </c>
      <c r="B753" s="174">
        <v>39</v>
      </c>
      <c r="C753" s="174">
        <v>38</v>
      </c>
      <c r="D753" s="174">
        <v>75</v>
      </c>
      <c r="E753" s="174">
        <v>24</v>
      </c>
      <c r="F753" s="174">
        <v>63</v>
      </c>
      <c r="G753" s="68">
        <f t="shared" si="50"/>
        <v>0.31489094627059644</v>
      </c>
      <c r="H753" s="68">
        <f t="shared" si="51"/>
        <v>0.25091930539964435</v>
      </c>
      <c r="I753" s="68">
        <f t="shared" si="52"/>
        <v>0.27989163086227564</v>
      </c>
      <c r="J753" s="232">
        <f t="shared" si="53"/>
        <v>4.9875006270819963E-2</v>
      </c>
      <c r="K753" s="321">
        <f t="shared" si="54"/>
        <v>2.2896685631257869E-2</v>
      </c>
    </row>
    <row r="754" spans="1:11" x14ac:dyDescent="0.2">
      <c r="A754" s="320">
        <v>653</v>
      </c>
      <c r="B754" s="174">
        <v>28</v>
      </c>
      <c r="C754" s="174">
        <v>25</v>
      </c>
      <c r="D754" s="174">
        <v>9</v>
      </c>
      <c r="E754" s="174">
        <v>18</v>
      </c>
      <c r="F754" s="174">
        <v>20</v>
      </c>
      <c r="G754" s="68">
        <f t="shared" si="50"/>
        <v>0.17153789828230614</v>
      </c>
      <c r="H754" s="68">
        <f t="shared" si="51"/>
        <v>0.17585230777653482</v>
      </c>
      <c r="I754" s="68">
        <f t="shared" si="52"/>
        <v>0.1232880616240144</v>
      </c>
      <c r="J754" s="232">
        <f t="shared" si="53"/>
        <v>-3.6759243020334448E-3</v>
      </c>
      <c r="K754" s="321">
        <f t="shared" si="54"/>
        <v>-4.5733099304996402E-2</v>
      </c>
    </row>
    <row r="755" spans="1:11" x14ac:dyDescent="0.2">
      <c r="A755" s="320">
        <v>654</v>
      </c>
      <c r="B755" s="174">
        <v>11</v>
      </c>
      <c r="C755" s="174">
        <v>68</v>
      </c>
      <c r="D755" s="174">
        <v>53</v>
      </c>
      <c r="E755" s="174">
        <v>9</v>
      </c>
      <c r="F755" s="174">
        <v>43</v>
      </c>
      <c r="G755" s="68">
        <f t="shared" si="50"/>
        <v>-6.3388448204653058E-2</v>
      </c>
      <c r="H755" s="68">
        <f t="shared" si="51"/>
        <v>-5.2130171164408434E-3</v>
      </c>
      <c r="I755" s="68">
        <f t="shared" si="52"/>
        <v>-5.1726610913291338E-2</v>
      </c>
      <c r="J755" s="232">
        <f t="shared" si="53"/>
        <v>-6.0259996255545921E-2</v>
      </c>
      <c r="K755" s="321">
        <f t="shared" si="54"/>
        <v>-4.7885780891779132E-2</v>
      </c>
    </row>
    <row r="756" spans="1:11" x14ac:dyDescent="0.2">
      <c r="A756" s="320">
        <v>655</v>
      </c>
      <c r="B756" s="174">
        <v>25</v>
      </c>
      <c r="C756" s="174">
        <v>31</v>
      </c>
      <c r="D756" s="174">
        <v>12</v>
      </c>
      <c r="E756" s="174">
        <v>38</v>
      </c>
      <c r="F756" s="174">
        <v>7</v>
      </c>
      <c r="G756" s="68">
        <f t="shared" si="50"/>
        <v>0.3369123609697191</v>
      </c>
      <c r="H756" s="68">
        <f t="shared" si="51"/>
        <v>0.29679368592739008</v>
      </c>
      <c r="I756" s="68">
        <f t="shared" si="52"/>
        <v>0.27845607018125107</v>
      </c>
      <c r="J756" s="232">
        <f t="shared" si="53"/>
        <v>3.0467924495047725E-2</v>
      </c>
      <c r="K756" s="321">
        <f t="shared" si="54"/>
        <v>-1.4241667741666651E-2</v>
      </c>
    </row>
    <row r="757" spans="1:11" x14ac:dyDescent="0.2">
      <c r="A757" s="320">
        <v>656</v>
      </c>
      <c r="B757" s="174">
        <v>12</v>
      </c>
      <c r="C757" s="174">
        <v>18</v>
      </c>
      <c r="D757" s="174">
        <v>58</v>
      </c>
      <c r="E757" s="174">
        <v>34</v>
      </c>
      <c r="F757" s="174">
        <v>54</v>
      </c>
      <c r="G757" s="68">
        <f t="shared" si="50"/>
        <v>0.62935585733528465</v>
      </c>
      <c r="H757" s="68">
        <f t="shared" si="51"/>
        <v>0.58167782376977017</v>
      </c>
      <c r="I757" s="68">
        <f t="shared" si="52"/>
        <v>0.62396509847324499</v>
      </c>
      <c r="J757" s="232">
        <f t="shared" si="53"/>
        <v>2.9698559780133985E-2</v>
      </c>
      <c r="K757" s="321">
        <f t="shared" si="54"/>
        <v>2.638455303502964E-2</v>
      </c>
    </row>
    <row r="758" spans="1:11" x14ac:dyDescent="0.2">
      <c r="A758" s="320">
        <v>657</v>
      </c>
      <c r="B758" s="174">
        <v>33</v>
      </c>
      <c r="C758" s="174">
        <v>67</v>
      </c>
      <c r="D758" s="174">
        <v>12</v>
      </c>
      <c r="E758" s="174">
        <v>27</v>
      </c>
      <c r="F758" s="174">
        <v>10</v>
      </c>
      <c r="G758" s="68">
        <f t="shared" si="50"/>
        <v>0.63389471439199285</v>
      </c>
      <c r="H758" s="68">
        <f t="shared" si="51"/>
        <v>0.60617816435504523</v>
      </c>
      <c r="I758" s="68">
        <f t="shared" si="52"/>
        <v>0.65328970217903315</v>
      </c>
      <c r="J758" s="232">
        <f t="shared" si="53"/>
        <v>1.7109014004415859E-2</v>
      </c>
      <c r="K758" s="321">
        <f t="shared" si="54"/>
        <v>2.8909515828648726E-2</v>
      </c>
    </row>
    <row r="759" spans="1:11" x14ac:dyDescent="0.2">
      <c r="A759" s="320">
        <v>658</v>
      </c>
      <c r="B759" s="174">
        <v>28</v>
      </c>
      <c r="C759" s="174">
        <v>22</v>
      </c>
      <c r="D759" s="174">
        <v>51</v>
      </c>
      <c r="E759" s="174">
        <v>51</v>
      </c>
      <c r="F759" s="174">
        <v>18</v>
      </c>
      <c r="G759" s="68">
        <f t="shared" si="50"/>
        <v>0.63224702668143795</v>
      </c>
      <c r="H759" s="68">
        <f t="shared" si="51"/>
        <v>0.55869142920013792</v>
      </c>
      <c r="I759" s="68">
        <f t="shared" si="52"/>
        <v>0.56280018346542726</v>
      </c>
      <c r="J759" s="232">
        <f t="shared" si="53"/>
        <v>4.6110967662580681E-2</v>
      </c>
      <c r="K759" s="321">
        <f t="shared" si="54"/>
        <v>2.6325597810677383E-3</v>
      </c>
    </row>
    <row r="760" spans="1:11" x14ac:dyDescent="0.2">
      <c r="A760" s="320">
        <v>659</v>
      </c>
      <c r="B760" s="174">
        <v>17</v>
      </c>
      <c r="C760" s="174">
        <v>76</v>
      </c>
      <c r="D760" s="174">
        <v>42</v>
      </c>
      <c r="E760" s="174">
        <v>61</v>
      </c>
      <c r="F760" s="174">
        <v>49</v>
      </c>
      <c r="G760" s="68">
        <f t="shared" si="50"/>
        <v>0.46923517530855974</v>
      </c>
      <c r="H760" s="68">
        <f t="shared" si="51"/>
        <v>0.42134537964843966</v>
      </c>
      <c r="I760" s="68">
        <f t="shared" si="52"/>
        <v>0.46236471122527378</v>
      </c>
      <c r="J760" s="232">
        <f t="shared" si="53"/>
        <v>3.3138102965735994E-2</v>
      </c>
      <c r="K760" s="321">
        <f t="shared" si="54"/>
        <v>2.8450917177969038E-2</v>
      </c>
    </row>
    <row r="761" spans="1:11" x14ac:dyDescent="0.2">
      <c r="A761" s="320">
        <v>660</v>
      </c>
      <c r="B761" s="174">
        <v>70</v>
      </c>
      <c r="C761" s="174">
        <v>58</v>
      </c>
      <c r="D761" s="174">
        <v>51</v>
      </c>
      <c r="E761" s="174">
        <v>51</v>
      </c>
      <c r="F761" s="174">
        <v>61</v>
      </c>
      <c r="G761" s="68">
        <f t="shared" si="50"/>
        <v>0.81288300129908153</v>
      </c>
      <c r="H761" s="68">
        <f t="shared" si="51"/>
        <v>0.75494121172754713</v>
      </c>
      <c r="I761" s="68">
        <f t="shared" si="52"/>
        <v>0.82629098410272306</v>
      </c>
      <c r="J761" s="232">
        <f t="shared" si="53"/>
        <v>3.2483037719586196E-2</v>
      </c>
      <c r="K761" s="321">
        <f t="shared" si="54"/>
        <v>3.9851766736910647E-2</v>
      </c>
    </row>
    <row r="762" spans="1:11" x14ac:dyDescent="0.2">
      <c r="A762" s="320">
        <v>661</v>
      </c>
      <c r="B762" s="174">
        <v>69</v>
      </c>
      <c r="C762" s="174">
        <v>43</v>
      </c>
      <c r="D762" s="174">
        <v>75</v>
      </c>
      <c r="E762" s="174">
        <v>42</v>
      </c>
      <c r="F762" s="174">
        <v>77</v>
      </c>
      <c r="G762" s="68">
        <f t="shared" si="50"/>
        <v>0.52015958266251694</v>
      </c>
      <c r="H762" s="68">
        <f t="shared" si="51"/>
        <v>0.52815224592432353</v>
      </c>
      <c r="I762" s="68">
        <f t="shared" si="52"/>
        <v>0.63013566356305972</v>
      </c>
      <c r="J762" s="232">
        <f t="shared" si="53"/>
        <v>-5.2440052248531694E-3</v>
      </c>
      <c r="K762" s="321">
        <f t="shared" si="54"/>
        <v>6.4603917369223496E-2</v>
      </c>
    </row>
    <row r="763" spans="1:11" x14ac:dyDescent="0.2">
      <c r="A763" s="320">
        <v>662</v>
      </c>
      <c r="B763" s="174">
        <v>29</v>
      </c>
      <c r="C763" s="174">
        <v>24</v>
      </c>
      <c r="D763" s="174">
        <v>24</v>
      </c>
      <c r="E763" s="174">
        <v>45</v>
      </c>
      <c r="F763" s="174">
        <v>35</v>
      </c>
      <c r="G763" s="68">
        <f t="shared" si="50"/>
        <v>0.71920181302430386</v>
      </c>
      <c r="H763" s="68">
        <f t="shared" si="51"/>
        <v>0.68900122633580696</v>
      </c>
      <c r="I763" s="68">
        <f t="shared" si="52"/>
        <v>0.77868045660457663</v>
      </c>
      <c r="J763" s="232">
        <f t="shared" si="53"/>
        <v>1.7722757022487701E-2</v>
      </c>
      <c r="K763" s="321">
        <f t="shared" si="54"/>
        <v>5.1734408981234117E-2</v>
      </c>
    </row>
    <row r="764" spans="1:11" x14ac:dyDescent="0.2">
      <c r="A764" s="320">
        <v>663</v>
      </c>
      <c r="B764" s="174">
        <v>40</v>
      </c>
      <c r="C764" s="174">
        <v>59</v>
      </c>
      <c r="D764" s="174">
        <v>19</v>
      </c>
      <c r="E764" s="174">
        <v>22</v>
      </c>
      <c r="F764" s="174">
        <v>42</v>
      </c>
      <c r="G764" s="68">
        <f t="shared" si="50"/>
        <v>0.40508575071580433</v>
      </c>
      <c r="H764" s="68">
        <f t="shared" si="51"/>
        <v>0.40572643648437134</v>
      </c>
      <c r="I764" s="68">
        <f t="shared" si="52"/>
        <v>0.42233023353764976</v>
      </c>
      <c r="J764" s="232">
        <f t="shared" si="53"/>
        <v>-4.5587235076046496E-4</v>
      </c>
      <c r="K764" s="321">
        <f t="shared" si="54"/>
        <v>1.1742330349802942E-2</v>
      </c>
    </row>
    <row r="765" spans="1:11" x14ac:dyDescent="0.2">
      <c r="A765" s="320">
        <v>664</v>
      </c>
      <c r="B765" s="174">
        <v>56</v>
      </c>
      <c r="C765" s="174">
        <v>35</v>
      </c>
      <c r="D765" s="174">
        <v>21</v>
      </c>
      <c r="E765" s="174">
        <v>38</v>
      </c>
      <c r="F765" s="174">
        <v>3</v>
      </c>
      <c r="G765" s="68">
        <f t="shared" si="50"/>
        <v>0.33954695059585505</v>
      </c>
      <c r="H765" s="68">
        <f t="shared" si="51"/>
        <v>0.30274605578245484</v>
      </c>
      <c r="I765" s="68">
        <f t="shared" si="52"/>
        <v>0.28763996019759031</v>
      </c>
      <c r="J765" s="232">
        <f t="shared" si="53"/>
        <v>2.7857073031366586E-2</v>
      </c>
      <c r="K765" s="321">
        <f t="shared" si="54"/>
        <v>-1.1663332596498231E-2</v>
      </c>
    </row>
    <row r="766" spans="1:11" x14ac:dyDescent="0.2">
      <c r="A766" s="320">
        <v>665</v>
      </c>
      <c r="B766" s="174">
        <v>69</v>
      </c>
      <c r="C766" s="174">
        <v>66</v>
      </c>
      <c r="D766" s="174">
        <v>59</v>
      </c>
      <c r="E766" s="174">
        <v>69</v>
      </c>
      <c r="F766" s="174">
        <v>63</v>
      </c>
      <c r="G766" s="68">
        <f t="shared" si="50"/>
        <v>0.58851443141093251</v>
      </c>
      <c r="H766" s="68">
        <f t="shared" si="51"/>
        <v>0.58731006987098411</v>
      </c>
      <c r="I766" s="68">
        <f t="shared" si="52"/>
        <v>0.66698536137747677</v>
      </c>
      <c r="J766" s="232">
        <f t="shared" si="53"/>
        <v>7.5845601493208228E-4</v>
      </c>
      <c r="K766" s="321">
        <f t="shared" si="54"/>
        <v>4.8976018711870205E-2</v>
      </c>
    </row>
    <row r="767" spans="1:11" x14ac:dyDescent="0.2">
      <c r="A767" s="320">
        <v>666</v>
      </c>
      <c r="B767" s="174">
        <v>23</v>
      </c>
      <c r="C767" s="174">
        <v>62</v>
      </c>
      <c r="D767" s="174">
        <v>71</v>
      </c>
      <c r="E767" s="174">
        <v>1</v>
      </c>
      <c r="F767" s="174">
        <v>37</v>
      </c>
      <c r="G767" s="68">
        <f t="shared" si="50"/>
        <v>0.3301928522357287</v>
      </c>
      <c r="H767" s="68">
        <f t="shared" si="51"/>
        <v>0.27547974214657667</v>
      </c>
      <c r="I767" s="68">
        <f t="shared" si="52"/>
        <v>0.26714438772010807</v>
      </c>
      <c r="J767" s="232">
        <f t="shared" si="53"/>
        <v>4.2001557213471812E-2</v>
      </c>
      <c r="K767" s="321">
        <f t="shared" si="54"/>
        <v>-6.5565210276518496E-3</v>
      </c>
    </row>
    <row r="768" spans="1:11" x14ac:dyDescent="0.2">
      <c r="A768" s="320">
        <v>667</v>
      </c>
      <c r="B768" s="174">
        <v>30</v>
      </c>
      <c r="C768" s="174">
        <v>72</v>
      </c>
      <c r="D768" s="174">
        <v>19</v>
      </c>
      <c r="E768" s="174">
        <v>39</v>
      </c>
      <c r="F768" s="174">
        <v>16</v>
      </c>
      <c r="G768" s="68">
        <f t="shared" si="50"/>
        <v>0.39975722778406975</v>
      </c>
      <c r="H768" s="68">
        <f t="shared" si="51"/>
        <v>0.36130286995412519</v>
      </c>
      <c r="I768" s="68">
        <f t="shared" si="52"/>
        <v>0.35795670530967527</v>
      </c>
      <c r="J768" s="232">
        <f t="shared" si="53"/>
        <v>2.7856579079297054E-2</v>
      </c>
      <c r="K768" s="321">
        <f t="shared" si="54"/>
        <v>-2.4610863661934323E-3</v>
      </c>
    </row>
    <row r="769" spans="1:11" x14ac:dyDescent="0.2">
      <c r="A769" s="320">
        <v>668</v>
      </c>
      <c r="B769" s="174">
        <v>14</v>
      </c>
      <c r="C769" s="174">
        <v>57</v>
      </c>
      <c r="D769" s="174">
        <v>20</v>
      </c>
      <c r="E769" s="174">
        <v>3</v>
      </c>
      <c r="F769" s="174">
        <v>49</v>
      </c>
      <c r="G769" s="68">
        <f t="shared" si="50"/>
        <v>0.66935486369758967</v>
      </c>
      <c r="H769" s="68">
        <f t="shared" si="51"/>
        <v>0.53101100384229816</v>
      </c>
      <c r="I769" s="68">
        <f t="shared" si="52"/>
        <v>0.56718435528919198</v>
      </c>
      <c r="J769" s="232">
        <f t="shared" si="53"/>
        <v>8.6508938623047579E-2</v>
      </c>
      <c r="K769" s="321">
        <f t="shared" si="54"/>
        <v>2.3352301005183995E-2</v>
      </c>
    </row>
    <row r="770" spans="1:11" x14ac:dyDescent="0.2">
      <c r="A770" s="320">
        <v>669</v>
      </c>
      <c r="B770" s="174">
        <v>25</v>
      </c>
      <c r="C770" s="174">
        <v>9</v>
      </c>
      <c r="D770" s="174">
        <v>6</v>
      </c>
      <c r="E770" s="174">
        <v>55</v>
      </c>
      <c r="F770" s="174">
        <v>63</v>
      </c>
      <c r="G770" s="68">
        <f t="shared" si="50"/>
        <v>-0.26888077863170501</v>
      </c>
      <c r="H770" s="68">
        <f t="shared" si="51"/>
        <v>-0.22695298588830493</v>
      </c>
      <c r="I770" s="68">
        <f t="shared" si="52"/>
        <v>-0.26784443876625119</v>
      </c>
      <c r="J770" s="232">
        <f t="shared" si="53"/>
        <v>-5.5763327084994659E-2</v>
      </c>
      <c r="K770" s="321">
        <f t="shared" si="54"/>
        <v>-5.4346860333773686E-2</v>
      </c>
    </row>
    <row r="771" spans="1:11" x14ac:dyDescent="0.2">
      <c r="A771" s="320">
        <v>670</v>
      </c>
      <c r="B771" s="174">
        <v>17</v>
      </c>
      <c r="C771" s="174">
        <v>12</v>
      </c>
      <c r="D771" s="174">
        <v>17</v>
      </c>
      <c r="E771" s="174">
        <v>68</v>
      </c>
      <c r="F771" s="174">
        <v>15</v>
      </c>
      <c r="G771" s="68">
        <f t="shared" si="50"/>
        <v>0.44237025684173537</v>
      </c>
      <c r="H771" s="68">
        <f t="shared" si="51"/>
        <v>0.36261966407393453</v>
      </c>
      <c r="I771" s="68">
        <f t="shared" si="52"/>
        <v>0.35387682723566249</v>
      </c>
      <c r="J771" s="232">
        <f t="shared" si="53"/>
        <v>5.6878701549052689E-2</v>
      </c>
      <c r="K771" s="321">
        <f t="shared" si="54"/>
        <v>-6.4368697351631591E-3</v>
      </c>
    </row>
    <row r="772" spans="1:11" x14ac:dyDescent="0.2">
      <c r="A772" s="320">
        <v>671</v>
      </c>
      <c r="B772" s="174">
        <v>71</v>
      </c>
      <c r="C772" s="174">
        <v>65</v>
      </c>
      <c r="D772" s="174">
        <v>8</v>
      </c>
      <c r="E772" s="174">
        <v>23</v>
      </c>
      <c r="F772" s="174">
        <v>56</v>
      </c>
      <c r="G772" s="68">
        <f t="shared" si="50"/>
        <v>6.2051608865702157E-2</v>
      </c>
      <c r="H772" s="68">
        <f t="shared" si="51"/>
        <v>6.8420660833747649E-2</v>
      </c>
      <c r="I772" s="68">
        <f t="shared" si="52"/>
        <v>2.5500319164841523E-2</v>
      </c>
      <c r="J772" s="232">
        <f t="shared" si="53"/>
        <v>-5.9790226161602726E-3</v>
      </c>
      <c r="K772" s="321">
        <f t="shared" si="54"/>
        <v>-4.1000930415139893E-2</v>
      </c>
    </row>
    <row r="773" spans="1:11" x14ac:dyDescent="0.2">
      <c r="A773" s="320">
        <v>672</v>
      </c>
      <c r="B773" s="174">
        <v>61</v>
      </c>
      <c r="C773" s="174">
        <v>51</v>
      </c>
      <c r="D773" s="174">
        <v>69</v>
      </c>
      <c r="E773" s="174">
        <v>43</v>
      </c>
      <c r="F773" s="174">
        <v>30</v>
      </c>
      <c r="G773" s="68">
        <f t="shared" si="50"/>
        <v>0.67961913950577446</v>
      </c>
      <c r="H773" s="68">
        <f t="shared" si="51"/>
        <v>0.65228967921878134</v>
      </c>
      <c r="I773" s="68">
        <f t="shared" si="52"/>
        <v>0.71230107205310733</v>
      </c>
      <c r="J773" s="232">
        <f t="shared" si="53"/>
        <v>1.6405054695737824E-2</v>
      </c>
      <c r="K773" s="321">
        <f t="shared" si="54"/>
        <v>3.5676111758765831E-2</v>
      </c>
    </row>
    <row r="774" spans="1:11" x14ac:dyDescent="0.2">
      <c r="A774" s="320">
        <v>673</v>
      </c>
      <c r="B774" s="174">
        <v>26</v>
      </c>
      <c r="C774" s="174">
        <v>64</v>
      </c>
      <c r="D774" s="174">
        <v>28</v>
      </c>
      <c r="E774" s="174">
        <v>60</v>
      </c>
      <c r="F774" s="174">
        <v>4</v>
      </c>
      <c r="G774" s="68">
        <f t="shared" si="50"/>
        <v>0.63473038709973117</v>
      </c>
      <c r="H774" s="68">
        <f t="shared" si="51"/>
        <v>0.62735443347149511</v>
      </c>
      <c r="I774" s="68">
        <f t="shared" si="52"/>
        <v>0.72576085202721452</v>
      </c>
      <c r="J774" s="232">
        <f t="shared" si="53"/>
        <v>4.5222405940997523E-3</v>
      </c>
      <c r="K774" s="321">
        <f t="shared" si="54"/>
        <v>5.8712377576861575E-2</v>
      </c>
    </row>
    <row r="775" spans="1:11" x14ac:dyDescent="0.2">
      <c r="A775" s="320">
        <v>674</v>
      </c>
      <c r="B775" s="174">
        <v>69</v>
      </c>
      <c r="C775" s="174">
        <v>62</v>
      </c>
      <c r="D775" s="174">
        <v>18</v>
      </c>
      <c r="E775" s="174">
        <v>61</v>
      </c>
      <c r="F775" s="174">
        <v>34</v>
      </c>
      <c r="G775" s="68">
        <f t="shared" si="50"/>
        <v>0.40958239624036885</v>
      </c>
      <c r="H775" s="68">
        <f t="shared" si="51"/>
        <v>0.42441690210729344</v>
      </c>
      <c r="I775" s="68">
        <f t="shared" si="52"/>
        <v>0.45519727497821116</v>
      </c>
      <c r="J775" s="232">
        <f t="shared" si="53"/>
        <v>-1.0469050832214938E-2</v>
      </c>
      <c r="K775" s="321">
        <f t="shared" si="54"/>
        <v>2.1378937134944865E-2</v>
      </c>
    </row>
    <row r="776" spans="1:11" x14ac:dyDescent="0.2">
      <c r="A776" s="320">
        <v>675</v>
      </c>
      <c r="B776" s="174">
        <v>48</v>
      </c>
      <c r="C776" s="174">
        <v>57</v>
      </c>
      <c r="D776" s="174">
        <v>55</v>
      </c>
      <c r="E776" s="174">
        <v>43</v>
      </c>
      <c r="F776" s="174">
        <v>46</v>
      </c>
      <c r="G776" s="68">
        <f t="shared" si="50"/>
        <v>0.35538926318541098</v>
      </c>
      <c r="H776" s="68">
        <f t="shared" si="51"/>
        <v>0.33563305181918857</v>
      </c>
      <c r="I776" s="68">
        <f t="shared" si="52"/>
        <v>0.38268526203891562</v>
      </c>
      <c r="J776" s="232">
        <f t="shared" si="53"/>
        <v>1.4683316602542474E-2</v>
      </c>
      <c r="K776" s="321">
        <f t="shared" si="54"/>
        <v>3.4622074951906813E-2</v>
      </c>
    </row>
    <row r="777" spans="1:11" x14ac:dyDescent="0.2">
      <c r="A777" s="320">
        <v>676</v>
      </c>
      <c r="B777" s="174">
        <v>9</v>
      </c>
      <c r="C777" s="174">
        <v>68</v>
      </c>
      <c r="D777" s="174">
        <v>19</v>
      </c>
      <c r="E777" s="174">
        <v>73</v>
      </c>
      <c r="F777" s="174">
        <v>50</v>
      </c>
      <c r="G777" s="68">
        <f t="shared" si="50"/>
        <v>5.4102594136559157E-2</v>
      </c>
      <c r="H777" s="68">
        <f t="shared" si="51"/>
        <v>7.7827179894667919E-2</v>
      </c>
      <c r="I777" s="68">
        <f t="shared" si="52"/>
        <v>4.2382595169079718E-2</v>
      </c>
      <c r="J777" s="232">
        <f t="shared" si="53"/>
        <v>-2.2257360865686072E-2</v>
      </c>
      <c r="K777" s="321">
        <f t="shared" si="54"/>
        <v>-3.3438094332279081E-2</v>
      </c>
    </row>
    <row r="778" spans="1:11" x14ac:dyDescent="0.2">
      <c r="A778" s="320">
        <v>677</v>
      </c>
      <c r="B778" s="174">
        <v>72</v>
      </c>
      <c r="C778" s="174">
        <v>42</v>
      </c>
      <c r="D778" s="174">
        <v>14</v>
      </c>
      <c r="E778" s="174">
        <v>67</v>
      </c>
      <c r="F778" s="174">
        <v>71</v>
      </c>
      <c r="G778" s="68">
        <f t="shared" si="50"/>
        <v>0.76908206216270303</v>
      </c>
      <c r="H778" s="68">
        <f t="shared" si="51"/>
        <v>0.72335400073118228</v>
      </c>
      <c r="I778" s="68">
        <f t="shared" si="52"/>
        <v>0.80692346770100398</v>
      </c>
      <c r="J778" s="232">
        <f t="shared" si="53"/>
        <v>2.6188410646323528E-2</v>
      </c>
      <c r="K778" s="321">
        <f t="shared" si="54"/>
        <v>4.7353265008657053E-2</v>
      </c>
    </row>
    <row r="779" spans="1:11" x14ac:dyDescent="0.2">
      <c r="A779" s="320">
        <v>678</v>
      </c>
      <c r="B779" s="174">
        <v>69</v>
      </c>
      <c r="C779" s="174">
        <v>61</v>
      </c>
      <c r="D779" s="174">
        <v>4</v>
      </c>
      <c r="E779" s="174">
        <v>32</v>
      </c>
      <c r="F779" s="174">
        <v>76</v>
      </c>
      <c r="G779" s="68">
        <f t="shared" si="50"/>
        <v>0.57428280284083</v>
      </c>
      <c r="H779" s="68">
        <f t="shared" si="51"/>
        <v>0.57215355986353233</v>
      </c>
      <c r="I779" s="68">
        <f t="shared" si="52"/>
        <v>0.62408957774104268</v>
      </c>
      <c r="J779" s="232">
        <f t="shared" si="53"/>
        <v>1.3534316648263676E-3</v>
      </c>
      <c r="K779" s="321">
        <f t="shared" si="54"/>
        <v>3.2501025298073853E-2</v>
      </c>
    </row>
    <row r="780" spans="1:11" x14ac:dyDescent="0.2">
      <c r="A780" s="320">
        <v>679</v>
      </c>
      <c r="B780" s="174">
        <v>56</v>
      </c>
      <c r="C780" s="174">
        <v>8</v>
      </c>
      <c r="D780" s="174">
        <v>12</v>
      </c>
      <c r="E780" s="174">
        <v>34</v>
      </c>
      <c r="F780" s="174">
        <v>75</v>
      </c>
      <c r="G780" s="68">
        <f t="shared" si="50"/>
        <v>0.17418220706999388</v>
      </c>
      <c r="H780" s="68">
        <f t="shared" si="51"/>
        <v>0.19640483494401173</v>
      </c>
      <c r="I780" s="68">
        <f t="shared" si="52"/>
        <v>0.18328616391053232</v>
      </c>
      <c r="J780" s="232">
        <f t="shared" si="53"/>
        <v>-1.8749177712345192E-2</v>
      </c>
      <c r="K780" s="321">
        <f t="shared" si="54"/>
        <v>-1.1025636468563653E-2</v>
      </c>
    </row>
    <row r="781" spans="1:11" x14ac:dyDescent="0.2">
      <c r="A781" s="320">
        <v>680</v>
      </c>
      <c r="B781" s="174">
        <v>26</v>
      </c>
      <c r="C781" s="174">
        <v>57</v>
      </c>
      <c r="D781" s="174">
        <v>48</v>
      </c>
      <c r="E781" s="174">
        <v>8</v>
      </c>
      <c r="F781" s="174">
        <v>13</v>
      </c>
      <c r="G781" s="68">
        <f t="shared" si="50"/>
        <v>0.44521685421818225</v>
      </c>
      <c r="H781" s="68">
        <f t="shared" si="51"/>
        <v>0.3748553170260156</v>
      </c>
      <c r="I781" s="68">
        <f t="shared" si="52"/>
        <v>0.38226455797262426</v>
      </c>
      <c r="J781" s="232">
        <f t="shared" si="53"/>
        <v>4.9910880826986775E-2</v>
      </c>
      <c r="K781" s="321">
        <f t="shared" si="54"/>
        <v>5.3746366630690774E-3</v>
      </c>
    </row>
    <row r="782" spans="1:11" x14ac:dyDescent="0.2">
      <c r="A782" s="320">
        <v>681</v>
      </c>
      <c r="B782" s="174">
        <v>37</v>
      </c>
      <c r="C782" s="174">
        <v>48</v>
      </c>
      <c r="D782" s="174">
        <v>62</v>
      </c>
      <c r="E782" s="174">
        <v>14</v>
      </c>
      <c r="F782" s="174">
        <v>73</v>
      </c>
      <c r="G782" s="68">
        <f t="shared" si="50"/>
        <v>8.0766096445505919E-2</v>
      </c>
      <c r="H782" s="68">
        <f t="shared" si="51"/>
        <v>7.7573909767993721E-2</v>
      </c>
      <c r="I782" s="68">
        <f t="shared" si="52"/>
        <v>8.2982114433122645E-2</v>
      </c>
      <c r="J782" s="232">
        <f t="shared" si="53"/>
        <v>2.958003832483637E-3</v>
      </c>
      <c r="K782" s="321">
        <f t="shared" si="54"/>
        <v>5.006318651433311E-3</v>
      </c>
    </row>
    <row r="783" spans="1:11" x14ac:dyDescent="0.2">
      <c r="A783" s="320">
        <v>682</v>
      </c>
      <c r="B783" s="174">
        <v>19</v>
      </c>
      <c r="C783" s="174">
        <v>67</v>
      </c>
      <c r="D783" s="174">
        <v>27</v>
      </c>
      <c r="E783" s="174">
        <v>38</v>
      </c>
      <c r="F783" s="174">
        <v>18</v>
      </c>
      <c r="G783" s="68">
        <f t="shared" si="50"/>
        <v>0.42349548810807969</v>
      </c>
      <c r="H783" s="68">
        <f t="shared" si="51"/>
        <v>0.37577802801307558</v>
      </c>
      <c r="I783" s="68">
        <f t="shared" si="52"/>
        <v>0.3576489606622042</v>
      </c>
      <c r="J783" s="232">
        <f t="shared" si="53"/>
        <v>3.4096048507365161E-2</v>
      </c>
      <c r="K783" s="321">
        <f t="shared" si="54"/>
        <v>-1.3264911230145929E-2</v>
      </c>
    </row>
    <row r="784" spans="1:11" x14ac:dyDescent="0.2">
      <c r="A784" s="320">
        <v>683</v>
      </c>
      <c r="B784" s="174">
        <v>61</v>
      </c>
      <c r="C784" s="174">
        <v>11</v>
      </c>
      <c r="D784" s="174">
        <v>46</v>
      </c>
      <c r="E784" s="174">
        <v>53</v>
      </c>
      <c r="F784" s="174">
        <v>29</v>
      </c>
      <c r="G784" s="68">
        <f t="shared" si="50"/>
        <v>0.31570890456392897</v>
      </c>
      <c r="H784" s="68">
        <f t="shared" si="51"/>
        <v>0.34827468662384775</v>
      </c>
      <c r="I784" s="68">
        <f t="shared" si="52"/>
        <v>0.3583083564675138</v>
      </c>
      <c r="J784" s="232">
        <f t="shared" si="53"/>
        <v>-2.445015389539322E-2</v>
      </c>
      <c r="K784" s="321">
        <f t="shared" si="54"/>
        <v>7.4143047880287681E-3</v>
      </c>
    </row>
    <row r="785" spans="1:11" x14ac:dyDescent="0.2">
      <c r="A785" s="320">
        <v>684</v>
      </c>
      <c r="B785" s="174">
        <v>76</v>
      </c>
      <c r="C785" s="174">
        <v>5</v>
      </c>
      <c r="D785" s="174">
        <v>41</v>
      </c>
      <c r="E785" s="174">
        <v>10</v>
      </c>
      <c r="F785" s="174">
        <v>40</v>
      </c>
      <c r="G785" s="68">
        <f t="shared" si="50"/>
        <v>6.2222416593163521E-2</v>
      </c>
      <c r="H785" s="68">
        <f t="shared" si="51"/>
        <v>0.10328336006857142</v>
      </c>
      <c r="I785" s="68">
        <f t="shared" si="52"/>
        <v>9.6043260952344278E-2</v>
      </c>
      <c r="J785" s="232">
        <f t="shared" si="53"/>
        <v>-3.7927273993623625E-2</v>
      </c>
      <c r="K785" s="321">
        <f t="shared" si="54"/>
        <v>-6.5839472872084017E-3</v>
      </c>
    </row>
    <row r="786" spans="1:11" x14ac:dyDescent="0.2">
      <c r="A786" s="320">
        <v>685</v>
      </c>
      <c r="B786" s="174">
        <v>76</v>
      </c>
      <c r="C786" s="174">
        <v>40</v>
      </c>
      <c r="D786" s="174">
        <v>51</v>
      </c>
      <c r="E786" s="174">
        <v>36</v>
      </c>
      <c r="F786" s="174">
        <v>38</v>
      </c>
      <c r="G786" s="68">
        <f t="shared" si="50"/>
        <v>0.45305260260214353</v>
      </c>
      <c r="H786" s="68">
        <f t="shared" si="51"/>
        <v>0.3984559481875154</v>
      </c>
      <c r="I786" s="68">
        <f t="shared" si="52"/>
        <v>0.41842149040156551</v>
      </c>
      <c r="J786" s="232">
        <f t="shared" si="53"/>
        <v>3.8297852853107099E-2</v>
      </c>
      <c r="K786" s="321">
        <f t="shared" si="54"/>
        <v>1.4175892986284315E-2</v>
      </c>
    </row>
    <row r="787" spans="1:11" x14ac:dyDescent="0.2">
      <c r="A787" s="320">
        <v>686</v>
      </c>
      <c r="B787" s="174">
        <v>49</v>
      </c>
      <c r="C787" s="174">
        <v>48</v>
      </c>
      <c r="D787" s="174">
        <v>65</v>
      </c>
      <c r="E787" s="174">
        <v>42</v>
      </c>
      <c r="F787" s="174">
        <v>16</v>
      </c>
      <c r="G787" s="68">
        <f t="shared" si="50"/>
        <v>0.24649597328200668</v>
      </c>
      <c r="H787" s="68">
        <f t="shared" si="51"/>
        <v>0.20002677935481583</v>
      </c>
      <c r="I787" s="68">
        <f t="shared" si="52"/>
        <v>0.21505777206989074</v>
      </c>
      <c r="J787" s="232">
        <f t="shared" si="53"/>
        <v>3.7992520882721481E-2</v>
      </c>
      <c r="K787" s="321">
        <f t="shared" si="54"/>
        <v>1.244775201684245E-2</v>
      </c>
    </row>
    <row r="788" spans="1:11" x14ac:dyDescent="0.2">
      <c r="A788" s="320">
        <v>687</v>
      </c>
      <c r="B788" s="174">
        <v>43</v>
      </c>
      <c r="C788" s="174">
        <v>22</v>
      </c>
      <c r="D788" s="174">
        <v>59</v>
      </c>
      <c r="E788" s="174">
        <v>24</v>
      </c>
      <c r="F788" s="174">
        <v>37</v>
      </c>
      <c r="G788" s="68">
        <f t="shared" si="50"/>
        <v>0.4481608987605592</v>
      </c>
      <c r="H788" s="68">
        <f t="shared" si="51"/>
        <v>0.43052255136957873</v>
      </c>
      <c r="I788" s="68">
        <f t="shared" si="52"/>
        <v>0.45403197960810693</v>
      </c>
      <c r="J788" s="232">
        <f t="shared" si="53"/>
        <v>1.225460765878927E-2</v>
      </c>
      <c r="K788" s="321">
        <f t="shared" si="54"/>
        <v>1.6300575037708615E-2</v>
      </c>
    </row>
    <row r="789" spans="1:11" x14ac:dyDescent="0.2">
      <c r="A789" s="320">
        <v>688</v>
      </c>
      <c r="B789" s="174">
        <v>51</v>
      </c>
      <c r="C789" s="174">
        <v>51</v>
      </c>
      <c r="D789" s="174">
        <v>75</v>
      </c>
      <c r="E789" s="174">
        <v>49</v>
      </c>
      <c r="F789" s="174">
        <v>9</v>
      </c>
      <c r="G789" s="68">
        <f t="shared" si="50"/>
        <v>0.27411303403264031</v>
      </c>
      <c r="H789" s="68">
        <f t="shared" si="51"/>
        <v>0.25213335145759541</v>
      </c>
      <c r="I789" s="68">
        <f t="shared" si="52"/>
        <v>0.24288376387053034</v>
      </c>
      <c r="J789" s="232">
        <f t="shared" si="53"/>
        <v>1.7401499189823269E-2</v>
      </c>
      <c r="K789" s="321">
        <f t="shared" si="54"/>
        <v>-7.4144821729072111E-3</v>
      </c>
    </row>
    <row r="790" spans="1:11" x14ac:dyDescent="0.2">
      <c r="A790" s="320">
        <v>689</v>
      </c>
      <c r="B790" s="174">
        <v>29</v>
      </c>
      <c r="C790" s="174">
        <v>20</v>
      </c>
      <c r="D790" s="174">
        <v>30</v>
      </c>
      <c r="E790" s="174">
        <v>25</v>
      </c>
      <c r="F790" s="174">
        <v>10</v>
      </c>
      <c r="G790" s="68">
        <f t="shared" si="50"/>
        <v>0.2741220984263264</v>
      </c>
      <c r="H790" s="68">
        <f t="shared" si="51"/>
        <v>0.28723176494601832</v>
      </c>
      <c r="I790" s="68">
        <f t="shared" si="52"/>
        <v>0.26196205094958924</v>
      </c>
      <c r="J790" s="232">
        <f t="shared" si="53"/>
        <v>-1.0236602747461389E-2</v>
      </c>
      <c r="K790" s="321">
        <f t="shared" si="54"/>
        <v>-1.9826300840424246E-2</v>
      </c>
    </row>
    <row r="791" spans="1:11" x14ac:dyDescent="0.2">
      <c r="A791" s="320">
        <v>690</v>
      </c>
      <c r="B791" s="174">
        <v>43</v>
      </c>
      <c r="C791" s="174">
        <v>34</v>
      </c>
      <c r="D791" s="174">
        <v>19</v>
      </c>
      <c r="E791" s="174">
        <v>59</v>
      </c>
      <c r="F791" s="174">
        <v>61</v>
      </c>
      <c r="G791" s="68">
        <f t="shared" si="50"/>
        <v>0.55812354645818307</v>
      </c>
      <c r="H791" s="68">
        <f t="shared" si="51"/>
        <v>0.58399864109998334</v>
      </c>
      <c r="I791" s="68">
        <f t="shared" si="52"/>
        <v>0.64113354243396081</v>
      </c>
      <c r="J791" s="232">
        <f t="shared" si="53"/>
        <v>-1.6470193084014897E-2</v>
      </c>
      <c r="K791" s="321">
        <f t="shared" si="54"/>
        <v>3.5434751988683129E-2</v>
      </c>
    </row>
    <row r="792" spans="1:11" x14ac:dyDescent="0.2">
      <c r="A792" s="320">
        <v>691</v>
      </c>
      <c r="B792" s="174">
        <v>9</v>
      </c>
      <c r="C792" s="174">
        <v>51</v>
      </c>
      <c r="D792" s="174">
        <v>24</v>
      </c>
      <c r="E792" s="174">
        <v>34</v>
      </c>
      <c r="F792" s="174">
        <v>12</v>
      </c>
      <c r="G792" s="68">
        <f t="shared" si="50"/>
        <v>0.40106366409872596</v>
      </c>
      <c r="H792" s="68">
        <f t="shared" si="51"/>
        <v>0.36543793838891592</v>
      </c>
      <c r="I792" s="68">
        <f t="shared" si="52"/>
        <v>0.36901686491537888</v>
      </c>
      <c r="J792" s="232">
        <f t="shared" si="53"/>
        <v>2.5756497054892951E-2</v>
      </c>
      <c r="K792" s="321">
        <f t="shared" si="54"/>
        <v>2.6176542144626409E-3</v>
      </c>
    </row>
    <row r="793" spans="1:11" x14ac:dyDescent="0.2">
      <c r="A793" s="320">
        <v>692</v>
      </c>
      <c r="B793" s="174">
        <v>43</v>
      </c>
      <c r="C793" s="174">
        <v>37</v>
      </c>
      <c r="D793" s="174">
        <v>4</v>
      </c>
      <c r="E793" s="174">
        <v>75</v>
      </c>
      <c r="F793" s="174">
        <v>24</v>
      </c>
      <c r="G793" s="68">
        <f t="shared" si="50"/>
        <v>0.35832696896081839</v>
      </c>
      <c r="H793" s="68">
        <f t="shared" si="51"/>
        <v>0.34308421079013884</v>
      </c>
      <c r="I793" s="68">
        <f t="shared" si="52"/>
        <v>0.3792550771763743</v>
      </c>
      <c r="J793" s="232">
        <f t="shared" si="53"/>
        <v>1.1285153518517532E-2</v>
      </c>
      <c r="K793" s="321">
        <f t="shared" si="54"/>
        <v>2.6574935209944188E-2</v>
      </c>
    </row>
    <row r="794" spans="1:11" x14ac:dyDescent="0.2">
      <c r="A794" s="320">
        <v>693</v>
      </c>
      <c r="B794" s="174">
        <v>70</v>
      </c>
      <c r="C794" s="174">
        <v>14</v>
      </c>
      <c r="D794" s="174">
        <v>60</v>
      </c>
      <c r="E794" s="174">
        <v>77</v>
      </c>
      <c r="F794" s="174">
        <v>76</v>
      </c>
      <c r="G794" s="68">
        <f t="shared" si="50"/>
        <v>0.64970690936743081</v>
      </c>
      <c r="H794" s="68">
        <f t="shared" si="51"/>
        <v>0.62660892456639417</v>
      </c>
      <c r="I794" s="68">
        <f t="shared" si="52"/>
        <v>0.72030085799702648</v>
      </c>
      <c r="J794" s="232">
        <f t="shared" si="53"/>
        <v>1.4100208073769507E-2</v>
      </c>
      <c r="K794" s="321">
        <f t="shared" si="54"/>
        <v>5.6001759595106324E-2</v>
      </c>
    </row>
    <row r="795" spans="1:11" x14ac:dyDescent="0.2">
      <c r="A795" s="320">
        <v>694</v>
      </c>
      <c r="B795" s="174">
        <v>65</v>
      </c>
      <c r="C795" s="174">
        <v>1</v>
      </c>
      <c r="D795" s="174">
        <v>28</v>
      </c>
      <c r="E795" s="174">
        <v>16</v>
      </c>
      <c r="F795" s="174">
        <v>68</v>
      </c>
      <c r="G795" s="68">
        <f t="shared" si="50"/>
        <v>0.54109069806819798</v>
      </c>
      <c r="H795" s="68">
        <f t="shared" si="51"/>
        <v>0.48759620748071852</v>
      </c>
      <c r="I795" s="68">
        <f t="shared" si="52"/>
        <v>0.51189889988773563</v>
      </c>
      <c r="J795" s="232">
        <f t="shared" si="53"/>
        <v>3.5328877592759239E-2</v>
      </c>
      <c r="K795" s="321">
        <f t="shared" si="54"/>
        <v>1.6204876724029722E-2</v>
      </c>
    </row>
    <row r="796" spans="1:11" x14ac:dyDescent="0.2">
      <c r="A796" s="320">
        <v>695</v>
      </c>
      <c r="B796" s="174">
        <v>48</v>
      </c>
      <c r="C796" s="174">
        <v>41</v>
      </c>
      <c r="D796" s="174">
        <v>6</v>
      </c>
      <c r="E796" s="174">
        <v>16</v>
      </c>
      <c r="F796" s="174">
        <v>20</v>
      </c>
      <c r="G796" s="68">
        <f t="shared" si="50"/>
        <v>3.2345338410777469E-3</v>
      </c>
      <c r="H796" s="68">
        <f t="shared" si="51"/>
        <v>1.5228223975941368E-2</v>
      </c>
      <c r="I796" s="68">
        <f t="shared" si="52"/>
        <v>-2.1151835833666643E-2</v>
      </c>
      <c r="J796" s="232">
        <f t="shared" si="53"/>
        <v>-1.1884124437008002E-2</v>
      </c>
      <c r="K796" s="321">
        <f t="shared" si="54"/>
        <v>-3.6492179688176966E-2</v>
      </c>
    </row>
    <row r="797" spans="1:11" x14ac:dyDescent="0.2">
      <c r="A797" s="320">
        <v>696</v>
      </c>
      <c r="B797" s="174">
        <v>74</v>
      </c>
      <c r="C797" s="174">
        <v>61</v>
      </c>
      <c r="D797" s="174">
        <v>70</v>
      </c>
      <c r="E797" s="174">
        <v>33</v>
      </c>
      <c r="F797" s="174">
        <v>70</v>
      </c>
      <c r="G797" s="68">
        <f t="shared" si="50"/>
        <v>0.80647068435738056</v>
      </c>
      <c r="H797" s="68">
        <f t="shared" si="51"/>
        <v>0.79199558939986003</v>
      </c>
      <c r="I797" s="68">
        <f t="shared" si="52"/>
        <v>0.87675718392569557</v>
      </c>
      <c r="J797" s="232">
        <f t="shared" si="53"/>
        <v>8.0451903290851036E-3</v>
      </c>
      <c r="K797" s="321">
        <f t="shared" si="54"/>
        <v>4.6215532040711868E-2</v>
      </c>
    </row>
    <row r="798" spans="1:11" x14ac:dyDescent="0.2">
      <c r="A798" s="320">
        <v>697</v>
      </c>
      <c r="B798" s="174">
        <v>69</v>
      </c>
      <c r="C798" s="174">
        <v>13</v>
      </c>
      <c r="D798" s="174">
        <v>40</v>
      </c>
      <c r="E798" s="174">
        <v>30</v>
      </c>
      <c r="F798" s="174">
        <v>46</v>
      </c>
      <c r="G798" s="68">
        <f t="shared" si="50"/>
        <v>0.91152444069427019</v>
      </c>
      <c r="H798" s="68">
        <f t="shared" si="51"/>
        <v>0.80789424237657737</v>
      </c>
      <c r="I798" s="68">
        <f t="shared" si="52"/>
        <v>0.90200574335394501</v>
      </c>
      <c r="J798" s="232">
        <f t="shared" si="53"/>
        <v>5.5738294207746834E-2</v>
      </c>
      <c r="K798" s="321">
        <f t="shared" si="54"/>
        <v>5.0746217759551411E-2</v>
      </c>
    </row>
    <row r="799" spans="1:11" x14ac:dyDescent="0.2">
      <c r="A799" s="320">
        <v>698</v>
      </c>
      <c r="B799" s="174">
        <v>26</v>
      </c>
      <c r="C799" s="174">
        <v>48</v>
      </c>
      <c r="D799" s="174">
        <v>40</v>
      </c>
      <c r="E799" s="174">
        <v>35</v>
      </c>
      <c r="F799" s="174">
        <v>27</v>
      </c>
      <c r="G799" s="68">
        <f t="shared" si="50"/>
        <v>0.70974700213406416</v>
      </c>
      <c r="H799" s="68">
        <f t="shared" si="51"/>
        <v>0.6737098600010345</v>
      </c>
      <c r="I799" s="68">
        <f t="shared" si="52"/>
        <v>0.7630194424520651</v>
      </c>
      <c r="J799" s="232">
        <f t="shared" si="53"/>
        <v>2.1302771940100353E-2</v>
      </c>
      <c r="K799" s="321">
        <f t="shared" si="54"/>
        <v>5.1985295744764022E-2</v>
      </c>
    </row>
    <row r="800" spans="1:11" x14ac:dyDescent="0.2">
      <c r="A800" s="320">
        <v>699</v>
      </c>
      <c r="B800" s="174">
        <v>41</v>
      </c>
      <c r="C800" s="174">
        <v>20</v>
      </c>
      <c r="D800" s="174">
        <v>15</v>
      </c>
      <c r="E800" s="174">
        <v>63</v>
      </c>
      <c r="F800" s="174">
        <v>4</v>
      </c>
      <c r="G800" s="68">
        <f t="shared" si="50"/>
        <v>8.7346885436715871E-2</v>
      </c>
      <c r="H800" s="68">
        <f t="shared" si="51"/>
        <v>8.3925673112245525E-2</v>
      </c>
      <c r="I800" s="68">
        <f t="shared" si="52"/>
        <v>8.0407666783282483E-2</v>
      </c>
      <c r="J800" s="232">
        <f t="shared" si="53"/>
        <v>3.1513456404464904E-3</v>
      </c>
      <c r="K800" s="321">
        <f t="shared" si="54"/>
        <v>-3.25089427067192E-3</v>
      </c>
    </row>
    <row r="801" spans="1:11" x14ac:dyDescent="0.2">
      <c r="A801" s="320">
        <v>700</v>
      </c>
      <c r="B801" s="174">
        <v>42</v>
      </c>
      <c r="C801" s="174">
        <v>42</v>
      </c>
      <c r="D801" s="174">
        <v>33</v>
      </c>
      <c r="E801" s="174">
        <v>53</v>
      </c>
      <c r="F801" s="174">
        <v>41</v>
      </c>
      <c r="G801" s="68">
        <f t="shared" si="50"/>
        <v>0.51526003154999844</v>
      </c>
      <c r="H801" s="68">
        <f t="shared" si="51"/>
        <v>0.53736133013607978</v>
      </c>
      <c r="I801" s="68">
        <f t="shared" si="52"/>
        <v>0.60114553035330021</v>
      </c>
      <c r="J801" s="232">
        <f t="shared" si="53"/>
        <v>-1.4480462629584984E-2</v>
      </c>
      <c r="K801" s="321">
        <f t="shared" si="54"/>
        <v>4.0651804692378925E-2</v>
      </c>
    </row>
    <row r="802" spans="1:11" x14ac:dyDescent="0.2">
      <c r="A802" s="320">
        <v>701</v>
      </c>
      <c r="B802" s="174">
        <v>12</v>
      </c>
      <c r="C802" s="174">
        <v>18</v>
      </c>
      <c r="D802" s="174">
        <v>70</v>
      </c>
      <c r="E802" s="174">
        <v>28</v>
      </c>
      <c r="F802" s="174">
        <v>30</v>
      </c>
      <c r="G802" s="68">
        <f t="shared" si="50"/>
        <v>0.86355417018453084</v>
      </c>
      <c r="H802" s="68">
        <f t="shared" si="51"/>
        <v>0.76351958157432032</v>
      </c>
      <c r="I802" s="68">
        <f t="shared" si="52"/>
        <v>0.81824994156890551</v>
      </c>
      <c r="J802" s="232">
        <f t="shared" si="53"/>
        <v>5.5173934124591525E-2</v>
      </c>
      <c r="K802" s="321">
        <f t="shared" si="54"/>
        <v>3.0562893471239024E-2</v>
      </c>
    </row>
    <row r="803" spans="1:11" x14ac:dyDescent="0.2">
      <c r="A803" s="320">
        <v>702</v>
      </c>
      <c r="B803" s="174">
        <v>16</v>
      </c>
      <c r="C803" s="174">
        <v>8</v>
      </c>
      <c r="D803" s="174">
        <v>56</v>
      </c>
      <c r="E803" s="174">
        <v>71</v>
      </c>
      <c r="F803" s="174">
        <v>42</v>
      </c>
      <c r="G803" s="68">
        <f t="shared" si="50"/>
        <v>5.6532951942412479E-2</v>
      </c>
      <c r="H803" s="68">
        <f t="shared" si="51"/>
        <v>6.1866394738563812E-2</v>
      </c>
      <c r="I803" s="68">
        <f t="shared" si="52"/>
        <v>1.490329771231047E-2</v>
      </c>
      <c r="J803" s="232">
        <f t="shared" si="53"/>
        <v>-5.0353622640288004E-3</v>
      </c>
      <c r="K803" s="321">
        <f t="shared" si="54"/>
        <v>-4.5234774809543361E-2</v>
      </c>
    </row>
    <row r="804" spans="1:11" x14ac:dyDescent="0.2">
      <c r="A804" s="320">
        <v>703</v>
      </c>
      <c r="B804" s="174">
        <v>41</v>
      </c>
      <c r="C804" s="174">
        <v>39</v>
      </c>
      <c r="D804" s="174">
        <v>3</v>
      </c>
      <c r="E804" s="174">
        <v>53</v>
      </c>
      <c r="F804" s="174">
        <v>8</v>
      </c>
      <c r="G804" s="68">
        <f t="shared" si="50"/>
        <v>5.200894431890557E-2</v>
      </c>
      <c r="H804" s="68">
        <f t="shared" si="51"/>
        <v>6.4545496953032799E-2</v>
      </c>
      <c r="I804" s="68">
        <f t="shared" si="52"/>
        <v>1.9435663374634427E-2</v>
      </c>
      <c r="J804" s="232">
        <f t="shared" si="53"/>
        <v>-1.1846328163921739E-2</v>
      </c>
      <c r="K804" s="321">
        <f t="shared" si="54"/>
        <v>-4.329874166372661E-2</v>
      </c>
    </row>
    <row r="805" spans="1:11" x14ac:dyDescent="0.2">
      <c r="A805" s="320">
        <v>704</v>
      </c>
      <c r="B805" s="174">
        <v>52</v>
      </c>
      <c r="C805" s="174">
        <v>46</v>
      </c>
      <c r="D805" s="174">
        <v>75</v>
      </c>
      <c r="E805" s="174">
        <v>13</v>
      </c>
      <c r="F805" s="174">
        <v>53</v>
      </c>
      <c r="G805" s="68">
        <f t="shared" si="50"/>
        <v>0.71893352397174781</v>
      </c>
      <c r="H805" s="68">
        <f t="shared" si="51"/>
        <v>0.67426131549198476</v>
      </c>
      <c r="I805" s="68">
        <f t="shared" si="52"/>
        <v>0.75885025637662973</v>
      </c>
      <c r="J805" s="232">
        <f t="shared" si="53"/>
        <v>2.6331991986986193E-2</v>
      </c>
      <c r="K805" s="321">
        <f t="shared" si="54"/>
        <v>4.9288269829168271E-2</v>
      </c>
    </row>
    <row r="806" spans="1:11" x14ac:dyDescent="0.2">
      <c r="A806" s="320">
        <v>705</v>
      </c>
      <c r="B806" s="174">
        <v>34</v>
      </c>
      <c r="C806" s="174">
        <v>75</v>
      </c>
      <c r="D806" s="174">
        <v>8</v>
      </c>
      <c r="E806" s="174">
        <v>16</v>
      </c>
      <c r="F806" s="174">
        <v>60</v>
      </c>
      <c r="G806" s="68">
        <f t="shared" ref="G806:G869" si="55">(1+INDEX($Z$21:$Z$97,B806))*(1+INDEX($Z$21:$Z$97,C806))*(1+INDEX($Z$21:$Z$97,D806))*(1+INDEX($Z$21:$Z$97,E806))*(1+INDEX($Z$21:$Z$97,F806))-1</f>
        <v>0.20222535660483887</v>
      </c>
      <c r="H806" s="68">
        <f t="shared" ref="H806:H869" si="56">(1+INDEX($AA$21:$AA$97,B806))*(1+INDEX($AA$21:$AA$97,C806))*(1+INDEX($AA$21:$AA$97,D806))*(1+INDEX($AA$21:$AA$97,E806))*(1+INDEX($AA$21:$AA$97,F806))-1</f>
        <v>0.26162668325803606</v>
      </c>
      <c r="I806" s="68">
        <f t="shared" ref="I806:I869" si="57">(1+INDEX($AB$21:$AB$97,B806))*(1+INDEX($AB$21:$AB$97,C806))*(1+INDEX($AB$21:$AB$97,D806))*(1+INDEX($AB$21:$AB$97,E806))*(1+INDEX($AB$21:$AB$97,F806))-1</f>
        <v>0.24681729846471057</v>
      </c>
      <c r="J806" s="232">
        <f t="shared" ref="J806:J869" si="58">LN((1+G806)/(1+H806))</f>
        <v>-4.8227603538218373E-2</v>
      </c>
      <c r="K806" s="321">
        <f t="shared" ref="K806:K869" si="59">LN((1+I806)/(1+H806))</f>
        <v>-1.1807763669631755E-2</v>
      </c>
    </row>
    <row r="807" spans="1:11" x14ac:dyDescent="0.2">
      <c r="A807" s="320">
        <v>706</v>
      </c>
      <c r="B807" s="174">
        <v>22</v>
      </c>
      <c r="C807" s="174">
        <v>2</v>
      </c>
      <c r="D807" s="174">
        <v>33</v>
      </c>
      <c r="E807" s="174">
        <v>21</v>
      </c>
      <c r="F807" s="174">
        <v>8</v>
      </c>
      <c r="G807" s="68">
        <f t="shared" si="55"/>
        <v>0.14694055997496158</v>
      </c>
      <c r="H807" s="68">
        <f t="shared" si="56"/>
        <v>0.16862235329314368</v>
      </c>
      <c r="I807" s="68">
        <f t="shared" si="57"/>
        <v>0.1095217354840432</v>
      </c>
      <c r="J807" s="232">
        <f t="shared" si="58"/>
        <v>-1.8727564584672944E-2</v>
      </c>
      <c r="K807" s="321">
        <f t="shared" si="59"/>
        <v>-5.1896525682279253E-2</v>
      </c>
    </row>
    <row r="808" spans="1:11" x14ac:dyDescent="0.2">
      <c r="A808" s="320">
        <v>707</v>
      </c>
      <c r="B808" s="174">
        <v>34</v>
      </c>
      <c r="C808" s="174">
        <v>11</v>
      </c>
      <c r="D808" s="174">
        <v>22</v>
      </c>
      <c r="E808" s="174">
        <v>49</v>
      </c>
      <c r="F808" s="174">
        <v>57</v>
      </c>
      <c r="G808" s="68">
        <f t="shared" si="55"/>
        <v>0.55215629684914558</v>
      </c>
      <c r="H808" s="68">
        <f t="shared" si="56"/>
        <v>0.48886069955290345</v>
      </c>
      <c r="I808" s="68">
        <f t="shared" si="57"/>
        <v>0.51995912358544194</v>
      </c>
      <c r="J808" s="232">
        <f t="shared" si="58"/>
        <v>4.1633927117838705E-2</v>
      </c>
      <c r="K808" s="321">
        <f t="shared" si="59"/>
        <v>2.0672245813277278E-2</v>
      </c>
    </row>
    <row r="809" spans="1:11" x14ac:dyDescent="0.2">
      <c r="A809" s="320">
        <v>708</v>
      </c>
      <c r="B809" s="174">
        <v>21</v>
      </c>
      <c r="C809" s="174">
        <v>75</v>
      </c>
      <c r="D809" s="174">
        <v>22</v>
      </c>
      <c r="E809" s="174">
        <v>49</v>
      </c>
      <c r="F809" s="174">
        <v>72</v>
      </c>
      <c r="G809" s="68">
        <f t="shared" si="55"/>
        <v>0.43835238656430087</v>
      </c>
      <c r="H809" s="68">
        <f t="shared" si="56"/>
        <v>0.4423538251071597</v>
      </c>
      <c r="I809" s="68">
        <f t="shared" si="57"/>
        <v>0.47040249743444162</v>
      </c>
      <c r="J809" s="232">
        <f t="shared" si="58"/>
        <v>-2.778097329175585E-3</v>
      </c>
      <c r="K809" s="321">
        <f t="shared" si="59"/>
        <v>1.9259791239676381E-2</v>
      </c>
    </row>
    <row r="810" spans="1:11" x14ac:dyDescent="0.2">
      <c r="A810" s="320">
        <v>709</v>
      </c>
      <c r="B810" s="174">
        <v>51</v>
      </c>
      <c r="C810" s="174">
        <v>30</v>
      </c>
      <c r="D810" s="174">
        <v>19</v>
      </c>
      <c r="E810" s="174">
        <v>32</v>
      </c>
      <c r="F810" s="174">
        <v>31</v>
      </c>
      <c r="G810" s="68">
        <f t="shared" si="55"/>
        <v>0.53993057135044276</v>
      </c>
      <c r="H810" s="68">
        <f t="shared" si="56"/>
        <v>0.51687140218941385</v>
      </c>
      <c r="I810" s="68">
        <f t="shared" si="57"/>
        <v>0.5177652926124976</v>
      </c>
      <c r="J810" s="232">
        <f t="shared" si="58"/>
        <v>1.5087406231654547E-2</v>
      </c>
      <c r="K810" s="321">
        <f t="shared" si="59"/>
        <v>5.8912518290454624E-4</v>
      </c>
    </row>
    <row r="811" spans="1:11" x14ac:dyDescent="0.2">
      <c r="A811" s="320">
        <v>710</v>
      </c>
      <c r="B811" s="174">
        <v>45</v>
      </c>
      <c r="C811" s="174">
        <v>33</v>
      </c>
      <c r="D811" s="174">
        <v>1</v>
      </c>
      <c r="E811" s="174">
        <v>52</v>
      </c>
      <c r="F811" s="174">
        <v>12</v>
      </c>
      <c r="G811" s="68">
        <f t="shared" si="55"/>
        <v>0.93087756816476097</v>
      </c>
      <c r="H811" s="68">
        <f t="shared" si="56"/>
        <v>0.80455241839555813</v>
      </c>
      <c r="I811" s="68">
        <f t="shared" si="57"/>
        <v>0.89218982147399006</v>
      </c>
      <c r="J811" s="232">
        <f t="shared" si="58"/>
        <v>6.7662004715813684E-2</v>
      </c>
      <c r="K811" s="321">
        <f t="shared" si="59"/>
        <v>4.7422200683852889E-2</v>
      </c>
    </row>
    <row r="812" spans="1:11" x14ac:dyDescent="0.2">
      <c r="A812" s="320">
        <v>711</v>
      </c>
      <c r="B812" s="174">
        <v>9</v>
      </c>
      <c r="C812" s="174">
        <v>21</v>
      </c>
      <c r="D812" s="174">
        <v>18</v>
      </c>
      <c r="E812" s="174">
        <v>26</v>
      </c>
      <c r="F812" s="174">
        <v>26</v>
      </c>
      <c r="G812" s="68">
        <f t="shared" si="55"/>
        <v>0.26159810543736106</v>
      </c>
      <c r="H812" s="68">
        <f t="shared" si="56"/>
        <v>0.26381850075049229</v>
      </c>
      <c r="I812" s="68">
        <f t="shared" si="57"/>
        <v>0.23470290917862835</v>
      </c>
      <c r="J812" s="232">
        <f t="shared" si="58"/>
        <v>-1.7584392846967465E-3</v>
      </c>
      <c r="K812" s="321">
        <f t="shared" si="59"/>
        <v>-2.3307312464694932E-2</v>
      </c>
    </row>
    <row r="813" spans="1:11" x14ac:dyDescent="0.2">
      <c r="A813" s="320">
        <v>712</v>
      </c>
      <c r="B813" s="174">
        <v>39</v>
      </c>
      <c r="C813" s="174">
        <v>17</v>
      </c>
      <c r="D813" s="174">
        <v>55</v>
      </c>
      <c r="E813" s="174">
        <v>60</v>
      </c>
      <c r="F813" s="174">
        <v>42</v>
      </c>
      <c r="G813" s="68">
        <f t="shared" si="55"/>
        <v>0.35013581136193173</v>
      </c>
      <c r="H813" s="68">
        <f t="shared" si="56"/>
        <v>0.34041870557226295</v>
      </c>
      <c r="I813" s="68">
        <f t="shared" si="57"/>
        <v>0.34969792553828216</v>
      </c>
      <c r="J813" s="232">
        <f t="shared" si="58"/>
        <v>7.2231563990395658E-3</v>
      </c>
      <c r="K813" s="321">
        <f t="shared" si="59"/>
        <v>6.8987765518629353E-3</v>
      </c>
    </row>
    <row r="814" spans="1:11" x14ac:dyDescent="0.2">
      <c r="A814" s="320">
        <v>713</v>
      </c>
      <c r="B814" s="174">
        <v>38</v>
      </c>
      <c r="C814" s="174">
        <v>22</v>
      </c>
      <c r="D814" s="174">
        <v>8</v>
      </c>
      <c r="E814" s="174">
        <v>19</v>
      </c>
      <c r="F814" s="174">
        <v>5</v>
      </c>
      <c r="G814" s="68">
        <f t="shared" si="55"/>
        <v>-0.23188887750014575</v>
      </c>
      <c r="H814" s="68">
        <f t="shared" si="56"/>
        <v>-0.18642116850425006</v>
      </c>
      <c r="I814" s="68">
        <f t="shared" si="57"/>
        <v>-0.26445556871851816</v>
      </c>
      <c r="J814" s="232">
        <f t="shared" si="58"/>
        <v>-5.7508412640983407E-2</v>
      </c>
      <c r="K814" s="321">
        <f t="shared" si="59"/>
        <v>-0.1008318782319529</v>
      </c>
    </row>
    <row r="815" spans="1:11" x14ac:dyDescent="0.2">
      <c r="A815" s="320">
        <v>714</v>
      </c>
      <c r="B815" s="174">
        <v>26</v>
      </c>
      <c r="C815" s="174">
        <v>46</v>
      </c>
      <c r="D815" s="174">
        <v>77</v>
      </c>
      <c r="E815" s="174">
        <v>49</v>
      </c>
      <c r="F815" s="174">
        <v>27</v>
      </c>
      <c r="G815" s="68">
        <f t="shared" si="55"/>
        <v>0.86120018326406367</v>
      </c>
      <c r="H815" s="68">
        <f t="shared" si="56"/>
        <v>0.76926743717189172</v>
      </c>
      <c r="I815" s="68">
        <f t="shared" si="57"/>
        <v>0.90814000468202716</v>
      </c>
      <c r="J815" s="232">
        <f t="shared" si="58"/>
        <v>5.0655955843020427E-2</v>
      </c>
      <c r="K815" s="321">
        <f t="shared" si="59"/>
        <v>7.5563364439157593E-2</v>
      </c>
    </row>
    <row r="816" spans="1:11" x14ac:dyDescent="0.2">
      <c r="A816" s="320">
        <v>715</v>
      </c>
      <c r="B816" s="174">
        <v>69</v>
      </c>
      <c r="C816" s="174">
        <v>70</v>
      </c>
      <c r="D816" s="174">
        <v>47</v>
      </c>
      <c r="E816" s="174">
        <v>29</v>
      </c>
      <c r="F816" s="174">
        <v>15</v>
      </c>
      <c r="G816" s="68">
        <f t="shared" si="55"/>
        <v>0.66713591972069586</v>
      </c>
      <c r="H816" s="68">
        <f t="shared" si="56"/>
        <v>0.66785178613408425</v>
      </c>
      <c r="I816" s="68">
        <f t="shared" si="57"/>
        <v>0.73482125565130785</v>
      </c>
      <c r="J816" s="232">
        <f t="shared" si="58"/>
        <v>-4.2930678462560408E-4</v>
      </c>
      <c r="K816" s="321">
        <f t="shared" si="59"/>
        <v>3.9367942657505497E-2</v>
      </c>
    </row>
    <row r="817" spans="1:11" x14ac:dyDescent="0.2">
      <c r="A817" s="320">
        <v>716</v>
      </c>
      <c r="B817" s="174">
        <v>49</v>
      </c>
      <c r="C817" s="174">
        <v>33</v>
      </c>
      <c r="D817" s="174">
        <v>46</v>
      </c>
      <c r="E817" s="174">
        <v>38</v>
      </c>
      <c r="F817" s="174">
        <v>27</v>
      </c>
      <c r="G817" s="68">
        <f t="shared" si="55"/>
        <v>0.86395037432991217</v>
      </c>
      <c r="H817" s="68">
        <f t="shared" si="56"/>
        <v>0.76454511383340962</v>
      </c>
      <c r="I817" s="68">
        <f t="shared" si="57"/>
        <v>0.84774201710466235</v>
      </c>
      <c r="J817" s="232">
        <f t="shared" si="58"/>
        <v>5.4805161400611473E-2</v>
      </c>
      <c r="K817" s="321">
        <f t="shared" si="59"/>
        <v>4.6071431045688907E-2</v>
      </c>
    </row>
    <row r="818" spans="1:11" x14ac:dyDescent="0.2">
      <c r="A818" s="320">
        <v>717</v>
      </c>
      <c r="B818" s="174">
        <v>65</v>
      </c>
      <c r="C818" s="174">
        <v>3</v>
      </c>
      <c r="D818" s="174">
        <v>16</v>
      </c>
      <c r="E818" s="174">
        <v>18</v>
      </c>
      <c r="F818" s="174">
        <v>17</v>
      </c>
      <c r="G818" s="68">
        <f t="shared" si="55"/>
        <v>0.27541423630785977</v>
      </c>
      <c r="H818" s="68">
        <f t="shared" si="56"/>
        <v>0.19228049080209986</v>
      </c>
      <c r="I818" s="68">
        <f t="shared" si="57"/>
        <v>0.16964287952436163</v>
      </c>
      <c r="J818" s="232">
        <f t="shared" si="58"/>
        <v>6.7403165029079337E-2</v>
      </c>
      <c r="K818" s="321">
        <f t="shared" si="59"/>
        <v>-1.9169380996047446E-2</v>
      </c>
    </row>
    <row r="819" spans="1:11" x14ac:dyDescent="0.2">
      <c r="A819" s="320">
        <v>718</v>
      </c>
      <c r="B819" s="174">
        <v>52</v>
      </c>
      <c r="C819" s="174">
        <v>26</v>
      </c>
      <c r="D819" s="174">
        <v>33</v>
      </c>
      <c r="E819" s="174">
        <v>15</v>
      </c>
      <c r="F819" s="174">
        <v>48</v>
      </c>
      <c r="G819" s="68">
        <f t="shared" si="55"/>
        <v>0.78257862223155628</v>
      </c>
      <c r="H819" s="68">
        <f t="shared" si="56"/>
        <v>0.72200254000072461</v>
      </c>
      <c r="I819" s="68">
        <f t="shared" si="57"/>
        <v>0.80344412178211777</v>
      </c>
      <c r="J819" s="232">
        <f t="shared" si="58"/>
        <v>3.4573099143473889E-2</v>
      </c>
      <c r="K819" s="321">
        <f t="shared" si="59"/>
        <v>4.6210356638309073E-2</v>
      </c>
    </row>
    <row r="820" spans="1:11" x14ac:dyDescent="0.2">
      <c r="A820" s="320">
        <v>719</v>
      </c>
      <c r="B820" s="174">
        <v>66</v>
      </c>
      <c r="C820" s="174">
        <v>39</v>
      </c>
      <c r="D820" s="174">
        <v>34</v>
      </c>
      <c r="E820" s="174">
        <v>45</v>
      </c>
      <c r="F820" s="174">
        <v>58</v>
      </c>
      <c r="G820" s="68">
        <f t="shared" si="55"/>
        <v>0.67706275816038941</v>
      </c>
      <c r="H820" s="68">
        <f t="shared" si="56"/>
        <v>0.65921345047174751</v>
      </c>
      <c r="I820" s="68">
        <f t="shared" si="57"/>
        <v>0.74256100390166968</v>
      </c>
      <c r="J820" s="232">
        <f t="shared" si="58"/>
        <v>1.0700239954378913E-2</v>
      </c>
      <c r="K820" s="321">
        <f t="shared" si="59"/>
        <v>4.9012207391562854E-2</v>
      </c>
    </row>
    <row r="821" spans="1:11" x14ac:dyDescent="0.2">
      <c r="A821" s="320">
        <v>720</v>
      </c>
      <c r="B821" s="174">
        <v>6</v>
      </c>
      <c r="C821" s="174">
        <v>56</v>
      </c>
      <c r="D821" s="174">
        <v>46</v>
      </c>
      <c r="E821" s="174">
        <v>59</v>
      </c>
      <c r="F821" s="174">
        <v>13</v>
      </c>
      <c r="G821" s="68">
        <f t="shared" si="55"/>
        <v>0.48473291043959077</v>
      </c>
      <c r="H821" s="68">
        <f t="shared" si="56"/>
        <v>0.4426947737164808</v>
      </c>
      <c r="I821" s="68">
        <f t="shared" si="57"/>
        <v>0.47545032570342793</v>
      </c>
      <c r="J821" s="232">
        <f t="shared" si="58"/>
        <v>2.8722162396589E-2</v>
      </c>
      <c r="K821" s="321">
        <f t="shared" si="59"/>
        <v>2.2450513365375933E-2</v>
      </c>
    </row>
    <row r="822" spans="1:11" x14ac:dyDescent="0.2">
      <c r="A822" s="320">
        <v>721</v>
      </c>
      <c r="B822" s="174">
        <v>7</v>
      </c>
      <c r="C822" s="174">
        <v>35</v>
      </c>
      <c r="D822" s="174">
        <v>75</v>
      </c>
      <c r="E822" s="174">
        <v>34</v>
      </c>
      <c r="F822" s="174">
        <v>70</v>
      </c>
      <c r="G822" s="68">
        <f t="shared" si="55"/>
        <v>0.32119157619295602</v>
      </c>
      <c r="H822" s="68">
        <f t="shared" si="56"/>
        <v>0.39772368842048267</v>
      </c>
      <c r="I822" s="68">
        <f t="shared" si="57"/>
        <v>0.42426613241143474</v>
      </c>
      <c r="J822" s="232">
        <f t="shared" si="58"/>
        <v>-5.6310937870410076E-2</v>
      </c>
      <c r="K822" s="321">
        <f t="shared" si="59"/>
        <v>1.8811709757423453E-2</v>
      </c>
    </row>
    <row r="823" spans="1:11" x14ac:dyDescent="0.2">
      <c r="A823" s="320">
        <v>722</v>
      </c>
      <c r="B823" s="174">
        <v>11</v>
      </c>
      <c r="C823" s="174">
        <v>4</v>
      </c>
      <c r="D823" s="174">
        <v>65</v>
      </c>
      <c r="E823" s="174">
        <v>16</v>
      </c>
      <c r="F823" s="174">
        <v>1</v>
      </c>
      <c r="G823" s="68">
        <f t="shared" si="55"/>
        <v>0.18941970879735792</v>
      </c>
      <c r="H823" s="68">
        <f t="shared" si="56"/>
        <v>0.13358297985655421</v>
      </c>
      <c r="I823" s="68">
        <f t="shared" si="57"/>
        <v>0.10986495661496609</v>
      </c>
      <c r="J823" s="232">
        <f t="shared" si="58"/>
        <v>4.8082153481711132E-2</v>
      </c>
      <c r="K823" s="321">
        <f t="shared" si="59"/>
        <v>-2.1145047825011837E-2</v>
      </c>
    </row>
    <row r="824" spans="1:11" x14ac:dyDescent="0.2">
      <c r="A824" s="320">
        <v>723</v>
      </c>
      <c r="B824" s="174">
        <v>36</v>
      </c>
      <c r="C824" s="174">
        <v>24</v>
      </c>
      <c r="D824" s="174">
        <v>59</v>
      </c>
      <c r="E824" s="174">
        <v>26</v>
      </c>
      <c r="F824" s="174">
        <v>62</v>
      </c>
      <c r="G824" s="68">
        <f t="shared" si="55"/>
        <v>0.65856607127184374</v>
      </c>
      <c r="H824" s="68">
        <f t="shared" si="56"/>
        <v>0.62550343678722387</v>
      </c>
      <c r="I824" s="68">
        <f t="shared" si="57"/>
        <v>0.71584926466206555</v>
      </c>
      <c r="J824" s="232">
        <f t="shared" si="58"/>
        <v>2.0135841525594909E-2</v>
      </c>
      <c r="K824" s="321">
        <f t="shared" si="59"/>
        <v>5.409058104647281E-2</v>
      </c>
    </row>
    <row r="825" spans="1:11" x14ac:dyDescent="0.2">
      <c r="A825" s="320">
        <v>724</v>
      </c>
      <c r="B825" s="174">
        <v>14</v>
      </c>
      <c r="C825" s="174">
        <v>6</v>
      </c>
      <c r="D825" s="174">
        <v>75</v>
      </c>
      <c r="E825" s="174">
        <v>45</v>
      </c>
      <c r="F825" s="174">
        <v>41</v>
      </c>
      <c r="G825" s="68">
        <f t="shared" si="55"/>
        <v>0.27205126545865932</v>
      </c>
      <c r="H825" s="68">
        <f t="shared" si="56"/>
        <v>0.2874449629805047</v>
      </c>
      <c r="I825" s="68">
        <f t="shared" si="57"/>
        <v>0.32156865126950374</v>
      </c>
      <c r="J825" s="232">
        <f t="shared" si="58"/>
        <v>-1.2028838303136388E-2</v>
      </c>
      <c r="K825" s="321">
        <f t="shared" si="59"/>
        <v>2.6159797774395047E-2</v>
      </c>
    </row>
    <row r="826" spans="1:11" x14ac:dyDescent="0.2">
      <c r="A826" s="320">
        <v>725</v>
      </c>
      <c r="B826" s="174">
        <v>62</v>
      </c>
      <c r="C826" s="174">
        <v>37</v>
      </c>
      <c r="D826" s="174">
        <v>32</v>
      </c>
      <c r="E826" s="174">
        <v>60</v>
      </c>
      <c r="F826" s="174">
        <v>12</v>
      </c>
      <c r="G826" s="68">
        <f t="shared" si="55"/>
        <v>0.38691073923452834</v>
      </c>
      <c r="H826" s="68">
        <f t="shared" si="56"/>
        <v>0.36723532734787456</v>
      </c>
      <c r="I826" s="68">
        <f t="shared" si="57"/>
        <v>0.39090341334583423</v>
      </c>
      <c r="J826" s="232">
        <f t="shared" si="58"/>
        <v>1.428809230673034E-2</v>
      </c>
      <c r="K826" s="321">
        <f t="shared" si="59"/>
        <v>1.7162782002702357E-2</v>
      </c>
    </row>
    <row r="827" spans="1:11" x14ac:dyDescent="0.2">
      <c r="A827" s="320">
        <v>726</v>
      </c>
      <c r="B827" s="174">
        <v>41</v>
      </c>
      <c r="C827" s="174">
        <v>7</v>
      </c>
      <c r="D827" s="174">
        <v>73</v>
      </c>
      <c r="E827" s="174">
        <v>74</v>
      </c>
      <c r="F827" s="174">
        <v>59</v>
      </c>
      <c r="G827" s="68">
        <f t="shared" si="55"/>
        <v>0.38136097713997974</v>
      </c>
      <c r="H827" s="68">
        <f t="shared" si="56"/>
        <v>0.40465380528990158</v>
      </c>
      <c r="I827" s="68">
        <f t="shared" si="57"/>
        <v>0.43770902883788754</v>
      </c>
      <c r="J827" s="232">
        <f t="shared" si="58"/>
        <v>-1.6721641997757372E-2</v>
      </c>
      <c r="K827" s="321">
        <f t="shared" si="59"/>
        <v>2.3260023988777093E-2</v>
      </c>
    </row>
    <row r="828" spans="1:11" x14ac:dyDescent="0.2">
      <c r="A828" s="320">
        <v>727</v>
      </c>
      <c r="B828" s="174">
        <v>61</v>
      </c>
      <c r="C828" s="174">
        <v>5</v>
      </c>
      <c r="D828" s="174">
        <v>73</v>
      </c>
      <c r="E828" s="174">
        <v>72</v>
      </c>
      <c r="F828" s="174">
        <v>3</v>
      </c>
      <c r="G828" s="68">
        <f t="shared" si="55"/>
        <v>0.3690512263284329</v>
      </c>
      <c r="H828" s="68">
        <f t="shared" si="56"/>
        <v>0.37481611894626599</v>
      </c>
      <c r="I828" s="68">
        <f t="shared" si="57"/>
        <v>0.41389304262878346</v>
      </c>
      <c r="J828" s="232">
        <f t="shared" si="58"/>
        <v>-4.2020261003716886E-3</v>
      </c>
      <c r="K828" s="321">
        <f t="shared" si="59"/>
        <v>2.8026932407943888E-2</v>
      </c>
    </row>
    <row r="829" spans="1:11" x14ac:dyDescent="0.2">
      <c r="A829" s="320">
        <v>728</v>
      </c>
      <c r="B829" s="174">
        <v>56</v>
      </c>
      <c r="C829" s="174">
        <v>69</v>
      </c>
      <c r="D829" s="174">
        <v>70</v>
      </c>
      <c r="E829" s="174">
        <v>37</v>
      </c>
      <c r="F829" s="174">
        <v>29</v>
      </c>
      <c r="G829" s="68">
        <f t="shared" si="55"/>
        <v>0.411842035880011</v>
      </c>
      <c r="H829" s="68">
        <f t="shared" si="56"/>
        <v>0.43439130888968891</v>
      </c>
      <c r="I829" s="68">
        <f t="shared" si="57"/>
        <v>0.45265866832996204</v>
      </c>
      <c r="J829" s="232">
        <f t="shared" si="58"/>
        <v>-1.5845324027542608E-2</v>
      </c>
      <c r="K829" s="321">
        <f t="shared" si="59"/>
        <v>1.2654857636638503E-2</v>
      </c>
    </row>
    <row r="830" spans="1:11" x14ac:dyDescent="0.2">
      <c r="A830" s="320">
        <v>729</v>
      </c>
      <c r="B830" s="174">
        <v>23</v>
      </c>
      <c r="C830" s="174">
        <v>2</v>
      </c>
      <c r="D830" s="174">
        <v>61</v>
      </c>
      <c r="E830" s="174">
        <v>54</v>
      </c>
      <c r="F830" s="174">
        <v>40</v>
      </c>
      <c r="G830" s="68">
        <f t="shared" si="55"/>
        <v>0.50784044546747875</v>
      </c>
      <c r="H830" s="68">
        <f t="shared" si="56"/>
        <v>0.45926405260753733</v>
      </c>
      <c r="I830" s="68">
        <f t="shared" si="57"/>
        <v>0.4892410549688746</v>
      </c>
      <c r="J830" s="232">
        <f t="shared" si="58"/>
        <v>3.2746223519081234E-2</v>
      </c>
      <c r="K830" s="321">
        <f t="shared" si="59"/>
        <v>2.0334396032692218E-2</v>
      </c>
    </row>
    <row r="831" spans="1:11" x14ac:dyDescent="0.2">
      <c r="A831" s="320">
        <v>730</v>
      </c>
      <c r="B831" s="174">
        <v>10</v>
      </c>
      <c r="C831" s="174">
        <v>21</v>
      </c>
      <c r="D831" s="174">
        <v>22</v>
      </c>
      <c r="E831" s="174">
        <v>57</v>
      </c>
      <c r="F831" s="174">
        <v>8</v>
      </c>
      <c r="G831" s="68">
        <f t="shared" si="55"/>
        <v>-0.11633678443719608</v>
      </c>
      <c r="H831" s="68">
        <f t="shared" si="56"/>
        <v>-7.4419116534218399E-2</v>
      </c>
      <c r="I831" s="68">
        <f t="shared" si="57"/>
        <v>-0.14176023630363543</v>
      </c>
      <c r="J831" s="232">
        <f t="shared" si="58"/>
        <v>-4.6345510362325711E-2</v>
      </c>
      <c r="K831" s="321">
        <f t="shared" si="59"/>
        <v>-7.5538017221256096E-2</v>
      </c>
    </row>
    <row r="832" spans="1:11" x14ac:dyDescent="0.2">
      <c r="A832" s="320">
        <v>731</v>
      </c>
      <c r="B832" s="174">
        <v>10</v>
      </c>
      <c r="C832" s="174">
        <v>7</v>
      </c>
      <c r="D832" s="174">
        <v>61</v>
      </c>
      <c r="E832" s="174">
        <v>53</v>
      </c>
      <c r="F832" s="174">
        <v>27</v>
      </c>
      <c r="G832" s="68">
        <f t="shared" si="55"/>
        <v>-3.0362213375288327E-2</v>
      </c>
      <c r="H832" s="68">
        <f t="shared" si="56"/>
        <v>4.9593663405073762E-2</v>
      </c>
      <c r="I832" s="68">
        <f t="shared" si="57"/>
        <v>1.1288139141564901E-2</v>
      </c>
      <c r="J832" s="232">
        <f t="shared" si="58"/>
        <v>-7.9235795109866933E-2</v>
      </c>
      <c r="K832" s="321">
        <f t="shared" si="59"/>
        <v>-3.7178198508400435E-2</v>
      </c>
    </row>
    <row r="833" spans="1:11" x14ac:dyDescent="0.2">
      <c r="A833" s="320">
        <v>732</v>
      </c>
      <c r="B833" s="174">
        <v>19</v>
      </c>
      <c r="C833" s="174">
        <v>2</v>
      </c>
      <c r="D833" s="174">
        <v>9</v>
      </c>
      <c r="E833" s="174">
        <v>40</v>
      </c>
      <c r="F833" s="174">
        <v>59</v>
      </c>
      <c r="G833" s="68">
        <f t="shared" si="55"/>
        <v>0.21704304622922277</v>
      </c>
      <c r="H833" s="68">
        <f t="shared" si="56"/>
        <v>0.22461055175168609</v>
      </c>
      <c r="I833" s="68">
        <f t="shared" si="57"/>
        <v>0.19722343900943873</v>
      </c>
      <c r="J833" s="232">
        <f t="shared" si="58"/>
        <v>-6.1986923613767397E-3</v>
      </c>
      <c r="K833" s="321">
        <f t="shared" si="59"/>
        <v>-2.2617801517922118E-2</v>
      </c>
    </row>
    <row r="834" spans="1:11" x14ac:dyDescent="0.2">
      <c r="A834" s="320">
        <v>733</v>
      </c>
      <c r="B834" s="174">
        <v>77</v>
      </c>
      <c r="C834" s="174">
        <v>36</v>
      </c>
      <c r="D834" s="174">
        <v>58</v>
      </c>
      <c r="E834" s="174">
        <v>54</v>
      </c>
      <c r="F834" s="174">
        <v>41</v>
      </c>
      <c r="G834" s="68">
        <f t="shared" si="55"/>
        <v>0.48519002891989516</v>
      </c>
      <c r="H834" s="68">
        <f t="shared" si="56"/>
        <v>0.48572717108354557</v>
      </c>
      <c r="I834" s="68">
        <f t="shared" si="57"/>
        <v>0.55454723987702748</v>
      </c>
      <c r="J834" s="232">
        <f t="shared" si="58"/>
        <v>-3.6160022871233174E-4</v>
      </c>
      <c r="K834" s="321">
        <f t="shared" si="59"/>
        <v>4.5280009269391859E-2</v>
      </c>
    </row>
    <row r="835" spans="1:11" x14ac:dyDescent="0.2">
      <c r="A835" s="320">
        <v>734</v>
      </c>
      <c r="B835" s="174">
        <v>42</v>
      </c>
      <c r="C835" s="174">
        <v>63</v>
      </c>
      <c r="D835" s="174">
        <v>37</v>
      </c>
      <c r="E835" s="174">
        <v>35</v>
      </c>
      <c r="F835" s="174">
        <v>18</v>
      </c>
      <c r="G835" s="68">
        <f t="shared" si="55"/>
        <v>0.11918074231254638</v>
      </c>
      <c r="H835" s="68">
        <f t="shared" si="56"/>
        <v>0.10552969727742822</v>
      </c>
      <c r="I835" s="68">
        <f t="shared" si="57"/>
        <v>0.10028063160377187</v>
      </c>
      <c r="J835" s="232">
        <f t="shared" si="58"/>
        <v>1.2272353403388184E-2</v>
      </c>
      <c r="K835" s="321">
        <f t="shared" si="59"/>
        <v>-4.7593172568087001E-3</v>
      </c>
    </row>
    <row r="836" spans="1:11" x14ac:dyDescent="0.2">
      <c r="A836" s="320">
        <v>735</v>
      </c>
      <c r="B836" s="174">
        <v>3</v>
      </c>
      <c r="C836" s="174">
        <v>30</v>
      </c>
      <c r="D836" s="174">
        <v>73</v>
      </c>
      <c r="E836" s="174">
        <v>59</v>
      </c>
      <c r="F836" s="174">
        <v>59</v>
      </c>
      <c r="G836" s="68">
        <f t="shared" si="55"/>
        <v>0.97212731453994494</v>
      </c>
      <c r="H836" s="68">
        <f t="shared" si="56"/>
        <v>0.89543577597360691</v>
      </c>
      <c r="I836" s="68">
        <f t="shared" si="57"/>
        <v>1.0131853664586856</v>
      </c>
      <c r="J836" s="232">
        <f t="shared" si="58"/>
        <v>3.9664042188829685E-2</v>
      </c>
      <c r="K836" s="321">
        <f t="shared" si="59"/>
        <v>6.0269454063683628E-2</v>
      </c>
    </row>
    <row r="837" spans="1:11" x14ac:dyDescent="0.2">
      <c r="A837" s="320">
        <v>736</v>
      </c>
      <c r="B837" s="174">
        <v>62</v>
      </c>
      <c r="C837" s="174">
        <v>15</v>
      </c>
      <c r="D837" s="174">
        <v>60</v>
      </c>
      <c r="E837" s="174">
        <v>17</v>
      </c>
      <c r="F837" s="174">
        <v>69</v>
      </c>
      <c r="G837" s="68">
        <f t="shared" si="55"/>
        <v>0.33523490818491131</v>
      </c>
      <c r="H837" s="68">
        <f t="shared" si="56"/>
        <v>0.35240115318799337</v>
      </c>
      <c r="I837" s="68">
        <f t="shared" si="57"/>
        <v>0.37003925531773363</v>
      </c>
      <c r="J837" s="232">
        <f t="shared" si="58"/>
        <v>-1.277440698859382E-2</v>
      </c>
      <c r="K837" s="321">
        <f t="shared" si="59"/>
        <v>1.2957748397471026E-2</v>
      </c>
    </row>
    <row r="838" spans="1:11" x14ac:dyDescent="0.2">
      <c r="A838" s="320">
        <v>737</v>
      </c>
      <c r="B838" s="174">
        <v>77</v>
      </c>
      <c r="C838" s="174">
        <v>45</v>
      </c>
      <c r="D838" s="174">
        <v>59</v>
      </c>
      <c r="E838" s="174">
        <v>32</v>
      </c>
      <c r="F838" s="174">
        <v>12</v>
      </c>
      <c r="G838" s="68">
        <f t="shared" si="55"/>
        <v>0.73663974191888171</v>
      </c>
      <c r="H838" s="68">
        <f t="shared" si="56"/>
        <v>0.67535910112682584</v>
      </c>
      <c r="I838" s="68">
        <f t="shared" si="57"/>
        <v>0.77516899302391273</v>
      </c>
      <c r="J838" s="232">
        <f t="shared" si="58"/>
        <v>3.5924532251957284E-2</v>
      </c>
      <c r="K838" s="321">
        <f t="shared" si="59"/>
        <v>5.7868094701381018E-2</v>
      </c>
    </row>
    <row r="839" spans="1:11" x14ac:dyDescent="0.2">
      <c r="A839" s="320">
        <v>738</v>
      </c>
      <c r="B839" s="174">
        <v>52</v>
      </c>
      <c r="C839" s="174">
        <v>48</v>
      </c>
      <c r="D839" s="174">
        <v>43</v>
      </c>
      <c r="E839" s="174">
        <v>77</v>
      </c>
      <c r="F839" s="174">
        <v>28</v>
      </c>
      <c r="G839" s="68">
        <f t="shared" si="55"/>
        <v>0.63136416980225163</v>
      </c>
      <c r="H839" s="68">
        <f t="shared" si="56"/>
        <v>0.61294388719106174</v>
      </c>
      <c r="I839" s="68">
        <f t="shared" si="57"/>
        <v>0.71652026177383243</v>
      </c>
      <c r="J839" s="232">
        <f t="shared" si="58"/>
        <v>1.1355568106855941E-2</v>
      </c>
      <c r="K839" s="321">
        <f t="shared" si="59"/>
        <v>6.2238127283330918E-2</v>
      </c>
    </row>
    <row r="840" spans="1:11" x14ac:dyDescent="0.2">
      <c r="A840" s="320">
        <v>739</v>
      </c>
      <c r="B840" s="174">
        <v>75</v>
      </c>
      <c r="C840" s="174">
        <v>11</v>
      </c>
      <c r="D840" s="174">
        <v>2</v>
      </c>
      <c r="E840" s="174">
        <v>31</v>
      </c>
      <c r="F840" s="174">
        <v>48</v>
      </c>
      <c r="G840" s="68">
        <f t="shared" si="55"/>
        <v>0.40348437969214523</v>
      </c>
      <c r="H840" s="68">
        <f t="shared" si="56"/>
        <v>0.36780359180660915</v>
      </c>
      <c r="I840" s="68">
        <f t="shared" si="57"/>
        <v>0.38171495269616051</v>
      </c>
      <c r="J840" s="232">
        <f t="shared" si="58"/>
        <v>2.5751751567008551E-2</v>
      </c>
      <c r="K840" s="321">
        <f t="shared" si="59"/>
        <v>1.0119211325656354E-2</v>
      </c>
    </row>
    <row r="841" spans="1:11" x14ac:dyDescent="0.2">
      <c r="A841" s="320">
        <v>740</v>
      </c>
      <c r="B841" s="174">
        <v>61</v>
      </c>
      <c r="C841" s="174">
        <v>30</v>
      </c>
      <c r="D841" s="174">
        <v>66</v>
      </c>
      <c r="E841" s="174">
        <v>52</v>
      </c>
      <c r="F841" s="174">
        <v>19</v>
      </c>
      <c r="G841" s="68">
        <f t="shared" si="55"/>
        <v>0.6010986902043689</v>
      </c>
      <c r="H841" s="68">
        <f t="shared" si="56"/>
        <v>0.5628158939654766</v>
      </c>
      <c r="I841" s="68">
        <f t="shared" si="57"/>
        <v>0.59507832722329734</v>
      </c>
      <c r="J841" s="232">
        <f t="shared" si="58"/>
        <v>2.4200820633392E-2</v>
      </c>
      <c r="K841" s="321">
        <f t="shared" si="59"/>
        <v>2.0433588675747572E-2</v>
      </c>
    </row>
    <row r="842" spans="1:11" x14ac:dyDescent="0.2">
      <c r="A842" s="320">
        <v>741</v>
      </c>
      <c r="B842" s="174">
        <v>33</v>
      </c>
      <c r="C842" s="174">
        <v>12</v>
      </c>
      <c r="D842" s="174">
        <v>14</v>
      </c>
      <c r="E842" s="174">
        <v>8</v>
      </c>
      <c r="F842" s="174">
        <v>74</v>
      </c>
      <c r="G842" s="68">
        <f t="shared" si="55"/>
        <v>0.39947376641984933</v>
      </c>
      <c r="H842" s="68">
        <f t="shared" si="56"/>
        <v>0.3634612632435712</v>
      </c>
      <c r="I842" s="68">
        <f t="shared" si="57"/>
        <v>0.35175789403320601</v>
      </c>
      <c r="J842" s="232">
        <f t="shared" si="58"/>
        <v>2.6069771727268973E-2</v>
      </c>
      <c r="K842" s="321">
        <f t="shared" si="59"/>
        <v>-8.6206239795078004E-3</v>
      </c>
    </row>
    <row r="843" spans="1:11" x14ac:dyDescent="0.2">
      <c r="A843" s="320">
        <v>742</v>
      </c>
      <c r="B843" s="174">
        <v>77</v>
      </c>
      <c r="C843" s="174">
        <v>61</v>
      </c>
      <c r="D843" s="174">
        <v>6</v>
      </c>
      <c r="E843" s="174">
        <v>75</v>
      </c>
      <c r="F843" s="174">
        <v>30</v>
      </c>
      <c r="G843" s="68">
        <f t="shared" si="55"/>
        <v>0.28428742008123886</v>
      </c>
      <c r="H843" s="68">
        <f t="shared" si="56"/>
        <v>0.30650351207966176</v>
      </c>
      <c r="I843" s="68">
        <f t="shared" si="57"/>
        <v>0.34128723494965763</v>
      </c>
      <c r="J843" s="232">
        <f t="shared" si="58"/>
        <v>-1.7150466500892112E-2</v>
      </c>
      <c r="K843" s="321">
        <f t="shared" si="59"/>
        <v>2.627528182262413E-2</v>
      </c>
    </row>
    <row r="844" spans="1:11" x14ac:dyDescent="0.2">
      <c r="A844" s="320">
        <v>743</v>
      </c>
      <c r="B844" s="174">
        <v>4</v>
      </c>
      <c r="C844" s="174">
        <v>46</v>
      </c>
      <c r="D844" s="174">
        <v>50</v>
      </c>
      <c r="E844" s="174">
        <v>49</v>
      </c>
      <c r="F844" s="174">
        <v>35</v>
      </c>
      <c r="G844" s="68">
        <f t="shared" si="55"/>
        <v>0.56996821440589729</v>
      </c>
      <c r="H844" s="68">
        <f t="shared" si="56"/>
        <v>0.51151639983163055</v>
      </c>
      <c r="I844" s="68">
        <f t="shared" si="57"/>
        <v>0.56172309237165496</v>
      </c>
      <c r="J844" s="232">
        <f t="shared" si="58"/>
        <v>3.7941988337951441E-2</v>
      </c>
      <c r="K844" s="321">
        <f t="shared" si="59"/>
        <v>3.2676372875003835E-2</v>
      </c>
    </row>
    <row r="845" spans="1:11" x14ac:dyDescent="0.2">
      <c r="A845" s="320">
        <v>744</v>
      </c>
      <c r="B845" s="174">
        <v>30</v>
      </c>
      <c r="C845" s="174">
        <v>69</v>
      </c>
      <c r="D845" s="174">
        <v>73</v>
      </c>
      <c r="E845" s="174">
        <v>22</v>
      </c>
      <c r="F845" s="174">
        <v>6</v>
      </c>
      <c r="G845" s="68">
        <f t="shared" si="55"/>
        <v>0.22324103187596211</v>
      </c>
      <c r="H845" s="68">
        <f t="shared" si="56"/>
        <v>0.25911207874135411</v>
      </c>
      <c r="I845" s="68">
        <f t="shared" si="57"/>
        <v>0.25355121478955445</v>
      </c>
      <c r="J845" s="232">
        <f t="shared" si="58"/>
        <v>-2.8902853365195835E-2</v>
      </c>
      <c r="K845" s="321">
        <f t="shared" si="59"/>
        <v>-4.4262779220131639E-3</v>
      </c>
    </row>
    <row r="846" spans="1:11" x14ac:dyDescent="0.2">
      <c r="A846" s="320">
        <v>745</v>
      </c>
      <c r="B846" s="174">
        <v>28</v>
      </c>
      <c r="C846" s="174">
        <v>75</v>
      </c>
      <c r="D846" s="174">
        <v>16</v>
      </c>
      <c r="E846" s="174">
        <v>7</v>
      </c>
      <c r="F846" s="174">
        <v>69</v>
      </c>
      <c r="G846" s="68">
        <f t="shared" si="55"/>
        <v>0.35209797689808098</v>
      </c>
      <c r="H846" s="68">
        <f t="shared" si="56"/>
        <v>0.40034601456703212</v>
      </c>
      <c r="I846" s="68">
        <f t="shared" si="57"/>
        <v>0.41681144246071189</v>
      </c>
      <c r="J846" s="232">
        <f t="shared" si="58"/>
        <v>-3.5061916231075296E-2</v>
      </c>
      <c r="K846" s="321">
        <f t="shared" si="59"/>
        <v>1.168952437880213E-2</v>
      </c>
    </row>
    <row r="847" spans="1:11" x14ac:dyDescent="0.2">
      <c r="A847" s="320">
        <v>746</v>
      </c>
      <c r="B847" s="174">
        <v>57</v>
      </c>
      <c r="C847" s="174">
        <v>22</v>
      </c>
      <c r="D847" s="174">
        <v>31</v>
      </c>
      <c r="E847" s="174">
        <v>61</v>
      </c>
      <c r="F847" s="174">
        <v>29</v>
      </c>
      <c r="G847" s="68">
        <f t="shared" si="55"/>
        <v>0.71414540442917418</v>
      </c>
      <c r="H847" s="68">
        <f t="shared" si="56"/>
        <v>0.69792994224723093</v>
      </c>
      <c r="I847" s="68">
        <f t="shared" si="57"/>
        <v>0.76713772893198628</v>
      </c>
      <c r="J847" s="232">
        <f t="shared" si="58"/>
        <v>9.5048219114941147E-3</v>
      </c>
      <c r="K847" s="321">
        <f t="shared" si="59"/>
        <v>3.995130731101143E-2</v>
      </c>
    </row>
    <row r="848" spans="1:11" x14ac:dyDescent="0.2">
      <c r="A848" s="320">
        <v>747</v>
      </c>
      <c r="B848" s="174">
        <v>15</v>
      </c>
      <c r="C848" s="174">
        <v>56</v>
      </c>
      <c r="D848" s="174">
        <v>28</v>
      </c>
      <c r="E848" s="174">
        <v>76</v>
      </c>
      <c r="F848" s="174">
        <v>43</v>
      </c>
      <c r="G848" s="68">
        <f t="shared" si="55"/>
        <v>0.43035735098490635</v>
      </c>
      <c r="H848" s="68">
        <f t="shared" si="56"/>
        <v>0.43104652166736535</v>
      </c>
      <c r="I848" s="68">
        <f t="shared" si="57"/>
        <v>0.48128101825402081</v>
      </c>
      <c r="J848" s="232">
        <f t="shared" si="58"/>
        <v>-4.8170109949993771E-4</v>
      </c>
      <c r="K848" s="321">
        <f t="shared" si="59"/>
        <v>3.4501256329281083E-2</v>
      </c>
    </row>
    <row r="849" spans="1:11" x14ac:dyDescent="0.2">
      <c r="A849" s="320">
        <v>748</v>
      </c>
      <c r="B849" s="174">
        <v>14</v>
      </c>
      <c r="C849" s="174">
        <v>8</v>
      </c>
      <c r="D849" s="174">
        <v>9</v>
      </c>
      <c r="E849" s="174">
        <v>68</v>
      </c>
      <c r="F849" s="174">
        <v>73</v>
      </c>
      <c r="G849" s="68">
        <f t="shared" si="55"/>
        <v>-0.12387408539507883</v>
      </c>
      <c r="H849" s="68">
        <f t="shared" si="56"/>
        <v>-7.5469562045739624E-2</v>
      </c>
      <c r="I849" s="68">
        <f t="shared" si="57"/>
        <v>-0.13341855673317748</v>
      </c>
      <c r="J849" s="232">
        <f t="shared" si="58"/>
        <v>-5.3776155237767846E-2</v>
      </c>
      <c r="K849" s="321">
        <f t="shared" si="59"/>
        <v>-6.4729878164132185E-2</v>
      </c>
    </row>
    <row r="850" spans="1:11" x14ac:dyDescent="0.2">
      <c r="A850" s="320">
        <v>749</v>
      </c>
      <c r="B850" s="174">
        <v>15</v>
      </c>
      <c r="C850" s="174">
        <v>77</v>
      </c>
      <c r="D850" s="174">
        <v>68</v>
      </c>
      <c r="E850" s="174">
        <v>17</v>
      </c>
      <c r="F850" s="174">
        <v>57</v>
      </c>
      <c r="G850" s="68">
        <f t="shared" si="55"/>
        <v>0.53638074617652265</v>
      </c>
      <c r="H850" s="68">
        <f t="shared" si="56"/>
        <v>0.46484540943341135</v>
      </c>
      <c r="I850" s="68">
        <f t="shared" si="57"/>
        <v>0.50955459557843641</v>
      </c>
      <c r="J850" s="232">
        <f t="shared" si="58"/>
        <v>4.7679771303164531E-2</v>
      </c>
      <c r="K850" s="321">
        <f t="shared" si="59"/>
        <v>3.0064923168993087E-2</v>
      </c>
    </row>
    <row r="851" spans="1:11" x14ac:dyDescent="0.2">
      <c r="A851" s="320">
        <v>750</v>
      </c>
      <c r="B851" s="174">
        <v>11</v>
      </c>
      <c r="C851" s="174">
        <v>39</v>
      </c>
      <c r="D851" s="174">
        <v>27</v>
      </c>
      <c r="E851" s="174">
        <v>21</v>
      </c>
      <c r="F851" s="174">
        <v>65</v>
      </c>
      <c r="G851" s="68">
        <f t="shared" si="55"/>
        <v>0.29342985760823082</v>
      </c>
      <c r="H851" s="68">
        <f t="shared" si="56"/>
        <v>0.24910141116993656</v>
      </c>
      <c r="I851" s="68">
        <f t="shared" si="57"/>
        <v>0.24141236765938823</v>
      </c>
      <c r="J851" s="232">
        <f t="shared" si="58"/>
        <v>3.4873072615085689E-2</v>
      </c>
      <c r="K851" s="321">
        <f t="shared" si="59"/>
        <v>-6.1746841199840068E-3</v>
      </c>
    </row>
    <row r="852" spans="1:11" x14ac:dyDescent="0.2">
      <c r="A852" s="320">
        <v>751</v>
      </c>
      <c r="B852" s="174">
        <v>29</v>
      </c>
      <c r="C852" s="174">
        <v>14</v>
      </c>
      <c r="D852" s="174">
        <v>71</v>
      </c>
      <c r="E852" s="174">
        <v>6</v>
      </c>
      <c r="F852" s="174">
        <v>10</v>
      </c>
      <c r="G852" s="68">
        <f t="shared" si="55"/>
        <v>0.18090839251388791</v>
      </c>
      <c r="H852" s="68">
        <f t="shared" si="56"/>
        <v>0.20494089348326394</v>
      </c>
      <c r="I852" s="68">
        <f t="shared" si="57"/>
        <v>0.18253391259480267</v>
      </c>
      <c r="J852" s="232">
        <f t="shared" si="58"/>
        <v>-2.0146548209094034E-2</v>
      </c>
      <c r="K852" s="321">
        <f t="shared" si="59"/>
        <v>-1.8770994988512885E-2</v>
      </c>
    </row>
    <row r="853" spans="1:11" x14ac:dyDescent="0.2">
      <c r="A853" s="320">
        <v>752</v>
      </c>
      <c r="B853" s="174">
        <v>22</v>
      </c>
      <c r="C853" s="174">
        <v>21</v>
      </c>
      <c r="D853" s="174">
        <v>52</v>
      </c>
      <c r="E853" s="174">
        <v>57</v>
      </c>
      <c r="F853" s="174">
        <v>10</v>
      </c>
      <c r="G853" s="68">
        <f t="shared" si="55"/>
        <v>0.31764365672098904</v>
      </c>
      <c r="H853" s="68">
        <f t="shared" si="56"/>
        <v>0.31409802935318587</v>
      </c>
      <c r="I853" s="68">
        <f t="shared" si="57"/>
        <v>0.30286073982377459</v>
      </c>
      <c r="J853" s="232">
        <f t="shared" si="58"/>
        <v>2.6945117993802314E-3</v>
      </c>
      <c r="K853" s="321">
        <f t="shared" si="59"/>
        <v>-8.5881051924766236E-3</v>
      </c>
    </row>
    <row r="854" spans="1:11" x14ac:dyDescent="0.2">
      <c r="A854" s="320">
        <v>753</v>
      </c>
      <c r="B854" s="174">
        <v>24</v>
      </c>
      <c r="C854" s="174">
        <v>29</v>
      </c>
      <c r="D854" s="174">
        <v>27</v>
      </c>
      <c r="E854" s="174">
        <v>51</v>
      </c>
      <c r="F854" s="174">
        <v>63</v>
      </c>
      <c r="G854" s="68">
        <f t="shared" si="55"/>
        <v>0.6168125314243913</v>
      </c>
      <c r="H854" s="68">
        <f t="shared" si="56"/>
        <v>0.55248975470011974</v>
      </c>
      <c r="I854" s="68">
        <f t="shared" si="57"/>
        <v>0.6370046344930187</v>
      </c>
      <c r="J854" s="232">
        <f t="shared" si="58"/>
        <v>4.0596702257784535E-2</v>
      </c>
      <c r="K854" s="321">
        <f t="shared" si="59"/>
        <v>5.3008193897443469E-2</v>
      </c>
    </row>
    <row r="855" spans="1:11" x14ac:dyDescent="0.2">
      <c r="A855" s="320">
        <v>754</v>
      </c>
      <c r="B855" s="174">
        <v>71</v>
      </c>
      <c r="C855" s="174">
        <v>72</v>
      </c>
      <c r="D855" s="174">
        <v>41</v>
      </c>
      <c r="E855" s="174">
        <v>45</v>
      </c>
      <c r="F855" s="174">
        <v>69</v>
      </c>
      <c r="G855" s="68">
        <f t="shared" si="55"/>
        <v>0.76336167663488763</v>
      </c>
      <c r="H855" s="68">
        <f t="shared" si="56"/>
        <v>0.75711251472160401</v>
      </c>
      <c r="I855" s="68">
        <f t="shared" si="57"/>
        <v>0.85337673743525122</v>
      </c>
      <c r="J855" s="232">
        <f t="shared" si="58"/>
        <v>3.550185649554647E-3</v>
      </c>
      <c r="K855" s="321">
        <f t="shared" si="59"/>
        <v>5.333739367025328E-2</v>
      </c>
    </row>
    <row r="856" spans="1:11" x14ac:dyDescent="0.2">
      <c r="A856" s="320">
        <v>755</v>
      </c>
      <c r="B856" s="174">
        <v>55</v>
      </c>
      <c r="C856" s="174">
        <v>10</v>
      </c>
      <c r="D856" s="174">
        <v>67</v>
      </c>
      <c r="E856" s="174">
        <v>41</v>
      </c>
      <c r="F856" s="174">
        <v>60</v>
      </c>
      <c r="G856" s="68">
        <f t="shared" si="55"/>
        <v>0.2188353648957222</v>
      </c>
      <c r="H856" s="68">
        <f t="shared" si="56"/>
        <v>0.28248528604428014</v>
      </c>
      <c r="I856" s="68">
        <f t="shared" si="57"/>
        <v>0.28529129923405594</v>
      </c>
      <c r="J856" s="232">
        <f t="shared" si="58"/>
        <v>-5.0904041258630739E-2</v>
      </c>
      <c r="K856" s="321">
        <f t="shared" si="59"/>
        <v>2.1855595403535255E-3</v>
      </c>
    </row>
    <row r="857" spans="1:11" x14ac:dyDescent="0.2">
      <c r="A857" s="320">
        <v>756</v>
      </c>
      <c r="B857" s="174">
        <v>73</v>
      </c>
      <c r="C857" s="174">
        <v>69</v>
      </c>
      <c r="D857" s="174">
        <v>32</v>
      </c>
      <c r="E857" s="174">
        <v>10</v>
      </c>
      <c r="F857" s="174">
        <v>31</v>
      </c>
      <c r="G857" s="68">
        <f t="shared" si="55"/>
        <v>0.32017188292843546</v>
      </c>
      <c r="H857" s="68">
        <f t="shared" si="56"/>
        <v>0.3692252587967888</v>
      </c>
      <c r="I857" s="68">
        <f t="shared" si="57"/>
        <v>0.37517753489604089</v>
      </c>
      <c r="J857" s="232">
        <f t="shared" si="58"/>
        <v>-3.6483132893297014E-2</v>
      </c>
      <c r="K857" s="321">
        <f t="shared" si="59"/>
        <v>4.3377637176247388E-3</v>
      </c>
    </row>
    <row r="858" spans="1:11" x14ac:dyDescent="0.2">
      <c r="A858" s="320">
        <v>757</v>
      </c>
      <c r="B858" s="174">
        <v>67</v>
      </c>
      <c r="C858" s="174">
        <v>2</v>
      </c>
      <c r="D858" s="174">
        <v>8</v>
      </c>
      <c r="E858" s="174">
        <v>44</v>
      </c>
      <c r="F858" s="174">
        <v>20</v>
      </c>
      <c r="G858" s="68">
        <f t="shared" si="55"/>
        <v>5.6928714576717887E-2</v>
      </c>
      <c r="H858" s="68">
        <f t="shared" si="56"/>
        <v>7.8190053879412025E-2</v>
      </c>
      <c r="I858" s="68">
        <f t="shared" si="57"/>
        <v>2.5114125596934045E-2</v>
      </c>
      <c r="J858" s="232">
        <f t="shared" si="58"/>
        <v>-1.99164959044007E-2</v>
      </c>
      <c r="K858" s="321">
        <f t="shared" si="59"/>
        <v>-5.0479810809297192E-2</v>
      </c>
    </row>
    <row r="859" spans="1:11" x14ac:dyDescent="0.2">
      <c r="A859" s="320">
        <v>758</v>
      </c>
      <c r="B859" s="174">
        <v>10</v>
      </c>
      <c r="C859" s="174">
        <v>8</v>
      </c>
      <c r="D859" s="174">
        <v>76</v>
      </c>
      <c r="E859" s="174">
        <v>31</v>
      </c>
      <c r="F859" s="174">
        <v>23</v>
      </c>
      <c r="G859" s="68">
        <f t="shared" si="55"/>
        <v>-5.5224792828463376E-2</v>
      </c>
      <c r="H859" s="68">
        <f t="shared" si="56"/>
        <v>-1.2716393227596434E-4</v>
      </c>
      <c r="I859" s="68">
        <f t="shared" si="57"/>
        <v>-5.2116994153448615E-2</v>
      </c>
      <c r="J859" s="232">
        <f t="shared" si="58"/>
        <v>-5.6681083776041266E-2</v>
      </c>
      <c r="K859" s="321">
        <f t="shared" si="59"/>
        <v>-5.3397023878924033E-2</v>
      </c>
    </row>
    <row r="860" spans="1:11" x14ac:dyDescent="0.2">
      <c r="A860" s="320">
        <v>759</v>
      </c>
      <c r="B860" s="174">
        <v>1</v>
      </c>
      <c r="C860" s="174">
        <v>15</v>
      </c>
      <c r="D860" s="174">
        <v>58</v>
      </c>
      <c r="E860" s="174">
        <v>33</v>
      </c>
      <c r="F860" s="174">
        <v>53</v>
      </c>
      <c r="G860" s="68">
        <f t="shared" si="55"/>
        <v>0.57700481243178037</v>
      </c>
      <c r="H860" s="68">
        <f t="shared" si="56"/>
        <v>0.57121142463128005</v>
      </c>
      <c r="I860" s="68">
        <f t="shared" si="57"/>
        <v>0.59310122452881986</v>
      </c>
      <c r="J860" s="232">
        <f t="shared" si="58"/>
        <v>3.6804297442171339E-3</v>
      </c>
      <c r="K860" s="321">
        <f t="shared" si="59"/>
        <v>1.3835642372537229E-2</v>
      </c>
    </row>
    <row r="861" spans="1:11" x14ac:dyDescent="0.2">
      <c r="A861" s="320">
        <v>760</v>
      </c>
      <c r="B861" s="174">
        <v>3</v>
      </c>
      <c r="C861" s="174">
        <v>49</v>
      </c>
      <c r="D861" s="174">
        <v>13</v>
      </c>
      <c r="E861" s="174">
        <v>49</v>
      </c>
      <c r="F861" s="174">
        <v>39</v>
      </c>
      <c r="G861" s="68">
        <f t="shared" si="55"/>
        <v>0.90364928210319451</v>
      </c>
      <c r="H861" s="68">
        <f t="shared" si="56"/>
        <v>0.66082595659350774</v>
      </c>
      <c r="I861" s="68">
        <f t="shared" si="57"/>
        <v>0.72250935449213505</v>
      </c>
      <c r="J861" s="232">
        <f t="shared" si="58"/>
        <v>0.13645767598872988</v>
      </c>
      <c r="K861" s="321">
        <f t="shared" si="59"/>
        <v>3.6467111818214076E-2</v>
      </c>
    </row>
    <row r="862" spans="1:11" x14ac:dyDescent="0.2">
      <c r="A862" s="320">
        <v>761</v>
      </c>
      <c r="B862" s="174">
        <v>52</v>
      </c>
      <c r="C862" s="174">
        <v>59</v>
      </c>
      <c r="D862" s="174">
        <v>45</v>
      </c>
      <c r="E862" s="174">
        <v>16</v>
      </c>
      <c r="F862" s="174">
        <v>25</v>
      </c>
      <c r="G862" s="68">
        <f t="shared" si="55"/>
        <v>0.75355285423985574</v>
      </c>
      <c r="H862" s="68">
        <f t="shared" si="56"/>
        <v>0.68326248053369443</v>
      </c>
      <c r="I862" s="68">
        <f t="shared" si="57"/>
        <v>0.75485023753840275</v>
      </c>
      <c r="J862" s="232">
        <f t="shared" si="58"/>
        <v>4.0910069321073723E-2</v>
      </c>
      <c r="K862" s="321">
        <f t="shared" si="59"/>
        <v>4.1649655579405885E-2</v>
      </c>
    </row>
    <row r="863" spans="1:11" x14ac:dyDescent="0.2">
      <c r="A863" s="320">
        <v>762</v>
      </c>
      <c r="B863" s="174">
        <v>49</v>
      </c>
      <c r="C863" s="174">
        <v>40</v>
      </c>
      <c r="D863" s="174">
        <v>52</v>
      </c>
      <c r="E863" s="174">
        <v>45</v>
      </c>
      <c r="F863" s="174">
        <v>33</v>
      </c>
      <c r="G863" s="68">
        <f t="shared" si="55"/>
        <v>0.8090249058539043</v>
      </c>
      <c r="H863" s="68">
        <f t="shared" si="56"/>
        <v>0.75419141185113991</v>
      </c>
      <c r="I863" s="68">
        <f t="shared" si="57"/>
        <v>0.85869114395138979</v>
      </c>
      <c r="J863" s="232">
        <f t="shared" si="58"/>
        <v>3.0779957305793332E-2</v>
      </c>
      <c r="K863" s="321">
        <f t="shared" si="59"/>
        <v>5.7864537214874188E-2</v>
      </c>
    </row>
    <row r="864" spans="1:11" x14ac:dyDescent="0.2">
      <c r="A864" s="320">
        <v>763</v>
      </c>
      <c r="B864" s="174">
        <v>19</v>
      </c>
      <c r="C864" s="174">
        <v>28</v>
      </c>
      <c r="D864" s="174">
        <v>36</v>
      </c>
      <c r="E864" s="174">
        <v>25</v>
      </c>
      <c r="F864" s="174">
        <v>30</v>
      </c>
      <c r="G864" s="68">
        <f t="shared" si="55"/>
        <v>0.62313491543305477</v>
      </c>
      <c r="H864" s="68">
        <f t="shared" si="56"/>
        <v>0.58645037631478036</v>
      </c>
      <c r="I864" s="68">
        <f t="shared" si="57"/>
        <v>0.61076271895537548</v>
      </c>
      <c r="J864" s="232">
        <f t="shared" si="58"/>
        <v>2.2860359435367725E-2</v>
      </c>
      <c r="K864" s="321">
        <f t="shared" si="59"/>
        <v>1.5208752464841015E-2</v>
      </c>
    </row>
    <row r="865" spans="1:11" x14ac:dyDescent="0.2">
      <c r="A865" s="320">
        <v>764</v>
      </c>
      <c r="B865" s="174">
        <v>55</v>
      </c>
      <c r="C865" s="174">
        <v>60</v>
      </c>
      <c r="D865" s="174">
        <v>5</v>
      </c>
      <c r="E865" s="174">
        <v>47</v>
      </c>
      <c r="F865" s="174">
        <v>26</v>
      </c>
      <c r="G865" s="68">
        <f t="shared" si="55"/>
        <v>0.37512649020716693</v>
      </c>
      <c r="H865" s="68">
        <f t="shared" si="56"/>
        <v>0.4225398422558615</v>
      </c>
      <c r="I865" s="68">
        <f t="shared" si="57"/>
        <v>0.45777397091238159</v>
      </c>
      <c r="J865" s="232">
        <f t="shared" si="58"/>
        <v>-3.3898175476446003E-2</v>
      </c>
      <c r="K865" s="321">
        <f t="shared" si="59"/>
        <v>2.4466699517667629E-2</v>
      </c>
    </row>
    <row r="866" spans="1:11" x14ac:dyDescent="0.2">
      <c r="A866" s="320">
        <v>765</v>
      </c>
      <c r="B866" s="174">
        <v>2</v>
      </c>
      <c r="C866" s="174">
        <v>25</v>
      </c>
      <c r="D866" s="174">
        <v>66</v>
      </c>
      <c r="E866" s="174">
        <v>1</v>
      </c>
      <c r="F866" s="174">
        <v>4</v>
      </c>
      <c r="G866" s="68">
        <f t="shared" si="55"/>
        <v>0.69247169343468573</v>
      </c>
      <c r="H866" s="68">
        <f t="shared" si="56"/>
        <v>0.54784789904643882</v>
      </c>
      <c r="I866" s="68">
        <f t="shared" si="57"/>
        <v>0.56965024286158283</v>
      </c>
      <c r="J866" s="232">
        <f t="shared" si="58"/>
        <v>8.9324487048084655E-2</v>
      </c>
      <c r="K866" s="321">
        <f t="shared" si="59"/>
        <v>1.3987305384618745E-2</v>
      </c>
    </row>
    <row r="867" spans="1:11" x14ac:dyDescent="0.2">
      <c r="A867" s="320">
        <v>766</v>
      </c>
      <c r="B867" s="174">
        <v>5</v>
      </c>
      <c r="C867" s="174">
        <v>33</v>
      </c>
      <c r="D867" s="174">
        <v>2</v>
      </c>
      <c r="E867" s="174">
        <v>14</v>
      </c>
      <c r="F867" s="174">
        <v>38</v>
      </c>
      <c r="G867" s="68">
        <f t="shared" si="55"/>
        <v>0.50791186253961418</v>
      </c>
      <c r="H867" s="68">
        <f t="shared" si="56"/>
        <v>0.45048244643916524</v>
      </c>
      <c r="I867" s="68">
        <f t="shared" si="57"/>
        <v>0.45624609082057521</v>
      </c>
      <c r="J867" s="232">
        <f t="shared" si="58"/>
        <v>3.8829598510846101E-2</v>
      </c>
      <c r="K867" s="321">
        <f t="shared" si="59"/>
        <v>3.9657311381330104E-3</v>
      </c>
    </row>
    <row r="868" spans="1:11" x14ac:dyDescent="0.2">
      <c r="A868" s="320">
        <v>767</v>
      </c>
      <c r="B868" s="174">
        <v>54</v>
      </c>
      <c r="C868" s="174">
        <v>24</v>
      </c>
      <c r="D868" s="174">
        <v>39</v>
      </c>
      <c r="E868" s="174">
        <v>41</v>
      </c>
      <c r="F868" s="174">
        <v>56</v>
      </c>
      <c r="G868" s="68">
        <f t="shared" si="55"/>
        <v>0.38213045492936804</v>
      </c>
      <c r="H868" s="68">
        <f t="shared" si="56"/>
        <v>0.33202855037038992</v>
      </c>
      <c r="I868" s="68">
        <f t="shared" si="57"/>
        <v>0.35135754952426712</v>
      </c>
      <c r="J868" s="232">
        <f t="shared" si="58"/>
        <v>3.6923110542062369E-2</v>
      </c>
      <c r="K868" s="321">
        <f t="shared" si="59"/>
        <v>1.4406673320868323E-2</v>
      </c>
    </row>
    <row r="869" spans="1:11" x14ac:dyDescent="0.2">
      <c r="A869" s="320">
        <v>768</v>
      </c>
      <c r="B869" s="174">
        <v>72</v>
      </c>
      <c r="C869" s="174">
        <v>17</v>
      </c>
      <c r="D869" s="174">
        <v>75</v>
      </c>
      <c r="E869" s="174">
        <v>66</v>
      </c>
      <c r="F869" s="174">
        <v>17</v>
      </c>
      <c r="G869" s="68">
        <f t="shared" si="55"/>
        <v>0.48411333398442125</v>
      </c>
      <c r="H869" s="68">
        <f t="shared" si="56"/>
        <v>0.46134397377417313</v>
      </c>
      <c r="I869" s="68">
        <f t="shared" si="57"/>
        <v>0.49727715779051351</v>
      </c>
      <c r="J869" s="232">
        <f t="shared" si="58"/>
        <v>1.5460970163887108E-2</v>
      </c>
      <c r="K869" s="321">
        <f t="shared" si="59"/>
        <v>2.4291688170767819E-2</v>
      </c>
    </row>
    <row r="870" spans="1:11" x14ac:dyDescent="0.2">
      <c r="A870" s="320">
        <v>769</v>
      </c>
      <c r="B870" s="174">
        <v>41</v>
      </c>
      <c r="C870" s="174">
        <v>38</v>
      </c>
      <c r="D870" s="174">
        <v>66</v>
      </c>
      <c r="E870" s="174">
        <v>28</v>
      </c>
      <c r="F870" s="174">
        <v>29</v>
      </c>
      <c r="G870" s="68">
        <f t="shared" ref="G870:G933" si="60">(1+INDEX($Z$21:$Z$97,B870))*(1+INDEX($Z$21:$Z$97,C870))*(1+INDEX($Z$21:$Z$97,D870))*(1+INDEX($Z$21:$Z$97,E870))*(1+INDEX($Z$21:$Z$97,F870))-1</f>
        <v>0.799779398807827</v>
      </c>
      <c r="H870" s="68">
        <f t="shared" ref="H870:H933" si="61">(1+INDEX($AA$21:$AA$97,B870))*(1+INDEX($AA$21:$AA$97,C870))*(1+INDEX($AA$21:$AA$97,D870))*(1+INDEX($AA$21:$AA$97,E870))*(1+INDEX($AA$21:$AA$97,F870))-1</f>
        <v>0.7613080855676273</v>
      </c>
      <c r="I870" s="68">
        <f t="shared" ref="I870:I933" si="62">(1+INDEX($AB$21:$AB$97,B870))*(1+INDEX($AB$21:$AB$97,C870))*(1+INDEX($AB$21:$AB$97,D870))*(1+INDEX($AB$21:$AB$97,E870))*(1+INDEX($AB$21:$AB$97,F870))-1</f>
        <v>0.84649975369287489</v>
      </c>
      <c r="J870" s="232">
        <f t="shared" ref="J870:J933" si="63">LN((1+G870)/(1+H870))</f>
        <v>2.1607337746371365E-2</v>
      </c>
      <c r="K870" s="321">
        <f t="shared" ref="K870:K933" si="64">LN((1+I870)/(1+H870))</f>
        <v>4.723505849187664E-2</v>
      </c>
    </row>
    <row r="871" spans="1:11" x14ac:dyDescent="0.2">
      <c r="A871" s="320">
        <v>770</v>
      </c>
      <c r="B871" s="174">
        <v>65</v>
      </c>
      <c r="C871" s="174">
        <v>36</v>
      </c>
      <c r="D871" s="174">
        <v>28</v>
      </c>
      <c r="E871" s="174">
        <v>49</v>
      </c>
      <c r="F871" s="174">
        <v>47</v>
      </c>
      <c r="G871" s="68">
        <f t="shared" si="60"/>
        <v>0.60914517580075334</v>
      </c>
      <c r="H871" s="68">
        <f t="shared" si="61"/>
        <v>0.57003888549814397</v>
      </c>
      <c r="I871" s="68">
        <f t="shared" si="62"/>
        <v>0.64309535484772407</v>
      </c>
      <c r="J871" s="232">
        <f t="shared" si="63"/>
        <v>2.4602704399938103E-2</v>
      </c>
      <c r="K871" s="321">
        <f t="shared" si="64"/>
        <v>4.5481487518860567E-2</v>
      </c>
    </row>
    <row r="872" spans="1:11" x14ac:dyDescent="0.2">
      <c r="A872" s="320">
        <v>771</v>
      </c>
      <c r="B872" s="174">
        <v>66</v>
      </c>
      <c r="C872" s="174">
        <v>74</v>
      </c>
      <c r="D872" s="174">
        <v>4</v>
      </c>
      <c r="E872" s="174">
        <v>10</v>
      </c>
      <c r="F872" s="174">
        <v>28</v>
      </c>
      <c r="G872" s="68">
        <f t="shared" si="60"/>
        <v>0.38189436715581015</v>
      </c>
      <c r="H872" s="68">
        <f t="shared" si="61"/>
        <v>0.39758998886885233</v>
      </c>
      <c r="I872" s="68">
        <f t="shared" si="62"/>
        <v>0.41553628040698376</v>
      </c>
      <c r="J872" s="232">
        <f t="shared" si="63"/>
        <v>-1.129402906456806E-2</v>
      </c>
      <c r="K872" s="321">
        <f t="shared" si="64"/>
        <v>1.2759139323610932E-2</v>
      </c>
    </row>
    <row r="873" spans="1:11" x14ac:dyDescent="0.2">
      <c r="A873" s="320">
        <v>772</v>
      </c>
      <c r="B873" s="174">
        <v>43</v>
      </c>
      <c r="C873" s="174">
        <v>4</v>
      </c>
      <c r="D873" s="174">
        <v>43</v>
      </c>
      <c r="E873" s="174">
        <v>52</v>
      </c>
      <c r="F873" s="174">
        <v>1</v>
      </c>
      <c r="G873" s="68">
        <f t="shared" si="60"/>
        <v>0.56641275529511681</v>
      </c>
      <c r="H873" s="68">
        <f t="shared" si="61"/>
        <v>0.51413623933273556</v>
      </c>
      <c r="I873" s="68">
        <f t="shared" si="62"/>
        <v>0.56894650779667488</v>
      </c>
      <c r="J873" s="232">
        <f t="shared" si="63"/>
        <v>3.3942998508782504E-2</v>
      </c>
      <c r="K873" s="321">
        <f t="shared" si="64"/>
        <v>3.5559242671261676E-2</v>
      </c>
    </row>
    <row r="874" spans="1:11" x14ac:dyDescent="0.2">
      <c r="A874" s="320">
        <v>773</v>
      </c>
      <c r="B874" s="174">
        <v>64</v>
      </c>
      <c r="C874" s="174">
        <v>6</v>
      </c>
      <c r="D874" s="174">
        <v>5</v>
      </c>
      <c r="E874" s="174">
        <v>46</v>
      </c>
      <c r="F874" s="174">
        <v>32</v>
      </c>
      <c r="G874" s="68">
        <f t="shared" si="60"/>
        <v>-6.8735149254768202E-2</v>
      </c>
      <c r="H874" s="68">
        <f t="shared" si="61"/>
        <v>-3.6708419727471409E-2</v>
      </c>
      <c r="I874" s="68">
        <f t="shared" si="62"/>
        <v>-5.4275527412169566E-2</v>
      </c>
      <c r="J874" s="232">
        <f t="shared" si="63"/>
        <v>-3.3812432545823307E-2</v>
      </c>
      <c r="K874" s="321">
        <f t="shared" si="64"/>
        <v>-1.8404877785133569E-2</v>
      </c>
    </row>
    <row r="875" spans="1:11" x14ac:dyDescent="0.2">
      <c r="A875" s="320">
        <v>774</v>
      </c>
      <c r="B875" s="174">
        <v>46</v>
      </c>
      <c r="C875" s="174">
        <v>77</v>
      </c>
      <c r="D875" s="174">
        <v>6</v>
      </c>
      <c r="E875" s="174">
        <v>68</v>
      </c>
      <c r="F875" s="174">
        <v>32</v>
      </c>
      <c r="G875" s="68">
        <f t="shared" si="60"/>
        <v>0.30111951617914712</v>
      </c>
      <c r="H875" s="68">
        <f t="shared" si="61"/>
        <v>0.31446212043487409</v>
      </c>
      <c r="I875" s="68">
        <f t="shared" si="62"/>
        <v>0.33588176977715145</v>
      </c>
      <c r="J875" s="232">
        <f t="shared" si="63"/>
        <v>-1.0202487894521403E-2</v>
      </c>
      <c r="K875" s="321">
        <f t="shared" si="64"/>
        <v>1.6164027459977574E-2</v>
      </c>
    </row>
    <row r="876" spans="1:11" x14ac:dyDescent="0.2">
      <c r="A876" s="320">
        <v>775</v>
      </c>
      <c r="B876" s="174">
        <v>61</v>
      </c>
      <c r="C876" s="174">
        <v>2</v>
      </c>
      <c r="D876" s="174">
        <v>63</v>
      </c>
      <c r="E876" s="174">
        <v>9</v>
      </c>
      <c r="F876" s="174">
        <v>52</v>
      </c>
      <c r="G876" s="68">
        <f t="shared" si="60"/>
        <v>0.1473107533634892</v>
      </c>
      <c r="H876" s="68">
        <f t="shared" si="61"/>
        <v>0.14440881475615464</v>
      </c>
      <c r="I876" s="68">
        <f t="shared" si="62"/>
        <v>0.14092369844546426</v>
      </c>
      <c r="J876" s="232">
        <f t="shared" si="63"/>
        <v>2.5325438581022563E-3</v>
      </c>
      <c r="K876" s="321">
        <f t="shared" si="64"/>
        <v>-3.0499885616018744E-3</v>
      </c>
    </row>
    <row r="877" spans="1:11" x14ac:dyDescent="0.2">
      <c r="A877" s="320">
        <v>776</v>
      </c>
      <c r="B877" s="174">
        <v>70</v>
      </c>
      <c r="C877" s="174">
        <v>74</v>
      </c>
      <c r="D877" s="174">
        <v>45</v>
      </c>
      <c r="E877" s="174">
        <v>64</v>
      </c>
      <c r="F877" s="174">
        <v>54</v>
      </c>
      <c r="G877" s="68">
        <f t="shared" si="60"/>
        <v>0.15721583037893727</v>
      </c>
      <c r="H877" s="68">
        <f t="shared" si="61"/>
        <v>0.1689777999956712</v>
      </c>
      <c r="I877" s="68">
        <f t="shared" si="62"/>
        <v>0.19311003843702079</v>
      </c>
      <c r="J877" s="232">
        <f t="shared" si="63"/>
        <v>-1.0112717790542999E-2</v>
      </c>
      <c r="K877" s="321">
        <f t="shared" si="64"/>
        <v>2.0433683891773084E-2</v>
      </c>
    </row>
    <row r="878" spans="1:11" x14ac:dyDescent="0.2">
      <c r="A878" s="320">
        <v>777</v>
      </c>
      <c r="B878" s="174">
        <v>61</v>
      </c>
      <c r="C878" s="174">
        <v>19</v>
      </c>
      <c r="D878" s="174">
        <v>2</v>
      </c>
      <c r="E878" s="174">
        <v>6</v>
      </c>
      <c r="F878" s="174">
        <v>68</v>
      </c>
      <c r="G878" s="68">
        <f t="shared" si="60"/>
        <v>0.22410227480720568</v>
      </c>
      <c r="H878" s="68">
        <f t="shared" si="61"/>
        <v>0.2261603103097638</v>
      </c>
      <c r="I878" s="68">
        <f t="shared" si="62"/>
        <v>0.20166864057349398</v>
      </c>
      <c r="J878" s="232">
        <f t="shared" si="63"/>
        <v>-1.6798493345340803E-3</v>
      </c>
      <c r="K878" s="321">
        <f t="shared" si="64"/>
        <v>-2.017646307456605E-2</v>
      </c>
    </row>
    <row r="879" spans="1:11" x14ac:dyDescent="0.2">
      <c r="A879" s="320">
        <v>778</v>
      </c>
      <c r="B879" s="174">
        <v>22</v>
      </c>
      <c r="C879" s="174">
        <v>17</v>
      </c>
      <c r="D879" s="174">
        <v>29</v>
      </c>
      <c r="E879" s="174">
        <v>76</v>
      </c>
      <c r="F879" s="174">
        <v>1</v>
      </c>
      <c r="G879" s="68">
        <f t="shared" si="60"/>
        <v>0.43771331508268396</v>
      </c>
      <c r="H879" s="68">
        <f t="shared" si="61"/>
        <v>0.40206438216011264</v>
      </c>
      <c r="I879" s="68">
        <f t="shared" si="62"/>
        <v>0.40429621867550081</v>
      </c>
      <c r="J879" s="232">
        <f t="shared" si="63"/>
        <v>2.5108166568308155E-2</v>
      </c>
      <c r="K879" s="321">
        <f t="shared" si="64"/>
        <v>1.5905560997717572E-3</v>
      </c>
    </row>
    <row r="880" spans="1:11" x14ac:dyDescent="0.2">
      <c r="A880" s="320">
        <v>779</v>
      </c>
      <c r="B880" s="174">
        <v>3</v>
      </c>
      <c r="C880" s="174">
        <v>48</v>
      </c>
      <c r="D880" s="174">
        <v>67</v>
      </c>
      <c r="E880" s="174">
        <v>11</v>
      </c>
      <c r="F880" s="174">
        <v>36</v>
      </c>
      <c r="G880" s="68">
        <f t="shared" si="60"/>
        <v>0.32905719603263783</v>
      </c>
      <c r="H880" s="68">
        <f t="shared" si="61"/>
        <v>0.28361833034034922</v>
      </c>
      <c r="I880" s="68">
        <f t="shared" si="62"/>
        <v>0.28071928732606155</v>
      </c>
      <c r="J880" s="232">
        <f t="shared" si="63"/>
        <v>3.4786905133100753E-2</v>
      </c>
      <c r="K880" s="321">
        <f t="shared" si="64"/>
        <v>-2.2610472422885512E-3</v>
      </c>
    </row>
    <row r="881" spans="1:11" x14ac:dyDescent="0.2">
      <c r="A881" s="320">
        <v>780</v>
      </c>
      <c r="B881" s="174">
        <v>30</v>
      </c>
      <c r="C881" s="174">
        <v>17</v>
      </c>
      <c r="D881" s="174">
        <v>31</v>
      </c>
      <c r="E881" s="174">
        <v>28</v>
      </c>
      <c r="F881" s="174">
        <v>15</v>
      </c>
      <c r="G881" s="68">
        <f t="shared" si="60"/>
        <v>0.61767272133685913</v>
      </c>
      <c r="H881" s="68">
        <f t="shared" si="61"/>
        <v>0.60391739325043114</v>
      </c>
      <c r="I881" s="68">
        <f t="shared" si="62"/>
        <v>0.63381577316185522</v>
      </c>
      <c r="J881" s="232">
        <f t="shared" si="63"/>
        <v>8.5395169388093797E-3</v>
      </c>
      <c r="K881" s="321">
        <f t="shared" si="64"/>
        <v>1.8469236507718614E-2</v>
      </c>
    </row>
    <row r="882" spans="1:11" x14ac:dyDescent="0.2">
      <c r="A882" s="320">
        <v>781</v>
      </c>
      <c r="B882" s="174">
        <v>73</v>
      </c>
      <c r="C882" s="174">
        <v>2</v>
      </c>
      <c r="D882" s="174">
        <v>9</v>
      </c>
      <c r="E882" s="174">
        <v>73</v>
      </c>
      <c r="F882" s="174">
        <v>25</v>
      </c>
      <c r="G882" s="68">
        <f t="shared" si="60"/>
        <v>0.2029429951313646</v>
      </c>
      <c r="H882" s="68">
        <f t="shared" si="61"/>
        <v>0.18657021373941696</v>
      </c>
      <c r="I882" s="68">
        <f t="shared" si="62"/>
        <v>0.18045324811480667</v>
      </c>
      <c r="J882" s="232">
        <f t="shared" si="63"/>
        <v>1.370407794088126E-2</v>
      </c>
      <c r="K882" s="321">
        <f t="shared" si="64"/>
        <v>-5.1684990370839705E-3</v>
      </c>
    </row>
    <row r="883" spans="1:11" x14ac:dyDescent="0.2">
      <c r="A883" s="320">
        <v>782</v>
      </c>
      <c r="B883" s="174">
        <v>70</v>
      </c>
      <c r="C883" s="174">
        <v>25</v>
      </c>
      <c r="D883" s="174">
        <v>20</v>
      </c>
      <c r="E883" s="174">
        <v>34</v>
      </c>
      <c r="F883" s="174">
        <v>35</v>
      </c>
      <c r="G883" s="68">
        <f t="shared" si="60"/>
        <v>0.52924636849872453</v>
      </c>
      <c r="H883" s="68">
        <f t="shared" si="61"/>
        <v>0.53620069396111658</v>
      </c>
      <c r="I883" s="68">
        <f t="shared" si="62"/>
        <v>0.55815928429375039</v>
      </c>
      <c r="J883" s="232">
        <f t="shared" si="63"/>
        <v>-4.5372418777178567E-3</v>
      </c>
      <c r="K883" s="321">
        <f t="shared" si="64"/>
        <v>1.419289229044891E-2</v>
      </c>
    </row>
    <row r="884" spans="1:11" x14ac:dyDescent="0.2">
      <c r="A884" s="320">
        <v>783</v>
      </c>
      <c r="B884" s="174">
        <v>75</v>
      </c>
      <c r="C884" s="174">
        <v>63</v>
      </c>
      <c r="D884" s="174">
        <v>59</v>
      </c>
      <c r="E884" s="174">
        <v>22</v>
      </c>
      <c r="F884" s="174">
        <v>55</v>
      </c>
      <c r="G884" s="68">
        <f t="shared" si="60"/>
        <v>0.18643626227214116</v>
      </c>
      <c r="H884" s="68">
        <f t="shared" si="61"/>
        <v>0.21891184265557539</v>
      </c>
      <c r="I884" s="68">
        <f t="shared" si="62"/>
        <v>0.24779735592486296</v>
      </c>
      <c r="J884" s="232">
        <f t="shared" si="63"/>
        <v>-2.7004452149867731E-2</v>
      </c>
      <c r="K884" s="321">
        <f t="shared" si="64"/>
        <v>2.3421353215386569E-2</v>
      </c>
    </row>
    <row r="885" spans="1:11" x14ac:dyDescent="0.2">
      <c r="A885" s="320">
        <v>784</v>
      </c>
      <c r="B885" s="174">
        <v>33</v>
      </c>
      <c r="C885" s="174">
        <v>74</v>
      </c>
      <c r="D885" s="174">
        <v>67</v>
      </c>
      <c r="E885" s="174">
        <v>60</v>
      </c>
      <c r="F885" s="174">
        <v>6</v>
      </c>
      <c r="G885" s="68">
        <f t="shared" si="60"/>
        <v>0.52581802903108921</v>
      </c>
      <c r="H885" s="68">
        <f t="shared" si="61"/>
        <v>0.56693160191377201</v>
      </c>
      <c r="I885" s="68">
        <f t="shared" si="62"/>
        <v>0.6052711248781546</v>
      </c>
      <c r="J885" s="232">
        <f t="shared" si="63"/>
        <v>-2.6588634634327632E-2</v>
      </c>
      <c r="K885" s="321">
        <f t="shared" si="64"/>
        <v>2.4173354118100756E-2</v>
      </c>
    </row>
    <row r="886" spans="1:11" x14ac:dyDescent="0.2">
      <c r="A886" s="320">
        <v>785</v>
      </c>
      <c r="B886" s="174">
        <v>25</v>
      </c>
      <c r="C886" s="174">
        <v>16</v>
      </c>
      <c r="D886" s="174">
        <v>19</v>
      </c>
      <c r="E886" s="174">
        <v>69</v>
      </c>
      <c r="F886" s="174">
        <v>15</v>
      </c>
      <c r="G886" s="68">
        <f t="shared" si="60"/>
        <v>0.34137184132896126</v>
      </c>
      <c r="H886" s="68">
        <f t="shared" si="61"/>
        <v>0.30101884431302217</v>
      </c>
      <c r="I886" s="68">
        <f t="shared" si="62"/>
        <v>0.28248088543790972</v>
      </c>
      <c r="J886" s="232">
        <f t="shared" si="63"/>
        <v>3.0545168552535387E-2</v>
      </c>
      <c r="K886" s="321">
        <f t="shared" si="64"/>
        <v>-1.4351290099221361E-2</v>
      </c>
    </row>
    <row r="887" spans="1:11" x14ac:dyDescent="0.2">
      <c r="A887" s="320">
        <v>786</v>
      </c>
      <c r="B887" s="174">
        <v>26</v>
      </c>
      <c r="C887" s="174">
        <v>56</v>
      </c>
      <c r="D887" s="174">
        <v>62</v>
      </c>
      <c r="E887" s="174">
        <v>38</v>
      </c>
      <c r="F887" s="174">
        <v>63</v>
      </c>
      <c r="G887" s="68">
        <f t="shared" si="60"/>
        <v>9.5612286509842992E-2</v>
      </c>
      <c r="H887" s="68">
        <f t="shared" si="61"/>
        <v>8.7839496770547365E-2</v>
      </c>
      <c r="I887" s="68">
        <f t="shared" si="62"/>
        <v>0.10685398281587699</v>
      </c>
      <c r="J887" s="232">
        <f t="shared" si="63"/>
        <v>7.1197565551496872E-3</v>
      </c>
      <c r="K887" s="321">
        <f t="shared" si="64"/>
        <v>1.7328125316967861E-2</v>
      </c>
    </row>
    <row r="888" spans="1:11" x14ac:dyDescent="0.2">
      <c r="A888" s="320">
        <v>787</v>
      </c>
      <c r="B888" s="174">
        <v>62</v>
      </c>
      <c r="C888" s="174">
        <v>67</v>
      </c>
      <c r="D888" s="174">
        <v>47</v>
      </c>
      <c r="E888" s="174">
        <v>22</v>
      </c>
      <c r="F888" s="174">
        <v>39</v>
      </c>
      <c r="G888" s="68">
        <f t="shared" si="60"/>
        <v>0.27511233022114268</v>
      </c>
      <c r="H888" s="68">
        <f t="shared" si="61"/>
        <v>0.27131684860379091</v>
      </c>
      <c r="I888" s="68">
        <f t="shared" si="62"/>
        <v>0.28747356867032248</v>
      </c>
      <c r="J888" s="232">
        <f t="shared" si="63"/>
        <v>2.9810249266922556E-3</v>
      </c>
      <c r="K888" s="321">
        <f t="shared" si="64"/>
        <v>1.2628572219766628E-2</v>
      </c>
    </row>
    <row r="889" spans="1:11" x14ac:dyDescent="0.2">
      <c r="A889" s="320">
        <v>788</v>
      </c>
      <c r="B889" s="174">
        <v>22</v>
      </c>
      <c r="C889" s="174">
        <v>32</v>
      </c>
      <c r="D889" s="174">
        <v>54</v>
      </c>
      <c r="E889" s="174">
        <v>75</v>
      </c>
      <c r="F889" s="174">
        <v>36</v>
      </c>
      <c r="G889" s="68">
        <f t="shared" si="60"/>
        <v>0.31636481107203407</v>
      </c>
      <c r="H889" s="68">
        <f t="shared" si="61"/>
        <v>0.335855493329688</v>
      </c>
      <c r="I889" s="68">
        <f t="shared" si="62"/>
        <v>0.34373800859368586</v>
      </c>
      <c r="J889" s="232">
        <f t="shared" si="63"/>
        <v>-1.4697899041180799E-2</v>
      </c>
      <c r="K889" s="321">
        <f t="shared" si="64"/>
        <v>5.8833834278025103E-3</v>
      </c>
    </row>
    <row r="890" spans="1:11" x14ac:dyDescent="0.2">
      <c r="A890" s="320">
        <v>789</v>
      </c>
      <c r="B890" s="174">
        <v>59</v>
      </c>
      <c r="C890" s="174">
        <v>69</v>
      </c>
      <c r="D890" s="174">
        <v>66</v>
      </c>
      <c r="E890" s="174">
        <v>11</v>
      </c>
      <c r="F890" s="174">
        <v>22</v>
      </c>
      <c r="G890" s="68">
        <f t="shared" si="60"/>
        <v>0.53841849232150141</v>
      </c>
      <c r="H890" s="68">
        <f t="shared" si="61"/>
        <v>0.52064488991934055</v>
      </c>
      <c r="I890" s="68">
        <f t="shared" si="62"/>
        <v>0.53681647682426425</v>
      </c>
      <c r="J890" s="232">
        <f t="shared" si="63"/>
        <v>1.1620421144954858E-2</v>
      </c>
      <c r="K890" s="321">
        <f t="shared" si="64"/>
        <v>1.0578539364714588E-2</v>
      </c>
    </row>
    <row r="891" spans="1:11" x14ac:dyDescent="0.2">
      <c r="A891" s="320">
        <v>790</v>
      </c>
      <c r="B891" s="174">
        <v>41</v>
      </c>
      <c r="C891" s="174">
        <v>6</v>
      </c>
      <c r="D891" s="174">
        <v>24</v>
      </c>
      <c r="E891" s="174">
        <v>55</v>
      </c>
      <c r="F891" s="174">
        <v>40</v>
      </c>
      <c r="G891" s="68">
        <f t="shared" si="60"/>
        <v>0.17626309504474369</v>
      </c>
      <c r="H891" s="68">
        <f t="shared" si="61"/>
        <v>0.19071070604041718</v>
      </c>
      <c r="I891" s="68">
        <f t="shared" si="62"/>
        <v>0.19722452010000535</v>
      </c>
      <c r="J891" s="232">
        <f t="shared" si="63"/>
        <v>-1.2207816087211736E-2</v>
      </c>
      <c r="K891" s="321">
        <f t="shared" si="64"/>
        <v>5.4556171746816054E-3</v>
      </c>
    </row>
    <row r="892" spans="1:11" x14ac:dyDescent="0.2">
      <c r="A892" s="320">
        <v>791</v>
      </c>
      <c r="B892" s="174">
        <v>69</v>
      </c>
      <c r="C892" s="174">
        <v>68</v>
      </c>
      <c r="D892" s="174">
        <v>22</v>
      </c>
      <c r="E892" s="174">
        <v>69</v>
      </c>
      <c r="F892" s="174">
        <v>63</v>
      </c>
      <c r="G892" s="68">
        <f t="shared" si="60"/>
        <v>0.35779558212992368</v>
      </c>
      <c r="H892" s="68">
        <f t="shared" si="61"/>
        <v>0.3810974582175457</v>
      </c>
      <c r="I892" s="68">
        <f t="shared" si="62"/>
        <v>0.40641587788821343</v>
      </c>
      <c r="J892" s="232">
        <f t="shared" si="63"/>
        <v>-1.7015953512794623E-2</v>
      </c>
      <c r="K892" s="321">
        <f t="shared" si="64"/>
        <v>1.8166094927840101E-2</v>
      </c>
    </row>
    <row r="893" spans="1:11" x14ac:dyDescent="0.2">
      <c r="A893" s="320">
        <v>792</v>
      </c>
      <c r="B893" s="174">
        <v>60</v>
      </c>
      <c r="C893" s="174">
        <v>72</v>
      </c>
      <c r="D893" s="174">
        <v>5</v>
      </c>
      <c r="E893" s="174">
        <v>63</v>
      </c>
      <c r="F893" s="174">
        <v>71</v>
      </c>
      <c r="G893" s="68">
        <f t="shared" si="60"/>
        <v>0.31868075687127462</v>
      </c>
      <c r="H893" s="68">
        <f t="shared" si="61"/>
        <v>0.34902749874824246</v>
      </c>
      <c r="I893" s="68">
        <f t="shared" si="62"/>
        <v>0.38486792760341149</v>
      </c>
      <c r="J893" s="232">
        <f t="shared" si="63"/>
        <v>-2.2752151334838978E-2</v>
      </c>
      <c r="K893" s="321">
        <f t="shared" si="64"/>
        <v>2.6220814400559286E-2</v>
      </c>
    </row>
    <row r="894" spans="1:11" x14ac:dyDescent="0.2">
      <c r="A894" s="320">
        <v>793</v>
      </c>
      <c r="B894" s="174">
        <v>72</v>
      </c>
      <c r="C894" s="174">
        <v>44</v>
      </c>
      <c r="D894" s="174">
        <v>10</v>
      </c>
      <c r="E894" s="174">
        <v>48</v>
      </c>
      <c r="F894" s="174">
        <v>58</v>
      </c>
      <c r="G894" s="68">
        <f t="shared" si="60"/>
        <v>0.2992236511539641</v>
      </c>
      <c r="H894" s="68">
        <f t="shared" si="61"/>
        <v>0.33371200298235104</v>
      </c>
      <c r="I894" s="68">
        <f t="shared" si="62"/>
        <v>0.35807966712242356</v>
      </c>
      <c r="J894" s="232">
        <f t="shared" si="63"/>
        <v>-2.6199139709901044E-2</v>
      </c>
      <c r="K894" s="321">
        <f t="shared" si="64"/>
        <v>1.8105658086838963E-2</v>
      </c>
    </row>
    <row r="895" spans="1:11" x14ac:dyDescent="0.2">
      <c r="A895" s="320">
        <v>794</v>
      </c>
      <c r="B895" s="174">
        <v>49</v>
      </c>
      <c r="C895" s="174">
        <v>26</v>
      </c>
      <c r="D895" s="174">
        <v>45</v>
      </c>
      <c r="E895" s="174">
        <v>18</v>
      </c>
      <c r="F895" s="174">
        <v>46</v>
      </c>
      <c r="G895" s="68">
        <f t="shared" si="60"/>
        <v>0.61294738734210275</v>
      </c>
      <c r="H895" s="68">
        <f t="shared" si="61"/>
        <v>0.54010317742054159</v>
      </c>
      <c r="I895" s="68">
        <f t="shared" si="62"/>
        <v>0.59436070953483422</v>
      </c>
      <c r="J895" s="232">
        <f t="shared" si="63"/>
        <v>4.6213768213996795E-2</v>
      </c>
      <c r="K895" s="321">
        <f t="shared" si="64"/>
        <v>3.4623434316036837E-2</v>
      </c>
    </row>
    <row r="896" spans="1:11" x14ac:dyDescent="0.2">
      <c r="A896" s="320">
        <v>795</v>
      </c>
      <c r="B896" s="174">
        <v>24</v>
      </c>
      <c r="C896" s="174">
        <v>24</v>
      </c>
      <c r="D896" s="174">
        <v>24</v>
      </c>
      <c r="E896" s="174">
        <v>25</v>
      </c>
      <c r="F896" s="174">
        <v>49</v>
      </c>
      <c r="G896" s="68">
        <f t="shared" si="60"/>
        <v>0.91869156550496456</v>
      </c>
      <c r="H896" s="68">
        <f t="shared" si="61"/>
        <v>0.72962039798798006</v>
      </c>
      <c r="I896" s="68">
        <f t="shared" si="62"/>
        <v>0.81046512133633741</v>
      </c>
      <c r="J896" s="232">
        <f t="shared" si="63"/>
        <v>0.10374151612509475</v>
      </c>
      <c r="K896" s="321">
        <f t="shared" si="64"/>
        <v>4.5681824075221901E-2</v>
      </c>
    </row>
    <row r="897" spans="1:11" x14ac:dyDescent="0.2">
      <c r="A897" s="320">
        <v>796</v>
      </c>
      <c r="B897" s="174">
        <v>39</v>
      </c>
      <c r="C897" s="174">
        <v>72</v>
      </c>
      <c r="D897" s="174">
        <v>60</v>
      </c>
      <c r="E897" s="174">
        <v>53</v>
      </c>
      <c r="F897" s="174">
        <v>52</v>
      </c>
      <c r="G897" s="68">
        <f t="shared" si="60"/>
        <v>0.63924021880073911</v>
      </c>
      <c r="H897" s="68">
        <f t="shared" si="61"/>
        <v>0.6595691409661204</v>
      </c>
      <c r="I897" s="68">
        <f t="shared" si="62"/>
        <v>0.71713960201906146</v>
      </c>
      <c r="J897" s="232">
        <f t="shared" si="63"/>
        <v>-1.2325161774564856E-2</v>
      </c>
      <c r="K897" s="321">
        <f t="shared" si="64"/>
        <v>3.4101869343465083E-2</v>
      </c>
    </row>
    <row r="898" spans="1:11" x14ac:dyDescent="0.2">
      <c r="A898" s="320">
        <v>797</v>
      </c>
      <c r="B898" s="174">
        <v>1</v>
      </c>
      <c r="C898" s="174">
        <v>10</v>
      </c>
      <c r="D898" s="174">
        <v>59</v>
      </c>
      <c r="E898" s="174">
        <v>69</v>
      </c>
      <c r="F898" s="174">
        <v>56</v>
      </c>
      <c r="G898" s="68">
        <f t="shared" si="60"/>
        <v>0.37176813910298634</v>
      </c>
      <c r="H898" s="68">
        <f t="shared" si="61"/>
        <v>0.37364861351933976</v>
      </c>
      <c r="I898" s="68">
        <f t="shared" si="62"/>
        <v>0.36483174063057788</v>
      </c>
      <c r="J898" s="232">
        <f t="shared" si="63"/>
        <v>-1.3699010969002118E-3</v>
      </c>
      <c r="K898" s="321">
        <f t="shared" si="64"/>
        <v>-6.4392671948391806E-3</v>
      </c>
    </row>
    <row r="899" spans="1:11" x14ac:dyDescent="0.2">
      <c r="A899" s="320">
        <v>798</v>
      </c>
      <c r="B899" s="174">
        <v>12</v>
      </c>
      <c r="C899" s="174">
        <v>74</v>
      </c>
      <c r="D899" s="174">
        <v>70</v>
      </c>
      <c r="E899" s="174">
        <v>61</v>
      </c>
      <c r="F899" s="174">
        <v>70</v>
      </c>
      <c r="G899" s="68">
        <f t="shared" si="60"/>
        <v>0.7372432271078464</v>
      </c>
      <c r="H899" s="68">
        <f t="shared" si="61"/>
        <v>0.67209034733736206</v>
      </c>
      <c r="I899" s="68">
        <f t="shared" si="62"/>
        <v>0.74151383141718763</v>
      </c>
      <c r="J899" s="232">
        <f t="shared" si="63"/>
        <v>3.8224955884821485E-2</v>
      </c>
      <c r="K899" s="321">
        <f t="shared" si="64"/>
        <v>4.0680204344457106E-2</v>
      </c>
    </row>
    <row r="900" spans="1:11" x14ac:dyDescent="0.2">
      <c r="A900" s="320">
        <v>799</v>
      </c>
      <c r="B900" s="174">
        <v>4</v>
      </c>
      <c r="C900" s="174">
        <v>26</v>
      </c>
      <c r="D900" s="174">
        <v>69</v>
      </c>
      <c r="E900" s="174">
        <v>27</v>
      </c>
      <c r="F900" s="174">
        <v>26</v>
      </c>
      <c r="G900" s="68">
        <f t="shared" si="60"/>
        <v>1.0301392517870367</v>
      </c>
      <c r="H900" s="68">
        <f t="shared" si="61"/>
        <v>0.97622358638726592</v>
      </c>
      <c r="I900" s="68">
        <f t="shared" si="62"/>
        <v>1.120988529532486</v>
      </c>
      <c r="J900" s="232">
        <f t="shared" si="63"/>
        <v>2.6916643710175284E-2</v>
      </c>
      <c r="K900" s="321">
        <f t="shared" si="64"/>
        <v>7.0694523590718067E-2</v>
      </c>
    </row>
    <row r="901" spans="1:11" x14ac:dyDescent="0.2">
      <c r="A901" s="320">
        <v>800</v>
      </c>
      <c r="B901" s="174">
        <v>62</v>
      </c>
      <c r="C901" s="174">
        <v>22</v>
      </c>
      <c r="D901" s="174">
        <v>5</v>
      </c>
      <c r="E901" s="174">
        <v>43</v>
      </c>
      <c r="F901" s="174">
        <v>24</v>
      </c>
      <c r="G901" s="68">
        <f t="shared" si="60"/>
        <v>7.3002709665557663E-2</v>
      </c>
      <c r="H901" s="68">
        <f t="shared" si="61"/>
        <v>0.10214739877700563</v>
      </c>
      <c r="I901" s="68">
        <f t="shared" si="62"/>
        <v>0.1031914643321441</v>
      </c>
      <c r="J901" s="232">
        <f t="shared" si="63"/>
        <v>-2.6799468519478481E-2</v>
      </c>
      <c r="K901" s="321">
        <f t="shared" si="64"/>
        <v>9.4685279492114918E-4</v>
      </c>
    </row>
    <row r="902" spans="1:11" x14ac:dyDescent="0.2">
      <c r="A902" s="320">
        <v>801</v>
      </c>
      <c r="B902" s="174">
        <v>50</v>
      </c>
      <c r="C902" s="174">
        <v>43</v>
      </c>
      <c r="D902" s="174">
        <v>22</v>
      </c>
      <c r="E902" s="174">
        <v>68</v>
      </c>
      <c r="F902" s="174">
        <v>14</v>
      </c>
      <c r="G902" s="68">
        <f t="shared" si="60"/>
        <v>0.50263580864452351</v>
      </c>
      <c r="H902" s="68">
        <f t="shared" si="61"/>
        <v>0.45995817742016198</v>
      </c>
      <c r="I902" s="68">
        <f t="shared" si="62"/>
        <v>0.48624368738215562</v>
      </c>
      <c r="J902" s="232">
        <f t="shared" si="63"/>
        <v>2.8812982084046743E-2</v>
      </c>
      <c r="K902" s="321">
        <f t="shared" si="64"/>
        <v>1.7844131960610941E-2</v>
      </c>
    </row>
    <row r="903" spans="1:11" x14ac:dyDescent="0.2">
      <c r="A903" s="320">
        <v>802</v>
      </c>
      <c r="B903" s="174">
        <v>60</v>
      </c>
      <c r="C903" s="174">
        <v>23</v>
      </c>
      <c r="D903" s="174">
        <v>7</v>
      </c>
      <c r="E903" s="174">
        <v>57</v>
      </c>
      <c r="F903" s="174">
        <v>22</v>
      </c>
      <c r="G903" s="68">
        <f t="shared" si="60"/>
        <v>0.41030376796685175</v>
      </c>
      <c r="H903" s="68">
        <f t="shared" si="61"/>
        <v>0.41449997191030441</v>
      </c>
      <c r="I903" s="68">
        <f t="shared" si="62"/>
        <v>0.41964825263931993</v>
      </c>
      <c r="J903" s="232">
        <f t="shared" si="63"/>
        <v>-2.9709724401451292E-3</v>
      </c>
      <c r="K903" s="321">
        <f t="shared" si="64"/>
        <v>3.6330396181041263E-3</v>
      </c>
    </row>
    <row r="904" spans="1:11" x14ac:dyDescent="0.2">
      <c r="A904" s="320">
        <v>803</v>
      </c>
      <c r="B904" s="174">
        <v>37</v>
      </c>
      <c r="C904" s="174">
        <v>77</v>
      </c>
      <c r="D904" s="174">
        <v>56</v>
      </c>
      <c r="E904" s="174">
        <v>51</v>
      </c>
      <c r="F904" s="174">
        <v>25</v>
      </c>
      <c r="G904" s="68">
        <f t="shared" si="60"/>
        <v>0.32503802078082678</v>
      </c>
      <c r="H904" s="68">
        <f t="shared" si="61"/>
        <v>0.26999761738377148</v>
      </c>
      <c r="I904" s="68">
        <f t="shared" si="62"/>
        <v>0.27860032498348408</v>
      </c>
      <c r="J904" s="232">
        <f t="shared" si="63"/>
        <v>4.2426129562450197E-2</v>
      </c>
      <c r="K904" s="321">
        <f t="shared" si="64"/>
        <v>6.7509591288342601E-3</v>
      </c>
    </row>
    <row r="905" spans="1:11" x14ac:dyDescent="0.2">
      <c r="A905" s="320">
        <v>804</v>
      </c>
      <c r="B905" s="174">
        <v>65</v>
      </c>
      <c r="C905" s="174">
        <v>63</v>
      </c>
      <c r="D905" s="174">
        <v>16</v>
      </c>
      <c r="E905" s="174">
        <v>10</v>
      </c>
      <c r="F905" s="174">
        <v>45</v>
      </c>
      <c r="G905" s="68">
        <f t="shared" si="60"/>
        <v>-0.13162972117274296</v>
      </c>
      <c r="H905" s="68">
        <f t="shared" si="61"/>
        <v>-0.10886268070642979</v>
      </c>
      <c r="I905" s="68">
        <f t="shared" si="62"/>
        <v>-0.1210613439233742</v>
      </c>
      <c r="J905" s="232">
        <f t="shared" si="63"/>
        <v>-2.5880321562420774E-2</v>
      </c>
      <c r="K905" s="321">
        <f t="shared" si="64"/>
        <v>-1.3783426829296211E-2</v>
      </c>
    </row>
    <row r="906" spans="1:11" x14ac:dyDescent="0.2">
      <c r="A906" s="320">
        <v>805</v>
      </c>
      <c r="B906" s="174">
        <v>9</v>
      </c>
      <c r="C906" s="174">
        <v>61</v>
      </c>
      <c r="D906" s="174">
        <v>18</v>
      </c>
      <c r="E906" s="174">
        <v>35</v>
      </c>
      <c r="F906" s="174">
        <v>69</v>
      </c>
      <c r="G906" s="68">
        <f t="shared" si="60"/>
        <v>0.20334140096101616</v>
      </c>
      <c r="H906" s="68">
        <f t="shared" si="61"/>
        <v>0.23498050455950126</v>
      </c>
      <c r="I906" s="68">
        <f t="shared" si="62"/>
        <v>0.20052975901358083</v>
      </c>
      <c r="J906" s="232">
        <f t="shared" si="63"/>
        <v>-2.5952996119621555E-2</v>
      </c>
      <c r="K906" s="321">
        <f t="shared" si="64"/>
        <v>-2.8292258952334112E-2</v>
      </c>
    </row>
    <row r="907" spans="1:11" x14ac:dyDescent="0.2">
      <c r="A907" s="320">
        <v>806</v>
      </c>
      <c r="B907" s="174">
        <v>1</v>
      </c>
      <c r="C907" s="174">
        <v>11</v>
      </c>
      <c r="D907" s="174">
        <v>29</v>
      </c>
      <c r="E907" s="174">
        <v>74</v>
      </c>
      <c r="F907" s="174">
        <v>47</v>
      </c>
      <c r="G907" s="68">
        <f t="shared" si="60"/>
        <v>0.57809848096735794</v>
      </c>
      <c r="H907" s="68">
        <f t="shared" si="61"/>
        <v>0.51115303703137149</v>
      </c>
      <c r="I907" s="68">
        <f t="shared" si="62"/>
        <v>0.53440137798763376</v>
      </c>
      <c r="J907" s="232">
        <f t="shared" si="63"/>
        <v>4.3347669085711638E-2</v>
      </c>
      <c r="K907" s="321">
        <f t="shared" si="64"/>
        <v>1.5267363094292464E-2</v>
      </c>
    </row>
    <row r="908" spans="1:11" x14ac:dyDescent="0.2">
      <c r="A908" s="320">
        <v>807</v>
      </c>
      <c r="B908" s="174">
        <v>23</v>
      </c>
      <c r="C908" s="174">
        <v>25</v>
      </c>
      <c r="D908" s="174">
        <v>24</v>
      </c>
      <c r="E908" s="174">
        <v>29</v>
      </c>
      <c r="F908" s="174">
        <v>44</v>
      </c>
      <c r="G908" s="68">
        <f t="shared" si="60"/>
        <v>0.80766709163980188</v>
      </c>
      <c r="H908" s="68">
        <f t="shared" si="61"/>
        <v>0.70851483686745786</v>
      </c>
      <c r="I908" s="68">
        <f t="shared" si="62"/>
        <v>0.78545749662262243</v>
      </c>
      <c r="J908" s="232">
        <f t="shared" si="63"/>
        <v>5.6412637601789058E-2</v>
      </c>
      <c r="K908" s="321">
        <f t="shared" si="64"/>
        <v>4.4050206337273842E-2</v>
      </c>
    </row>
    <row r="909" spans="1:11" x14ac:dyDescent="0.2">
      <c r="A909" s="320">
        <v>808</v>
      </c>
      <c r="B909" s="174">
        <v>71</v>
      </c>
      <c r="C909" s="174">
        <v>3</v>
      </c>
      <c r="D909" s="174">
        <v>17</v>
      </c>
      <c r="E909" s="174">
        <v>30</v>
      </c>
      <c r="F909" s="174">
        <v>26</v>
      </c>
      <c r="G909" s="68">
        <f t="shared" si="60"/>
        <v>0.85856690043848283</v>
      </c>
      <c r="H909" s="68">
        <f t="shared" si="61"/>
        <v>0.73178651894141833</v>
      </c>
      <c r="I909" s="68">
        <f t="shared" si="62"/>
        <v>0.7821689343550271</v>
      </c>
      <c r="J909" s="232">
        <f t="shared" si="63"/>
        <v>7.0652161533566668E-2</v>
      </c>
      <c r="K909" s="321">
        <f t="shared" si="64"/>
        <v>2.8677579397787561E-2</v>
      </c>
    </row>
    <row r="910" spans="1:11" x14ac:dyDescent="0.2">
      <c r="A910" s="320">
        <v>809</v>
      </c>
      <c r="B910" s="174">
        <v>54</v>
      </c>
      <c r="C910" s="174">
        <v>61</v>
      </c>
      <c r="D910" s="174">
        <v>62</v>
      </c>
      <c r="E910" s="174">
        <v>15</v>
      </c>
      <c r="F910" s="174">
        <v>28</v>
      </c>
      <c r="G910" s="68">
        <f t="shared" si="60"/>
        <v>0.25636247563907721</v>
      </c>
      <c r="H910" s="68">
        <f t="shared" si="61"/>
        <v>0.28651818476626523</v>
      </c>
      <c r="I910" s="68">
        <f t="shared" si="62"/>
        <v>0.31528961473578621</v>
      </c>
      <c r="J910" s="232">
        <f t="shared" si="63"/>
        <v>-2.3718866044310751E-2</v>
      </c>
      <c r="K910" s="321">
        <f t="shared" si="64"/>
        <v>2.211739301464731E-2</v>
      </c>
    </row>
    <row r="911" spans="1:11" x14ac:dyDescent="0.2">
      <c r="A911" s="320">
        <v>810</v>
      </c>
      <c r="B911" s="174">
        <v>17</v>
      </c>
      <c r="C911" s="174">
        <v>76</v>
      </c>
      <c r="D911" s="174">
        <v>48</v>
      </c>
      <c r="E911" s="174">
        <v>64</v>
      </c>
      <c r="F911" s="174">
        <v>58</v>
      </c>
      <c r="G911" s="68">
        <f t="shared" si="60"/>
        <v>0.22972367235450086</v>
      </c>
      <c r="H911" s="68">
        <f t="shared" si="61"/>
        <v>0.21074151441233679</v>
      </c>
      <c r="I911" s="68">
        <f t="shared" si="62"/>
        <v>0.23620722215693046</v>
      </c>
      <c r="J911" s="232">
        <f t="shared" si="63"/>
        <v>1.5556493784479489E-2</v>
      </c>
      <c r="K911" s="321">
        <f t="shared" si="64"/>
        <v>2.0815006711253504E-2</v>
      </c>
    </row>
    <row r="912" spans="1:11" x14ac:dyDescent="0.2">
      <c r="A912" s="320">
        <v>811</v>
      </c>
      <c r="B912" s="174">
        <v>54</v>
      </c>
      <c r="C912" s="174">
        <v>76</v>
      </c>
      <c r="D912" s="174">
        <v>41</v>
      </c>
      <c r="E912" s="174">
        <v>69</v>
      </c>
      <c r="F912" s="174">
        <v>9</v>
      </c>
      <c r="G912" s="68">
        <f t="shared" si="60"/>
        <v>0.10743433576345884</v>
      </c>
      <c r="H912" s="68">
        <f t="shared" si="61"/>
        <v>0.15620267680837085</v>
      </c>
      <c r="I912" s="68">
        <f t="shared" si="62"/>
        <v>0.14585278711113658</v>
      </c>
      <c r="J912" s="232">
        <f t="shared" si="63"/>
        <v>-4.309515016881716E-2</v>
      </c>
      <c r="K912" s="321">
        <f t="shared" si="64"/>
        <v>-8.9919288182797995E-3</v>
      </c>
    </row>
    <row r="913" spans="1:11" x14ac:dyDescent="0.2">
      <c r="A913" s="320">
        <v>812</v>
      </c>
      <c r="B913" s="174">
        <v>38</v>
      </c>
      <c r="C913" s="174">
        <v>67</v>
      </c>
      <c r="D913" s="174">
        <v>24</v>
      </c>
      <c r="E913" s="174">
        <v>45</v>
      </c>
      <c r="F913" s="174">
        <v>61</v>
      </c>
      <c r="G913" s="68">
        <f t="shared" si="60"/>
        <v>0.50411393135791038</v>
      </c>
      <c r="H913" s="68">
        <f t="shared" si="61"/>
        <v>0.47602916387650707</v>
      </c>
      <c r="I913" s="68">
        <f t="shared" si="62"/>
        <v>0.51392306442686397</v>
      </c>
      <c r="J913" s="232">
        <f t="shared" si="63"/>
        <v>1.8848490184245153E-2</v>
      </c>
      <c r="K913" s="321">
        <f t="shared" si="64"/>
        <v>2.5348852918570114E-2</v>
      </c>
    </row>
    <row r="914" spans="1:11" x14ac:dyDescent="0.2">
      <c r="A914" s="320">
        <v>813</v>
      </c>
      <c r="B914" s="174">
        <v>77</v>
      </c>
      <c r="C914" s="174">
        <v>40</v>
      </c>
      <c r="D914" s="174">
        <v>48</v>
      </c>
      <c r="E914" s="174">
        <v>30</v>
      </c>
      <c r="F914" s="174">
        <v>63</v>
      </c>
      <c r="G914" s="68">
        <f t="shared" si="60"/>
        <v>0.206359698371825</v>
      </c>
      <c r="H914" s="68">
        <f t="shared" si="61"/>
        <v>0.18828063981859922</v>
      </c>
      <c r="I914" s="68">
        <f t="shared" si="62"/>
        <v>0.22909572540705092</v>
      </c>
      <c r="J914" s="232">
        <f t="shared" si="63"/>
        <v>1.5099889345158364E-2</v>
      </c>
      <c r="K914" s="321">
        <f t="shared" si="64"/>
        <v>3.3771294562823559E-2</v>
      </c>
    </row>
    <row r="915" spans="1:11" x14ac:dyDescent="0.2">
      <c r="A915" s="320">
        <v>814</v>
      </c>
      <c r="B915" s="174">
        <v>56</v>
      </c>
      <c r="C915" s="174">
        <v>52</v>
      </c>
      <c r="D915" s="174">
        <v>6</v>
      </c>
      <c r="E915" s="174">
        <v>40</v>
      </c>
      <c r="F915" s="174">
        <v>1</v>
      </c>
      <c r="G915" s="68">
        <f t="shared" si="60"/>
        <v>0.28631380604144119</v>
      </c>
      <c r="H915" s="68">
        <f t="shared" si="61"/>
        <v>0.26295457855755444</v>
      </c>
      <c r="I915" s="68">
        <f t="shared" si="62"/>
        <v>0.25796133555113143</v>
      </c>
      <c r="J915" s="232">
        <f t="shared" si="63"/>
        <v>1.8326733603285621E-2</v>
      </c>
      <c r="K915" s="321">
        <f t="shared" si="64"/>
        <v>-3.961456634429629E-3</v>
      </c>
    </row>
    <row r="916" spans="1:11" x14ac:dyDescent="0.2">
      <c r="A916" s="320">
        <v>815</v>
      </c>
      <c r="B916" s="174">
        <v>74</v>
      </c>
      <c r="C916" s="174">
        <v>61</v>
      </c>
      <c r="D916" s="174">
        <v>45</v>
      </c>
      <c r="E916" s="174">
        <v>64</v>
      </c>
      <c r="F916" s="174">
        <v>50</v>
      </c>
      <c r="G916" s="68">
        <f t="shared" si="60"/>
        <v>0.29450812966316997</v>
      </c>
      <c r="H916" s="68">
        <f t="shared" si="61"/>
        <v>0.26697931444926359</v>
      </c>
      <c r="I916" s="68">
        <f t="shared" si="62"/>
        <v>0.30587730542053682</v>
      </c>
      <c r="J916" s="232">
        <f t="shared" si="63"/>
        <v>2.149522554248734E-2</v>
      </c>
      <c r="K916" s="321">
        <f t="shared" si="64"/>
        <v>3.0239504791843275E-2</v>
      </c>
    </row>
    <row r="917" spans="1:11" x14ac:dyDescent="0.2">
      <c r="A917" s="320">
        <v>816</v>
      </c>
      <c r="B917" s="174">
        <v>19</v>
      </c>
      <c r="C917" s="174">
        <v>5</v>
      </c>
      <c r="D917" s="174">
        <v>8</v>
      </c>
      <c r="E917" s="174">
        <v>19</v>
      </c>
      <c r="F917" s="174">
        <v>54</v>
      </c>
      <c r="G917" s="68">
        <f t="shared" si="60"/>
        <v>-0.31274254314760686</v>
      </c>
      <c r="H917" s="68">
        <f t="shared" si="61"/>
        <v>-0.25274820427070521</v>
      </c>
      <c r="I917" s="68">
        <f t="shared" si="62"/>
        <v>-0.32658592056552505</v>
      </c>
      <c r="J917" s="232">
        <f t="shared" si="63"/>
        <v>-8.369322701551575E-2</v>
      </c>
      <c r="K917" s="321">
        <f t="shared" si="64"/>
        <v>-0.10404178978880711</v>
      </c>
    </row>
    <row r="918" spans="1:11" x14ac:dyDescent="0.2">
      <c r="A918" s="320">
        <v>817</v>
      </c>
      <c r="B918" s="174">
        <v>13</v>
      </c>
      <c r="C918" s="174">
        <v>34</v>
      </c>
      <c r="D918" s="174">
        <v>31</v>
      </c>
      <c r="E918" s="174">
        <v>42</v>
      </c>
      <c r="F918" s="174">
        <v>59</v>
      </c>
      <c r="G918" s="68">
        <f t="shared" si="60"/>
        <v>1.0416881981509523</v>
      </c>
      <c r="H918" s="68">
        <f t="shared" si="61"/>
        <v>0.97714977099178846</v>
      </c>
      <c r="I918" s="68">
        <f t="shared" si="62"/>
        <v>1.1132350846474219</v>
      </c>
      <c r="J918" s="232">
        <f t="shared" si="63"/>
        <v>3.2120715723184916E-2</v>
      </c>
      <c r="K918" s="321">
        <f t="shared" si="64"/>
        <v>6.6563690768859762E-2</v>
      </c>
    </row>
    <row r="919" spans="1:11" x14ac:dyDescent="0.2">
      <c r="A919" s="320">
        <v>818</v>
      </c>
      <c r="B919" s="174">
        <v>2</v>
      </c>
      <c r="C919" s="174">
        <v>38</v>
      </c>
      <c r="D919" s="174">
        <v>63</v>
      </c>
      <c r="E919" s="174">
        <v>50</v>
      </c>
      <c r="F919" s="174">
        <v>7</v>
      </c>
      <c r="G919" s="68">
        <f t="shared" si="60"/>
        <v>6.8816783425592387E-2</v>
      </c>
      <c r="H919" s="68">
        <f t="shared" si="61"/>
        <v>4.3533287297878642E-2</v>
      </c>
      <c r="I919" s="68">
        <f t="shared" si="62"/>
        <v>2.1572148544498404E-2</v>
      </c>
      <c r="J919" s="232">
        <f t="shared" si="63"/>
        <v>2.3939880043442201E-2</v>
      </c>
      <c r="K919" s="321">
        <f t="shared" si="64"/>
        <v>-2.1269583908024737E-2</v>
      </c>
    </row>
    <row r="920" spans="1:11" x14ac:dyDescent="0.2">
      <c r="A920" s="320">
        <v>819</v>
      </c>
      <c r="B920" s="174">
        <v>51</v>
      </c>
      <c r="C920" s="174">
        <v>25</v>
      </c>
      <c r="D920" s="174">
        <v>66</v>
      </c>
      <c r="E920" s="174">
        <v>53</v>
      </c>
      <c r="F920" s="174">
        <v>51</v>
      </c>
      <c r="G920" s="68">
        <f t="shared" si="60"/>
        <v>0.51021583845912799</v>
      </c>
      <c r="H920" s="68">
        <f t="shared" si="61"/>
        <v>0.45463676722936608</v>
      </c>
      <c r="I920" s="68">
        <f t="shared" si="62"/>
        <v>0.46384587337788363</v>
      </c>
      <c r="J920" s="232">
        <f t="shared" si="63"/>
        <v>3.7496355047702712E-2</v>
      </c>
      <c r="K920" s="321">
        <f t="shared" si="64"/>
        <v>6.310907308504597E-3</v>
      </c>
    </row>
    <row r="921" spans="1:11" x14ac:dyDescent="0.2">
      <c r="A921" s="320">
        <v>820</v>
      </c>
      <c r="B921" s="174">
        <v>9</v>
      </c>
      <c r="C921" s="174">
        <v>70</v>
      </c>
      <c r="D921" s="174">
        <v>10</v>
      </c>
      <c r="E921" s="174">
        <v>15</v>
      </c>
      <c r="F921" s="174">
        <v>32</v>
      </c>
      <c r="G921" s="68">
        <f t="shared" si="60"/>
        <v>-5.95869898708834E-2</v>
      </c>
      <c r="H921" s="68">
        <f t="shared" si="61"/>
        <v>-1.000286193354083E-2</v>
      </c>
      <c r="I921" s="68">
        <f t="shared" si="62"/>
        <v>-6.372173421848204E-2</v>
      </c>
      <c r="J921" s="232">
        <f t="shared" si="63"/>
        <v>-5.1382901036486572E-2</v>
      </c>
      <c r="K921" s="321">
        <f t="shared" si="64"/>
        <v>-5.5789327485942099E-2</v>
      </c>
    </row>
    <row r="922" spans="1:11" x14ac:dyDescent="0.2">
      <c r="A922" s="320">
        <v>821</v>
      </c>
      <c r="B922" s="174">
        <v>48</v>
      </c>
      <c r="C922" s="174">
        <v>52</v>
      </c>
      <c r="D922" s="174">
        <v>47</v>
      </c>
      <c r="E922" s="174">
        <v>18</v>
      </c>
      <c r="F922" s="174">
        <v>9</v>
      </c>
      <c r="G922" s="68">
        <f t="shared" si="60"/>
        <v>0.18218911914675617</v>
      </c>
      <c r="H922" s="68">
        <f t="shared" si="61"/>
        <v>0.17415299954047248</v>
      </c>
      <c r="I922" s="68">
        <f t="shared" si="62"/>
        <v>0.14632959455868666</v>
      </c>
      <c r="J922" s="232">
        <f t="shared" si="63"/>
        <v>6.8208692606527834E-3</v>
      </c>
      <c r="K922" s="321">
        <f t="shared" si="64"/>
        <v>-2.3981854933566537E-2</v>
      </c>
    </row>
    <row r="923" spans="1:11" x14ac:dyDescent="0.2">
      <c r="A923" s="320">
        <v>822</v>
      </c>
      <c r="B923" s="174">
        <v>12</v>
      </c>
      <c r="C923" s="174">
        <v>57</v>
      </c>
      <c r="D923" s="174">
        <v>20</v>
      </c>
      <c r="E923" s="174">
        <v>5</v>
      </c>
      <c r="F923" s="174">
        <v>24</v>
      </c>
      <c r="G923" s="68">
        <f t="shared" si="60"/>
        <v>0.44307902404089305</v>
      </c>
      <c r="H923" s="68">
        <f t="shared" si="61"/>
        <v>0.37335354924194886</v>
      </c>
      <c r="I923" s="68">
        <f t="shared" si="62"/>
        <v>0.38496912300133124</v>
      </c>
      <c r="J923" s="232">
        <f t="shared" si="63"/>
        <v>4.952344710056894E-2</v>
      </c>
      <c r="K923" s="321">
        <f t="shared" si="64"/>
        <v>8.4222506221453084E-3</v>
      </c>
    </row>
    <row r="924" spans="1:11" x14ac:dyDescent="0.2">
      <c r="A924" s="320">
        <v>823</v>
      </c>
      <c r="B924" s="174">
        <v>69</v>
      </c>
      <c r="C924" s="174">
        <v>41</v>
      </c>
      <c r="D924" s="174">
        <v>3</v>
      </c>
      <c r="E924" s="174">
        <v>20</v>
      </c>
      <c r="F924" s="174">
        <v>44</v>
      </c>
      <c r="G924" s="68">
        <f t="shared" si="60"/>
        <v>0.5124577720039436</v>
      </c>
      <c r="H924" s="68">
        <f t="shared" si="61"/>
        <v>0.47330619977696364</v>
      </c>
      <c r="I924" s="68">
        <f t="shared" si="62"/>
        <v>0.49999309864349972</v>
      </c>
      <c r="J924" s="232">
        <f t="shared" si="63"/>
        <v>2.6227000385934528E-2</v>
      </c>
      <c r="K924" s="321">
        <f t="shared" si="64"/>
        <v>1.7951516382309275E-2</v>
      </c>
    </row>
    <row r="925" spans="1:11" x14ac:dyDescent="0.2">
      <c r="A925" s="320">
        <v>824</v>
      </c>
      <c r="B925" s="174">
        <v>21</v>
      </c>
      <c r="C925" s="174">
        <v>45</v>
      </c>
      <c r="D925" s="174">
        <v>54</v>
      </c>
      <c r="E925" s="174">
        <v>39</v>
      </c>
      <c r="F925" s="174">
        <v>21</v>
      </c>
      <c r="G925" s="68">
        <f t="shared" si="60"/>
        <v>0.1255114400558337</v>
      </c>
      <c r="H925" s="68">
        <f t="shared" si="61"/>
        <v>0.14058392274647913</v>
      </c>
      <c r="I925" s="68">
        <f t="shared" si="62"/>
        <v>0.1138478264599283</v>
      </c>
      <c r="J925" s="232">
        <f t="shared" si="63"/>
        <v>-1.3302798471653471E-2</v>
      </c>
      <c r="K925" s="321">
        <f t="shared" si="64"/>
        <v>-2.371981305472522E-2</v>
      </c>
    </row>
    <row r="926" spans="1:11" x14ac:dyDescent="0.2">
      <c r="A926" s="320">
        <v>825</v>
      </c>
      <c r="B926" s="174">
        <v>48</v>
      </c>
      <c r="C926" s="174">
        <v>28</v>
      </c>
      <c r="D926" s="174">
        <v>70</v>
      </c>
      <c r="E926" s="174">
        <v>44</v>
      </c>
      <c r="F926" s="174">
        <v>42</v>
      </c>
      <c r="G926" s="68">
        <f t="shared" si="60"/>
        <v>0.56280301858388815</v>
      </c>
      <c r="H926" s="68">
        <f t="shared" si="61"/>
        <v>0.55398227142763834</v>
      </c>
      <c r="I926" s="68">
        <f t="shared" si="62"/>
        <v>0.62584299714339475</v>
      </c>
      <c r="J926" s="232">
        <f t="shared" si="63"/>
        <v>5.660172187092213E-3</v>
      </c>
      <c r="K926" s="321">
        <f t="shared" si="64"/>
        <v>4.520560520857559E-2</v>
      </c>
    </row>
    <row r="927" spans="1:11" x14ac:dyDescent="0.2">
      <c r="A927" s="320">
        <v>826</v>
      </c>
      <c r="B927" s="174">
        <v>75</v>
      </c>
      <c r="C927" s="174">
        <v>53</v>
      </c>
      <c r="D927" s="174">
        <v>23</v>
      </c>
      <c r="E927" s="174">
        <v>21</v>
      </c>
      <c r="F927" s="174">
        <v>35</v>
      </c>
      <c r="G927" s="68">
        <f t="shared" si="60"/>
        <v>0.31657104400644043</v>
      </c>
      <c r="H927" s="68">
        <f t="shared" si="61"/>
        <v>0.36512055209221184</v>
      </c>
      <c r="I927" s="68">
        <f t="shared" si="62"/>
        <v>0.36971801748560584</v>
      </c>
      <c r="J927" s="232">
        <f t="shared" si="63"/>
        <v>-3.62120784859402E-2</v>
      </c>
      <c r="K927" s="321">
        <f t="shared" si="64"/>
        <v>3.3621507136615361E-3</v>
      </c>
    </row>
    <row r="928" spans="1:11" x14ac:dyDescent="0.2">
      <c r="A928" s="320">
        <v>827</v>
      </c>
      <c r="B928" s="174">
        <v>52</v>
      </c>
      <c r="C928" s="174">
        <v>34</v>
      </c>
      <c r="D928" s="174">
        <v>37</v>
      </c>
      <c r="E928" s="174">
        <v>1</v>
      </c>
      <c r="F928" s="174">
        <v>40</v>
      </c>
      <c r="G928" s="68">
        <f t="shared" si="60"/>
        <v>0.57335937913047785</v>
      </c>
      <c r="H928" s="68">
        <f t="shared" si="61"/>
        <v>0.5277341459100795</v>
      </c>
      <c r="I928" s="68">
        <f t="shared" si="62"/>
        <v>0.55949882896300673</v>
      </c>
      <c r="J928" s="232">
        <f t="shared" si="63"/>
        <v>2.9427377996544483E-2</v>
      </c>
      <c r="K928" s="321">
        <f t="shared" si="64"/>
        <v>2.0578818832156426E-2</v>
      </c>
    </row>
    <row r="929" spans="1:11" x14ac:dyDescent="0.2">
      <c r="A929" s="320">
        <v>828</v>
      </c>
      <c r="B929" s="174">
        <v>59</v>
      </c>
      <c r="C929" s="174">
        <v>54</v>
      </c>
      <c r="D929" s="174">
        <v>10</v>
      </c>
      <c r="E929" s="174">
        <v>51</v>
      </c>
      <c r="F929" s="174">
        <v>49</v>
      </c>
      <c r="G929" s="68">
        <f t="shared" si="60"/>
        <v>0.31298560131921427</v>
      </c>
      <c r="H929" s="68">
        <f t="shared" si="61"/>
        <v>0.3082298238247978</v>
      </c>
      <c r="I929" s="68">
        <f t="shared" si="62"/>
        <v>0.30674279789097314</v>
      </c>
      <c r="J929" s="232">
        <f t="shared" si="63"/>
        <v>3.6286851261544068E-3</v>
      </c>
      <c r="K929" s="321">
        <f t="shared" si="64"/>
        <v>-1.1373167594670311E-3</v>
      </c>
    </row>
    <row r="930" spans="1:11" x14ac:dyDescent="0.2">
      <c r="A930" s="320">
        <v>829</v>
      </c>
      <c r="B930" s="174">
        <v>47</v>
      </c>
      <c r="C930" s="174">
        <v>24</v>
      </c>
      <c r="D930" s="174">
        <v>46</v>
      </c>
      <c r="E930" s="174">
        <v>33</v>
      </c>
      <c r="F930" s="174">
        <v>30</v>
      </c>
      <c r="G930" s="68">
        <f t="shared" si="60"/>
        <v>0.94049327722276344</v>
      </c>
      <c r="H930" s="68">
        <f t="shared" si="61"/>
        <v>0.8609607381347919</v>
      </c>
      <c r="I930" s="68">
        <f t="shared" si="62"/>
        <v>0.97221268764407864</v>
      </c>
      <c r="J930" s="232">
        <f t="shared" si="63"/>
        <v>4.1849327114175994E-2</v>
      </c>
      <c r="K930" s="321">
        <f t="shared" si="64"/>
        <v>5.8063223889074263E-2</v>
      </c>
    </row>
    <row r="931" spans="1:11" x14ac:dyDescent="0.2">
      <c r="A931" s="320">
        <v>830</v>
      </c>
      <c r="B931" s="174">
        <v>75</v>
      </c>
      <c r="C931" s="174">
        <v>73</v>
      </c>
      <c r="D931" s="174">
        <v>72</v>
      </c>
      <c r="E931" s="174">
        <v>42</v>
      </c>
      <c r="F931" s="174">
        <v>25</v>
      </c>
      <c r="G931" s="68">
        <f t="shared" si="60"/>
        <v>0.61628882904327886</v>
      </c>
      <c r="H931" s="68">
        <f t="shared" si="61"/>
        <v>0.59249259161505274</v>
      </c>
      <c r="I931" s="68">
        <f t="shared" si="62"/>
        <v>0.6941829556293555</v>
      </c>
      <c r="J931" s="232">
        <f t="shared" si="63"/>
        <v>1.4832218565764613E-2</v>
      </c>
      <c r="K931" s="321">
        <f t="shared" si="64"/>
        <v>6.1900136134229969E-2</v>
      </c>
    </row>
    <row r="932" spans="1:11" x14ac:dyDescent="0.2">
      <c r="A932" s="320">
        <v>831</v>
      </c>
      <c r="B932" s="174">
        <v>38</v>
      </c>
      <c r="C932" s="174">
        <v>69</v>
      </c>
      <c r="D932" s="174">
        <v>40</v>
      </c>
      <c r="E932" s="174">
        <v>11</v>
      </c>
      <c r="F932" s="174">
        <v>58</v>
      </c>
      <c r="G932" s="68">
        <f t="shared" si="60"/>
        <v>0.52779847843764038</v>
      </c>
      <c r="H932" s="68">
        <f t="shared" si="61"/>
        <v>0.4979844759226828</v>
      </c>
      <c r="I932" s="68">
        <f t="shared" si="62"/>
        <v>0.51810430161454324</v>
      </c>
      <c r="J932" s="232">
        <f t="shared" si="63"/>
        <v>1.9707274368538256E-2</v>
      </c>
      <c r="K932" s="321">
        <f t="shared" si="64"/>
        <v>1.3341864665177172E-2</v>
      </c>
    </row>
    <row r="933" spans="1:11" x14ac:dyDescent="0.2">
      <c r="A933" s="320">
        <v>832</v>
      </c>
      <c r="B933" s="174">
        <v>63</v>
      </c>
      <c r="C933" s="174">
        <v>56</v>
      </c>
      <c r="D933" s="174">
        <v>63</v>
      </c>
      <c r="E933" s="174">
        <v>42</v>
      </c>
      <c r="F933" s="174">
        <v>35</v>
      </c>
      <c r="G933" s="68">
        <f t="shared" si="60"/>
        <v>1.8430493732160436E-2</v>
      </c>
      <c r="H933" s="68">
        <f t="shared" si="61"/>
        <v>2.667607696447738E-2</v>
      </c>
      <c r="I933" s="68">
        <f t="shared" si="62"/>
        <v>5.3304724190590624E-2</v>
      </c>
      <c r="J933" s="232">
        <f t="shared" si="63"/>
        <v>-8.0637635521565686E-3</v>
      </c>
      <c r="K933" s="321">
        <f t="shared" si="64"/>
        <v>2.5606103833444679E-2</v>
      </c>
    </row>
    <row r="934" spans="1:11" x14ac:dyDescent="0.2">
      <c r="A934" s="320">
        <v>833</v>
      </c>
      <c r="B934" s="174">
        <v>61</v>
      </c>
      <c r="C934" s="174">
        <v>76</v>
      </c>
      <c r="D934" s="174">
        <v>34</v>
      </c>
      <c r="E934" s="174">
        <v>19</v>
      </c>
      <c r="F934" s="174">
        <v>3</v>
      </c>
      <c r="G934" s="68">
        <f t="shared" ref="G934:G997" si="65">(1+INDEX($Z$21:$Z$97,B934))*(1+INDEX($Z$21:$Z$97,C934))*(1+INDEX($Z$21:$Z$97,D934))*(1+INDEX($Z$21:$Z$97,E934))*(1+INDEX($Z$21:$Z$97,F934))-1</f>
        <v>0.47291705576660448</v>
      </c>
      <c r="H934" s="68">
        <f t="shared" ref="H934:H997" si="66">(1+INDEX($AA$21:$AA$97,B934))*(1+INDEX($AA$21:$AA$97,C934))*(1+INDEX($AA$21:$AA$97,D934))*(1+INDEX($AA$21:$AA$97,E934))*(1+INDEX($AA$21:$AA$97,F934))-1</f>
        <v>0.45441266577111405</v>
      </c>
      <c r="I934" s="68">
        <f t="shared" ref="I934:I997" si="67">(1+INDEX($AB$21:$AB$97,B934))*(1+INDEX($AB$21:$AB$97,C934))*(1+INDEX($AB$21:$AB$97,D934))*(1+INDEX($AB$21:$AB$97,E934))*(1+INDEX($AB$21:$AB$97,F934))-1</f>
        <v>0.48981126485498661</v>
      </c>
      <c r="J934" s="232">
        <f t="shared" ref="J934:J997" si="68">LN((1+G934)/(1+H934))</f>
        <v>1.2642673172632677E-2</v>
      </c>
      <c r="K934" s="321">
        <f t="shared" ref="K934:K997" si="69">LN((1+I934)/(1+H934))</f>
        <v>2.4047291060097113E-2</v>
      </c>
    </row>
    <row r="935" spans="1:11" x14ac:dyDescent="0.2">
      <c r="A935" s="320">
        <v>834</v>
      </c>
      <c r="B935" s="174">
        <v>19</v>
      </c>
      <c r="C935" s="174">
        <v>5</v>
      </c>
      <c r="D935" s="174">
        <v>35</v>
      </c>
      <c r="E935" s="174">
        <v>47</v>
      </c>
      <c r="F935" s="174">
        <v>68</v>
      </c>
      <c r="G935" s="68">
        <f t="shared" si="65"/>
        <v>0.24407443862245604</v>
      </c>
      <c r="H935" s="68">
        <f t="shared" si="66"/>
        <v>0.2804791881473796</v>
      </c>
      <c r="I935" s="68">
        <f t="shared" si="67"/>
        <v>0.27105789269090397</v>
      </c>
      <c r="J935" s="232">
        <f t="shared" si="68"/>
        <v>-2.884254296659251E-2</v>
      </c>
      <c r="K935" s="321">
        <f t="shared" si="69"/>
        <v>-7.3848335136130604E-3</v>
      </c>
    </row>
    <row r="936" spans="1:11" x14ac:dyDescent="0.2">
      <c r="A936" s="320">
        <v>835</v>
      </c>
      <c r="B936" s="174">
        <v>46</v>
      </c>
      <c r="C936" s="174">
        <v>37</v>
      </c>
      <c r="D936" s="174">
        <v>3</v>
      </c>
      <c r="E936" s="174">
        <v>62</v>
      </c>
      <c r="F936" s="174">
        <v>64</v>
      </c>
      <c r="G936" s="68">
        <f t="shared" si="65"/>
        <v>4.7162539208850385E-2</v>
      </c>
      <c r="H936" s="68">
        <f t="shared" si="66"/>
        <v>2.5029753580849023E-2</v>
      </c>
      <c r="I936" s="68">
        <f t="shared" si="67"/>
        <v>3.5596168484386626E-2</v>
      </c>
      <c r="J936" s="232">
        <f t="shared" si="68"/>
        <v>2.1362522584031766E-2</v>
      </c>
      <c r="K936" s="321">
        <f t="shared" si="69"/>
        <v>1.0255629032936036E-2</v>
      </c>
    </row>
    <row r="937" spans="1:11" x14ac:dyDescent="0.2">
      <c r="A937" s="320">
        <v>836</v>
      </c>
      <c r="B937" s="174">
        <v>26</v>
      </c>
      <c r="C937" s="174">
        <v>8</v>
      </c>
      <c r="D937" s="174">
        <v>62</v>
      </c>
      <c r="E937" s="174">
        <v>8</v>
      </c>
      <c r="F937" s="174">
        <v>37</v>
      </c>
      <c r="G937" s="68">
        <f t="shared" si="65"/>
        <v>-0.30758756243988972</v>
      </c>
      <c r="H937" s="68">
        <f t="shared" si="66"/>
        <v>-0.2492971869874081</v>
      </c>
      <c r="I937" s="68">
        <f t="shared" si="67"/>
        <v>-0.31465470938066242</v>
      </c>
      <c r="J937" s="232">
        <f t="shared" si="68"/>
        <v>-8.0828065647755118E-2</v>
      </c>
      <c r="K937" s="321">
        <f t="shared" si="69"/>
        <v>-9.1087066601519176E-2</v>
      </c>
    </row>
    <row r="938" spans="1:11" x14ac:dyDescent="0.2">
      <c r="A938" s="320">
        <v>837</v>
      </c>
      <c r="B938" s="174">
        <v>65</v>
      </c>
      <c r="C938" s="174">
        <v>44</v>
      </c>
      <c r="D938" s="174">
        <v>75</v>
      </c>
      <c r="E938" s="174">
        <v>47</v>
      </c>
      <c r="F938" s="174">
        <v>17</v>
      </c>
      <c r="G938" s="68">
        <f t="shared" si="65"/>
        <v>0.36898893993690685</v>
      </c>
      <c r="H938" s="68">
        <f t="shared" si="66"/>
        <v>0.34743544994211861</v>
      </c>
      <c r="I938" s="68">
        <f t="shared" si="67"/>
        <v>0.39327534689594668</v>
      </c>
      <c r="J938" s="232">
        <f t="shared" si="68"/>
        <v>1.5869348252287981E-2</v>
      </c>
      <c r="K938" s="321">
        <f t="shared" si="69"/>
        <v>3.3454220856614356E-2</v>
      </c>
    </row>
    <row r="939" spans="1:11" x14ac:dyDescent="0.2">
      <c r="A939" s="320">
        <v>838</v>
      </c>
      <c r="B939" s="174">
        <v>39</v>
      </c>
      <c r="C939" s="174">
        <v>41</v>
      </c>
      <c r="D939" s="174">
        <v>49</v>
      </c>
      <c r="E939" s="174">
        <v>36</v>
      </c>
      <c r="F939" s="174">
        <v>24</v>
      </c>
      <c r="G939" s="68">
        <f t="shared" si="65"/>
        <v>0.6619934559234395</v>
      </c>
      <c r="H939" s="68">
        <f t="shared" si="66"/>
        <v>0.54761881129183565</v>
      </c>
      <c r="I939" s="68">
        <f t="shared" si="67"/>
        <v>0.59681940818913071</v>
      </c>
      <c r="J939" s="232">
        <f t="shared" si="68"/>
        <v>7.1300260046129743E-2</v>
      </c>
      <c r="K939" s="321">
        <f t="shared" si="69"/>
        <v>3.1296282019738622E-2</v>
      </c>
    </row>
    <row r="940" spans="1:11" x14ac:dyDescent="0.2">
      <c r="A940" s="320">
        <v>839</v>
      </c>
      <c r="B940" s="174">
        <v>7</v>
      </c>
      <c r="C940" s="174">
        <v>41</v>
      </c>
      <c r="D940" s="174">
        <v>77</v>
      </c>
      <c r="E940" s="174">
        <v>77</v>
      </c>
      <c r="F940" s="174">
        <v>63</v>
      </c>
      <c r="G940" s="68">
        <f t="shared" si="65"/>
        <v>1.2377150411355231E-2</v>
      </c>
      <c r="H940" s="68">
        <f t="shared" si="66"/>
        <v>3.3115685976396581E-2</v>
      </c>
      <c r="I940" s="68">
        <f t="shared" si="67"/>
        <v>5.9941565906209249E-2</v>
      </c>
      <c r="J940" s="232">
        <f t="shared" si="68"/>
        <v>-2.027799445359935E-2</v>
      </c>
      <c r="K940" s="321">
        <f t="shared" si="69"/>
        <v>2.5634605937213069E-2</v>
      </c>
    </row>
    <row r="941" spans="1:11" x14ac:dyDescent="0.2">
      <c r="A941" s="320">
        <v>840</v>
      </c>
      <c r="B941" s="174">
        <v>11</v>
      </c>
      <c r="C941" s="174">
        <v>10</v>
      </c>
      <c r="D941" s="174">
        <v>7</v>
      </c>
      <c r="E941" s="174">
        <v>30</v>
      </c>
      <c r="F941" s="174">
        <v>77</v>
      </c>
      <c r="G941" s="68">
        <f t="shared" si="65"/>
        <v>-7.7359194674566312E-2</v>
      </c>
      <c r="H941" s="68">
        <f t="shared" si="66"/>
        <v>-4.0092149260516075E-2</v>
      </c>
      <c r="I941" s="68">
        <f t="shared" si="67"/>
        <v>-8.1348647257228013E-2</v>
      </c>
      <c r="J941" s="232">
        <f t="shared" si="68"/>
        <v>-3.9597292275286002E-2</v>
      </c>
      <c r="K941" s="321">
        <f t="shared" si="69"/>
        <v>-4.3930617443602861E-2</v>
      </c>
    </row>
    <row r="942" spans="1:11" x14ac:dyDescent="0.2">
      <c r="A942" s="320">
        <v>841</v>
      </c>
      <c r="B942" s="174">
        <v>17</v>
      </c>
      <c r="C942" s="174">
        <v>73</v>
      </c>
      <c r="D942" s="174">
        <v>62</v>
      </c>
      <c r="E942" s="174">
        <v>41</v>
      </c>
      <c r="F942" s="174">
        <v>41</v>
      </c>
      <c r="G942" s="68">
        <f t="shared" si="65"/>
        <v>0.29314736314363388</v>
      </c>
      <c r="H942" s="68">
        <f t="shared" si="66"/>
        <v>0.2843209686520991</v>
      </c>
      <c r="I942" s="68">
        <f t="shared" si="67"/>
        <v>0.32834711508123782</v>
      </c>
      <c r="J942" s="232">
        <f t="shared" si="68"/>
        <v>6.8489136294865652E-3</v>
      </c>
      <c r="K942" s="321">
        <f t="shared" si="69"/>
        <v>3.3705249123416735E-2</v>
      </c>
    </row>
    <row r="943" spans="1:11" x14ac:dyDescent="0.2">
      <c r="A943" s="320">
        <v>842</v>
      </c>
      <c r="B943" s="174">
        <v>55</v>
      </c>
      <c r="C943" s="174">
        <v>69</v>
      </c>
      <c r="D943" s="174">
        <v>74</v>
      </c>
      <c r="E943" s="174">
        <v>57</v>
      </c>
      <c r="F943" s="174">
        <v>66</v>
      </c>
      <c r="G943" s="68">
        <f t="shared" si="65"/>
        <v>0.61088434597801289</v>
      </c>
      <c r="H943" s="68">
        <f t="shared" si="66"/>
        <v>0.57493782818405914</v>
      </c>
      <c r="I943" s="68">
        <f t="shared" si="67"/>
        <v>0.6357119159130673</v>
      </c>
      <c r="J943" s="232">
        <f t="shared" si="68"/>
        <v>2.2567514082102523E-2</v>
      </c>
      <c r="K943" s="321">
        <f t="shared" si="69"/>
        <v>3.7862334827495202E-2</v>
      </c>
    </row>
    <row r="944" spans="1:11" x14ac:dyDescent="0.2">
      <c r="A944" s="320">
        <v>843</v>
      </c>
      <c r="B944" s="174">
        <v>8</v>
      </c>
      <c r="C944" s="174">
        <v>29</v>
      </c>
      <c r="D944" s="174">
        <v>59</v>
      </c>
      <c r="E944" s="174">
        <v>14</v>
      </c>
      <c r="F944" s="174">
        <v>36</v>
      </c>
      <c r="G944" s="68">
        <f t="shared" si="65"/>
        <v>0.32515433681768813</v>
      </c>
      <c r="H944" s="68">
        <f t="shared" si="66"/>
        <v>0.35229745789517874</v>
      </c>
      <c r="I944" s="68">
        <f t="shared" si="67"/>
        <v>0.33894509949209617</v>
      </c>
      <c r="J944" s="232">
        <f t="shared" si="68"/>
        <v>-2.0276033385520403E-2</v>
      </c>
      <c r="K944" s="321">
        <f t="shared" si="69"/>
        <v>-9.9229019151641142E-3</v>
      </c>
    </row>
    <row r="945" spans="1:11" x14ac:dyDescent="0.2">
      <c r="A945" s="320">
        <v>844</v>
      </c>
      <c r="B945" s="174">
        <v>54</v>
      </c>
      <c r="C945" s="174">
        <v>4</v>
      </c>
      <c r="D945" s="174">
        <v>29</v>
      </c>
      <c r="E945" s="174">
        <v>51</v>
      </c>
      <c r="F945" s="174">
        <v>2</v>
      </c>
      <c r="G945" s="68">
        <f t="shared" si="65"/>
        <v>0.51882389331480239</v>
      </c>
      <c r="H945" s="68">
        <f t="shared" si="66"/>
        <v>0.47737421441408134</v>
      </c>
      <c r="I945" s="68">
        <f t="shared" si="67"/>
        <v>0.50523917816970743</v>
      </c>
      <c r="J945" s="232">
        <f t="shared" si="68"/>
        <v>2.7669948351888168E-2</v>
      </c>
      <c r="K945" s="321">
        <f t="shared" si="69"/>
        <v>1.8685475340213222E-2</v>
      </c>
    </row>
    <row r="946" spans="1:11" x14ac:dyDescent="0.2">
      <c r="A946" s="320">
        <v>845</v>
      </c>
      <c r="B946" s="174">
        <v>3</v>
      </c>
      <c r="C946" s="174">
        <v>48</v>
      </c>
      <c r="D946" s="174">
        <v>9</v>
      </c>
      <c r="E946" s="174">
        <v>40</v>
      </c>
      <c r="F946" s="174">
        <v>56</v>
      </c>
      <c r="G946" s="68">
        <f t="shared" si="65"/>
        <v>3.5947388119201173E-2</v>
      </c>
      <c r="H946" s="68">
        <f t="shared" si="66"/>
        <v>3.6406349185270859E-2</v>
      </c>
      <c r="I946" s="68">
        <f t="shared" si="67"/>
        <v>7.8437258637491514E-3</v>
      </c>
      <c r="J946" s="232">
        <f t="shared" si="68"/>
        <v>-4.429369999066282E-4</v>
      </c>
      <c r="K946" s="321">
        <f t="shared" si="69"/>
        <v>-2.7946172114082311E-2</v>
      </c>
    </row>
    <row r="947" spans="1:11" x14ac:dyDescent="0.2">
      <c r="A947" s="320">
        <v>846</v>
      </c>
      <c r="B947" s="174">
        <v>68</v>
      </c>
      <c r="C947" s="174">
        <v>38</v>
      </c>
      <c r="D947" s="174">
        <v>9</v>
      </c>
      <c r="E947" s="174">
        <v>8</v>
      </c>
      <c r="F947" s="174">
        <v>23</v>
      </c>
      <c r="G947" s="68">
        <f t="shared" si="65"/>
        <v>-0.12492084191808572</v>
      </c>
      <c r="H947" s="68">
        <f t="shared" si="66"/>
        <v>-8.654684961484771E-2</v>
      </c>
      <c r="I947" s="68">
        <f t="shared" si="67"/>
        <v>-0.16274531442427453</v>
      </c>
      <c r="J947" s="232">
        <f t="shared" si="68"/>
        <v>-4.2917740017780412E-2</v>
      </c>
      <c r="K947" s="321">
        <f t="shared" si="69"/>
        <v>-8.7103780616387419E-2</v>
      </c>
    </row>
    <row r="948" spans="1:11" x14ac:dyDescent="0.2">
      <c r="A948" s="320">
        <v>847</v>
      </c>
      <c r="B948" s="174">
        <v>67</v>
      </c>
      <c r="C948" s="174">
        <v>72</v>
      </c>
      <c r="D948" s="174">
        <v>66</v>
      </c>
      <c r="E948" s="174">
        <v>49</v>
      </c>
      <c r="F948" s="174">
        <v>26</v>
      </c>
      <c r="G948" s="68">
        <f t="shared" si="65"/>
        <v>0.8369053048299917</v>
      </c>
      <c r="H948" s="68">
        <f t="shared" si="66"/>
        <v>0.78657806116382512</v>
      </c>
      <c r="I948" s="68">
        <f t="shared" si="67"/>
        <v>0.89670084337817024</v>
      </c>
      <c r="J948" s="232">
        <f t="shared" si="68"/>
        <v>2.7780163538357612E-2</v>
      </c>
      <c r="K948" s="321">
        <f t="shared" si="69"/>
        <v>5.9813886110926473E-2</v>
      </c>
    </row>
    <row r="949" spans="1:11" x14ac:dyDescent="0.2">
      <c r="A949" s="320">
        <v>848</v>
      </c>
      <c r="B949" s="174">
        <v>72</v>
      </c>
      <c r="C949" s="174">
        <v>64</v>
      </c>
      <c r="D949" s="174">
        <v>18</v>
      </c>
      <c r="E949" s="174">
        <v>45</v>
      </c>
      <c r="F949" s="174">
        <v>54</v>
      </c>
      <c r="G949" s="68">
        <f t="shared" si="65"/>
        <v>0.13176664544238892</v>
      </c>
      <c r="H949" s="68">
        <f t="shared" si="66"/>
        <v>0.13488335464117807</v>
      </c>
      <c r="I949" s="68">
        <f t="shared" si="67"/>
        <v>0.14555849666716125</v>
      </c>
      <c r="J949" s="232">
        <f t="shared" si="68"/>
        <v>-2.7500594824388727E-3</v>
      </c>
      <c r="K949" s="321">
        <f t="shared" si="69"/>
        <v>9.3624136892790401E-3</v>
      </c>
    </row>
    <row r="950" spans="1:11" x14ac:dyDescent="0.2">
      <c r="A950" s="320">
        <v>849</v>
      </c>
      <c r="B950" s="174">
        <v>62</v>
      </c>
      <c r="C950" s="174">
        <v>6</v>
      </c>
      <c r="D950" s="174">
        <v>22</v>
      </c>
      <c r="E950" s="174">
        <v>74</v>
      </c>
      <c r="F950" s="174">
        <v>57</v>
      </c>
      <c r="G950" s="68">
        <f t="shared" si="65"/>
        <v>0.13856878607543321</v>
      </c>
      <c r="H950" s="68">
        <f t="shared" si="66"/>
        <v>0.14701430617553424</v>
      </c>
      <c r="I950" s="68">
        <f t="shared" si="67"/>
        <v>0.1505327498908009</v>
      </c>
      <c r="J950" s="232">
        <f t="shared" si="68"/>
        <v>-7.390287902747413E-3</v>
      </c>
      <c r="K950" s="321">
        <f t="shared" si="69"/>
        <v>3.0627851180830916E-3</v>
      </c>
    </row>
    <row r="951" spans="1:11" x14ac:dyDescent="0.2">
      <c r="A951" s="320">
        <v>850</v>
      </c>
      <c r="B951" s="174">
        <v>23</v>
      </c>
      <c r="C951" s="174">
        <v>31</v>
      </c>
      <c r="D951" s="174">
        <v>16</v>
      </c>
      <c r="E951" s="174">
        <v>43</v>
      </c>
      <c r="F951" s="174">
        <v>41</v>
      </c>
      <c r="G951" s="68">
        <f t="shared" si="65"/>
        <v>0.52912131586975519</v>
      </c>
      <c r="H951" s="68">
        <f t="shared" si="66"/>
        <v>0.49800351267209542</v>
      </c>
      <c r="I951" s="68">
        <f t="shared" si="67"/>
        <v>0.54109421020821946</v>
      </c>
      <c r="J951" s="232">
        <f t="shared" si="68"/>
        <v>2.0560037075686058E-2</v>
      </c>
      <c r="K951" s="321">
        <f t="shared" si="69"/>
        <v>2.8359460230381328E-2</v>
      </c>
    </row>
    <row r="952" spans="1:11" x14ac:dyDescent="0.2">
      <c r="A952" s="320">
        <v>851</v>
      </c>
      <c r="B952" s="174">
        <v>75</v>
      </c>
      <c r="C952" s="174">
        <v>44</v>
      </c>
      <c r="D952" s="174">
        <v>3</v>
      </c>
      <c r="E952" s="174">
        <v>42</v>
      </c>
      <c r="F952" s="174">
        <v>48</v>
      </c>
      <c r="G952" s="68">
        <f t="shared" si="65"/>
        <v>0.45665515897500009</v>
      </c>
      <c r="H952" s="68">
        <f t="shared" si="66"/>
        <v>0.40603237334412801</v>
      </c>
      <c r="I952" s="68">
        <f t="shared" si="67"/>
        <v>0.46492689532316067</v>
      </c>
      <c r="J952" s="232">
        <f t="shared" si="68"/>
        <v>3.5371002129551452E-2</v>
      </c>
      <c r="K952" s="321">
        <f t="shared" si="69"/>
        <v>4.1033522159171019E-2</v>
      </c>
    </row>
    <row r="953" spans="1:11" x14ac:dyDescent="0.2">
      <c r="A953" s="320">
        <v>852</v>
      </c>
      <c r="B953" s="174">
        <v>23</v>
      </c>
      <c r="C953" s="174">
        <v>40</v>
      </c>
      <c r="D953" s="174">
        <v>31</v>
      </c>
      <c r="E953" s="174">
        <v>41</v>
      </c>
      <c r="F953" s="174">
        <v>73</v>
      </c>
      <c r="G953" s="68">
        <f t="shared" si="65"/>
        <v>0.59414075389296195</v>
      </c>
      <c r="H953" s="68">
        <f t="shared" si="66"/>
        <v>0.57066927598622641</v>
      </c>
      <c r="I953" s="68">
        <f t="shared" si="67"/>
        <v>0.64158272113634918</v>
      </c>
      <c r="J953" s="232">
        <f t="shared" si="68"/>
        <v>1.4833059825043101E-2</v>
      </c>
      <c r="K953" s="321">
        <f t="shared" si="69"/>
        <v>4.4159031354000337E-2</v>
      </c>
    </row>
    <row r="954" spans="1:11" x14ac:dyDescent="0.2">
      <c r="A954" s="320">
        <v>853</v>
      </c>
      <c r="B954" s="174">
        <v>6</v>
      </c>
      <c r="C954" s="174">
        <v>41</v>
      </c>
      <c r="D954" s="174">
        <v>44</v>
      </c>
      <c r="E954" s="174">
        <v>55</v>
      </c>
      <c r="F954" s="174">
        <v>73</v>
      </c>
      <c r="G954" s="68">
        <f t="shared" si="65"/>
        <v>7.2736067438631036E-2</v>
      </c>
      <c r="H954" s="68">
        <f t="shared" si="66"/>
        <v>0.10728403031797207</v>
      </c>
      <c r="I954" s="68">
        <f t="shared" si="67"/>
        <v>0.11370465237973493</v>
      </c>
      <c r="J954" s="232">
        <f t="shared" si="68"/>
        <v>-3.1697740336633612E-2</v>
      </c>
      <c r="K954" s="321">
        <f t="shared" si="69"/>
        <v>5.7817853805762799E-3</v>
      </c>
    </row>
    <row r="955" spans="1:11" x14ac:dyDescent="0.2">
      <c r="A955" s="320">
        <v>854</v>
      </c>
      <c r="B955" s="174">
        <v>58</v>
      </c>
      <c r="C955" s="174">
        <v>57</v>
      </c>
      <c r="D955" s="174">
        <v>76</v>
      </c>
      <c r="E955" s="174">
        <v>73</v>
      </c>
      <c r="F955" s="174">
        <v>68</v>
      </c>
      <c r="G955" s="68">
        <f t="shared" si="65"/>
        <v>0.81739385793506414</v>
      </c>
      <c r="H955" s="68">
        <f t="shared" si="66"/>
        <v>0.76705353118957853</v>
      </c>
      <c r="I955" s="68">
        <f t="shared" si="67"/>
        <v>0.89141961553165605</v>
      </c>
      <c r="J955" s="232">
        <f t="shared" si="68"/>
        <v>2.8090040848467748E-2</v>
      </c>
      <c r="K955" s="321">
        <f t="shared" si="69"/>
        <v>6.8014178615529441E-2</v>
      </c>
    </row>
    <row r="956" spans="1:11" x14ac:dyDescent="0.2">
      <c r="A956" s="320">
        <v>855</v>
      </c>
      <c r="B956" s="174">
        <v>1</v>
      </c>
      <c r="C956" s="174">
        <v>23</v>
      </c>
      <c r="D956" s="174">
        <v>70</v>
      </c>
      <c r="E956" s="174">
        <v>44</v>
      </c>
      <c r="F956" s="174">
        <v>73</v>
      </c>
      <c r="G956" s="68">
        <f t="shared" si="65"/>
        <v>0.56667979691092718</v>
      </c>
      <c r="H956" s="68">
        <f t="shared" si="66"/>
        <v>0.50037291544593532</v>
      </c>
      <c r="I956" s="68">
        <f t="shared" si="67"/>
        <v>0.54129827283110621</v>
      </c>
      <c r="J956" s="232">
        <f t="shared" si="68"/>
        <v>4.3244913512721903E-2</v>
      </c>
      <c r="K956" s="321">
        <f t="shared" si="69"/>
        <v>2.6911408070585459E-2</v>
      </c>
    </row>
    <row r="957" spans="1:11" x14ac:dyDescent="0.2">
      <c r="A957" s="320">
        <v>856</v>
      </c>
      <c r="B957" s="174">
        <v>70</v>
      </c>
      <c r="C957" s="174">
        <v>73</v>
      </c>
      <c r="D957" s="174">
        <v>48</v>
      </c>
      <c r="E957" s="174">
        <v>67</v>
      </c>
      <c r="F957" s="174">
        <v>64</v>
      </c>
      <c r="G957" s="68">
        <f t="shared" si="65"/>
        <v>0.19109699343284259</v>
      </c>
      <c r="H957" s="68">
        <f t="shared" si="66"/>
        <v>0.19242429124578075</v>
      </c>
      <c r="I957" s="68">
        <f t="shared" si="67"/>
        <v>0.2226921506482038</v>
      </c>
      <c r="J957" s="232">
        <f t="shared" si="68"/>
        <v>-1.1137286322278786E-3</v>
      </c>
      <c r="K957" s="321">
        <f t="shared" si="69"/>
        <v>2.5066654119965403E-2</v>
      </c>
    </row>
    <row r="958" spans="1:11" x14ac:dyDescent="0.2">
      <c r="A958" s="320">
        <v>857</v>
      </c>
      <c r="B958" s="174">
        <v>48</v>
      </c>
      <c r="C958" s="174">
        <v>32</v>
      </c>
      <c r="D958" s="174">
        <v>25</v>
      </c>
      <c r="E958" s="174">
        <v>63</v>
      </c>
      <c r="F958" s="174">
        <v>58</v>
      </c>
      <c r="G958" s="68">
        <f t="shared" si="65"/>
        <v>0.40968557326404298</v>
      </c>
      <c r="H958" s="68">
        <f t="shared" si="66"/>
        <v>0.37164216643057779</v>
      </c>
      <c r="I958" s="68">
        <f t="shared" si="67"/>
        <v>0.41419895677930185</v>
      </c>
      <c r="J958" s="232">
        <f t="shared" si="68"/>
        <v>2.7357998190417756E-2</v>
      </c>
      <c r="K958" s="321">
        <f t="shared" si="69"/>
        <v>3.0554578865324551E-2</v>
      </c>
    </row>
    <row r="959" spans="1:11" x14ac:dyDescent="0.2">
      <c r="A959" s="320">
        <v>858</v>
      </c>
      <c r="B959" s="174">
        <v>72</v>
      </c>
      <c r="C959" s="174">
        <v>59</v>
      </c>
      <c r="D959" s="174">
        <v>76</v>
      </c>
      <c r="E959" s="174">
        <v>71</v>
      </c>
      <c r="F959" s="174">
        <v>47</v>
      </c>
      <c r="G959" s="68">
        <f t="shared" si="65"/>
        <v>0.93067984949226146</v>
      </c>
      <c r="H959" s="68">
        <f t="shared" si="66"/>
        <v>0.88983596058117032</v>
      </c>
      <c r="I959" s="68">
        <f t="shared" si="67"/>
        <v>1.0158994345787185</v>
      </c>
      <c r="J959" s="232">
        <f t="shared" si="68"/>
        <v>2.1382162551491019E-2</v>
      </c>
      <c r="K959" s="321">
        <f t="shared" si="69"/>
        <v>6.4575433361888576E-2</v>
      </c>
    </row>
    <row r="960" spans="1:11" x14ac:dyDescent="0.2">
      <c r="A960" s="320">
        <v>859</v>
      </c>
      <c r="B960" s="174">
        <v>59</v>
      </c>
      <c r="C960" s="174">
        <v>60</v>
      </c>
      <c r="D960" s="174">
        <v>60</v>
      </c>
      <c r="E960" s="174">
        <v>24</v>
      </c>
      <c r="F960" s="174">
        <v>74</v>
      </c>
      <c r="G960" s="68">
        <f t="shared" si="65"/>
        <v>1.108011530265764</v>
      </c>
      <c r="H960" s="68">
        <f t="shared" si="66"/>
        <v>1.0756874208342646</v>
      </c>
      <c r="I960" s="68">
        <f t="shared" si="67"/>
        <v>1.2128067326640273</v>
      </c>
      <c r="J960" s="232">
        <f t="shared" si="68"/>
        <v>1.5452714461465572E-2</v>
      </c>
      <c r="K960" s="321">
        <f t="shared" si="69"/>
        <v>6.3969338554928021E-2</v>
      </c>
    </row>
    <row r="961" spans="1:11" x14ac:dyDescent="0.2">
      <c r="A961" s="320">
        <v>860</v>
      </c>
      <c r="B961" s="174">
        <v>20</v>
      </c>
      <c r="C961" s="174">
        <v>12</v>
      </c>
      <c r="D961" s="174">
        <v>35</v>
      </c>
      <c r="E961" s="174">
        <v>30</v>
      </c>
      <c r="F961" s="174">
        <v>26</v>
      </c>
      <c r="G961" s="68">
        <f t="shared" si="65"/>
        <v>0.67956215364957284</v>
      </c>
      <c r="H961" s="68">
        <f t="shared" si="66"/>
        <v>0.62142474896710631</v>
      </c>
      <c r="I961" s="68">
        <f t="shared" si="67"/>
        <v>0.65933956129358351</v>
      </c>
      <c r="J961" s="232">
        <f t="shared" si="68"/>
        <v>3.5227899215402397E-2</v>
      </c>
      <c r="K961" s="321">
        <f t="shared" si="69"/>
        <v>2.3114431156777165E-2</v>
      </c>
    </row>
    <row r="962" spans="1:11" x14ac:dyDescent="0.2">
      <c r="A962" s="320">
        <v>861</v>
      </c>
      <c r="B962" s="174">
        <v>17</v>
      </c>
      <c r="C962" s="174">
        <v>59</v>
      </c>
      <c r="D962" s="174">
        <v>48</v>
      </c>
      <c r="E962" s="174">
        <v>23</v>
      </c>
      <c r="F962" s="174">
        <v>59</v>
      </c>
      <c r="G962" s="68">
        <f t="shared" si="65"/>
        <v>0.71342261867263046</v>
      </c>
      <c r="H962" s="68">
        <f t="shared" si="66"/>
        <v>0.66213690167387917</v>
      </c>
      <c r="I962" s="68">
        <f t="shared" si="67"/>
        <v>0.7127078959570734</v>
      </c>
      <c r="J962" s="232">
        <f t="shared" si="68"/>
        <v>3.0388836821083093E-2</v>
      </c>
      <c r="K962" s="321">
        <f t="shared" si="69"/>
        <v>2.9971618199157782E-2</v>
      </c>
    </row>
    <row r="963" spans="1:11" x14ac:dyDescent="0.2">
      <c r="A963" s="320">
        <v>862</v>
      </c>
      <c r="B963" s="174">
        <v>20</v>
      </c>
      <c r="C963" s="174">
        <v>7</v>
      </c>
      <c r="D963" s="174">
        <v>35</v>
      </c>
      <c r="E963" s="174">
        <v>39</v>
      </c>
      <c r="F963" s="174">
        <v>36</v>
      </c>
      <c r="G963" s="68">
        <f t="shared" si="65"/>
        <v>7.5008507709719341E-2</v>
      </c>
      <c r="H963" s="68">
        <f t="shared" si="66"/>
        <v>0.10197612381333365</v>
      </c>
      <c r="I963" s="68">
        <f t="shared" si="67"/>
        <v>5.6839819392120239E-2</v>
      </c>
      <c r="J963" s="232">
        <f t="shared" si="68"/>
        <v>-2.4776468568026382E-2</v>
      </c>
      <c r="K963" s="321">
        <f t="shared" si="69"/>
        <v>-4.1821891535945656E-2</v>
      </c>
    </row>
    <row r="964" spans="1:11" x14ac:dyDescent="0.2">
      <c r="A964" s="320">
        <v>863</v>
      </c>
      <c r="B964" s="174">
        <v>70</v>
      </c>
      <c r="C964" s="174">
        <v>63</v>
      </c>
      <c r="D964" s="174">
        <v>23</v>
      </c>
      <c r="E964" s="174">
        <v>18</v>
      </c>
      <c r="F964" s="174">
        <v>41</v>
      </c>
      <c r="G964" s="68">
        <f t="shared" si="65"/>
        <v>0.36232881765634861</v>
      </c>
      <c r="H964" s="68">
        <f t="shared" si="66"/>
        <v>0.31276654574512031</v>
      </c>
      <c r="I964" s="68">
        <f t="shared" si="67"/>
        <v>0.33649822072604652</v>
      </c>
      <c r="J964" s="232">
        <f t="shared" si="68"/>
        <v>3.7058823907075759E-2</v>
      </c>
      <c r="K964" s="321">
        <f t="shared" si="69"/>
        <v>1.7916147964647175E-2</v>
      </c>
    </row>
    <row r="965" spans="1:11" x14ac:dyDescent="0.2">
      <c r="A965" s="320">
        <v>864</v>
      </c>
      <c r="B965" s="174">
        <v>40</v>
      </c>
      <c r="C965" s="174">
        <v>21</v>
      </c>
      <c r="D965" s="174">
        <v>73</v>
      </c>
      <c r="E965" s="174">
        <v>6</v>
      </c>
      <c r="F965" s="174">
        <v>59</v>
      </c>
      <c r="G965" s="68">
        <f t="shared" si="65"/>
        <v>0.23299426889282993</v>
      </c>
      <c r="H965" s="68">
        <f t="shared" si="66"/>
        <v>0.26535090123105864</v>
      </c>
      <c r="I965" s="68">
        <f t="shared" si="67"/>
        <v>0.27168625382266698</v>
      </c>
      <c r="J965" s="232">
        <f t="shared" si="68"/>
        <v>-2.5903899919365554E-2</v>
      </c>
      <c r="K965" s="321">
        <f t="shared" si="69"/>
        <v>4.9943027027197773E-3</v>
      </c>
    </row>
    <row r="966" spans="1:11" x14ac:dyDescent="0.2">
      <c r="A966" s="320">
        <v>865</v>
      </c>
      <c r="B966" s="174">
        <v>77</v>
      </c>
      <c r="C966" s="174">
        <v>10</v>
      </c>
      <c r="D966" s="174">
        <v>61</v>
      </c>
      <c r="E966" s="174">
        <v>52</v>
      </c>
      <c r="F966" s="174">
        <v>38</v>
      </c>
      <c r="G966" s="68">
        <f t="shared" si="65"/>
        <v>0.29195291476349228</v>
      </c>
      <c r="H966" s="68">
        <f t="shared" si="66"/>
        <v>0.28634524031848074</v>
      </c>
      <c r="I966" s="68">
        <f t="shared" si="67"/>
        <v>0.2958019685765092</v>
      </c>
      <c r="J966" s="232">
        <f t="shared" si="68"/>
        <v>4.3499106386855379E-3</v>
      </c>
      <c r="K966" s="321">
        <f t="shared" si="69"/>
        <v>7.3247338542358313E-3</v>
      </c>
    </row>
    <row r="967" spans="1:11" x14ac:dyDescent="0.2">
      <c r="A967" s="320">
        <v>866</v>
      </c>
      <c r="B967" s="174">
        <v>10</v>
      </c>
      <c r="C967" s="174">
        <v>77</v>
      </c>
      <c r="D967" s="174">
        <v>64</v>
      </c>
      <c r="E967" s="174">
        <v>30</v>
      </c>
      <c r="F967" s="174">
        <v>22</v>
      </c>
      <c r="G967" s="68">
        <f t="shared" si="65"/>
        <v>5.1255460644983319E-3</v>
      </c>
      <c r="H967" s="68">
        <f t="shared" si="66"/>
        <v>2.0391511852656752E-2</v>
      </c>
      <c r="I967" s="68">
        <f t="shared" si="67"/>
        <v>1.0226787012469263E-2</v>
      </c>
      <c r="J967" s="232">
        <f t="shared" si="68"/>
        <v>-1.507393363376087E-2</v>
      </c>
      <c r="K967" s="321">
        <f t="shared" si="69"/>
        <v>-1.0011541555995717E-2</v>
      </c>
    </row>
    <row r="968" spans="1:11" x14ac:dyDescent="0.2">
      <c r="A968" s="320">
        <v>867</v>
      </c>
      <c r="B968" s="174">
        <v>33</v>
      </c>
      <c r="C968" s="174">
        <v>64</v>
      </c>
      <c r="D968" s="174">
        <v>66</v>
      </c>
      <c r="E968" s="174">
        <v>47</v>
      </c>
      <c r="F968" s="174">
        <v>65</v>
      </c>
      <c r="G968" s="68">
        <f t="shared" si="65"/>
        <v>0.38058218358224227</v>
      </c>
      <c r="H968" s="68">
        <f t="shared" si="66"/>
        <v>0.34535273415987033</v>
      </c>
      <c r="I968" s="68">
        <f t="shared" si="67"/>
        <v>0.40420812467155898</v>
      </c>
      <c r="J968" s="232">
        <f t="shared" si="68"/>
        <v>2.5849047815433547E-2</v>
      </c>
      <c r="K968" s="321">
        <f t="shared" si="69"/>
        <v>4.2817297011479266E-2</v>
      </c>
    </row>
    <row r="969" spans="1:11" x14ac:dyDescent="0.2">
      <c r="A969" s="320">
        <v>868</v>
      </c>
      <c r="B969" s="174">
        <v>17</v>
      </c>
      <c r="C969" s="174">
        <v>16</v>
      </c>
      <c r="D969" s="174">
        <v>76</v>
      </c>
      <c r="E969" s="174">
        <v>28</v>
      </c>
      <c r="F969" s="174">
        <v>50</v>
      </c>
      <c r="G969" s="68">
        <f t="shared" si="65"/>
        <v>0.52416250818102328</v>
      </c>
      <c r="H969" s="68">
        <f t="shared" si="66"/>
        <v>0.47273492151226271</v>
      </c>
      <c r="I969" s="68">
        <f t="shared" si="67"/>
        <v>0.50285198150369248</v>
      </c>
      <c r="J969" s="232">
        <f t="shared" si="68"/>
        <v>3.4323921198390756E-2</v>
      </c>
      <c r="K969" s="321">
        <f t="shared" si="69"/>
        <v>2.0243460841773437E-2</v>
      </c>
    </row>
    <row r="970" spans="1:11" x14ac:dyDescent="0.2">
      <c r="A970" s="320">
        <v>869</v>
      </c>
      <c r="B970" s="174">
        <v>77</v>
      </c>
      <c r="C970" s="174">
        <v>16</v>
      </c>
      <c r="D970" s="174">
        <v>62</v>
      </c>
      <c r="E970" s="174">
        <v>46</v>
      </c>
      <c r="F970" s="174">
        <v>29</v>
      </c>
      <c r="G970" s="68">
        <f t="shared" si="65"/>
        <v>0.29506206842865312</v>
      </c>
      <c r="H970" s="68">
        <f t="shared" si="66"/>
        <v>0.29545988510257937</v>
      </c>
      <c r="I970" s="68">
        <f t="shared" si="67"/>
        <v>0.34775293979228605</v>
      </c>
      <c r="J970" s="232">
        <f t="shared" si="68"/>
        <v>-3.0713244989963968E-4</v>
      </c>
      <c r="K970" s="321">
        <f t="shared" si="69"/>
        <v>3.9572960865245692E-2</v>
      </c>
    </row>
    <row r="971" spans="1:11" x14ac:dyDescent="0.2">
      <c r="A971" s="320">
        <v>870</v>
      </c>
      <c r="B971" s="174">
        <v>3</v>
      </c>
      <c r="C971" s="174">
        <v>18</v>
      </c>
      <c r="D971" s="174">
        <v>24</v>
      </c>
      <c r="E971" s="174">
        <v>57</v>
      </c>
      <c r="F971" s="174">
        <v>49</v>
      </c>
      <c r="G971" s="68">
        <f t="shared" si="65"/>
        <v>0.85902956860185808</v>
      </c>
      <c r="H971" s="68">
        <f t="shared" si="66"/>
        <v>0.65340151844964467</v>
      </c>
      <c r="I971" s="68">
        <f t="shared" si="67"/>
        <v>0.71000718938336305</v>
      </c>
      <c r="J971" s="232">
        <f t="shared" si="68"/>
        <v>0.11721992204590213</v>
      </c>
      <c r="K971" s="321">
        <f t="shared" si="69"/>
        <v>3.3662882607377681E-2</v>
      </c>
    </row>
    <row r="972" spans="1:11" x14ac:dyDescent="0.2">
      <c r="A972" s="320">
        <v>871</v>
      </c>
      <c r="B972" s="174">
        <v>54</v>
      </c>
      <c r="C972" s="174">
        <v>3</v>
      </c>
      <c r="D972" s="174">
        <v>7</v>
      </c>
      <c r="E972" s="174">
        <v>36</v>
      </c>
      <c r="F972" s="174">
        <v>13</v>
      </c>
      <c r="G972" s="68">
        <f t="shared" si="65"/>
        <v>0.28448633502606246</v>
      </c>
      <c r="H972" s="68">
        <f t="shared" si="66"/>
        <v>0.24609304740877747</v>
      </c>
      <c r="I972" s="68">
        <f t="shared" si="67"/>
        <v>0.23555870974429904</v>
      </c>
      <c r="J972" s="232">
        <f t="shared" si="68"/>
        <v>3.0345804680649693E-2</v>
      </c>
      <c r="K972" s="321">
        <f t="shared" si="69"/>
        <v>-8.4898301366007466E-3</v>
      </c>
    </row>
    <row r="973" spans="1:11" x14ac:dyDescent="0.2">
      <c r="A973" s="320">
        <v>872</v>
      </c>
      <c r="B973" s="174">
        <v>21</v>
      </c>
      <c r="C973" s="174">
        <v>24</v>
      </c>
      <c r="D973" s="174">
        <v>44</v>
      </c>
      <c r="E973" s="174">
        <v>40</v>
      </c>
      <c r="F973" s="174">
        <v>41</v>
      </c>
      <c r="G973" s="68">
        <f t="shared" si="65"/>
        <v>0.51708729205091197</v>
      </c>
      <c r="H973" s="68">
        <f t="shared" si="66"/>
        <v>0.47389571718465184</v>
      </c>
      <c r="I973" s="68">
        <f t="shared" si="67"/>
        <v>0.51744754110100688</v>
      </c>
      <c r="J973" s="232">
        <f t="shared" si="68"/>
        <v>2.8883198176862711E-2</v>
      </c>
      <c r="K973" s="321">
        <f t="shared" si="69"/>
        <v>2.9120630977337861E-2</v>
      </c>
    </row>
    <row r="974" spans="1:11" x14ac:dyDescent="0.2">
      <c r="A974" s="320">
        <v>873</v>
      </c>
      <c r="B974" s="174">
        <v>3</v>
      </c>
      <c r="C974" s="174">
        <v>27</v>
      </c>
      <c r="D974" s="174">
        <v>23</v>
      </c>
      <c r="E974" s="174">
        <v>52</v>
      </c>
      <c r="F974" s="174">
        <v>74</v>
      </c>
      <c r="G974" s="68">
        <f t="shared" si="65"/>
        <v>1.018267807394297</v>
      </c>
      <c r="H974" s="68">
        <f t="shared" si="66"/>
        <v>0.87758923732681327</v>
      </c>
      <c r="I974" s="68">
        <f t="shared" si="67"/>
        <v>0.98343301150360807</v>
      </c>
      <c r="J974" s="232">
        <f t="shared" si="68"/>
        <v>7.2250989045189409E-2</v>
      </c>
      <c r="K974" s="321">
        <f t="shared" si="69"/>
        <v>5.4840554133067279E-2</v>
      </c>
    </row>
    <row r="975" spans="1:11" x14ac:dyDescent="0.2">
      <c r="A975" s="320">
        <v>874</v>
      </c>
      <c r="B975" s="174">
        <v>3</v>
      </c>
      <c r="C975" s="174">
        <v>54</v>
      </c>
      <c r="D975" s="174">
        <v>35</v>
      </c>
      <c r="E975" s="174">
        <v>53</v>
      </c>
      <c r="F975" s="174">
        <v>62</v>
      </c>
      <c r="G975" s="68">
        <f t="shared" si="65"/>
        <v>9.748408190760216E-2</v>
      </c>
      <c r="H975" s="68">
        <f t="shared" si="66"/>
        <v>0.13842655522992509</v>
      </c>
      <c r="I975" s="68">
        <f t="shared" si="67"/>
        <v>0.13868791214723908</v>
      </c>
      <c r="J975" s="232">
        <f t="shared" si="68"/>
        <v>-3.6626732416767963E-2</v>
      </c>
      <c r="K975" s="321">
        <f t="shared" si="69"/>
        <v>2.2955097093801558E-4</v>
      </c>
    </row>
    <row r="976" spans="1:11" x14ac:dyDescent="0.2">
      <c r="A976" s="320">
        <v>875</v>
      </c>
      <c r="B976" s="174">
        <v>35</v>
      </c>
      <c r="C976" s="174">
        <v>30</v>
      </c>
      <c r="D976" s="174">
        <v>51</v>
      </c>
      <c r="E976" s="174">
        <v>70</v>
      </c>
      <c r="F976" s="174">
        <v>61</v>
      </c>
      <c r="G976" s="68">
        <f t="shared" si="65"/>
        <v>0.69505535771878102</v>
      </c>
      <c r="H976" s="68">
        <f t="shared" si="66"/>
        <v>0.66707666658215037</v>
      </c>
      <c r="I976" s="68">
        <f t="shared" si="67"/>
        <v>0.71764747914356097</v>
      </c>
      <c r="J976" s="232">
        <f t="shared" si="68"/>
        <v>1.6643806257961191E-2</v>
      </c>
      <c r="K976" s="321">
        <f t="shared" si="69"/>
        <v>2.9884016462602917E-2</v>
      </c>
    </row>
    <row r="977" spans="1:11" x14ac:dyDescent="0.2">
      <c r="A977" s="320">
        <v>876</v>
      </c>
      <c r="B977" s="174">
        <v>17</v>
      </c>
      <c r="C977" s="174">
        <v>23</v>
      </c>
      <c r="D977" s="174">
        <v>67</v>
      </c>
      <c r="E977" s="174">
        <v>18</v>
      </c>
      <c r="F977" s="174">
        <v>19</v>
      </c>
      <c r="G977" s="68">
        <f t="shared" si="65"/>
        <v>0.32295784549341544</v>
      </c>
      <c r="H977" s="68">
        <f t="shared" si="66"/>
        <v>0.28376120921039227</v>
      </c>
      <c r="I977" s="68">
        <f t="shared" si="67"/>
        <v>0.24903206178098114</v>
      </c>
      <c r="J977" s="232">
        <f t="shared" si="68"/>
        <v>3.007580797119282E-2</v>
      </c>
      <c r="K977" s="321">
        <f t="shared" si="69"/>
        <v>-2.7425313062500713E-2</v>
      </c>
    </row>
    <row r="978" spans="1:11" x14ac:dyDescent="0.2">
      <c r="A978" s="320">
        <v>877</v>
      </c>
      <c r="B978" s="174">
        <v>69</v>
      </c>
      <c r="C978" s="174">
        <v>61</v>
      </c>
      <c r="D978" s="174">
        <v>32</v>
      </c>
      <c r="E978" s="174">
        <v>68</v>
      </c>
      <c r="F978" s="174">
        <v>49</v>
      </c>
      <c r="G978" s="68">
        <f t="shared" si="65"/>
        <v>0.75501573151129975</v>
      </c>
      <c r="H978" s="68">
        <f t="shared" si="66"/>
        <v>0.71910683282399335</v>
      </c>
      <c r="I978" s="68">
        <f t="shared" si="67"/>
        <v>0.77428483323256869</v>
      </c>
      <c r="J978" s="232">
        <f t="shared" si="68"/>
        <v>2.0672947992495926E-2</v>
      </c>
      <c r="K978" s="321">
        <f t="shared" si="69"/>
        <v>3.1592558172839916E-2</v>
      </c>
    </row>
    <row r="979" spans="1:11" x14ac:dyDescent="0.2">
      <c r="A979" s="320">
        <v>878</v>
      </c>
      <c r="B979" s="174">
        <v>62</v>
      </c>
      <c r="C979" s="174">
        <v>69</v>
      </c>
      <c r="D979" s="174">
        <v>56</v>
      </c>
      <c r="E979" s="174">
        <v>9</v>
      </c>
      <c r="F979" s="174">
        <v>74</v>
      </c>
      <c r="G979" s="68">
        <f t="shared" si="65"/>
        <v>-3.8908146931018184E-3</v>
      </c>
      <c r="H979" s="68">
        <f t="shared" si="66"/>
        <v>4.4229873751872706E-2</v>
      </c>
      <c r="I979" s="68">
        <f t="shared" si="67"/>
        <v>2.2406297168371392E-2</v>
      </c>
      <c r="J979" s="232">
        <f t="shared" si="68"/>
        <v>-4.7178054412925628E-2</v>
      </c>
      <c r="K979" s="321">
        <f t="shared" si="69"/>
        <v>-2.1120686984836805E-2</v>
      </c>
    </row>
    <row r="980" spans="1:11" x14ac:dyDescent="0.2">
      <c r="A980" s="320">
        <v>879</v>
      </c>
      <c r="B980" s="174">
        <v>30</v>
      </c>
      <c r="C980" s="174">
        <v>59</v>
      </c>
      <c r="D980" s="174">
        <v>55</v>
      </c>
      <c r="E980" s="174">
        <v>29</v>
      </c>
      <c r="F980" s="174">
        <v>64</v>
      </c>
      <c r="G980" s="68">
        <f t="shared" si="65"/>
        <v>0.38173064670860457</v>
      </c>
      <c r="H980" s="68">
        <f t="shared" si="66"/>
        <v>0.39533975683051037</v>
      </c>
      <c r="I980" s="68">
        <f t="shared" si="67"/>
        <v>0.44148612874753068</v>
      </c>
      <c r="J980" s="232">
        <f t="shared" si="68"/>
        <v>-9.8011336319255328E-3</v>
      </c>
      <c r="K980" s="321">
        <f t="shared" si="69"/>
        <v>3.2536676356982992E-2</v>
      </c>
    </row>
    <row r="981" spans="1:11" x14ac:dyDescent="0.2">
      <c r="A981" s="320">
        <v>880</v>
      </c>
      <c r="B981" s="174">
        <v>57</v>
      </c>
      <c r="C981" s="174">
        <v>40</v>
      </c>
      <c r="D981" s="174">
        <v>36</v>
      </c>
      <c r="E981" s="174">
        <v>17</v>
      </c>
      <c r="F981" s="174">
        <v>15</v>
      </c>
      <c r="G981" s="68">
        <f t="shared" si="65"/>
        <v>0.49370086093940047</v>
      </c>
      <c r="H981" s="68">
        <f t="shared" si="66"/>
        <v>0.42303970060583329</v>
      </c>
      <c r="I981" s="68">
        <f t="shared" si="67"/>
        <v>0.44884741796393612</v>
      </c>
      <c r="J981" s="232">
        <f t="shared" si="68"/>
        <v>4.8461621764718077E-2</v>
      </c>
      <c r="K981" s="321">
        <f t="shared" si="69"/>
        <v>1.7973138232127376E-2</v>
      </c>
    </row>
    <row r="982" spans="1:11" x14ac:dyDescent="0.2">
      <c r="A982" s="320">
        <v>881</v>
      </c>
      <c r="B982" s="174">
        <v>19</v>
      </c>
      <c r="C982" s="174">
        <v>59</v>
      </c>
      <c r="D982" s="174">
        <v>30</v>
      </c>
      <c r="E982" s="174">
        <v>21</v>
      </c>
      <c r="F982" s="174">
        <v>8</v>
      </c>
      <c r="G982" s="68">
        <f t="shared" si="65"/>
        <v>8.095958443183715E-2</v>
      </c>
      <c r="H982" s="68">
        <f t="shared" si="66"/>
        <v>0.12477044968994688</v>
      </c>
      <c r="I982" s="68">
        <f t="shared" si="67"/>
        <v>6.3371734442200012E-2</v>
      </c>
      <c r="J982" s="232">
        <f t="shared" si="68"/>
        <v>-3.9729819362818893E-2</v>
      </c>
      <c r="K982" s="321">
        <f t="shared" si="69"/>
        <v>-5.6134228744341742E-2</v>
      </c>
    </row>
    <row r="983" spans="1:11" x14ac:dyDescent="0.2">
      <c r="A983" s="320">
        <v>882</v>
      </c>
      <c r="B983" s="174">
        <v>1</v>
      </c>
      <c r="C983" s="174">
        <v>32</v>
      </c>
      <c r="D983" s="174">
        <v>28</v>
      </c>
      <c r="E983" s="174">
        <v>75</v>
      </c>
      <c r="F983" s="174">
        <v>35</v>
      </c>
      <c r="G983" s="68">
        <f t="shared" si="65"/>
        <v>0.81988589594832306</v>
      </c>
      <c r="H983" s="68">
        <f t="shared" si="66"/>
        <v>0.78927723413365247</v>
      </c>
      <c r="I983" s="68">
        <f t="shared" si="67"/>
        <v>0.8654921655898471</v>
      </c>
      <c r="J983" s="232">
        <f t="shared" si="68"/>
        <v>1.6962046091388881E-2</v>
      </c>
      <c r="K983" s="321">
        <f t="shared" si="69"/>
        <v>4.1713155542006899E-2</v>
      </c>
    </row>
    <row r="984" spans="1:11" x14ac:dyDescent="0.2">
      <c r="A984" s="320">
        <v>883</v>
      </c>
      <c r="B984" s="174">
        <v>71</v>
      </c>
      <c r="C984" s="174">
        <v>6</v>
      </c>
      <c r="D984" s="174">
        <v>16</v>
      </c>
      <c r="E984" s="174">
        <v>49</v>
      </c>
      <c r="F984" s="174">
        <v>20</v>
      </c>
      <c r="G984" s="68">
        <f t="shared" si="65"/>
        <v>0.16128627267217421</v>
      </c>
      <c r="H984" s="68">
        <f t="shared" si="66"/>
        <v>0.14224660331311201</v>
      </c>
      <c r="I984" s="68">
        <f t="shared" si="67"/>
        <v>0.10241953279599025</v>
      </c>
      <c r="J984" s="232">
        <f t="shared" si="68"/>
        <v>1.6531218767671815E-2</v>
      </c>
      <c r="K984" s="321">
        <f t="shared" si="69"/>
        <v>-3.5489688226866323E-2</v>
      </c>
    </row>
    <row r="985" spans="1:11" x14ac:dyDescent="0.2">
      <c r="A985" s="320">
        <v>884</v>
      </c>
      <c r="B985" s="174">
        <v>28</v>
      </c>
      <c r="C985" s="174">
        <v>24</v>
      </c>
      <c r="D985" s="174">
        <v>8</v>
      </c>
      <c r="E985" s="174">
        <v>12</v>
      </c>
      <c r="F985" s="174">
        <v>23</v>
      </c>
      <c r="G985" s="68">
        <f t="shared" si="65"/>
        <v>0.44565565205071578</v>
      </c>
      <c r="H985" s="68">
        <f t="shared" si="66"/>
        <v>0.40836128028505514</v>
      </c>
      <c r="I985" s="68">
        <f t="shared" si="67"/>
        <v>0.40400817982464887</v>
      </c>
      <c r="J985" s="232">
        <f t="shared" si="68"/>
        <v>2.6136141166111227E-2</v>
      </c>
      <c r="K985" s="321">
        <f t="shared" si="69"/>
        <v>-3.0956842609463284E-3</v>
      </c>
    </row>
    <row r="986" spans="1:11" x14ac:dyDescent="0.2">
      <c r="A986" s="320">
        <v>885</v>
      </c>
      <c r="B986" s="174">
        <v>61</v>
      </c>
      <c r="C986" s="174">
        <v>2</v>
      </c>
      <c r="D986" s="174">
        <v>70</v>
      </c>
      <c r="E986" s="174">
        <v>23</v>
      </c>
      <c r="F986" s="174">
        <v>69</v>
      </c>
      <c r="G986" s="68">
        <f t="shared" si="65"/>
        <v>0.78917904613047773</v>
      </c>
      <c r="H986" s="68">
        <f t="shared" si="66"/>
        <v>0.7297292724568567</v>
      </c>
      <c r="I986" s="68">
        <f t="shared" si="67"/>
        <v>0.78801370828240169</v>
      </c>
      <c r="J986" s="232">
        <f t="shared" si="68"/>
        <v>3.3791974846983049E-2</v>
      </c>
      <c r="K986" s="321">
        <f t="shared" si="69"/>
        <v>3.3140437192009105E-2</v>
      </c>
    </row>
    <row r="987" spans="1:11" x14ac:dyDescent="0.2">
      <c r="A987" s="320">
        <v>886</v>
      </c>
      <c r="B987" s="174">
        <v>42</v>
      </c>
      <c r="C987" s="174">
        <v>67</v>
      </c>
      <c r="D987" s="174">
        <v>24</v>
      </c>
      <c r="E987" s="174">
        <v>12</v>
      </c>
      <c r="F987" s="174">
        <v>12</v>
      </c>
      <c r="G987" s="68">
        <f t="shared" si="65"/>
        <v>0.83530684190297877</v>
      </c>
      <c r="H987" s="68">
        <f t="shared" si="66"/>
        <v>0.68602521161412411</v>
      </c>
      <c r="I987" s="68">
        <f t="shared" si="67"/>
        <v>0.7743476871929722</v>
      </c>
      <c r="J987" s="232">
        <f t="shared" si="68"/>
        <v>8.4837870847703084E-2</v>
      </c>
      <c r="K987" s="321">
        <f t="shared" si="69"/>
        <v>5.1059042234022765E-2</v>
      </c>
    </row>
    <row r="988" spans="1:11" x14ac:dyDescent="0.2">
      <c r="A988" s="320">
        <v>887</v>
      </c>
      <c r="B988" s="174">
        <v>48</v>
      </c>
      <c r="C988" s="174">
        <v>73</v>
      </c>
      <c r="D988" s="174">
        <v>53</v>
      </c>
      <c r="E988" s="174">
        <v>11</v>
      </c>
      <c r="F988" s="174">
        <v>56</v>
      </c>
      <c r="G988" s="68">
        <f t="shared" si="65"/>
        <v>2.2422102810305766E-2</v>
      </c>
      <c r="H988" s="68">
        <f t="shared" si="66"/>
        <v>4.5720258585927986E-2</v>
      </c>
      <c r="I988" s="68">
        <f t="shared" si="67"/>
        <v>2.3696254718315046E-2</v>
      </c>
      <c r="J988" s="232">
        <f t="shared" si="68"/>
        <v>-2.253146770195761E-2</v>
      </c>
      <c r="K988" s="321">
        <f t="shared" si="69"/>
        <v>-2.1286034300691991E-2</v>
      </c>
    </row>
    <row r="989" spans="1:11" x14ac:dyDescent="0.2">
      <c r="A989" s="320">
        <v>888</v>
      </c>
      <c r="B989" s="174">
        <v>60</v>
      </c>
      <c r="C989" s="174">
        <v>57</v>
      </c>
      <c r="D989" s="174">
        <v>21</v>
      </c>
      <c r="E989" s="174">
        <v>40</v>
      </c>
      <c r="F989" s="174">
        <v>53</v>
      </c>
      <c r="G989" s="68">
        <f t="shared" si="65"/>
        <v>0.48296383598730386</v>
      </c>
      <c r="H989" s="68">
        <f t="shared" si="66"/>
        <v>0.50383281798667912</v>
      </c>
      <c r="I989" s="68">
        <f t="shared" si="67"/>
        <v>0.53327029881723109</v>
      </c>
      <c r="J989" s="232">
        <f t="shared" si="68"/>
        <v>-1.3974383950328842E-2</v>
      </c>
      <c r="K989" s="321">
        <f t="shared" si="69"/>
        <v>1.9385843419325297E-2</v>
      </c>
    </row>
    <row r="990" spans="1:11" x14ac:dyDescent="0.2">
      <c r="A990" s="320">
        <v>889</v>
      </c>
      <c r="B990" s="174">
        <v>25</v>
      </c>
      <c r="C990" s="174">
        <v>37</v>
      </c>
      <c r="D990" s="174">
        <v>12</v>
      </c>
      <c r="E990" s="174">
        <v>37</v>
      </c>
      <c r="F990" s="174">
        <v>22</v>
      </c>
      <c r="G990" s="68">
        <f t="shared" si="65"/>
        <v>0.25969084397572506</v>
      </c>
      <c r="H990" s="68">
        <f t="shared" si="66"/>
        <v>0.20078473339601333</v>
      </c>
      <c r="I990" s="68">
        <f t="shared" si="67"/>
        <v>0.17419339743937101</v>
      </c>
      <c r="J990" s="232">
        <f t="shared" si="68"/>
        <v>4.7891041371094643E-2</v>
      </c>
      <c r="K990" s="321">
        <f t="shared" si="69"/>
        <v>-2.2393845958944066E-2</v>
      </c>
    </row>
    <row r="991" spans="1:11" x14ac:dyDescent="0.2">
      <c r="A991" s="320">
        <v>890</v>
      </c>
      <c r="B991" s="174">
        <v>22</v>
      </c>
      <c r="C991" s="174">
        <v>3</v>
      </c>
      <c r="D991" s="174">
        <v>35</v>
      </c>
      <c r="E991" s="174">
        <v>58</v>
      </c>
      <c r="F991" s="174">
        <v>58</v>
      </c>
      <c r="G991" s="68">
        <f t="shared" si="65"/>
        <v>0.79897742750220058</v>
      </c>
      <c r="H991" s="68">
        <f t="shared" si="66"/>
        <v>0.77487404024036022</v>
      </c>
      <c r="I991" s="68">
        <f t="shared" si="67"/>
        <v>0.85169538134599088</v>
      </c>
      <c r="J991" s="232">
        <f t="shared" si="68"/>
        <v>1.3488950477929159E-2</v>
      </c>
      <c r="K991" s="321">
        <f t="shared" si="69"/>
        <v>4.2372184616325234E-2</v>
      </c>
    </row>
    <row r="992" spans="1:11" x14ac:dyDescent="0.2">
      <c r="A992" s="320">
        <v>891</v>
      </c>
      <c r="B992" s="174">
        <v>18</v>
      </c>
      <c r="C992" s="174">
        <v>1</v>
      </c>
      <c r="D992" s="174">
        <v>41</v>
      </c>
      <c r="E992" s="174">
        <v>31</v>
      </c>
      <c r="F992" s="174">
        <v>59</v>
      </c>
      <c r="G992" s="68">
        <f t="shared" si="65"/>
        <v>0.76866539329390449</v>
      </c>
      <c r="H992" s="68">
        <f t="shared" si="66"/>
        <v>0.68388515420719242</v>
      </c>
      <c r="I992" s="68">
        <f t="shared" si="67"/>
        <v>0.71555283770143308</v>
      </c>
      <c r="J992" s="232">
        <f t="shared" si="68"/>
        <v>4.9121531804920411E-2</v>
      </c>
      <c r="K992" s="321">
        <f t="shared" si="69"/>
        <v>1.8631667737488512E-2</v>
      </c>
    </row>
    <row r="993" spans="1:11" x14ac:dyDescent="0.2">
      <c r="A993" s="320">
        <v>892</v>
      </c>
      <c r="B993" s="174">
        <v>19</v>
      </c>
      <c r="C993" s="174">
        <v>67</v>
      </c>
      <c r="D993" s="174">
        <v>26</v>
      </c>
      <c r="E993" s="174">
        <v>62</v>
      </c>
      <c r="F993" s="174">
        <v>40</v>
      </c>
      <c r="G993" s="68">
        <f t="shared" si="65"/>
        <v>0.29930501086380912</v>
      </c>
      <c r="H993" s="68">
        <f t="shared" si="66"/>
        <v>0.31523921734178639</v>
      </c>
      <c r="I993" s="68">
        <f t="shared" si="67"/>
        <v>0.34578931219564701</v>
      </c>
      <c r="J993" s="232">
        <f t="shared" si="68"/>
        <v>-1.2189048927314167E-2</v>
      </c>
      <c r="K993" s="321">
        <f t="shared" si="69"/>
        <v>2.2962126727557264E-2</v>
      </c>
    </row>
    <row r="994" spans="1:11" x14ac:dyDescent="0.2">
      <c r="A994" s="320">
        <v>893</v>
      </c>
      <c r="B994" s="174">
        <v>30</v>
      </c>
      <c r="C994" s="174">
        <v>19</v>
      </c>
      <c r="D994" s="174">
        <v>55</v>
      </c>
      <c r="E994" s="174">
        <v>46</v>
      </c>
      <c r="F994" s="174">
        <v>4</v>
      </c>
      <c r="G994" s="68">
        <f t="shared" si="65"/>
        <v>0.2190364813054777</v>
      </c>
      <c r="H994" s="68">
        <f t="shared" si="66"/>
        <v>0.2330167614299985</v>
      </c>
      <c r="I994" s="68">
        <f t="shared" si="67"/>
        <v>0.22703233366807374</v>
      </c>
      <c r="J994" s="232">
        <f t="shared" si="68"/>
        <v>-1.1403040821260953E-2</v>
      </c>
      <c r="K994" s="321">
        <f t="shared" si="69"/>
        <v>-4.8653009232242925E-3</v>
      </c>
    </row>
    <row r="995" spans="1:11" x14ac:dyDescent="0.2">
      <c r="A995" s="320">
        <v>894</v>
      </c>
      <c r="B995" s="174">
        <v>70</v>
      </c>
      <c r="C995" s="174">
        <v>45</v>
      </c>
      <c r="D995" s="174">
        <v>69</v>
      </c>
      <c r="E995" s="174">
        <v>59</v>
      </c>
      <c r="F995" s="174">
        <v>69</v>
      </c>
      <c r="G995" s="68">
        <f t="shared" si="65"/>
        <v>0.79432392979281641</v>
      </c>
      <c r="H995" s="68">
        <f t="shared" si="66"/>
        <v>0.82762081577265767</v>
      </c>
      <c r="I995" s="68">
        <f t="shared" si="67"/>
        <v>0.92524082917459682</v>
      </c>
      <c r="J995" s="232">
        <f t="shared" si="68"/>
        <v>-1.838671010921436E-2</v>
      </c>
      <c r="K995" s="321">
        <f t="shared" si="69"/>
        <v>5.2036045660806877E-2</v>
      </c>
    </row>
    <row r="996" spans="1:11" x14ac:dyDescent="0.2">
      <c r="A996" s="320">
        <v>895</v>
      </c>
      <c r="B996" s="174">
        <v>47</v>
      </c>
      <c r="C996" s="174">
        <v>59</v>
      </c>
      <c r="D996" s="174">
        <v>62</v>
      </c>
      <c r="E996" s="174">
        <v>20</v>
      </c>
      <c r="F996" s="174">
        <v>77</v>
      </c>
      <c r="G996" s="68">
        <f t="shared" si="65"/>
        <v>0.31580754026512103</v>
      </c>
      <c r="H996" s="68">
        <f t="shared" si="66"/>
        <v>0.32904375209375392</v>
      </c>
      <c r="I996" s="68">
        <f t="shared" si="67"/>
        <v>0.37195724911689276</v>
      </c>
      <c r="J996" s="232">
        <f t="shared" si="68"/>
        <v>-1.0009124044006196E-2</v>
      </c>
      <c r="K996" s="321">
        <f t="shared" si="69"/>
        <v>3.1778669029437996E-2</v>
      </c>
    </row>
    <row r="997" spans="1:11" x14ac:dyDescent="0.2">
      <c r="A997" s="320">
        <v>896</v>
      </c>
      <c r="B997" s="174">
        <v>49</v>
      </c>
      <c r="C997" s="174">
        <v>22</v>
      </c>
      <c r="D997" s="174">
        <v>6</v>
      </c>
      <c r="E997" s="174">
        <v>54</v>
      </c>
      <c r="F997" s="174">
        <v>42</v>
      </c>
      <c r="G997" s="68">
        <f t="shared" si="65"/>
        <v>6.6308547168418608E-2</v>
      </c>
      <c r="H997" s="68">
        <f t="shared" si="66"/>
        <v>8.4737200110819089E-2</v>
      </c>
      <c r="I997" s="68">
        <f t="shared" si="67"/>
        <v>6.7210693228095142E-2</v>
      </c>
      <c r="J997" s="232">
        <f t="shared" si="68"/>
        <v>-1.7135018039289504E-2</v>
      </c>
      <c r="K997" s="321">
        <f t="shared" si="69"/>
        <v>-1.6289329754541775E-2</v>
      </c>
    </row>
    <row r="998" spans="1:11" x14ac:dyDescent="0.2">
      <c r="A998" s="320">
        <v>897</v>
      </c>
      <c r="B998" s="174">
        <v>3</v>
      </c>
      <c r="C998" s="174">
        <v>54</v>
      </c>
      <c r="D998" s="174">
        <v>63</v>
      </c>
      <c r="E998" s="174">
        <v>5</v>
      </c>
      <c r="F998" s="174">
        <v>51</v>
      </c>
      <c r="G998" s="68">
        <f t="shared" ref="G998:G1061" si="70">(1+INDEX($Z$21:$Z$97,B998))*(1+INDEX($Z$21:$Z$97,C998))*(1+INDEX($Z$21:$Z$97,D998))*(1+INDEX($Z$21:$Z$97,E998))*(1+INDEX($Z$21:$Z$97,F998))-1</f>
        <v>5.2086059572572063E-2</v>
      </c>
      <c r="H998" s="68">
        <f t="shared" ref="H998:H1061" si="71">(1+INDEX($AA$21:$AA$97,B998))*(1+INDEX($AA$21:$AA$97,C998))*(1+INDEX($AA$21:$AA$97,D998))*(1+INDEX($AA$21:$AA$97,E998))*(1+INDEX($AA$21:$AA$97,F998))-1</f>
        <v>4.4090237237643715E-2</v>
      </c>
      <c r="I998" s="68">
        <f t="shared" ref="I998:I1061" si="72">(1+INDEX($AB$21:$AB$97,B998))*(1+INDEX($AB$21:$AB$97,C998))*(1+INDEX($AB$21:$AB$97,D998))*(1+INDEX($AB$21:$AB$97,E998))*(1+INDEX($AB$21:$AB$97,F998))-1</f>
        <v>3.903388240024297E-2</v>
      </c>
      <c r="J998" s="232">
        <f t="shared" ref="J998:J1061" si="73">LN((1+G998)/(1+H998))</f>
        <v>7.628996786059712E-3</v>
      </c>
      <c r="K998" s="321">
        <f t="shared" ref="K998:K1061" si="74">LN((1+I998)/(1+H998))</f>
        <v>-4.8545976881928304E-3</v>
      </c>
    </row>
    <row r="999" spans="1:11" x14ac:dyDescent="0.2">
      <c r="A999" s="320">
        <v>898</v>
      </c>
      <c r="B999" s="174">
        <v>4</v>
      </c>
      <c r="C999" s="174">
        <v>12</v>
      </c>
      <c r="D999" s="174">
        <v>11</v>
      </c>
      <c r="E999" s="174">
        <v>14</v>
      </c>
      <c r="F999" s="174">
        <v>32</v>
      </c>
      <c r="G999" s="68">
        <f t="shared" si="70"/>
        <v>0.52775671800791568</v>
      </c>
      <c r="H999" s="68">
        <f t="shared" si="71"/>
        <v>0.43034174890338361</v>
      </c>
      <c r="I999" s="68">
        <f t="shared" si="72"/>
        <v>0.44327315697060543</v>
      </c>
      <c r="J999" s="232">
        <f t="shared" si="73"/>
        <v>6.5887061138203529E-2</v>
      </c>
      <c r="K999" s="321">
        <f t="shared" si="74"/>
        <v>9.0001588805492163E-3</v>
      </c>
    </row>
    <row r="1000" spans="1:11" x14ac:dyDescent="0.2">
      <c r="A1000" s="320">
        <v>899</v>
      </c>
      <c r="B1000" s="174">
        <v>37</v>
      </c>
      <c r="C1000" s="174">
        <v>33</v>
      </c>
      <c r="D1000" s="174">
        <v>14</v>
      </c>
      <c r="E1000" s="174">
        <v>45</v>
      </c>
      <c r="F1000" s="174">
        <v>38</v>
      </c>
      <c r="G1000" s="68">
        <f t="shared" si="70"/>
        <v>0.42702101913344315</v>
      </c>
      <c r="H1000" s="68">
        <f t="shared" si="71"/>
        <v>0.39257666437751659</v>
      </c>
      <c r="I1000" s="68">
        <f t="shared" si="72"/>
        <v>0.40521530957392238</v>
      </c>
      <c r="J1000" s="232">
        <f t="shared" si="73"/>
        <v>2.4433321470095665E-2</v>
      </c>
      <c r="K1000" s="321">
        <f t="shared" si="74"/>
        <v>9.0347897811087399E-3</v>
      </c>
    </row>
    <row r="1001" spans="1:11" x14ac:dyDescent="0.2">
      <c r="A1001" s="320">
        <v>900</v>
      </c>
      <c r="B1001" s="174">
        <v>23</v>
      </c>
      <c r="C1001" s="174">
        <v>73</v>
      </c>
      <c r="D1001" s="174">
        <v>65</v>
      </c>
      <c r="E1001" s="174">
        <v>24</v>
      </c>
      <c r="F1001" s="174">
        <v>50</v>
      </c>
      <c r="G1001" s="68">
        <f t="shared" si="70"/>
        <v>0.49356115278886437</v>
      </c>
      <c r="H1001" s="68">
        <f t="shared" si="71"/>
        <v>0.42035781759881363</v>
      </c>
      <c r="I1001" s="68">
        <f t="shared" si="72"/>
        <v>0.47130508952489225</v>
      </c>
      <c r="J1001" s="232">
        <f t="shared" si="73"/>
        <v>5.025447969916691E-2</v>
      </c>
      <c r="K1001" s="321">
        <f t="shared" si="74"/>
        <v>3.5240998823460233E-2</v>
      </c>
    </row>
    <row r="1002" spans="1:11" x14ac:dyDescent="0.2">
      <c r="A1002" s="320">
        <v>901</v>
      </c>
      <c r="B1002" s="174">
        <v>4</v>
      </c>
      <c r="C1002" s="174">
        <v>16</v>
      </c>
      <c r="D1002" s="174">
        <v>13</v>
      </c>
      <c r="E1002" s="174">
        <v>37</v>
      </c>
      <c r="F1002" s="174">
        <v>41</v>
      </c>
      <c r="G1002" s="68">
        <f t="shared" si="70"/>
        <v>0.46311645671408352</v>
      </c>
      <c r="H1002" s="68">
        <f t="shared" si="71"/>
        <v>0.37448122873853462</v>
      </c>
      <c r="I1002" s="68">
        <f t="shared" si="72"/>
        <v>0.3888725637197965</v>
      </c>
      <c r="J1002" s="232">
        <f t="shared" si="73"/>
        <v>6.2492348441017191E-2</v>
      </c>
      <c r="K1002" s="321">
        <f t="shared" si="74"/>
        <v>1.0415941043927389E-2</v>
      </c>
    </row>
    <row r="1003" spans="1:11" x14ac:dyDescent="0.2">
      <c r="A1003" s="320">
        <v>902</v>
      </c>
      <c r="B1003" s="174">
        <v>25</v>
      </c>
      <c r="C1003" s="174">
        <v>70</v>
      </c>
      <c r="D1003" s="174">
        <v>58</v>
      </c>
      <c r="E1003" s="174">
        <v>15</v>
      </c>
      <c r="F1003" s="174">
        <v>23</v>
      </c>
      <c r="G1003" s="68">
        <f t="shared" si="70"/>
        <v>0.73870278938550693</v>
      </c>
      <c r="H1003" s="68">
        <f t="shared" si="71"/>
        <v>0.66968818218069082</v>
      </c>
      <c r="I1003" s="68">
        <f t="shared" si="72"/>
        <v>0.7243205300290485</v>
      </c>
      <c r="J1003" s="232">
        <f t="shared" si="73"/>
        <v>4.05024201062942E-2</v>
      </c>
      <c r="K1003" s="321">
        <f t="shared" si="74"/>
        <v>3.2196185512970432E-2</v>
      </c>
    </row>
    <row r="1004" spans="1:11" x14ac:dyDescent="0.2">
      <c r="A1004" s="320">
        <v>903</v>
      </c>
      <c r="B1004" s="174">
        <v>3</v>
      </c>
      <c r="C1004" s="174">
        <v>67</v>
      </c>
      <c r="D1004" s="174">
        <v>44</v>
      </c>
      <c r="E1004" s="174">
        <v>41</v>
      </c>
      <c r="F1004" s="174">
        <v>42</v>
      </c>
      <c r="G1004" s="68">
        <f t="shared" si="70"/>
        <v>0.62103301910468556</v>
      </c>
      <c r="H1004" s="68">
        <f t="shared" si="71"/>
        <v>0.56106727403742118</v>
      </c>
      <c r="I1004" s="68">
        <f t="shared" si="72"/>
        <v>0.6371751435958608</v>
      </c>
      <c r="J1004" s="232">
        <f t="shared" si="73"/>
        <v>3.7693874774154701E-2</v>
      </c>
      <c r="K1004" s="321">
        <f t="shared" si="74"/>
        <v>4.7602545894439033E-2</v>
      </c>
    </row>
    <row r="1005" spans="1:11" x14ac:dyDescent="0.2">
      <c r="A1005" s="320">
        <v>904</v>
      </c>
      <c r="B1005" s="174">
        <v>39</v>
      </c>
      <c r="C1005" s="174">
        <v>44</v>
      </c>
      <c r="D1005" s="174">
        <v>7</v>
      </c>
      <c r="E1005" s="174">
        <v>37</v>
      </c>
      <c r="F1005" s="174">
        <v>69</v>
      </c>
      <c r="G1005" s="68">
        <f t="shared" si="70"/>
        <v>0.11197323247908386</v>
      </c>
      <c r="H1005" s="68">
        <f t="shared" si="71"/>
        <v>0.12678974915249808</v>
      </c>
      <c r="I1005" s="68">
        <f t="shared" si="72"/>
        <v>9.7984542014434739E-2</v>
      </c>
      <c r="J1005" s="232">
        <f t="shared" si="73"/>
        <v>-1.3236535642895671E-2</v>
      </c>
      <c r="K1005" s="321">
        <f t="shared" si="74"/>
        <v>-2.5896394992788473E-2</v>
      </c>
    </row>
    <row r="1006" spans="1:11" x14ac:dyDescent="0.2">
      <c r="A1006" s="320">
        <v>905</v>
      </c>
      <c r="B1006" s="174">
        <v>32</v>
      </c>
      <c r="C1006" s="174">
        <v>36</v>
      </c>
      <c r="D1006" s="174">
        <v>4</v>
      </c>
      <c r="E1006" s="174">
        <v>31</v>
      </c>
      <c r="F1006" s="174">
        <v>56</v>
      </c>
      <c r="G1006" s="68">
        <f t="shared" si="70"/>
        <v>0.41411527204142873</v>
      </c>
      <c r="H1006" s="68">
        <f t="shared" si="71"/>
        <v>0.4167880703199518</v>
      </c>
      <c r="I1006" s="68">
        <f t="shared" si="72"/>
        <v>0.4284728438018448</v>
      </c>
      <c r="J1006" s="232">
        <f t="shared" si="73"/>
        <v>-1.888301188333165E-3</v>
      </c>
      <c r="K1006" s="321">
        <f t="shared" si="74"/>
        <v>8.213544925869563E-3</v>
      </c>
    </row>
    <row r="1007" spans="1:11" x14ac:dyDescent="0.2">
      <c r="A1007" s="320">
        <v>906</v>
      </c>
      <c r="B1007" s="174">
        <v>17</v>
      </c>
      <c r="C1007" s="174">
        <v>25</v>
      </c>
      <c r="D1007" s="174">
        <v>72</v>
      </c>
      <c r="E1007" s="174">
        <v>23</v>
      </c>
      <c r="F1007" s="174">
        <v>43</v>
      </c>
      <c r="G1007" s="68">
        <f t="shared" si="70"/>
        <v>0.59917057976798649</v>
      </c>
      <c r="H1007" s="68">
        <f t="shared" si="71"/>
        <v>0.54380707918269366</v>
      </c>
      <c r="I1007" s="68">
        <f t="shared" si="72"/>
        <v>0.59061045115099398</v>
      </c>
      <c r="J1007" s="232">
        <f t="shared" si="73"/>
        <v>3.5233612111427823E-2</v>
      </c>
      <c r="K1007" s="321">
        <f t="shared" si="74"/>
        <v>2.9866379010819125E-2</v>
      </c>
    </row>
    <row r="1008" spans="1:11" x14ac:dyDescent="0.2">
      <c r="A1008" s="320">
        <v>907</v>
      </c>
      <c r="B1008" s="174">
        <v>16</v>
      </c>
      <c r="C1008" s="174">
        <v>13</v>
      </c>
      <c r="D1008" s="174">
        <v>32</v>
      </c>
      <c r="E1008" s="174">
        <v>46</v>
      </c>
      <c r="F1008" s="174">
        <v>64</v>
      </c>
      <c r="G1008" s="68">
        <f t="shared" si="70"/>
        <v>0.46630016045438039</v>
      </c>
      <c r="H1008" s="68">
        <f t="shared" si="71"/>
        <v>0.36558601751997988</v>
      </c>
      <c r="I1008" s="68">
        <f t="shared" si="72"/>
        <v>0.40164770246954973</v>
      </c>
      <c r="J1008" s="232">
        <f t="shared" si="73"/>
        <v>7.1158677057701486E-2</v>
      </c>
      <c r="K1008" s="321">
        <f t="shared" si="74"/>
        <v>2.6064821545773484E-2</v>
      </c>
    </row>
    <row r="1009" spans="1:11" x14ac:dyDescent="0.2">
      <c r="A1009" s="320">
        <v>908</v>
      </c>
      <c r="B1009" s="174">
        <v>53</v>
      </c>
      <c r="C1009" s="174">
        <v>44</v>
      </c>
      <c r="D1009" s="174">
        <v>3</v>
      </c>
      <c r="E1009" s="174">
        <v>42</v>
      </c>
      <c r="F1009" s="174">
        <v>30</v>
      </c>
      <c r="G1009" s="68">
        <f t="shared" si="70"/>
        <v>0.42728084442096037</v>
      </c>
      <c r="H1009" s="68">
        <f t="shared" si="71"/>
        <v>0.41098981435379378</v>
      </c>
      <c r="I1009" s="68">
        <f t="shared" si="72"/>
        <v>0.44003158413873433</v>
      </c>
      <c r="J1009" s="232">
        <f t="shared" si="73"/>
        <v>1.1479672611901276E-2</v>
      </c>
      <c r="K1009" s="321">
        <f t="shared" si="74"/>
        <v>2.0373592675311889E-2</v>
      </c>
    </row>
    <row r="1010" spans="1:11" x14ac:dyDescent="0.2">
      <c r="A1010" s="320">
        <v>909</v>
      </c>
      <c r="B1010" s="174">
        <v>58</v>
      </c>
      <c r="C1010" s="174">
        <v>56</v>
      </c>
      <c r="D1010" s="174">
        <v>46</v>
      </c>
      <c r="E1010" s="174">
        <v>3</v>
      </c>
      <c r="F1010" s="174">
        <v>29</v>
      </c>
      <c r="G1010" s="68">
        <f t="shared" si="70"/>
        <v>0.72197206617764453</v>
      </c>
      <c r="H1010" s="68">
        <f t="shared" si="71"/>
        <v>0.6796021568782642</v>
      </c>
      <c r="I1010" s="68">
        <f t="shared" si="72"/>
        <v>0.76378317313072319</v>
      </c>
      <c r="J1010" s="232">
        <f t="shared" si="73"/>
        <v>2.4913230153112524E-2</v>
      </c>
      <c r="K1010" s="321">
        <f t="shared" si="74"/>
        <v>4.8904078314310144E-2</v>
      </c>
    </row>
    <row r="1011" spans="1:11" x14ac:dyDescent="0.2">
      <c r="A1011" s="320">
        <v>910</v>
      </c>
      <c r="B1011" s="174">
        <v>8</v>
      </c>
      <c r="C1011" s="174">
        <v>31</v>
      </c>
      <c r="D1011" s="174">
        <v>24</v>
      </c>
      <c r="E1011" s="174">
        <v>69</v>
      </c>
      <c r="F1011" s="174">
        <v>29</v>
      </c>
      <c r="G1011" s="68">
        <f t="shared" si="70"/>
        <v>0.32166625460840037</v>
      </c>
      <c r="H1011" s="68">
        <f t="shared" si="71"/>
        <v>0.37153387545172656</v>
      </c>
      <c r="I1011" s="68">
        <f t="shared" si="72"/>
        <v>0.35724198008281904</v>
      </c>
      <c r="J1011" s="232">
        <f t="shared" si="73"/>
        <v>-3.7036476007322489E-2</v>
      </c>
      <c r="K1011" s="321">
        <f t="shared" si="74"/>
        <v>-1.0475045814471751E-2</v>
      </c>
    </row>
    <row r="1012" spans="1:11" x14ac:dyDescent="0.2">
      <c r="A1012" s="320">
        <v>911</v>
      </c>
      <c r="B1012" s="174">
        <v>25</v>
      </c>
      <c r="C1012" s="174">
        <v>3</v>
      </c>
      <c r="D1012" s="174">
        <v>54</v>
      </c>
      <c r="E1012" s="174">
        <v>36</v>
      </c>
      <c r="F1012" s="174">
        <v>34</v>
      </c>
      <c r="G1012" s="68">
        <f t="shared" si="70"/>
        <v>0.53093477770624919</v>
      </c>
      <c r="H1012" s="68">
        <f t="shared" si="71"/>
        <v>0.4848543284024982</v>
      </c>
      <c r="I1012" s="68">
        <f t="shared" si="72"/>
        <v>0.51936959027042517</v>
      </c>
      <c r="J1012" s="232">
        <f t="shared" si="73"/>
        <v>3.0561842570643951E-2</v>
      </c>
      <c r="K1012" s="321">
        <f t="shared" si="74"/>
        <v>2.2978833494130966E-2</v>
      </c>
    </row>
    <row r="1013" spans="1:11" x14ac:dyDescent="0.2">
      <c r="A1013" s="320">
        <v>912</v>
      </c>
      <c r="B1013" s="174">
        <v>71</v>
      </c>
      <c r="C1013" s="174">
        <v>58</v>
      </c>
      <c r="D1013" s="174">
        <v>12</v>
      </c>
      <c r="E1013" s="174">
        <v>19</v>
      </c>
      <c r="F1013" s="174">
        <v>40</v>
      </c>
      <c r="G1013" s="68">
        <f t="shared" si="70"/>
        <v>0.71278336589569946</v>
      </c>
      <c r="H1013" s="68">
        <f t="shared" si="71"/>
        <v>0.63139269555030997</v>
      </c>
      <c r="I1013" s="68">
        <f t="shared" si="72"/>
        <v>0.67545240515925431</v>
      </c>
      <c r="J1013" s="232">
        <f t="shared" si="73"/>
        <v>4.8685682139440092E-2</v>
      </c>
      <c r="K1013" s="321">
        <f t="shared" si="74"/>
        <v>2.6649156978501082E-2</v>
      </c>
    </row>
    <row r="1014" spans="1:11" x14ac:dyDescent="0.2">
      <c r="A1014" s="320">
        <v>913</v>
      </c>
      <c r="B1014" s="174">
        <v>49</v>
      </c>
      <c r="C1014" s="174">
        <v>15</v>
      </c>
      <c r="D1014" s="174">
        <v>50</v>
      </c>
      <c r="E1014" s="174">
        <v>15</v>
      </c>
      <c r="F1014" s="174">
        <v>30</v>
      </c>
      <c r="G1014" s="68">
        <f t="shared" si="70"/>
        <v>0.4865474849333784</v>
      </c>
      <c r="H1014" s="68">
        <f t="shared" si="71"/>
        <v>0.40301158228140332</v>
      </c>
      <c r="I1014" s="68">
        <f t="shared" si="72"/>
        <v>0.41511487016136051</v>
      </c>
      <c r="J1014" s="232">
        <f t="shared" si="73"/>
        <v>5.7835250610819663E-2</v>
      </c>
      <c r="K1014" s="321">
        <f t="shared" si="74"/>
        <v>8.5896516719871484E-3</v>
      </c>
    </row>
    <row r="1015" spans="1:11" x14ac:dyDescent="0.2">
      <c r="A1015" s="320">
        <v>914</v>
      </c>
      <c r="B1015" s="174">
        <v>41</v>
      </c>
      <c r="C1015" s="174">
        <v>30</v>
      </c>
      <c r="D1015" s="174">
        <v>35</v>
      </c>
      <c r="E1015" s="174">
        <v>64</v>
      </c>
      <c r="F1015" s="174">
        <v>16</v>
      </c>
      <c r="G1015" s="68">
        <f t="shared" si="70"/>
        <v>0.333410626703178</v>
      </c>
      <c r="H1015" s="68">
        <f t="shared" si="71"/>
        <v>0.30173168029374153</v>
      </c>
      <c r="I1015" s="68">
        <f t="shared" si="72"/>
        <v>0.32901433025784854</v>
      </c>
      <c r="J1015" s="232">
        <f t="shared" si="73"/>
        <v>2.404460097425308E-2</v>
      </c>
      <c r="K1015" s="321">
        <f t="shared" si="74"/>
        <v>2.0742122585543359E-2</v>
      </c>
    </row>
    <row r="1016" spans="1:11" x14ac:dyDescent="0.2">
      <c r="A1016" s="320">
        <v>915</v>
      </c>
      <c r="B1016" s="174">
        <v>3</v>
      </c>
      <c r="C1016" s="174">
        <v>39</v>
      </c>
      <c r="D1016" s="174">
        <v>61</v>
      </c>
      <c r="E1016" s="174">
        <v>57</v>
      </c>
      <c r="F1016" s="174">
        <v>14</v>
      </c>
      <c r="G1016" s="68">
        <f t="shared" si="70"/>
        <v>0.82218898523022665</v>
      </c>
      <c r="H1016" s="68">
        <f t="shared" si="71"/>
        <v>0.65327925505708206</v>
      </c>
      <c r="I1016" s="68">
        <f t="shared" si="72"/>
        <v>0.72408312476862835</v>
      </c>
      <c r="J1016" s="232">
        <f t="shared" si="73"/>
        <v>9.727777461594754E-2</v>
      </c>
      <c r="K1016" s="321">
        <f t="shared" si="74"/>
        <v>4.193464440328086E-2</v>
      </c>
    </row>
    <row r="1017" spans="1:11" x14ac:dyDescent="0.2">
      <c r="A1017" s="320">
        <v>916</v>
      </c>
      <c r="B1017" s="174">
        <v>61</v>
      </c>
      <c r="C1017" s="174">
        <v>19</v>
      </c>
      <c r="D1017" s="174">
        <v>28</v>
      </c>
      <c r="E1017" s="174">
        <v>7</v>
      </c>
      <c r="F1017" s="174">
        <v>64</v>
      </c>
      <c r="G1017" s="68">
        <f t="shared" si="70"/>
        <v>4.0141470026723747E-2</v>
      </c>
      <c r="H1017" s="68">
        <f t="shared" si="71"/>
        <v>7.9543817319916998E-2</v>
      </c>
      <c r="I1017" s="68">
        <f t="shared" si="72"/>
        <v>6.4738149104449638E-2</v>
      </c>
      <c r="J1017" s="232">
        <f t="shared" si="73"/>
        <v>-3.7181827759274956E-2</v>
      </c>
      <c r="K1017" s="321">
        <f t="shared" si="74"/>
        <v>-1.3809660988255512E-2</v>
      </c>
    </row>
    <row r="1018" spans="1:11" x14ac:dyDescent="0.2">
      <c r="A1018" s="320">
        <v>917</v>
      </c>
      <c r="B1018" s="174">
        <v>26</v>
      </c>
      <c r="C1018" s="174">
        <v>71</v>
      </c>
      <c r="D1018" s="174">
        <v>14</v>
      </c>
      <c r="E1018" s="174">
        <v>61</v>
      </c>
      <c r="F1018" s="174">
        <v>47</v>
      </c>
      <c r="G1018" s="68">
        <f t="shared" si="70"/>
        <v>0.93089286813739003</v>
      </c>
      <c r="H1018" s="68">
        <f t="shared" si="71"/>
        <v>0.83199189196720291</v>
      </c>
      <c r="I1018" s="68">
        <f t="shared" si="72"/>
        <v>0.93135525716557455</v>
      </c>
      <c r="J1018" s="232">
        <f t="shared" si="73"/>
        <v>5.2578681456261218E-2</v>
      </c>
      <c r="K1018" s="321">
        <f t="shared" si="74"/>
        <v>5.281812181089017E-2</v>
      </c>
    </row>
    <row r="1019" spans="1:11" x14ac:dyDescent="0.2">
      <c r="A1019" s="320">
        <v>918</v>
      </c>
      <c r="B1019" s="174">
        <v>26</v>
      </c>
      <c r="C1019" s="174">
        <v>6</v>
      </c>
      <c r="D1019" s="174">
        <v>2</v>
      </c>
      <c r="E1019" s="174">
        <v>5</v>
      </c>
      <c r="F1019" s="174">
        <v>10</v>
      </c>
      <c r="G1019" s="68">
        <f t="shared" si="70"/>
        <v>-7.3438052770223861E-3</v>
      </c>
      <c r="H1019" s="68">
        <f t="shared" si="71"/>
        <v>3.0435224668107885E-2</v>
      </c>
      <c r="I1019" s="68">
        <f t="shared" si="72"/>
        <v>-5.200335440929571E-3</v>
      </c>
      <c r="J1019" s="232">
        <f t="shared" si="73"/>
        <v>-3.7352164981846667E-2</v>
      </c>
      <c r="K1019" s="321">
        <f t="shared" si="74"/>
        <v>-3.5195165461933332E-2</v>
      </c>
    </row>
    <row r="1020" spans="1:11" x14ac:dyDescent="0.2">
      <c r="A1020" s="320">
        <v>919</v>
      </c>
      <c r="B1020" s="174">
        <v>68</v>
      </c>
      <c r="C1020" s="174">
        <v>35</v>
      </c>
      <c r="D1020" s="174">
        <v>57</v>
      </c>
      <c r="E1020" s="174">
        <v>57</v>
      </c>
      <c r="F1020" s="174">
        <v>59</v>
      </c>
      <c r="G1020" s="68">
        <f t="shared" si="70"/>
        <v>1.1759937430373366</v>
      </c>
      <c r="H1020" s="68">
        <f t="shared" si="71"/>
        <v>1.0594059600152077</v>
      </c>
      <c r="I1020" s="68">
        <f t="shared" si="72"/>
        <v>1.2163002769326599</v>
      </c>
      <c r="J1020" s="232">
        <f t="shared" si="73"/>
        <v>5.5067881256641818E-2</v>
      </c>
      <c r="K1020" s="321">
        <f t="shared" si="74"/>
        <v>7.3421691445659146E-2</v>
      </c>
    </row>
    <row r="1021" spans="1:11" x14ac:dyDescent="0.2">
      <c r="A1021" s="320">
        <v>920</v>
      </c>
      <c r="B1021" s="174">
        <v>5</v>
      </c>
      <c r="C1021" s="174">
        <v>60</v>
      </c>
      <c r="D1021" s="174">
        <v>24</v>
      </c>
      <c r="E1021" s="174">
        <v>57</v>
      </c>
      <c r="F1021" s="174">
        <v>73</v>
      </c>
      <c r="G1021" s="68">
        <f t="shared" si="70"/>
        <v>0.57282437392618468</v>
      </c>
      <c r="H1021" s="68">
        <f t="shared" si="71"/>
        <v>0.54790006098192467</v>
      </c>
      <c r="I1021" s="68">
        <f t="shared" si="72"/>
        <v>0.61538645072518561</v>
      </c>
      <c r="J1021" s="232">
        <f t="shared" si="73"/>
        <v>1.5973754451947195E-2</v>
      </c>
      <c r="K1021" s="321">
        <f t="shared" si="74"/>
        <v>4.2675003430203848E-2</v>
      </c>
    </row>
    <row r="1022" spans="1:11" x14ac:dyDescent="0.2">
      <c r="A1022" s="320">
        <v>921</v>
      </c>
      <c r="B1022" s="174">
        <v>45</v>
      </c>
      <c r="C1022" s="174">
        <v>74</v>
      </c>
      <c r="D1022" s="174">
        <v>8</v>
      </c>
      <c r="E1022" s="174">
        <v>35</v>
      </c>
      <c r="F1022" s="174">
        <v>41</v>
      </c>
      <c r="G1022" s="68">
        <f t="shared" si="70"/>
        <v>0.13908430076330691</v>
      </c>
      <c r="H1022" s="68">
        <f t="shared" si="71"/>
        <v>0.18356164425022725</v>
      </c>
      <c r="I1022" s="68">
        <f t="shared" si="72"/>
        <v>0.16705831824653394</v>
      </c>
      <c r="J1022" s="232">
        <f t="shared" si="73"/>
        <v>-3.8303540324066472E-2</v>
      </c>
      <c r="K1022" s="321">
        <f t="shared" si="74"/>
        <v>-1.4041910165588419E-2</v>
      </c>
    </row>
    <row r="1023" spans="1:11" x14ac:dyDescent="0.2">
      <c r="A1023" s="320">
        <v>922</v>
      </c>
      <c r="B1023" s="174">
        <v>16</v>
      </c>
      <c r="C1023" s="174">
        <v>34</v>
      </c>
      <c r="D1023" s="174">
        <v>59</v>
      </c>
      <c r="E1023" s="174">
        <v>51</v>
      </c>
      <c r="F1023" s="174">
        <v>75</v>
      </c>
      <c r="G1023" s="68">
        <f t="shared" si="70"/>
        <v>0.7380774870019815</v>
      </c>
      <c r="H1023" s="68">
        <f t="shared" si="71"/>
        <v>0.70909292878346841</v>
      </c>
      <c r="I1023" s="68">
        <f t="shared" si="72"/>
        <v>0.78943625709405341</v>
      </c>
      <c r="J1023" s="232">
        <f t="shared" si="73"/>
        <v>1.6816831083263317E-2</v>
      </c>
      <c r="K1023" s="321">
        <f t="shared" si="74"/>
        <v>4.5937851305830092E-2</v>
      </c>
    </row>
    <row r="1024" spans="1:11" x14ac:dyDescent="0.2">
      <c r="A1024" s="320">
        <v>923</v>
      </c>
      <c r="B1024" s="174">
        <v>4</v>
      </c>
      <c r="C1024" s="174">
        <v>61</v>
      </c>
      <c r="D1024" s="174">
        <v>18</v>
      </c>
      <c r="E1024" s="174">
        <v>13</v>
      </c>
      <c r="F1024" s="174">
        <v>48</v>
      </c>
      <c r="G1024" s="68">
        <f t="shared" si="70"/>
        <v>0.53173747777144365</v>
      </c>
      <c r="H1024" s="68">
        <f t="shared" si="71"/>
        <v>0.42905105228497731</v>
      </c>
      <c r="I1024" s="68">
        <f t="shared" si="72"/>
        <v>0.44230707795830715</v>
      </c>
      <c r="J1024" s="232">
        <f t="shared" si="73"/>
        <v>6.9392073286424813E-2</v>
      </c>
      <c r="K1024" s="321">
        <f t="shared" si="74"/>
        <v>9.2333448145895704E-3</v>
      </c>
    </row>
    <row r="1025" spans="1:11" x14ac:dyDescent="0.2">
      <c r="A1025" s="320">
        <v>924</v>
      </c>
      <c r="B1025" s="174">
        <v>70</v>
      </c>
      <c r="C1025" s="174">
        <v>30</v>
      </c>
      <c r="D1025" s="174">
        <v>26</v>
      </c>
      <c r="E1025" s="174">
        <v>60</v>
      </c>
      <c r="F1025" s="174">
        <v>21</v>
      </c>
      <c r="G1025" s="68">
        <f t="shared" si="70"/>
        <v>0.77088084899230336</v>
      </c>
      <c r="H1025" s="68">
        <f t="shared" si="71"/>
        <v>0.76969962555232896</v>
      </c>
      <c r="I1025" s="68">
        <f t="shared" si="72"/>
        <v>0.83124253679533378</v>
      </c>
      <c r="J1025" s="232">
        <f t="shared" si="73"/>
        <v>6.6724848780717297E-4</v>
      </c>
      <c r="K1025" s="321">
        <f t="shared" si="74"/>
        <v>3.4184889198049767E-2</v>
      </c>
    </row>
    <row r="1026" spans="1:11" x14ac:dyDescent="0.2">
      <c r="A1026" s="320">
        <v>925</v>
      </c>
      <c r="B1026" s="174">
        <v>54</v>
      </c>
      <c r="C1026" s="174">
        <v>30</v>
      </c>
      <c r="D1026" s="174">
        <v>50</v>
      </c>
      <c r="E1026" s="174">
        <v>76</v>
      </c>
      <c r="F1026" s="174">
        <v>6</v>
      </c>
      <c r="G1026" s="68">
        <f t="shared" si="70"/>
        <v>0.16189641582682524</v>
      </c>
      <c r="H1026" s="68">
        <f t="shared" si="71"/>
        <v>0.1733265020517496</v>
      </c>
      <c r="I1026" s="68">
        <f t="shared" si="72"/>
        <v>0.16834143502378418</v>
      </c>
      <c r="J1026" s="232">
        <f t="shared" si="73"/>
        <v>-9.7893673598901925E-3</v>
      </c>
      <c r="K1026" s="321">
        <f t="shared" si="74"/>
        <v>-4.2577126157451739E-3</v>
      </c>
    </row>
    <row r="1027" spans="1:11" x14ac:dyDescent="0.2">
      <c r="A1027" s="320">
        <v>926</v>
      </c>
      <c r="B1027" s="174">
        <v>7</v>
      </c>
      <c r="C1027" s="174">
        <v>65</v>
      </c>
      <c r="D1027" s="174">
        <v>28</v>
      </c>
      <c r="E1027" s="174">
        <v>33</v>
      </c>
      <c r="F1027" s="174">
        <v>76</v>
      </c>
      <c r="G1027" s="68">
        <f t="shared" si="70"/>
        <v>0.35032875023040067</v>
      </c>
      <c r="H1027" s="68">
        <f t="shared" si="71"/>
        <v>0.39451132522474119</v>
      </c>
      <c r="I1027" s="68">
        <f t="shared" si="72"/>
        <v>0.42866326894616003</v>
      </c>
      <c r="J1027" s="232">
        <f t="shared" si="73"/>
        <v>-3.2195967910321456E-2</v>
      </c>
      <c r="K1027" s="321">
        <f t="shared" si="74"/>
        <v>2.4195180730660737E-2</v>
      </c>
    </row>
    <row r="1028" spans="1:11" x14ac:dyDescent="0.2">
      <c r="A1028" s="320">
        <v>927</v>
      </c>
      <c r="B1028" s="174">
        <v>74</v>
      </c>
      <c r="C1028" s="174">
        <v>76</v>
      </c>
      <c r="D1028" s="174">
        <v>19</v>
      </c>
      <c r="E1028" s="174">
        <v>18</v>
      </c>
      <c r="F1028" s="174">
        <v>8</v>
      </c>
      <c r="G1028" s="68">
        <f t="shared" si="70"/>
        <v>-1.6795597872002022E-2</v>
      </c>
      <c r="H1028" s="68">
        <f t="shared" si="71"/>
        <v>-2.8970258266494131E-3</v>
      </c>
      <c r="I1028" s="68">
        <f t="shared" si="72"/>
        <v>-6.3443976281981618E-2</v>
      </c>
      <c r="J1028" s="232">
        <f t="shared" si="73"/>
        <v>-1.4037013064600777E-2</v>
      </c>
      <c r="K1028" s="321">
        <f t="shared" si="74"/>
        <v>-6.264470611582626E-2</v>
      </c>
    </row>
    <row r="1029" spans="1:11" x14ac:dyDescent="0.2">
      <c r="A1029" s="320">
        <v>928</v>
      </c>
      <c r="B1029" s="174">
        <v>59</v>
      </c>
      <c r="C1029" s="174">
        <v>4</v>
      </c>
      <c r="D1029" s="174">
        <v>9</v>
      </c>
      <c r="E1029" s="174">
        <v>65</v>
      </c>
      <c r="F1029" s="174">
        <v>40</v>
      </c>
      <c r="G1029" s="68">
        <f t="shared" si="70"/>
        <v>0.13125410442247309</v>
      </c>
      <c r="H1029" s="68">
        <f t="shared" si="71"/>
        <v>0.1617552480951534</v>
      </c>
      <c r="I1029" s="68">
        <f t="shared" si="72"/>
        <v>0.15606469150077129</v>
      </c>
      <c r="J1029" s="232">
        <f t="shared" si="73"/>
        <v>-2.6605162133478896E-2</v>
      </c>
      <c r="K1029" s="321">
        <f t="shared" si="74"/>
        <v>-4.9102761873998828E-3</v>
      </c>
    </row>
    <row r="1030" spans="1:11" x14ac:dyDescent="0.2">
      <c r="A1030" s="320">
        <v>929</v>
      </c>
      <c r="B1030" s="174">
        <v>76</v>
      </c>
      <c r="C1030" s="174">
        <v>1</v>
      </c>
      <c r="D1030" s="174">
        <v>43</v>
      </c>
      <c r="E1030" s="174">
        <v>19</v>
      </c>
      <c r="F1030" s="174">
        <v>23</v>
      </c>
      <c r="G1030" s="68">
        <f t="shared" si="70"/>
        <v>0.3848058173882547</v>
      </c>
      <c r="H1030" s="68">
        <f t="shared" si="71"/>
        <v>0.33941557401408007</v>
      </c>
      <c r="I1030" s="68">
        <f t="shared" si="72"/>
        <v>0.34607138429887607</v>
      </c>
      <c r="J1030" s="232">
        <f t="shared" si="73"/>
        <v>3.3326545726823212E-2</v>
      </c>
      <c r="K1030" s="321">
        <f t="shared" si="74"/>
        <v>4.9568841824738797E-3</v>
      </c>
    </row>
    <row r="1031" spans="1:11" x14ac:dyDescent="0.2">
      <c r="A1031" s="320">
        <v>930</v>
      </c>
      <c r="B1031" s="174">
        <v>2</v>
      </c>
      <c r="C1031" s="174">
        <v>55</v>
      </c>
      <c r="D1031" s="174">
        <v>39</v>
      </c>
      <c r="E1031" s="174">
        <v>76</v>
      </c>
      <c r="F1031" s="174">
        <v>5</v>
      </c>
      <c r="G1031" s="68">
        <f t="shared" si="70"/>
        <v>0.16937101394464427</v>
      </c>
      <c r="H1031" s="68">
        <f t="shared" si="71"/>
        <v>0.16104989265372094</v>
      </c>
      <c r="I1031" s="68">
        <f t="shared" si="72"/>
        <v>0.15058351290085437</v>
      </c>
      <c r="J1031" s="232">
        <f t="shared" si="73"/>
        <v>7.1413336802461915E-3</v>
      </c>
      <c r="K1031" s="321">
        <f t="shared" si="74"/>
        <v>-9.0554594418427864E-3</v>
      </c>
    </row>
    <row r="1032" spans="1:11" x14ac:dyDescent="0.2">
      <c r="A1032" s="320">
        <v>931</v>
      </c>
      <c r="B1032" s="174">
        <v>10</v>
      </c>
      <c r="C1032" s="174">
        <v>24</v>
      </c>
      <c r="D1032" s="174">
        <v>66</v>
      </c>
      <c r="E1032" s="174">
        <v>31</v>
      </c>
      <c r="F1032" s="174">
        <v>23</v>
      </c>
      <c r="G1032" s="68">
        <f t="shared" si="70"/>
        <v>0.40137858859110431</v>
      </c>
      <c r="H1032" s="68">
        <f t="shared" si="71"/>
        <v>0.38806838059656057</v>
      </c>
      <c r="I1032" s="68">
        <f t="shared" si="72"/>
        <v>0.39440226655882382</v>
      </c>
      <c r="J1032" s="232">
        <f t="shared" si="73"/>
        <v>9.5433318220790719E-3</v>
      </c>
      <c r="K1032" s="321">
        <f t="shared" si="74"/>
        <v>4.5527142642447739E-3</v>
      </c>
    </row>
    <row r="1033" spans="1:11" x14ac:dyDescent="0.2">
      <c r="A1033" s="320">
        <v>932</v>
      </c>
      <c r="B1033" s="174">
        <v>7</v>
      </c>
      <c r="C1033" s="174">
        <v>55</v>
      </c>
      <c r="D1033" s="174">
        <v>13</v>
      </c>
      <c r="E1033" s="174">
        <v>31</v>
      </c>
      <c r="F1033" s="174">
        <v>27</v>
      </c>
      <c r="G1033" s="68">
        <f t="shared" si="70"/>
        <v>0.36804696221751687</v>
      </c>
      <c r="H1033" s="68">
        <f t="shared" si="71"/>
        <v>0.37267861196740504</v>
      </c>
      <c r="I1033" s="68">
        <f t="shared" si="72"/>
        <v>0.3811800852428926</v>
      </c>
      <c r="J1033" s="232">
        <f t="shared" si="73"/>
        <v>-3.3798744410389317E-3</v>
      </c>
      <c r="K1033" s="321">
        <f t="shared" si="74"/>
        <v>6.1742458255816318E-3</v>
      </c>
    </row>
    <row r="1034" spans="1:11" x14ac:dyDescent="0.2">
      <c r="A1034" s="320">
        <v>933</v>
      </c>
      <c r="B1034" s="174">
        <v>44</v>
      </c>
      <c r="C1034" s="174">
        <v>7</v>
      </c>
      <c r="D1034" s="174">
        <v>74</v>
      </c>
      <c r="E1034" s="174">
        <v>28</v>
      </c>
      <c r="F1034" s="174">
        <v>64</v>
      </c>
      <c r="G1034" s="68">
        <f t="shared" si="70"/>
        <v>0.16054978856637603</v>
      </c>
      <c r="H1034" s="68">
        <f t="shared" si="71"/>
        <v>0.18321855638207718</v>
      </c>
      <c r="I1034" s="68">
        <f t="shared" si="72"/>
        <v>0.19657781228342208</v>
      </c>
      <c r="J1034" s="232">
        <f t="shared" si="73"/>
        <v>-1.9344467010803976E-2</v>
      </c>
      <c r="K1034" s="321">
        <f t="shared" si="74"/>
        <v>1.1227343993313025E-2</v>
      </c>
    </row>
    <row r="1035" spans="1:11" x14ac:dyDescent="0.2">
      <c r="A1035" s="320">
        <v>934</v>
      </c>
      <c r="B1035" s="174">
        <v>77</v>
      </c>
      <c r="C1035" s="174">
        <v>24</v>
      </c>
      <c r="D1035" s="174">
        <v>34</v>
      </c>
      <c r="E1035" s="174">
        <v>19</v>
      </c>
      <c r="F1035" s="174">
        <v>13</v>
      </c>
      <c r="G1035" s="68">
        <f t="shared" si="70"/>
        <v>0.67875401248395639</v>
      </c>
      <c r="H1035" s="68">
        <f t="shared" si="71"/>
        <v>0.5930422577285297</v>
      </c>
      <c r="I1035" s="68">
        <f t="shared" si="72"/>
        <v>0.66201769437768609</v>
      </c>
      <c r="J1035" s="232">
        <f t="shared" si="73"/>
        <v>5.2406301301528693E-2</v>
      </c>
      <c r="K1035" s="321">
        <f t="shared" si="74"/>
        <v>4.2386785100591094E-2</v>
      </c>
    </row>
    <row r="1036" spans="1:11" x14ac:dyDescent="0.2">
      <c r="A1036" s="320">
        <v>935</v>
      </c>
      <c r="B1036" s="174">
        <v>9</v>
      </c>
      <c r="C1036" s="174">
        <v>49</v>
      </c>
      <c r="D1036" s="174">
        <v>23</v>
      </c>
      <c r="E1036" s="174">
        <v>46</v>
      </c>
      <c r="F1036" s="174">
        <v>48</v>
      </c>
      <c r="G1036" s="68">
        <f t="shared" si="70"/>
        <v>0.15302294463877497</v>
      </c>
      <c r="H1036" s="68">
        <f t="shared" si="71"/>
        <v>0.1445326529133546</v>
      </c>
      <c r="I1036" s="68">
        <f t="shared" si="72"/>
        <v>0.12659127211832777</v>
      </c>
      <c r="J1036" s="232">
        <f t="shared" si="73"/>
        <v>7.3907507454186441E-3</v>
      </c>
      <c r="K1036" s="321">
        <f t="shared" si="74"/>
        <v>-1.5799889940879382E-2</v>
      </c>
    </row>
    <row r="1037" spans="1:11" x14ac:dyDescent="0.2">
      <c r="A1037" s="320">
        <v>936</v>
      </c>
      <c r="B1037" s="174">
        <v>64</v>
      </c>
      <c r="C1037" s="174">
        <v>1</v>
      </c>
      <c r="D1037" s="174">
        <v>21</v>
      </c>
      <c r="E1037" s="174">
        <v>51</v>
      </c>
      <c r="F1037" s="174">
        <v>37</v>
      </c>
      <c r="G1037" s="68">
        <f t="shared" si="70"/>
        <v>0.12527099493342897</v>
      </c>
      <c r="H1037" s="68">
        <f t="shared" si="71"/>
        <v>8.0707459529446357E-2</v>
      </c>
      <c r="I1037" s="68">
        <f t="shared" si="72"/>
        <v>5.1174503000364746E-2</v>
      </c>
      <c r="J1037" s="232">
        <f t="shared" si="73"/>
        <v>4.0408009232639347E-2</v>
      </c>
      <c r="K1037" s="321">
        <f t="shared" si="74"/>
        <v>-2.7707768483619992E-2</v>
      </c>
    </row>
    <row r="1038" spans="1:11" x14ac:dyDescent="0.2">
      <c r="A1038" s="320">
        <v>937</v>
      </c>
      <c r="B1038" s="174">
        <v>69</v>
      </c>
      <c r="C1038" s="174">
        <v>22</v>
      </c>
      <c r="D1038" s="174">
        <v>56</v>
      </c>
      <c r="E1038" s="174">
        <v>51</v>
      </c>
      <c r="F1038" s="174">
        <v>1</v>
      </c>
      <c r="G1038" s="68">
        <f t="shared" si="70"/>
        <v>0.46038158359840797</v>
      </c>
      <c r="H1038" s="68">
        <f t="shared" si="71"/>
        <v>0.41154190623503961</v>
      </c>
      <c r="I1038" s="68">
        <f t="shared" si="72"/>
        <v>0.40175514137022805</v>
      </c>
      <c r="J1038" s="232">
        <f t="shared" si="73"/>
        <v>3.4015102780513472E-2</v>
      </c>
      <c r="K1038" s="321">
        <f t="shared" si="74"/>
        <v>-6.9575335831155334E-3</v>
      </c>
    </row>
    <row r="1039" spans="1:11" x14ac:dyDescent="0.2">
      <c r="A1039" s="320">
        <v>938</v>
      </c>
      <c r="B1039" s="174">
        <v>46</v>
      </c>
      <c r="C1039" s="174">
        <v>59</v>
      </c>
      <c r="D1039" s="174">
        <v>10</v>
      </c>
      <c r="E1039" s="174">
        <v>6</v>
      </c>
      <c r="F1039" s="174">
        <v>50</v>
      </c>
      <c r="G1039" s="68">
        <f t="shared" si="70"/>
        <v>0.15343387988364832</v>
      </c>
      <c r="H1039" s="68">
        <f t="shared" si="71"/>
        <v>0.18145788012224262</v>
      </c>
      <c r="I1039" s="68">
        <f t="shared" si="72"/>
        <v>0.16963135534106288</v>
      </c>
      <c r="J1039" s="232">
        <f t="shared" si="73"/>
        <v>-2.4005691823346737E-2</v>
      </c>
      <c r="K1039" s="321">
        <f t="shared" si="74"/>
        <v>-1.0060549258689528E-2</v>
      </c>
    </row>
    <row r="1040" spans="1:11" x14ac:dyDescent="0.2">
      <c r="A1040" s="320">
        <v>939</v>
      </c>
      <c r="B1040" s="174">
        <v>19</v>
      </c>
      <c r="C1040" s="174">
        <v>3</v>
      </c>
      <c r="D1040" s="174">
        <v>36</v>
      </c>
      <c r="E1040" s="174">
        <v>25</v>
      </c>
      <c r="F1040" s="174">
        <v>28</v>
      </c>
      <c r="G1040" s="68">
        <f t="shared" si="70"/>
        <v>0.62209920102112237</v>
      </c>
      <c r="H1040" s="68">
        <f t="shared" si="71"/>
        <v>0.55247045775419013</v>
      </c>
      <c r="I1040" s="68">
        <f t="shared" si="72"/>
        <v>0.57871611959621205</v>
      </c>
      <c r="J1040" s="232">
        <f t="shared" si="73"/>
        <v>4.3873607692805357E-2</v>
      </c>
      <c r="K1040" s="321">
        <f t="shared" si="74"/>
        <v>1.6764428358020569E-2</v>
      </c>
    </row>
    <row r="1041" spans="1:11" x14ac:dyDescent="0.2">
      <c r="A1041" s="320">
        <v>940</v>
      </c>
      <c r="B1041" s="174">
        <v>33</v>
      </c>
      <c r="C1041" s="174">
        <v>59</v>
      </c>
      <c r="D1041" s="174">
        <v>31</v>
      </c>
      <c r="E1041" s="174">
        <v>30</v>
      </c>
      <c r="F1041" s="174">
        <v>64</v>
      </c>
      <c r="G1041" s="68">
        <f t="shared" si="70"/>
        <v>0.69391114571250068</v>
      </c>
      <c r="H1041" s="68">
        <f t="shared" si="71"/>
        <v>0.67635340247541076</v>
      </c>
      <c r="I1041" s="68">
        <f t="shared" si="72"/>
        <v>0.75885488727410721</v>
      </c>
      <c r="J1041" s="232">
        <f t="shared" si="73"/>
        <v>1.041930200286886E-2</v>
      </c>
      <c r="K1041" s="321">
        <f t="shared" si="74"/>
        <v>4.8042124569010566E-2</v>
      </c>
    </row>
    <row r="1042" spans="1:11" x14ac:dyDescent="0.2">
      <c r="A1042" s="320">
        <v>941</v>
      </c>
      <c r="B1042" s="174">
        <v>68</v>
      </c>
      <c r="C1042" s="174">
        <v>37</v>
      </c>
      <c r="D1042" s="174">
        <v>31</v>
      </c>
      <c r="E1042" s="174">
        <v>8</v>
      </c>
      <c r="F1042" s="174">
        <v>36</v>
      </c>
      <c r="G1042" s="68">
        <f t="shared" si="70"/>
        <v>2.5184434123340038E-2</v>
      </c>
      <c r="H1042" s="68">
        <f t="shared" si="71"/>
        <v>7.2716580364652783E-2</v>
      </c>
      <c r="I1042" s="68">
        <f t="shared" si="72"/>
        <v>1.6678403088374205E-2</v>
      </c>
      <c r="J1042" s="232">
        <f t="shared" si="73"/>
        <v>-4.5321759032926005E-2</v>
      </c>
      <c r="K1042" s="321">
        <f t="shared" si="74"/>
        <v>-5.3653445260962912E-2</v>
      </c>
    </row>
    <row r="1043" spans="1:11" x14ac:dyDescent="0.2">
      <c r="A1043" s="320">
        <v>942</v>
      </c>
      <c r="B1043" s="174">
        <v>33</v>
      </c>
      <c r="C1043" s="174">
        <v>36</v>
      </c>
      <c r="D1043" s="174">
        <v>11</v>
      </c>
      <c r="E1043" s="174">
        <v>17</v>
      </c>
      <c r="F1043" s="174">
        <v>8</v>
      </c>
      <c r="G1043" s="68">
        <f t="shared" si="70"/>
        <v>6.3292003488685689E-2</v>
      </c>
      <c r="H1043" s="68">
        <f t="shared" si="71"/>
        <v>7.948384285301513E-2</v>
      </c>
      <c r="I1043" s="68">
        <f t="shared" si="72"/>
        <v>2.0447817239645394E-2</v>
      </c>
      <c r="J1043" s="232">
        <f t="shared" si="73"/>
        <v>-1.511324442935248E-2</v>
      </c>
      <c r="K1043" s="321">
        <f t="shared" si="74"/>
        <v>-5.6241436152842716E-2</v>
      </c>
    </row>
    <row r="1044" spans="1:11" x14ac:dyDescent="0.2">
      <c r="A1044" s="320">
        <v>943</v>
      </c>
      <c r="B1044" s="174">
        <v>41</v>
      </c>
      <c r="C1044" s="174">
        <v>49</v>
      </c>
      <c r="D1044" s="174">
        <v>14</v>
      </c>
      <c r="E1044" s="174">
        <v>61</v>
      </c>
      <c r="F1044" s="174">
        <v>1</v>
      </c>
      <c r="G1044" s="68">
        <f t="shared" si="70"/>
        <v>0.71673215047118521</v>
      </c>
      <c r="H1044" s="68">
        <f t="shared" si="71"/>
        <v>0.59530285393488236</v>
      </c>
      <c r="I1044" s="68">
        <f t="shared" si="72"/>
        <v>0.64476755411871878</v>
      </c>
      <c r="J1044" s="232">
        <f t="shared" si="73"/>
        <v>7.335897589794442E-2</v>
      </c>
      <c r="K1044" s="321">
        <f t="shared" si="74"/>
        <v>3.0535474458215674E-2</v>
      </c>
    </row>
    <row r="1045" spans="1:11" x14ac:dyDescent="0.2">
      <c r="A1045" s="320">
        <v>944</v>
      </c>
      <c r="B1045" s="174">
        <v>12</v>
      </c>
      <c r="C1045" s="174">
        <v>10</v>
      </c>
      <c r="D1045" s="174">
        <v>48</v>
      </c>
      <c r="E1045" s="174">
        <v>15</v>
      </c>
      <c r="F1045" s="174">
        <v>26</v>
      </c>
      <c r="G1045" s="68">
        <f t="shared" si="70"/>
        <v>0.27541727844632624</v>
      </c>
      <c r="H1045" s="68">
        <f t="shared" si="71"/>
        <v>0.24159972215491465</v>
      </c>
      <c r="I1045" s="68">
        <f t="shared" si="72"/>
        <v>0.24099037290240544</v>
      </c>
      <c r="J1045" s="232">
        <f t="shared" si="73"/>
        <v>2.6872755612766298E-2</v>
      </c>
      <c r="K1045" s="321">
        <f t="shared" si="74"/>
        <v>-4.9089800685116832E-4</v>
      </c>
    </row>
    <row r="1046" spans="1:11" x14ac:dyDescent="0.2">
      <c r="A1046" s="320">
        <v>945</v>
      </c>
      <c r="B1046" s="174">
        <v>52</v>
      </c>
      <c r="C1046" s="174">
        <v>22</v>
      </c>
      <c r="D1046" s="174">
        <v>54</v>
      </c>
      <c r="E1046" s="174">
        <v>1</v>
      </c>
      <c r="F1046" s="174">
        <v>75</v>
      </c>
      <c r="G1046" s="68">
        <f t="shared" si="70"/>
        <v>0.45363354906865316</v>
      </c>
      <c r="H1046" s="68">
        <f t="shared" si="71"/>
        <v>0.42702205188282161</v>
      </c>
      <c r="I1046" s="68">
        <f t="shared" si="72"/>
        <v>0.44603744057243477</v>
      </c>
      <c r="J1046" s="232">
        <f t="shared" si="73"/>
        <v>1.8476526128254553E-2</v>
      </c>
      <c r="K1046" s="321">
        <f t="shared" si="74"/>
        <v>1.3237224221503318E-2</v>
      </c>
    </row>
    <row r="1047" spans="1:11" x14ac:dyDescent="0.2">
      <c r="A1047" s="320">
        <v>946</v>
      </c>
      <c r="B1047" s="174">
        <v>62</v>
      </c>
      <c r="C1047" s="174">
        <v>38</v>
      </c>
      <c r="D1047" s="174">
        <v>60</v>
      </c>
      <c r="E1047" s="174">
        <v>59</v>
      </c>
      <c r="F1047" s="174">
        <v>69</v>
      </c>
      <c r="G1047" s="68">
        <f t="shared" si="70"/>
        <v>0.5838280793971784</v>
      </c>
      <c r="H1047" s="68">
        <f t="shared" si="71"/>
        <v>0.59932684085023347</v>
      </c>
      <c r="I1047" s="68">
        <f t="shared" si="72"/>
        <v>0.65729980522534603</v>
      </c>
      <c r="J1047" s="232">
        <f t="shared" si="73"/>
        <v>-9.7380644800598506E-3</v>
      </c>
      <c r="K1047" s="321">
        <f t="shared" si="74"/>
        <v>3.5606838374309516E-2</v>
      </c>
    </row>
    <row r="1048" spans="1:11" x14ac:dyDescent="0.2">
      <c r="A1048" s="320">
        <v>947</v>
      </c>
      <c r="B1048" s="174">
        <v>11</v>
      </c>
      <c r="C1048" s="174">
        <v>36</v>
      </c>
      <c r="D1048" s="174">
        <v>10</v>
      </c>
      <c r="E1048" s="174">
        <v>6</v>
      </c>
      <c r="F1048" s="174">
        <v>5</v>
      </c>
      <c r="G1048" s="68">
        <f t="shared" si="70"/>
        <v>-0.23245691317013362</v>
      </c>
      <c r="H1048" s="68">
        <f t="shared" si="71"/>
        <v>-0.18176162702780774</v>
      </c>
      <c r="I1048" s="68">
        <f t="shared" si="72"/>
        <v>-0.2398586860221279</v>
      </c>
      <c r="J1048" s="232">
        <f t="shared" si="73"/>
        <v>-6.3959086575087781E-2</v>
      </c>
      <c r="K1048" s="321">
        <f t="shared" si="74"/>
        <v>-7.3649348212353388E-2</v>
      </c>
    </row>
    <row r="1049" spans="1:11" x14ac:dyDescent="0.2">
      <c r="A1049" s="320">
        <v>948</v>
      </c>
      <c r="B1049" s="174">
        <v>70</v>
      </c>
      <c r="C1049" s="174">
        <v>49</v>
      </c>
      <c r="D1049" s="174">
        <v>70</v>
      </c>
      <c r="E1049" s="174">
        <v>1</v>
      </c>
      <c r="F1049" s="174">
        <v>63</v>
      </c>
      <c r="G1049" s="68">
        <f t="shared" si="70"/>
        <v>0.39978323314959896</v>
      </c>
      <c r="H1049" s="68">
        <f t="shared" si="71"/>
        <v>0.34173291898650682</v>
      </c>
      <c r="I1049" s="68">
        <f t="shared" si="72"/>
        <v>0.37270589839813639</v>
      </c>
      <c r="J1049" s="232">
        <f t="shared" si="73"/>
        <v>4.2355389574406807E-2</v>
      </c>
      <c r="K1049" s="321">
        <f t="shared" si="74"/>
        <v>2.2821898603643313E-2</v>
      </c>
    </row>
    <row r="1050" spans="1:11" x14ac:dyDescent="0.2">
      <c r="A1050" s="320">
        <v>949</v>
      </c>
      <c r="B1050" s="174">
        <v>34</v>
      </c>
      <c r="C1050" s="174">
        <v>18</v>
      </c>
      <c r="D1050" s="174">
        <v>53</v>
      </c>
      <c r="E1050" s="174">
        <v>26</v>
      </c>
      <c r="F1050" s="174">
        <v>67</v>
      </c>
      <c r="G1050" s="68">
        <f t="shared" si="70"/>
        <v>0.50552024520087069</v>
      </c>
      <c r="H1050" s="68">
        <f t="shared" si="71"/>
        <v>0.53495337022022982</v>
      </c>
      <c r="I1050" s="68">
        <f t="shared" si="72"/>
        <v>0.5607137542788001</v>
      </c>
      <c r="J1050" s="232">
        <f t="shared" si="73"/>
        <v>-1.9361486528717428E-2</v>
      </c>
      <c r="K1050" s="321">
        <f t="shared" si="74"/>
        <v>1.6643248547361957E-2</v>
      </c>
    </row>
    <row r="1051" spans="1:11" x14ac:dyDescent="0.2">
      <c r="A1051" s="320">
        <v>950</v>
      </c>
      <c r="B1051" s="174">
        <v>19</v>
      </c>
      <c r="C1051" s="174">
        <v>20</v>
      </c>
      <c r="D1051" s="174">
        <v>18</v>
      </c>
      <c r="E1051" s="174">
        <v>59</v>
      </c>
      <c r="F1051" s="174">
        <v>63</v>
      </c>
      <c r="G1051" s="68">
        <f t="shared" si="70"/>
        <v>0.11780558388557583</v>
      </c>
      <c r="H1051" s="68">
        <f t="shared" si="71"/>
        <v>0.11057598871376317</v>
      </c>
      <c r="I1051" s="68">
        <f t="shared" si="72"/>
        <v>8.1239498513020258E-2</v>
      </c>
      <c r="J1051" s="232">
        <f t="shared" si="73"/>
        <v>6.4886737767544233E-3</v>
      </c>
      <c r="K1051" s="321">
        <f t="shared" si="74"/>
        <v>-2.6770722629905101E-2</v>
      </c>
    </row>
    <row r="1052" spans="1:11" x14ac:dyDescent="0.2">
      <c r="A1052" s="320">
        <v>951</v>
      </c>
      <c r="B1052" s="174">
        <v>44</v>
      </c>
      <c r="C1052" s="174">
        <v>17</v>
      </c>
      <c r="D1052" s="174">
        <v>35</v>
      </c>
      <c r="E1052" s="174">
        <v>3</v>
      </c>
      <c r="F1052" s="174">
        <v>60</v>
      </c>
      <c r="G1052" s="68">
        <f t="shared" si="70"/>
        <v>0.62449695690130569</v>
      </c>
      <c r="H1052" s="68">
        <f t="shared" si="71"/>
        <v>0.5806030928608461</v>
      </c>
      <c r="I1052" s="68">
        <f t="shared" si="72"/>
        <v>0.6242622807278615</v>
      </c>
      <c r="J1052" s="232">
        <f t="shared" si="73"/>
        <v>2.7391724322145334E-2</v>
      </c>
      <c r="K1052" s="321">
        <f t="shared" si="74"/>
        <v>2.7247253059926677E-2</v>
      </c>
    </row>
    <row r="1053" spans="1:11" x14ac:dyDescent="0.2">
      <c r="A1053" s="320">
        <v>952</v>
      </c>
      <c r="B1053" s="174">
        <v>27</v>
      </c>
      <c r="C1053" s="174">
        <v>34</v>
      </c>
      <c r="D1053" s="174">
        <v>27</v>
      </c>
      <c r="E1053" s="174">
        <v>25</v>
      </c>
      <c r="F1053" s="174">
        <v>31</v>
      </c>
      <c r="G1053" s="68">
        <f t="shared" si="70"/>
        <v>1.0453079350125107</v>
      </c>
      <c r="H1053" s="68">
        <f t="shared" si="71"/>
        <v>0.99069875784582373</v>
      </c>
      <c r="I1053" s="68">
        <f t="shared" si="72"/>
        <v>1.1231527651386215</v>
      </c>
      <c r="J1053" s="232">
        <f t="shared" si="73"/>
        <v>2.7062645928067942E-2</v>
      </c>
      <c r="K1053" s="321">
        <f t="shared" si="74"/>
        <v>6.4416425634779506E-2</v>
      </c>
    </row>
    <row r="1054" spans="1:11" x14ac:dyDescent="0.2">
      <c r="A1054" s="320">
        <v>953</v>
      </c>
      <c r="B1054" s="174">
        <v>51</v>
      </c>
      <c r="C1054" s="174">
        <v>27</v>
      </c>
      <c r="D1054" s="174">
        <v>33</v>
      </c>
      <c r="E1054" s="174">
        <v>73</v>
      </c>
      <c r="F1054" s="174">
        <v>24</v>
      </c>
      <c r="G1054" s="68">
        <f t="shared" si="70"/>
        <v>0.95320418640191718</v>
      </c>
      <c r="H1054" s="68">
        <f t="shared" si="71"/>
        <v>0.8554718922919311</v>
      </c>
      <c r="I1054" s="68">
        <f t="shared" si="72"/>
        <v>0.97154467661199595</v>
      </c>
      <c r="J1054" s="232">
        <f t="shared" si="73"/>
        <v>5.1332143474936046E-2</v>
      </c>
      <c r="K1054" s="321">
        <f t="shared" si="74"/>
        <v>6.0678282223675481E-2</v>
      </c>
    </row>
    <row r="1055" spans="1:11" x14ac:dyDescent="0.2">
      <c r="A1055" s="320">
        <v>954</v>
      </c>
      <c r="B1055" s="174">
        <v>72</v>
      </c>
      <c r="C1055" s="174">
        <v>46</v>
      </c>
      <c r="D1055" s="174">
        <v>25</v>
      </c>
      <c r="E1055" s="174">
        <v>38</v>
      </c>
      <c r="F1055" s="174">
        <v>7</v>
      </c>
      <c r="G1055" s="68">
        <f t="shared" si="70"/>
        <v>0.29870678119018756</v>
      </c>
      <c r="H1055" s="68">
        <f t="shared" si="71"/>
        <v>0.29494112330619582</v>
      </c>
      <c r="I1055" s="68">
        <f t="shared" si="72"/>
        <v>0.29284713042422372</v>
      </c>
      <c r="J1055" s="232">
        <f t="shared" si="73"/>
        <v>2.9037561524079894E-3</v>
      </c>
      <c r="K1055" s="321">
        <f t="shared" si="74"/>
        <v>-1.6183652862523802E-3</v>
      </c>
    </row>
    <row r="1056" spans="1:11" x14ac:dyDescent="0.2">
      <c r="A1056" s="320">
        <v>955</v>
      </c>
      <c r="B1056" s="174">
        <v>35</v>
      </c>
      <c r="C1056" s="174">
        <v>32</v>
      </c>
      <c r="D1056" s="174">
        <v>35</v>
      </c>
      <c r="E1056" s="174">
        <v>45</v>
      </c>
      <c r="F1056" s="174">
        <v>65</v>
      </c>
      <c r="G1056" s="68">
        <f t="shared" si="70"/>
        <v>0.40250066337076129</v>
      </c>
      <c r="H1056" s="68">
        <f t="shared" si="71"/>
        <v>0.4277725721111334</v>
      </c>
      <c r="I1056" s="68">
        <f t="shared" si="72"/>
        <v>0.46920928719694244</v>
      </c>
      <c r="J1056" s="232">
        <f t="shared" si="73"/>
        <v>-1.7858756599927833E-2</v>
      </c>
      <c r="K1056" s="321">
        <f t="shared" si="74"/>
        <v>2.8608768198427042E-2</v>
      </c>
    </row>
    <row r="1057" spans="1:11" x14ac:dyDescent="0.2">
      <c r="A1057" s="320">
        <v>956</v>
      </c>
      <c r="B1057" s="174">
        <v>69</v>
      </c>
      <c r="C1057" s="174">
        <v>52</v>
      </c>
      <c r="D1057" s="174">
        <v>55</v>
      </c>
      <c r="E1057" s="174">
        <v>31</v>
      </c>
      <c r="F1057" s="174">
        <v>63</v>
      </c>
      <c r="G1057" s="68">
        <f t="shared" si="70"/>
        <v>0.31607804839971965</v>
      </c>
      <c r="H1057" s="68">
        <f t="shared" si="71"/>
        <v>0.34624658883287474</v>
      </c>
      <c r="I1057" s="68">
        <f t="shared" si="72"/>
        <v>0.3860544107012418</v>
      </c>
      <c r="J1057" s="232">
        <f t="shared" si="73"/>
        <v>-2.2664277217237284E-2</v>
      </c>
      <c r="K1057" s="321">
        <f t="shared" si="74"/>
        <v>2.9140741700990399E-2</v>
      </c>
    </row>
    <row r="1058" spans="1:11" x14ac:dyDescent="0.2">
      <c r="A1058" s="320">
        <v>957</v>
      </c>
      <c r="B1058" s="174">
        <v>23</v>
      </c>
      <c r="C1058" s="174">
        <v>35</v>
      </c>
      <c r="D1058" s="174">
        <v>63</v>
      </c>
      <c r="E1058" s="174">
        <v>26</v>
      </c>
      <c r="F1058" s="174">
        <v>32</v>
      </c>
      <c r="G1058" s="68">
        <f t="shared" si="70"/>
        <v>0.52298140748544775</v>
      </c>
      <c r="H1058" s="68">
        <f t="shared" si="71"/>
        <v>0.49410853817178801</v>
      </c>
      <c r="I1058" s="68">
        <f t="shared" si="72"/>
        <v>0.55605787736870393</v>
      </c>
      <c r="J1058" s="232">
        <f t="shared" si="73"/>
        <v>1.9140132564933725E-2</v>
      </c>
      <c r="K1058" s="321">
        <f t="shared" si="74"/>
        <v>4.0625887866322805E-2</v>
      </c>
    </row>
    <row r="1059" spans="1:11" x14ac:dyDescent="0.2">
      <c r="A1059" s="320">
        <v>958</v>
      </c>
      <c r="B1059" s="174">
        <v>10</v>
      </c>
      <c r="C1059" s="174">
        <v>12</v>
      </c>
      <c r="D1059" s="174">
        <v>1</v>
      </c>
      <c r="E1059" s="174">
        <v>27</v>
      </c>
      <c r="F1059" s="174">
        <v>5</v>
      </c>
      <c r="G1059" s="68">
        <f t="shared" si="70"/>
        <v>0.26123366450064656</v>
      </c>
      <c r="H1059" s="68">
        <f t="shared" si="71"/>
        <v>0.23302923236363027</v>
      </c>
      <c r="I1059" s="68">
        <f t="shared" si="72"/>
        <v>0.2145724289300599</v>
      </c>
      <c r="J1059" s="232">
        <f t="shared" si="73"/>
        <v>2.2616408543538632E-2</v>
      </c>
      <c r="K1059" s="321">
        <f t="shared" si="74"/>
        <v>-1.5081827713375975E-2</v>
      </c>
    </row>
    <row r="1060" spans="1:11" x14ac:dyDescent="0.2">
      <c r="A1060" s="320">
        <v>959</v>
      </c>
      <c r="B1060" s="174">
        <v>12</v>
      </c>
      <c r="C1060" s="174">
        <v>30</v>
      </c>
      <c r="D1060" s="174">
        <v>75</v>
      </c>
      <c r="E1060" s="174">
        <v>48</v>
      </c>
      <c r="F1060" s="174">
        <v>3</v>
      </c>
      <c r="G1060" s="68">
        <f t="shared" si="70"/>
        <v>0.65117438114791004</v>
      </c>
      <c r="H1060" s="68">
        <f t="shared" si="71"/>
        <v>0.54326426962171492</v>
      </c>
      <c r="I1060" s="68">
        <f t="shared" si="72"/>
        <v>0.60232957584171398</v>
      </c>
      <c r="J1060" s="232">
        <f t="shared" si="73"/>
        <v>6.7586952167985812E-2</v>
      </c>
      <c r="K1060" s="321">
        <f t="shared" si="74"/>
        <v>3.75587265049293E-2</v>
      </c>
    </row>
    <row r="1061" spans="1:11" x14ac:dyDescent="0.2">
      <c r="A1061" s="320">
        <v>960</v>
      </c>
      <c r="B1061" s="174">
        <v>1</v>
      </c>
      <c r="C1061" s="174">
        <v>7</v>
      </c>
      <c r="D1061" s="174">
        <v>24</v>
      </c>
      <c r="E1061" s="174">
        <v>15</v>
      </c>
      <c r="F1061" s="174">
        <v>61</v>
      </c>
      <c r="G1061" s="68">
        <f t="shared" si="70"/>
        <v>0.25442270745153461</v>
      </c>
      <c r="H1061" s="68">
        <f t="shared" si="71"/>
        <v>0.22904304966323319</v>
      </c>
      <c r="I1061" s="68">
        <f t="shared" si="72"/>
        <v>0.20646089951892876</v>
      </c>
      <c r="J1061" s="232">
        <f t="shared" si="73"/>
        <v>2.0439614516655484E-2</v>
      </c>
      <c r="K1061" s="321">
        <f t="shared" si="74"/>
        <v>-1.8544660806916951E-2</v>
      </c>
    </row>
    <row r="1062" spans="1:11" x14ac:dyDescent="0.2">
      <c r="A1062" s="320">
        <v>961</v>
      </c>
      <c r="B1062" s="174">
        <v>41</v>
      </c>
      <c r="C1062" s="174">
        <v>58</v>
      </c>
      <c r="D1062" s="174">
        <v>45</v>
      </c>
      <c r="E1062" s="174">
        <v>28</v>
      </c>
      <c r="F1062" s="174">
        <v>20</v>
      </c>
      <c r="G1062" s="68">
        <f t="shared" ref="G1062:G1125" si="75">(1+INDEX($Z$21:$Z$97,B1062))*(1+INDEX($Z$21:$Z$97,C1062))*(1+INDEX($Z$21:$Z$97,D1062))*(1+INDEX($Z$21:$Z$97,E1062))*(1+INDEX($Z$21:$Z$97,F1062))-1</f>
        <v>0.62895123294432653</v>
      </c>
      <c r="H1062" s="68">
        <f t="shared" ref="H1062:H1101" si="76">(1+INDEX($AA$21:$AA$97,B1062))*(1+INDEX($AA$21:$AA$97,C1062))*(1+INDEX($AA$21:$AA$97,D1062))*(1+INDEX($AA$21:$AA$97,E1062))*(1+INDEX($AA$21:$AA$97,F1062))-1</f>
        <v>0.65612526525125014</v>
      </c>
      <c r="I1062" s="68">
        <f t="shared" ref="I1062:I1101" si="77">(1+INDEX($AB$21:$AB$97,B1062))*(1+INDEX($AB$21:$AB$97,C1062))*(1+INDEX($AB$21:$AB$97,D1062))*(1+INDEX($AB$21:$AB$97,E1062))*(1+INDEX($AB$21:$AB$97,F1062))-1</f>
        <v>0.72711797237097153</v>
      </c>
      <c r="J1062" s="232">
        <f t="shared" ref="J1062:J1101" si="78">LN((1+G1062)/(1+H1062))</f>
        <v>-1.6544304003332028E-2</v>
      </c>
      <c r="K1062" s="321">
        <f t="shared" ref="K1062:K1101" si="79">LN((1+I1062)/(1+H1062))</f>
        <v>4.197341104115819E-2</v>
      </c>
    </row>
    <row r="1063" spans="1:11" x14ac:dyDescent="0.2">
      <c r="A1063" s="320">
        <v>962</v>
      </c>
      <c r="B1063" s="174">
        <v>72</v>
      </c>
      <c r="C1063" s="174">
        <v>50</v>
      </c>
      <c r="D1063" s="174">
        <v>52</v>
      </c>
      <c r="E1063" s="174">
        <v>52</v>
      </c>
      <c r="F1063" s="174">
        <v>60</v>
      </c>
      <c r="G1063" s="68">
        <f t="shared" si="75"/>
        <v>1.0874577786625688</v>
      </c>
      <c r="H1063" s="68">
        <f t="shared" si="76"/>
        <v>1.0303932013337689</v>
      </c>
      <c r="I1063" s="68">
        <f t="shared" si="77"/>
        <v>1.1754459739695902</v>
      </c>
      <c r="J1063" s="232">
        <f t="shared" si="78"/>
        <v>2.7717482212438149E-2</v>
      </c>
      <c r="K1063" s="321">
        <f t="shared" si="79"/>
        <v>6.9004219489446086E-2</v>
      </c>
    </row>
    <row r="1064" spans="1:11" x14ac:dyDescent="0.2">
      <c r="A1064" s="320">
        <v>963</v>
      </c>
      <c r="B1064" s="174">
        <v>55</v>
      </c>
      <c r="C1064" s="174">
        <v>69</v>
      </c>
      <c r="D1064" s="174">
        <v>71</v>
      </c>
      <c r="E1064" s="174">
        <v>8</v>
      </c>
      <c r="F1064" s="174">
        <v>32</v>
      </c>
      <c r="G1064" s="68">
        <f t="shared" si="75"/>
        <v>0.1397559400043995</v>
      </c>
      <c r="H1064" s="68">
        <f t="shared" si="76"/>
        <v>0.18493355367734754</v>
      </c>
      <c r="I1064" s="68">
        <f t="shared" si="77"/>
        <v>0.13676532425738053</v>
      </c>
      <c r="J1064" s="232">
        <f t="shared" si="78"/>
        <v>-3.8872548397914673E-2</v>
      </c>
      <c r="K1064" s="321">
        <f t="shared" si="79"/>
        <v>-4.1499905773679832E-2</v>
      </c>
    </row>
    <row r="1065" spans="1:11" x14ac:dyDescent="0.2">
      <c r="A1065" s="320">
        <v>964</v>
      </c>
      <c r="B1065" s="174">
        <v>29</v>
      </c>
      <c r="C1065" s="174">
        <v>33</v>
      </c>
      <c r="D1065" s="174">
        <v>8</v>
      </c>
      <c r="E1065" s="174">
        <v>30</v>
      </c>
      <c r="F1065" s="174">
        <v>73</v>
      </c>
      <c r="G1065" s="68">
        <f t="shared" si="75"/>
        <v>0.31967336955824543</v>
      </c>
      <c r="H1065" s="68">
        <f t="shared" si="76"/>
        <v>0.36496463725830242</v>
      </c>
      <c r="I1065" s="68">
        <f t="shared" si="77"/>
        <v>0.36110250897860663</v>
      </c>
      <c r="J1065" s="232">
        <f t="shared" si="78"/>
        <v>-3.3744262857078093E-2</v>
      </c>
      <c r="K1065" s="321">
        <f t="shared" si="79"/>
        <v>-2.8334818304016234E-3</v>
      </c>
    </row>
    <row r="1066" spans="1:11" x14ac:dyDescent="0.2">
      <c r="A1066" s="320">
        <v>965</v>
      </c>
      <c r="B1066" s="174">
        <v>19</v>
      </c>
      <c r="C1066" s="174">
        <v>72</v>
      </c>
      <c r="D1066" s="174">
        <v>50</v>
      </c>
      <c r="E1066" s="174">
        <v>49</v>
      </c>
      <c r="F1066" s="174">
        <v>26</v>
      </c>
      <c r="G1066" s="68">
        <f t="shared" si="75"/>
        <v>0.6329367205740275</v>
      </c>
      <c r="H1066" s="68">
        <f t="shared" si="76"/>
        <v>0.57511359622979619</v>
      </c>
      <c r="I1066" s="68">
        <f t="shared" si="77"/>
        <v>0.62852986659451915</v>
      </c>
      <c r="J1066" s="232">
        <f t="shared" si="78"/>
        <v>3.6052668556476257E-2</v>
      </c>
      <c r="K1066" s="321">
        <f t="shared" si="79"/>
        <v>3.3350291240255375E-2</v>
      </c>
    </row>
    <row r="1067" spans="1:11" x14ac:dyDescent="0.2">
      <c r="A1067" s="320">
        <v>966</v>
      </c>
      <c r="B1067" s="174">
        <v>32</v>
      </c>
      <c r="C1067" s="174">
        <v>25</v>
      </c>
      <c r="D1067" s="174">
        <v>74</v>
      </c>
      <c r="E1067" s="174">
        <v>45</v>
      </c>
      <c r="F1067" s="174">
        <v>47</v>
      </c>
      <c r="G1067" s="68">
        <f t="shared" si="75"/>
        <v>0.6557935413189564</v>
      </c>
      <c r="H1067" s="68">
        <f t="shared" si="76"/>
        <v>0.60259437463107357</v>
      </c>
      <c r="I1067" s="68">
        <f t="shared" si="77"/>
        <v>0.66402948691695141</v>
      </c>
      <c r="J1067" s="232">
        <f t="shared" si="78"/>
        <v>3.2656574870066943E-2</v>
      </c>
      <c r="K1067" s="321">
        <f t="shared" si="79"/>
        <v>3.7618262540896279E-2</v>
      </c>
    </row>
    <row r="1068" spans="1:11" x14ac:dyDescent="0.2">
      <c r="A1068" s="320">
        <v>967</v>
      </c>
      <c r="B1068" s="174">
        <v>27</v>
      </c>
      <c r="C1068" s="174">
        <v>50</v>
      </c>
      <c r="D1068" s="174">
        <v>64</v>
      </c>
      <c r="E1068" s="174">
        <v>16</v>
      </c>
      <c r="F1068" s="174">
        <v>62</v>
      </c>
      <c r="G1068" s="68">
        <f t="shared" si="75"/>
        <v>0.18363011234850535</v>
      </c>
      <c r="H1068" s="68">
        <f t="shared" si="76"/>
        <v>0.1467686080009114</v>
      </c>
      <c r="I1068" s="68">
        <f t="shared" si="77"/>
        <v>0.17284951374755853</v>
      </c>
      <c r="J1068" s="232">
        <f t="shared" si="78"/>
        <v>3.1638001450115964E-2</v>
      </c>
      <c r="K1068" s="321">
        <f t="shared" si="79"/>
        <v>2.2488188573936363E-2</v>
      </c>
    </row>
    <row r="1069" spans="1:11" x14ac:dyDescent="0.2">
      <c r="A1069" s="320">
        <v>968</v>
      </c>
      <c r="B1069" s="174">
        <v>25</v>
      </c>
      <c r="C1069" s="174">
        <v>33</v>
      </c>
      <c r="D1069" s="174">
        <v>29</v>
      </c>
      <c r="E1069" s="174">
        <v>17</v>
      </c>
      <c r="F1069" s="174">
        <v>38</v>
      </c>
      <c r="G1069" s="68">
        <f t="shared" si="75"/>
        <v>0.71211120543061313</v>
      </c>
      <c r="H1069" s="68">
        <f t="shared" si="76"/>
        <v>0.63908914836639652</v>
      </c>
      <c r="I1069" s="68">
        <f t="shared" si="77"/>
        <v>0.66947231226767601</v>
      </c>
      <c r="J1069" s="232">
        <f t="shared" si="78"/>
        <v>4.3586541844775235E-2</v>
      </c>
      <c r="K1069" s="321">
        <f t="shared" si="79"/>
        <v>1.8366905609900556E-2</v>
      </c>
    </row>
    <row r="1070" spans="1:11" x14ac:dyDescent="0.2">
      <c r="A1070" s="320">
        <v>969</v>
      </c>
      <c r="B1070" s="174">
        <v>11</v>
      </c>
      <c r="C1070" s="174">
        <v>69</v>
      </c>
      <c r="D1070" s="174">
        <v>53</v>
      </c>
      <c r="E1070" s="174">
        <v>36</v>
      </c>
      <c r="F1070" s="174">
        <v>53</v>
      </c>
      <c r="G1070" s="68">
        <f t="shared" si="75"/>
        <v>0.10607854519292115</v>
      </c>
      <c r="H1070" s="68">
        <f t="shared" si="76"/>
        <v>0.17350457168146982</v>
      </c>
      <c r="I1070" s="68">
        <f t="shared" si="77"/>
        <v>0.14013935964011681</v>
      </c>
      <c r="J1070" s="232">
        <f t="shared" si="78"/>
        <v>-5.9173714135426145E-2</v>
      </c>
      <c r="K1070" s="321">
        <f t="shared" si="79"/>
        <v>-2.8844131834006696E-2</v>
      </c>
    </row>
    <row r="1071" spans="1:11" x14ac:dyDescent="0.2">
      <c r="A1071" s="320">
        <v>970</v>
      </c>
      <c r="B1071" s="174">
        <v>10</v>
      </c>
      <c r="C1071" s="174">
        <v>39</v>
      </c>
      <c r="D1071" s="174">
        <v>15</v>
      </c>
      <c r="E1071" s="174">
        <v>23</v>
      </c>
      <c r="F1071" s="174">
        <v>26</v>
      </c>
      <c r="G1071" s="68">
        <f t="shared" si="75"/>
        <v>0.32493320194711717</v>
      </c>
      <c r="H1071" s="68">
        <f t="shared" si="76"/>
        <v>0.29115292242416224</v>
      </c>
      <c r="I1071" s="68">
        <f t="shared" si="77"/>
        <v>0.28395697863721003</v>
      </c>
      <c r="J1071" s="232">
        <f t="shared" si="78"/>
        <v>2.5826487001956538E-2</v>
      </c>
      <c r="K1071" s="321">
        <f t="shared" si="79"/>
        <v>-5.5888585684226348E-3</v>
      </c>
    </row>
    <row r="1072" spans="1:11" x14ac:dyDescent="0.2">
      <c r="A1072" s="320">
        <v>971</v>
      </c>
      <c r="B1072" s="174">
        <v>4</v>
      </c>
      <c r="C1072" s="174">
        <v>28</v>
      </c>
      <c r="D1072" s="174">
        <v>11</v>
      </c>
      <c r="E1072" s="174">
        <v>11</v>
      </c>
      <c r="F1072" s="174">
        <v>28</v>
      </c>
      <c r="G1072" s="68">
        <f t="shared" si="75"/>
        <v>0.51035014276337187</v>
      </c>
      <c r="H1072" s="68">
        <f t="shared" si="76"/>
        <v>0.49576931872795549</v>
      </c>
      <c r="I1072" s="68">
        <f t="shared" si="77"/>
        <v>0.51757951543850789</v>
      </c>
      <c r="J1072" s="232">
        <f t="shared" si="78"/>
        <v>9.7008376197797556E-3</v>
      </c>
      <c r="K1072" s="321">
        <f t="shared" si="79"/>
        <v>1.4475972598566039E-2</v>
      </c>
    </row>
    <row r="1073" spans="1:11" x14ac:dyDescent="0.2">
      <c r="A1073" s="320">
        <v>972</v>
      </c>
      <c r="B1073" s="174">
        <v>69</v>
      </c>
      <c r="C1073" s="174">
        <v>37</v>
      </c>
      <c r="D1073" s="174">
        <v>15</v>
      </c>
      <c r="E1073" s="174">
        <v>34</v>
      </c>
      <c r="F1073" s="174">
        <v>22</v>
      </c>
      <c r="G1073" s="68">
        <f t="shared" si="75"/>
        <v>0.30952364935262655</v>
      </c>
      <c r="H1073" s="68">
        <f t="shared" si="76"/>
        <v>0.33300897048644984</v>
      </c>
      <c r="I1073" s="68">
        <f t="shared" si="77"/>
        <v>0.32681627383410494</v>
      </c>
      <c r="J1073" s="232">
        <f t="shared" si="78"/>
        <v>-1.7775326084597066E-2</v>
      </c>
      <c r="K1073" s="321">
        <f t="shared" si="79"/>
        <v>-4.6564772291994294E-3</v>
      </c>
    </row>
    <row r="1074" spans="1:11" x14ac:dyDescent="0.2">
      <c r="A1074" s="320">
        <v>973</v>
      </c>
      <c r="B1074" s="174">
        <v>38</v>
      </c>
      <c r="C1074" s="174">
        <v>26</v>
      </c>
      <c r="D1074" s="174">
        <v>24</v>
      </c>
      <c r="E1074" s="174">
        <v>59</v>
      </c>
      <c r="F1074" s="174">
        <v>18</v>
      </c>
      <c r="G1074" s="68">
        <f t="shared" si="75"/>
        <v>0.83597220260527383</v>
      </c>
      <c r="H1074" s="68">
        <f t="shared" si="76"/>
        <v>0.71706188015960071</v>
      </c>
      <c r="I1074" s="68">
        <f t="shared" si="77"/>
        <v>0.76388579071085561</v>
      </c>
      <c r="J1074" s="232">
        <f t="shared" si="78"/>
        <v>6.6959530927640953E-2</v>
      </c>
      <c r="K1074" s="321">
        <f t="shared" si="79"/>
        <v>2.6904590030766586E-2</v>
      </c>
    </row>
    <row r="1075" spans="1:11" x14ac:dyDescent="0.2">
      <c r="A1075" s="320">
        <v>974</v>
      </c>
      <c r="B1075" s="174">
        <v>11</v>
      </c>
      <c r="C1075" s="174">
        <v>61</v>
      </c>
      <c r="D1075" s="174">
        <v>12</v>
      </c>
      <c r="E1075" s="174">
        <v>77</v>
      </c>
      <c r="F1075" s="174">
        <v>66</v>
      </c>
      <c r="G1075" s="68">
        <f t="shared" si="75"/>
        <v>0.48814404827713931</v>
      </c>
      <c r="H1075" s="68">
        <f t="shared" si="76"/>
        <v>0.40575188985578436</v>
      </c>
      <c r="I1075" s="68">
        <f t="shared" si="77"/>
        <v>0.44625465945940457</v>
      </c>
      <c r="J1075" s="232">
        <f t="shared" si="78"/>
        <v>5.6957425798585197E-2</v>
      </c>
      <c r="K1075" s="321">
        <f t="shared" si="79"/>
        <v>2.8404908708239633E-2</v>
      </c>
    </row>
    <row r="1076" spans="1:11" x14ac:dyDescent="0.2">
      <c r="A1076" s="320">
        <v>975</v>
      </c>
      <c r="B1076" s="174">
        <v>30</v>
      </c>
      <c r="C1076" s="174">
        <v>16</v>
      </c>
      <c r="D1076" s="174">
        <v>63</v>
      </c>
      <c r="E1076" s="174">
        <v>7</v>
      </c>
      <c r="F1076" s="174">
        <v>52</v>
      </c>
      <c r="G1076" s="68">
        <f t="shared" si="75"/>
        <v>0.11431312173361863</v>
      </c>
      <c r="H1076" s="68">
        <f t="shared" si="76"/>
        <v>0.11980258011401923</v>
      </c>
      <c r="I1076" s="68">
        <f t="shared" si="77"/>
        <v>0.11239622255609549</v>
      </c>
      <c r="J1076" s="232">
        <f t="shared" si="78"/>
        <v>-4.9142212493246068E-3</v>
      </c>
      <c r="K1076" s="321">
        <f t="shared" si="79"/>
        <v>-6.6359544032014578E-3</v>
      </c>
    </row>
    <row r="1077" spans="1:11" x14ac:dyDescent="0.2">
      <c r="A1077" s="320">
        <v>976</v>
      </c>
      <c r="B1077" s="174">
        <v>43</v>
      </c>
      <c r="C1077" s="174">
        <v>54</v>
      </c>
      <c r="D1077" s="174">
        <v>73</v>
      </c>
      <c r="E1077" s="174">
        <v>66</v>
      </c>
      <c r="F1077" s="174">
        <v>26</v>
      </c>
      <c r="G1077" s="68">
        <f t="shared" si="75"/>
        <v>0.44358787377033981</v>
      </c>
      <c r="H1077" s="68">
        <f t="shared" si="76"/>
        <v>0.4374106463308769</v>
      </c>
      <c r="I1077" s="68">
        <f t="shared" si="77"/>
        <v>0.50371105538046601</v>
      </c>
      <c r="J1077" s="232">
        <f t="shared" si="78"/>
        <v>4.2882610751382045E-3</v>
      </c>
      <c r="K1077" s="321">
        <f t="shared" si="79"/>
        <v>4.5092756954288798E-2</v>
      </c>
    </row>
    <row r="1078" spans="1:11" x14ac:dyDescent="0.2">
      <c r="A1078" s="320">
        <v>977</v>
      </c>
      <c r="B1078" s="174">
        <v>28</v>
      </c>
      <c r="C1078" s="174">
        <v>31</v>
      </c>
      <c r="D1078" s="174">
        <v>23</v>
      </c>
      <c r="E1078" s="174">
        <v>24</v>
      </c>
      <c r="F1078" s="174">
        <v>40</v>
      </c>
      <c r="G1078" s="68">
        <f t="shared" si="75"/>
        <v>0.86586631791088009</v>
      </c>
      <c r="H1078" s="68">
        <f t="shared" si="76"/>
        <v>0.82056825383367271</v>
      </c>
      <c r="I1078" s="68">
        <f t="shared" si="77"/>
        <v>0.91522276581720119</v>
      </c>
      <c r="J1078" s="232">
        <f t="shared" si="78"/>
        <v>2.457677913084216E-2</v>
      </c>
      <c r="K1078" s="321">
        <f t="shared" si="79"/>
        <v>5.0685262927648488E-2</v>
      </c>
    </row>
    <row r="1079" spans="1:11" x14ac:dyDescent="0.2">
      <c r="A1079" s="320">
        <v>978</v>
      </c>
      <c r="B1079" s="174">
        <v>36</v>
      </c>
      <c r="C1079" s="174">
        <v>57</v>
      </c>
      <c r="D1079" s="174">
        <v>69</v>
      </c>
      <c r="E1079" s="174">
        <v>5</v>
      </c>
      <c r="F1079" s="174">
        <v>44</v>
      </c>
      <c r="G1079" s="68">
        <f t="shared" si="75"/>
        <v>0.45420203547517546</v>
      </c>
      <c r="H1079" s="68">
        <f t="shared" si="76"/>
        <v>0.44473289615312805</v>
      </c>
      <c r="I1079" s="68">
        <f t="shared" si="77"/>
        <v>0.48108869943373844</v>
      </c>
      <c r="J1079" s="232">
        <f t="shared" si="78"/>
        <v>6.5328634292173681E-3</v>
      </c>
      <c r="K1079" s="321">
        <f t="shared" si="79"/>
        <v>2.4852967549531028E-2</v>
      </c>
    </row>
    <row r="1080" spans="1:11" x14ac:dyDescent="0.2">
      <c r="A1080" s="320">
        <v>979</v>
      </c>
      <c r="B1080" s="174">
        <v>75</v>
      </c>
      <c r="C1080" s="174">
        <v>26</v>
      </c>
      <c r="D1080" s="174">
        <v>74</v>
      </c>
      <c r="E1080" s="174">
        <v>32</v>
      </c>
      <c r="F1080" s="174">
        <v>31</v>
      </c>
      <c r="G1080" s="68">
        <f t="shared" si="75"/>
        <v>0.81167376838728811</v>
      </c>
      <c r="H1080" s="68">
        <f t="shared" si="76"/>
        <v>0.79509805280092327</v>
      </c>
      <c r="I1080" s="68">
        <f t="shared" si="77"/>
        <v>0.89341509730743351</v>
      </c>
      <c r="J1080" s="232">
        <f t="shared" si="78"/>
        <v>9.1915059262055246E-3</v>
      </c>
      <c r="K1080" s="321">
        <f t="shared" si="79"/>
        <v>5.3322482365926988E-2</v>
      </c>
    </row>
    <row r="1081" spans="1:11" x14ac:dyDescent="0.2">
      <c r="A1081" s="320">
        <v>980</v>
      </c>
      <c r="B1081" s="174">
        <v>61</v>
      </c>
      <c r="C1081" s="174">
        <v>7</v>
      </c>
      <c r="D1081" s="174">
        <v>57</v>
      </c>
      <c r="E1081" s="174">
        <v>60</v>
      </c>
      <c r="F1081" s="174">
        <v>26</v>
      </c>
      <c r="G1081" s="68">
        <f t="shared" si="75"/>
        <v>0.61070769146405546</v>
      </c>
      <c r="H1081" s="68">
        <f t="shared" si="76"/>
        <v>0.61279847329379877</v>
      </c>
      <c r="I1081" s="68">
        <f t="shared" si="77"/>
        <v>0.67244647279986958</v>
      </c>
      <c r="J1081" s="232">
        <f t="shared" si="78"/>
        <v>-1.2972099422615165E-3</v>
      </c>
      <c r="K1081" s="321">
        <f t="shared" si="79"/>
        <v>3.6316655927050912E-2</v>
      </c>
    </row>
    <row r="1082" spans="1:11" x14ac:dyDescent="0.2">
      <c r="A1082" s="320">
        <v>981</v>
      </c>
      <c r="B1082" s="174">
        <v>4</v>
      </c>
      <c r="C1082" s="174">
        <v>24</v>
      </c>
      <c r="D1082" s="174">
        <v>35</v>
      </c>
      <c r="E1082" s="174">
        <v>23</v>
      </c>
      <c r="F1082" s="174">
        <v>12</v>
      </c>
      <c r="G1082" s="68">
        <f t="shared" si="75"/>
        <v>0.73091524626082016</v>
      </c>
      <c r="H1082" s="68">
        <f t="shared" si="76"/>
        <v>0.62735642774166789</v>
      </c>
      <c r="I1082" s="68">
        <f t="shared" si="77"/>
        <v>0.68612607473412268</v>
      </c>
      <c r="J1082" s="232">
        <f t="shared" si="78"/>
        <v>6.1693437928687971E-2</v>
      </c>
      <c r="K1082" s="321">
        <f t="shared" si="79"/>
        <v>3.5476759438429033E-2</v>
      </c>
    </row>
    <row r="1083" spans="1:11" x14ac:dyDescent="0.2">
      <c r="A1083" s="320">
        <v>982</v>
      </c>
      <c r="B1083" s="174">
        <v>68</v>
      </c>
      <c r="C1083" s="174">
        <v>77</v>
      </c>
      <c r="D1083" s="174">
        <v>75</v>
      </c>
      <c r="E1083" s="174">
        <v>39</v>
      </c>
      <c r="F1083" s="174">
        <v>33</v>
      </c>
      <c r="G1083" s="68">
        <f t="shared" si="75"/>
        <v>0.70817878057953632</v>
      </c>
      <c r="H1083" s="68">
        <f t="shared" si="76"/>
        <v>0.66353978030143823</v>
      </c>
      <c r="I1083" s="68">
        <f t="shared" si="77"/>
        <v>0.75401728477275531</v>
      </c>
      <c r="J1083" s="232">
        <f t="shared" si="78"/>
        <v>2.6480032551848789E-2</v>
      </c>
      <c r="K1083" s="321">
        <f t="shared" si="79"/>
        <v>5.2961018582690964E-2</v>
      </c>
    </row>
    <row r="1084" spans="1:11" x14ac:dyDescent="0.2">
      <c r="A1084" s="320">
        <v>983</v>
      </c>
      <c r="B1084" s="174">
        <v>48</v>
      </c>
      <c r="C1084" s="174">
        <v>3</v>
      </c>
      <c r="D1084" s="174">
        <v>58</v>
      </c>
      <c r="E1084" s="174">
        <v>64</v>
      </c>
      <c r="F1084" s="174">
        <v>52</v>
      </c>
      <c r="G1084" s="68">
        <f t="shared" si="75"/>
        <v>0.49710151872934305</v>
      </c>
      <c r="H1084" s="68">
        <f t="shared" si="76"/>
        <v>0.429174817380926</v>
      </c>
      <c r="I1084" s="68">
        <f t="shared" si="77"/>
        <v>0.49077710573042399</v>
      </c>
      <c r="J1084" s="232">
        <f t="shared" si="78"/>
        <v>4.6433690989267314E-2</v>
      </c>
      <c r="K1084" s="321">
        <f t="shared" si="79"/>
        <v>4.2200304537473823E-2</v>
      </c>
    </row>
    <row r="1085" spans="1:11" x14ac:dyDescent="0.2">
      <c r="A1085" s="320">
        <v>984</v>
      </c>
      <c r="B1085" s="174">
        <v>59</v>
      </c>
      <c r="C1085" s="174">
        <v>33</v>
      </c>
      <c r="D1085" s="174">
        <v>72</v>
      </c>
      <c r="E1085" s="174">
        <v>1</v>
      </c>
      <c r="F1085" s="174">
        <v>25</v>
      </c>
      <c r="G1085" s="68">
        <f t="shared" si="75"/>
        <v>1.096980933743759</v>
      </c>
      <c r="H1085" s="68">
        <f t="shared" si="76"/>
        <v>0.99312733429134803</v>
      </c>
      <c r="I1085" s="68">
        <f t="shared" si="77"/>
        <v>1.099680919727076</v>
      </c>
      <c r="J1085" s="232">
        <f t="shared" si="78"/>
        <v>5.0793729766937225E-2</v>
      </c>
      <c r="K1085" s="321">
        <f t="shared" si="79"/>
        <v>5.2080460244689986E-2</v>
      </c>
    </row>
    <row r="1086" spans="1:11" x14ac:dyDescent="0.2">
      <c r="A1086" s="320">
        <v>985</v>
      </c>
      <c r="B1086" s="174">
        <v>34</v>
      </c>
      <c r="C1086" s="174">
        <v>46</v>
      </c>
      <c r="D1086" s="174">
        <v>24</v>
      </c>
      <c r="E1086" s="174">
        <v>29</v>
      </c>
      <c r="F1086" s="174">
        <v>45</v>
      </c>
      <c r="G1086" s="68">
        <f t="shared" si="75"/>
        <v>0.70223625656434785</v>
      </c>
      <c r="H1086" s="68">
        <f t="shared" si="76"/>
        <v>0.70524619473933448</v>
      </c>
      <c r="I1086" s="68">
        <f t="shared" si="77"/>
        <v>0.81280400282416143</v>
      </c>
      <c r="J1086" s="232">
        <f t="shared" si="78"/>
        <v>-1.7666643927663071E-3</v>
      </c>
      <c r="K1086" s="321">
        <f t="shared" si="79"/>
        <v>6.1165323325436324E-2</v>
      </c>
    </row>
    <row r="1087" spans="1:11" x14ac:dyDescent="0.2">
      <c r="A1087" s="320">
        <v>986</v>
      </c>
      <c r="B1087" s="174">
        <v>10</v>
      </c>
      <c r="C1087" s="174">
        <v>46</v>
      </c>
      <c r="D1087" s="174">
        <v>70</v>
      </c>
      <c r="E1087" s="174">
        <v>67</v>
      </c>
      <c r="F1087" s="174">
        <v>2</v>
      </c>
      <c r="G1087" s="68">
        <f t="shared" si="75"/>
        <v>0.36555096044391133</v>
      </c>
      <c r="H1087" s="68">
        <f t="shared" si="76"/>
        <v>0.3679650882260479</v>
      </c>
      <c r="I1087" s="68">
        <f t="shared" si="77"/>
        <v>0.3764821391136528</v>
      </c>
      <c r="J1087" s="232">
        <f t="shared" si="78"/>
        <v>-1.7663173486466837E-3</v>
      </c>
      <c r="K1087" s="321">
        <f t="shared" si="79"/>
        <v>6.2067713638809157E-3</v>
      </c>
    </row>
    <row r="1088" spans="1:11" x14ac:dyDescent="0.2">
      <c r="A1088" s="320">
        <v>987</v>
      </c>
      <c r="B1088" s="174">
        <v>15</v>
      </c>
      <c r="C1088" s="174">
        <v>63</v>
      </c>
      <c r="D1088" s="174">
        <v>8</v>
      </c>
      <c r="E1088" s="174">
        <v>10</v>
      </c>
      <c r="F1088" s="174">
        <v>77</v>
      </c>
      <c r="G1088" s="68">
        <f t="shared" si="75"/>
        <v>-0.28666642911076257</v>
      </c>
      <c r="H1088" s="68">
        <f t="shared" si="76"/>
        <v>-0.24626110345712238</v>
      </c>
      <c r="I1088" s="68">
        <f t="shared" si="77"/>
        <v>-0.28809594418399609</v>
      </c>
      <c r="J1088" s="232">
        <f t="shared" si="78"/>
        <v>-5.5096864608143267E-2</v>
      </c>
      <c r="K1088" s="321">
        <f t="shared" si="79"/>
        <v>-5.7102867713615509E-2</v>
      </c>
    </row>
    <row r="1089" spans="1:11" x14ac:dyDescent="0.2">
      <c r="A1089" s="320">
        <v>988</v>
      </c>
      <c r="B1089" s="174">
        <v>52</v>
      </c>
      <c r="C1089" s="174">
        <v>5</v>
      </c>
      <c r="D1089" s="174">
        <v>42</v>
      </c>
      <c r="E1089" s="174">
        <v>47</v>
      </c>
      <c r="F1089" s="174">
        <v>67</v>
      </c>
      <c r="G1089" s="68">
        <f t="shared" si="75"/>
        <v>0.4608596413462438</v>
      </c>
      <c r="H1089" s="68">
        <f t="shared" si="76"/>
        <v>0.47330008407522239</v>
      </c>
      <c r="I1089" s="68">
        <f t="shared" si="77"/>
        <v>0.52237319536014803</v>
      </c>
      <c r="J1089" s="232">
        <f t="shared" si="78"/>
        <v>-8.4797819062392421E-3</v>
      </c>
      <c r="K1089" s="321">
        <f t="shared" si="79"/>
        <v>3.2765590216487242E-2</v>
      </c>
    </row>
    <row r="1090" spans="1:11" x14ac:dyDescent="0.2">
      <c r="A1090" s="320">
        <v>989</v>
      </c>
      <c r="B1090" s="174">
        <v>70</v>
      </c>
      <c r="C1090" s="174">
        <v>50</v>
      </c>
      <c r="D1090" s="174">
        <v>9</v>
      </c>
      <c r="E1090" s="174">
        <v>61</v>
      </c>
      <c r="F1090" s="174">
        <v>18</v>
      </c>
      <c r="G1090" s="68">
        <f t="shared" si="75"/>
        <v>0.17784024353057282</v>
      </c>
      <c r="H1090" s="68">
        <f t="shared" si="76"/>
        <v>0.17510502954458396</v>
      </c>
      <c r="I1090" s="68">
        <f t="shared" si="77"/>
        <v>0.13866691884553406</v>
      </c>
      <c r="J1090" s="232">
        <f t="shared" si="78"/>
        <v>2.324928887502061E-3</v>
      </c>
      <c r="K1090" s="321">
        <f t="shared" si="79"/>
        <v>-3.1499321721060992E-2</v>
      </c>
    </row>
    <row r="1091" spans="1:11" x14ac:dyDescent="0.2">
      <c r="A1091" s="320">
        <v>990</v>
      </c>
      <c r="B1091" s="174">
        <v>30</v>
      </c>
      <c r="C1091" s="174">
        <v>24</v>
      </c>
      <c r="D1091" s="174">
        <v>43</v>
      </c>
      <c r="E1091" s="174">
        <v>38</v>
      </c>
      <c r="F1091" s="174">
        <v>67</v>
      </c>
      <c r="G1091" s="68">
        <f t="shared" si="75"/>
        <v>0.58729239146571666</v>
      </c>
      <c r="H1091" s="68">
        <f t="shared" si="76"/>
        <v>0.53782152846895914</v>
      </c>
      <c r="I1091" s="68">
        <f t="shared" si="77"/>
        <v>0.5777768718186731</v>
      </c>
      <c r="J1091" s="232">
        <f t="shared" si="78"/>
        <v>3.1662843160608425E-2</v>
      </c>
      <c r="K1091" s="321">
        <f t="shared" si="79"/>
        <v>2.5649990028828378E-2</v>
      </c>
    </row>
    <row r="1092" spans="1:11" x14ac:dyDescent="0.2">
      <c r="A1092" s="320">
        <v>991</v>
      </c>
      <c r="B1092" s="174">
        <v>27</v>
      </c>
      <c r="C1092" s="174">
        <v>34</v>
      </c>
      <c r="D1092" s="174">
        <v>22</v>
      </c>
      <c r="E1092" s="174">
        <v>54</v>
      </c>
      <c r="F1092" s="174">
        <v>63</v>
      </c>
      <c r="G1092" s="68">
        <f t="shared" si="75"/>
        <v>0.24580771526148482</v>
      </c>
      <c r="H1092" s="68">
        <f t="shared" si="76"/>
        <v>0.26933285488985548</v>
      </c>
      <c r="I1092" s="68">
        <f t="shared" si="77"/>
        <v>0.30173930502502588</v>
      </c>
      <c r="J1092" s="232">
        <f t="shared" si="78"/>
        <v>-1.8707364499470445E-2</v>
      </c>
      <c r="K1092" s="321">
        <f t="shared" si="79"/>
        <v>2.5209845847155708E-2</v>
      </c>
    </row>
    <row r="1093" spans="1:11" x14ac:dyDescent="0.2">
      <c r="A1093" s="320">
        <v>992</v>
      </c>
      <c r="B1093" s="174">
        <v>10</v>
      </c>
      <c r="C1093" s="174">
        <v>62</v>
      </c>
      <c r="D1093" s="174">
        <v>40</v>
      </c>
      <c r="E1093" s="174">
        <v>42</v>
      </c>
      <c r="F1093" s="174">
        <v>29</v>
      </c>
      <c r="G1093" s="68">
        <f t="shared" si="75"/>
        <v>0.11591394377212749</v>
      </c>
      <c r="H1093" s="68">
        <f t="shared" si="76"/>
        <v>0.16056524427831231</v>
      </c>
      <c r="I1093" s="68">
        <f t="shared" si="77"/>
        <v>0.17610850533008016</v>
      </c>
      <c r="J1093" s="232">
        <f t="shared" si="78"/>
        <v>-3.9233416315824242E-2</v>
      </c>
      <c r="K1093" s="321">
        <f t="shared" si="79"/>
        <v>1.3303945670877067E-2</v>
      </c>
    </row>
    <row r="1094" spans="1:11" x14ac:dyDescent="0.2">
      <c r="A1094" s="320">
        <v>993</v>
      </c>
      <c r="B1094" s="174">
        <v>64</v>
      </c>
      <c r="C1094" s="174">
        <v>60</v>
      </c>
      <c r="D1094" s="174">
        <v>69</v>
      </c>
      <c r="E1094" s="174">
        <v>23</v>
      </c>
      <c r="F1094" s="174">
        <v>74</v>
      </c>
      <c r="G1094" s="68">
        <f t="shared" si="75"/>
        <v>0.53746418945842667</v>
      </c>
      <c r="H1094" s="68">
        <f t="shared" si="76"/>
        <v>0.5170361337798357</v>
      </c>
      <c r="I1094" s="68">
        <f t="shared" si="77"/>
        <v>0.57364574783609745</v>
      </c>
      <c r="J1094" s="232">
        <f t="shared" si="78"/>
        <v>1.337590970018704E-2</v>
      </c>
      <c r="K1094" s="321">
        <f t="shared" si="79"/>
        <v>3.6636540439177356E-2</v>
      </c>
    </row>
    <row r="1095" spans="1:11" x14ac:dyDescent="0.2">
      <c r="A1095" s="320">
        <v>994</v>
      </c>
      <c r="B1095" s="174">
        <v>72</v>
      </c>
      <c r="C1095" s="174">
        <v>10</v>
      </c>
      <c r="D1095" s="174">
        <v>48</v>
      </c>
      <c r="E1095" s="174">
        <v>35</v>
      </c>
      <c r="F1095" s="174">
        <v>16</v>
      </c>
      <c r="G1095" s="68">
        <f t="shared" si="75"/>
        <v>0.14976441091499382</v>
      </c>
      <c r="H1095" s="68">
        <f t="shared" si="76"/>
        <v>0.17930286130028628</v>
      </c>
      <c r="I1095" s="68">
        <f t="shared" si="77"/>
        <v>0.16723105353172429</v>
      </c>
      <c r="J1095" s="232">
        <f t="shared" si="78"/>
        <v>-2.536640706635869E-2</v>
      </c>
      <c r="K1095" s="321">
        <f t="shared" si="79"/>
        <v>-1.0289145357827663E-2</v>
      </c>
    </row>
    <row r="1096" spans="1:11" x14ac:dyDescent="0.2">
      <c r="A1096" s="320">
        <v>995</v>
      </c>
      <c r="B1096" s="174">
        <v>46</v>
      </c>
      <c r="C1096" s="174">
        <v>53</v>
      </c>
      <c r="D1096" s="174">
        <v>11</v>
      </c>
      <c r="E1096" s="174">
        <v>26</v>
      </c>
      <c r="F1096" s="174">
        <v>75</v>
      </c>
      <c r="G1096" s="68">
        <f t="shared" si="75"/>
        <v>0.37234803816631601</v>
      </c>
      <c r="H1096" s="68">
        <f t="shared" si="76"/>
        <v>0.3898164935978663</v>
      </c>
      <c r="I1096" s="68">
        <f t="shared" si="77"/>
        <v>0.42166394585541211</v>
      </c>
      <c r="J1096" s="232">
        <f t="shared" si="78"/>
        <v>-1.2648550165743592E-2</v>
      </c>
      <c r="K1096" s="321">
        <f t="shared" si="79"/>
        <v>2.2656259022717763E-2</v>
      </c>
    </row>
    <row r="1097" spans="1:11" x14ac:dyDescent="0.2">
      <c r="A1097" s="320">
        <v>996</v>
      </c>
      <c r="B1097" s="174">
        <v>75</v>
      </c>
      <c r="C1097" s="174">
        <v>19</v>
      </c>
      <c r="D1097" s="174">
        <v>39</v>
      </c>
      <c r="E1097" s="174">
        <v>42</v>
      </c>
      <c r="F1097" s="174">
        <v>32</v>
      </c>
      <c r="G1097" s="68">
        <f t="shared" si="75"/>
        <v>0.40687800115377448</v>
      </c>
      <c r="H1097" s="68">
        <f t="shared" si="76"/>
        <v>0.37856844358800834</v>
      </c>
      <c r="I1097" s="68">
        <f t="shared" si="77"/>
        <v>0.39641340257531521</v>
      </c>
      <c r="J1097" s="232">
        <f t="shared" si="78"/>
        <v>2.0327464861998393E-2</v>
      </c>
      <c r="K1097" s="321">
        <f t="shared" si="79"/>
        <v>1.2861493130915608E-2</v>
      </c>
    </row>
    <row r="1098" spans="1:11" x14ac:dyDescent="0.2">
      <c r="A1098" s="320">
        <v>997</v>
      </c>
      <c r="B1098" s="174">
        <v>5</v>
      </c>
      <c r="C1098" s="174">
        <v>8</v>
      </c>
      <c r="D1098" s="174">
        <v>65</v>
      </c>
      <c r="E1098" s="174">
        <v>12</v>
      </c>
      <c r="F1098" s="174">
        <v>51</v>
      </c>
      <c r="G1098" s="68">
        <f t="shared" si="75"/>
        <v>-4.7176677100550735E-2</v>
      </c>
      <c r="H1098" s="68">
        <f t="shared" si="76"/>
        <v>-3.8103797153194341E-2</v>
      </c>
      <c r="I1098" s="68">
        <f t="shared" si="77"/>
        <v>-8.3530318273185911E-2</v>
      </c>
      <c r="J1098" s="232">
        <f t="shared" si="78"/>
        <v>-9.4770515802533577E-3</v>
      </c>
      <c r="K1098" s="321">
        <f t="shared" si="79"/>
        <v>-4.837756135762334E-2</v>
      </c>
    </row>
    <row r="1099" spans="1:11" x14ac:dyDescent="0.2">
      <c r="A1099" s="320">
        <v>998</v>
      </c>
      <c r="B1099" s="174">
        <v>66</v>
      </c>
      <c r="C1099" s="174">
        <v>8</v>
      </c>
      <c r="D1099" s="174">
        <v>21</v>
      </c>
      <c r="E1099" s="174">
        <v>8</v>
      </c>
      <c r="F1099" s="174">
        <v>69</v>
      </c>
      <c r="G1099" s="68">
        <f t="shared" si="75"/>
        <v>-0.18677408960083275</v>
      </c>
      <c r="H1099" s="68">
        <f t="shared" si="76"/>
        <v>-0.12246041391096651</v>
      </c>
      <c r="I1099" s="68">
        <f t="shared" si="77"/>
        <v>-0.20384760264193746</v>
      </c>
      <c r="J1099" s="232">
        <f t="shared" si="78"/>
        <v>-7.6113123156584347E-2</v>
      </c>
      <c r="K1099" s="321">
        <f t="shared" si="79"/>
        <v>-9.7331445187837873E-2</v>
      </c>
    </row>
    <row r="1100" spans="1:11" x14ac:dyDescent="0.2">
      <c r="A1100" s="320">
        <v>999</v>
      </c>
      <c r="B1100" s="174">
        <v>70</v>
      </c>
      <c r="C1100" s="174">
        <v>30</v>
      </c>
      <c r="D1100" s="174">
        <v>58</v>
      </c>
      <c r="E1100" s="174">
        <v>6</v>
      </c>
      <c r="F1100" s="174">
        <v>56</v>
      </c>
      <c r="G1100" s="68">
        <f t="shared" si="75"/>
        <v>0.33971317978607241</v>
      </c>
      <c r="H1100" s="68">
        <f t="shared" si="76"/>
        <v>0.36779519122667215</v>
      </c>
      <c r="I1100" s="68">
        <f t="shared" si="77"/>
        <v>0.3793344838441397</v>
      </c>
      <c r="J1100" s="232">
        <f t="shared" si="78"/>
        <v>-2.0744547860339749E-2</v>
      </c>
      <c r="K1100" s="321">
        <f t="shared" si="79"/>
        <v>8.4010307848203462E-3</v>
      </c>
    </row>
    <row r="1101" spans="1:11" x14ac:dyDescent="0.2">
      <c r="A1101" s="322">
        <v>1000</v>
      </c>
      <c r="B1101" s="323">
        <v>16</v>
      </c>
      <c r="C1101" s="323">
        <v>72</v>
      </c>
      <c r="D1101" s="323">
        <v>22</v>
      </c>
      <c r="E1101" s="323">
        <v>50</v>
      </c>
      <c r="F1101" s="323">
        <v>60</v>
      </c>
      <c r="G1101" s="324">
        <f t="shared" si="75"/>
        <v>0.54238811897332417</v>
      </c>
      <c r="H1101" s="324">
        <f t="shared" si="76"/>
        <v>0.5271559087615858</v>
      </c>
      <c r="I1101" s="324">
        <f t="shared" si="77"/>
        <v>0.55658964156993496</v>
      </c>
      <c r="J1101" s="325">
        <f t="shared" si="78"/>
        <v>9.9248195220871926E-3</v>
      </c>
      <c r="K1101" s="326">
        <f t="shared" si="79"/>
        <v>1.9090178623693728E-2</v>
      </c>
    </row>
  </sheetData>
  <conditionalFormatting sqref="B14:C14">
    <cfRule type="cellIs" dxfId="12" priority="1" operator="equal">
      <formula>"MET"</formula>
    </cfRule>
    <cfRule type="cellIs" dxfId="11" priority="2" operator="equal">
      <formula>"PASS"</formula>
    </cfRule>
    <cfRule type="cellIs" dxfId="10" priority="3" operator="equal">
      <formula>"INFO"</formula>
    </cfRule>
    <cfRule type="cellIs" dxfId="9" priority="4" operator="equal">
      <formula>"NOT MET"</formula>
    </cfRule>
    <cfRule type="cellIs" dxfId="8" priority="5" operator="equal">
      <formula>"FAIL"</formula>
    </cfRule>
    <cfRule type="cellIs" dxfId="7" priority="6" operator="equal">
      <formula>"MAX FEASIBLE"</formula>
    </cfRule>
  </conditionalFormatting>
  <pageMargins left="0.75" right="0.75" top="1" bottom="1" header="0.5" footer="0.5"/>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50021"/>
    <pageSetUpPr fitToPage="1"/>
  </sheetPr>
  <dimension ref="A1:E30"/>
  <sheetViews>
    <sheetView showGridLines="0" workbookViewId="0"/>
  </sheetViews>
  <sheetFormatPr baseColWidth="10" defaultColWidth="8.83203125" defaultRowHeight="15" x14ac:dyDescent="0.2"/>
  <cols>
    <col min="1" max="1" width="30" customWidth="1"/>
    <col min="2" max="5" width="14" customWidth="1"/>
  </cols>
  <sheetData>
    <row r="1" spans="1:5" ht="19" x14ac:dyDescent="0.2">
      <c r="A1" s="53" t="s">
        <v>100</v>
      </c>
    </row>
    <row r="3" spans="1:5" x14ac:dyDescent="0.2">
      <c r="A3" s="86" t="s">
        <v>447</v>
      </c>
      <c r="B3" s="87"/>
      <c r="C3" s="88"/>
    </row>
    <row r="4" spans="1:5" ht="28" x14ac:dyDescent="0.2">
      <c r="A4" s="92" t="s">
        <v>42</v>
      </c>
      <c r="B4" s="93" t="s">
        <v>448</v>
      </c>
      <c r="C4" s="94" t="s">
        <v>449</v>
      </c>
    </row>
    <row r="5" spans="1:5" x14ac:dyDescent="0.2">
      <c r="A5" s="98" t="s">
        <v>44</v>
      </c>
      <c r="B5" s="216">
        <v>39447</v>
      </c>
      <c r="C5" s="327">
        <v>39903</v>
      </c>
    </row>
    <row r="6" spans="1:5" x14ac:dyDescent="0.2">
      <c r="A6" s="98" t="s">
        <v>46</v>
      </c>
      <c r="B6" s="216">
        <v>43921</v>
      </c>
      <c r="C6" s="327">
        <v>43921</v>
      </c>
    </row>
    <row r="7" spans="1:5" x14ac:dyDescent="0.2">
      <c r="A7" s="100" t="s">
        <v>48</v>
      </c>
      <c r="B7" s="328">
        <v>44651</v>
      </c>
      <c r="C7" s="329">
        <v>44925</v>
      </c>
    </row>
    <row r="9" spans="1:5" x14ac:dyDescent="0.2">
      <c r="A9" s="83" t="s">
        <v>450</v>
      </c>
      <c r="B9" s="84"/>
      <c r="C9" s="84"/>
      <c r="D9" s="84"/>
      <c r="E9" s="85"/>
    </row>
    <row r="10" spans="1:5" ht="42" customHeight="1" x14ac:dyDescent="0.2">
      <c r="A10" s="89" t="s">
        <v>5</v>
      </c>
      <c r="B10" s="90" t="s">
        <v>44</v>
      </c>
      <c r="C10" s="90" t="s">
        <v>46</v>
      </c>
      <c r="D10" s="90" t="s">
        <v>48</v>
      </c>
      <c r="E10" s="91" t="s">
        <v>451</v>
      </c>
    </row>
    <row r="11" spans="1:5" x14ac:dyDescent="0.2">
      <c r="A11" s="95" t="s">
        <v>14</v>
      </c>
      <c r="B11" s="68">
        <f>EXP(SUMPRODUCT(LN(1+INDEX('Quarterly returns'!N$6:N$85,MATCH($B$5,'Quarterly returns'!$A$6:$A$85,0)):INDEX('Quarterly returns'!N$6:N$85,MATCH($C$5,'Quarterly returns'!$A$6:$A$85,0)))))-1</f>
        <v>-0.42395460862917078</v>
      </c>
      <c r="C11" s="68">
        <f>EXP(SUMPRODUCT(LN(1+INDEX('Quarterly returns'!N$6:N$85,MATCH($B$6,'Quarterly returns'!$A$6:$A$85,0)):INDEX('Quarterly returns'!N$6:N$85,MATCH($C$6,'Quarterly returns'!$A$6:$A$85,0)))))-1</f>
        <v>-0.23923021230162522</v>
      </c>
      <c r="D11" s="68">
        <f>EXP(SUMPRODUCT(LN(1+INDEX('Quarterly returns'!N$6:N$85,MATCH($B$7,'Quarterly returns'!$A$6:$A$85,0)):INDEX('Quarterly returns'!N$6:N$85,MATCH($C$7,'Quarterly returns'!$A$6:$A$85,0)))))-1</f>
        <v>-2.9586587940056419E-2</v>
      </c>
      <c r="E11" s="103">
        <f>Oil!F28</f>
        <v>-8.4802599783564109E-2</v>
      </c>
    </row>
    <row r="12" spans="1:5" x14ac:dyDescent="0.2">
      <c r="A12" s="95" t="s">
        <v>16</v>
      </c>
      <c r="B12" s="68">
        <f>EXP(SUMPRODUCT(LN(1+INDEX('Quarterly returns'!O$6:O$85,MATCH($B$5,'Quarterly returns'!$A$6:$A$85,0)):INDEX('Quarterly returns'!O$6:O$85,MATCH($C$5,'Quarterly returns'!$A$6:$A$85,0)))))-1</f>
        <v>-0.31268062341985514</v>
      </c>
      <c r="C12" s="68">
        <f>EXP(SUMPRODUCT(LN(1+INDEX('Quarterly returns'!O$6:O$85,MATCH($B$6,'Quarterly returns'!$A$6:$A$85,0)):INDEX('Quarterly returns'!O$6:O$85,MATCH($C$6,'Quarterly returns'!$A$6:$A$85,0)))))-1</f>
        <v>-8.0905967371255993E-2</v>
      </c>
      <c r="D12" s="68">
        <f>EXP(SUMPRODUCT(LN(1+INDEX('Quarterly returns'!O$6:O$85,MATCH($B$7,'Quarterly returns'!$A$6:$A$85,0)):INDEX('Quarterly returns'!O$6:O$85,MATCH($C$7,'Quarterly returns'!$A$6:$A$85,0)))))-1</f>
        <v>-9.537439912761525E-2</v>
      </c>
      <c r="E12" s="103">
        <f>Oil!F29</f>
        <v>-0.12992957801212576</v>
      </c>
    </row>
    <row r="13" spans="1:5" x14ac:dyDescent="0.2">
      <c r="A13" s="95" t="s">
        <v>18</v>
      </c>
      <c r="B13" s="68">
        <f>EXP(SUMPRODUCT(LN(1+INDEX('Quarterly returns'!P$6:P$85,MATCH($B$5,'Quarterly returns'!$A$6:$A$85,0)):INDEX('Quarterly returns'!P$6:P$85,MATCH($C$5,'Quarterly returns'!$A$6:$A$85,0)))))-1</f>
        <v>-0.25904312300688914</v>
      </c>
      <c r="C13" s="68">
        <f>EXP(SUMPRODUCT(LN(1+INDEX('Quarterly returns'!P$6:P$85,MATCH($B$6,'Quarterly returns'!$A$6:$A$85,0)):INDEX('Quarterly returns'!P$6:P$85,MATCH($C$6,'Quarterly returns'!$A$6:$A$85,0)))))-1</f>
        <v>-6.994763407691551E-2</v>
      </c>
      <c r="D13" s="68">
        <f>EXP(SUMPRODUCT(LN(1+INDEX('Quarterly returns'!P$6:P$85,MATCH($B$7,'Quarterly returns'!$A$6:$A$85,0)):INDEX('Quarterly returns'!P$6:P$85,MATCH($C$7,'Quarterly returns'!$A$6:$A$85,0)))))-1</f>
        <v>-9.0464646130854587E-2</v>
      </c>
      <c r="E13" s="103">
        <f>Oil!F30</f>
        <v>-0.13708872823391927</v>
      </c>
    </row>
    <row r="14" spans="1:5" x14ac:dyDescent="0.2">
      <c r="A14" s="95" t="s">
        <v>20</v>
      </c>
      <c r="B14" s="68">
        <f>EXP(SUMPRODUCT(LN(1+INDEX('Quarterly returns'!Q$6:Q$85,MATCH($B$5,'Quarterly returns'!$A$6:$A$85,0)):INDEX('Quarterly returns'!Q$6:Q$85,MATCH($C$5,'Quarterly returns'!$A$6:$A$85,0)))))-1</f>
        <v>-0.50527039736050472</v>
      </c>
      <c r="C14" s="68">
        <f>EXP(SUMPRODUCT(LN(1+INDEX('Quarterly returns'!Q$6:Q$85,MATCH($B$6,'Quarterly returns'!$A$6:$A$85,0)):INDEX('Quarterly returns'!Q$6:Q$85,MATCH($C$6,'Quarterly returns'!$A$6:$A$85,0)))))-1</f>
        <v>-0.16646921555011696</v>
      </c>
      <c r="D14" s="68">
        <f>EXP(SUMPRODUCT(LN(1+INDEX('Quarterly returns'!Q$6:Q$85,MATCH($B$7,'Quarterly returns'!$A$6:$A$85,0)):INDEX('Quarterly returns'!Q$6:Q$85,MATCH($C$7,'Quarterly returns'!$A$6:$A$85,0)))))-1</f>
        <v>-0.1602728930450803</v>
      </c>
      <c r="E14" s="103">
        <f>Oil!F31</f>
        <v>-0.11553691120453138</v>
      </c>
    </row>
    <row r="15" spans="1:5" x14ac:dyDescent="0.2">
      <c r="A15" s="95" t="s">
        <v>22</v>
      </c>
      <c r="B15" s="68">
        <f>EXP(SUMPRODUCT(LN(1+INDEX('Quarterly returns'!R$6:R$85,MATCH($B$5,'Quarterly returns'!$A$6:$A$85,0)):INDEX('Quarterly returns'!R$6:R$85,MATCH($C$5,'Quarterly returns'!$A$6:$A$85,0)))))-1</f>
        <v>-0.32006394286854278</v>
      </c>
      <c r="C15" s="68">
        <f>EXP(SUMPRODUCT(LN(1+INDEX('Quarterly returns'!R$6:R$85,MATCH($B$6,'Quarterly returns'!$A$6:$A$85,0)):INDEX('Quarterly returns'!R$6:R$85,MATCH($C$6,'Quarterly returns'!$A$6:$A$85,0)))))-1</f>
        <v>-0.3378199325052339</v>
      </c>
      <c r="D15" s="68">
        <f>EXP(SUMPRODUCT(LN(1+INDEX('Quarterly returns'!R$6:R$85,MATCH($B$7,'Quarterly returns'!$A$6:$A$85,0)):INDEX('Quarterly returns'!R$6:R$85,MATCH($C$7,'Quarterly returns'!$A$6:$A$85,0)))))-1</f>
        <v>0.35070541736577954</v>
      </c>
      <c r="E15" s="103">
        <f>Oil!F32</f>
        <v>0.29013881631551025</v>
      </c>
    </row>
    <row r="16" spans="1:5" x14ac:dyDescent="0.2">
      <c r="A16" s="95" t="s">
        <v>24</v>
      </c>
      <c r="B16" s="68">
        <f>EXP(SUMPRODUCT(LN(1+INDEX('Quarterly returns'!S$6:S$85,MATCH($B$5,'Quarterly returns'!$A$6:$A$85,0)):INDEX('Quarterly returns'!S$6:S$85,MATCH($C$5,'Quarterly returns'!$A$6:$A$85,0)))))-1</f>
        <v>-5.9832983069084245E-2</v>
      </c>
      <c r="C16" s="68">
        <f>EXP(SUMPRODUCT(LN(1+INDEX('Quarterly returns'!S$6:S$85,MATCH($B$6,'Quarterly returns'!$A$6:$A$85,0)):INDEX('Quarterly returns'!S$6:S$85,MATCH($C$6,'Quarterly returns'!$A$6:$A$85,0)))))-1</f>
        <v>-2.3906178308524373E-2</v>
      </c>
      <c r="D16" s="68">
        <f>EXP(SUMPRODUCT(LN(1+INDEX('Quarterly returns'!S$6:S$85,MATCH($B$7,'Quarterly returns'!$A$6:$A$85,0)):INDEX('Quarterly returns'!S$6:S$85,MATCH($C$7,'Quarterly returns'!$A$6:$A$85,0)))))-1</f>
        <v>-0.14837279431934303</v>
      </c>
      <c r="E16" s="103">
        <f>Oil!F33</f>
        <v>2.326868406127678E-2</v>
      </c>
    </row>
    <row r="17" spans="1:5" x14ac:dyDescent="0.2">
      <c r="A17" s="95" t="s">
        <v>26</v>
      </c>
      <c r="B17" s="68">
        <f>EXP(SUMPRODUCT(LN(1+INDEX('Quarterly returns'!T$6:T$85,MATCH($B$5,'Quarterly returns'!$A$6:$A$85,0)):INDEX('Quarterly returns'!T$6:T$85,MATCH($C$5,'Quarterly returns'!$A$6:$A$85,0)))))-1</f>
        <v>0.20371950505109582</v>
      </c>
      <c r="C17" s="68">
        <f>EXP(SUMPRODUCT(LN(1+INDEX('Quarterly returns'!T$6:T$85,MATCH($B$6,'Quarterly returns'!$A$6:$A$85,0)):INDEX('Quarterly returns'!T$6:T$85,MATCH($C$6,'Quarterly returns'!$A$6:$A$85,0)))))-1</f>
        <v>0.12678189709700338</v>
      </c>
      <c r="D17" s="68">
        <f>EXP(SUMPRODUCT(LN(1+INDEX('Quarterly returns'!T$6:T$85,MATCH($B$7,'Quarterly returns'!$A$6:$A$85,0)):INDEX('Quarterly returns'!T$6:T$85,MATCH($C$7,'Quarterly returns'!$A$6:$A$85,0)))))-1</f>
        <v>2.3911744698201343E-2</v>
      </c>
      <c r="E17" s="103">
        <f>Oil!F34</f>
        <v>-4.1538442200274722E-2</v>
      </c>
    </row>
    <row r="18" spans="1:5" x14ac:dyDescent="0.2">
      <c r="A18" s="95" t="s">
        <v>28</v>
      </c>
      <c r="B18" s="68">
        <f>EXP(SUMPRODUCT(LN(1+INDEX('Quarterly returns'!U$6:U$85,MATCH($B$5,'Quarterly returns'!$A$6:$A$85,0)):INDEX('Quarterly returns'!U$6:U$85,MATCH($C$5,'Quarterly returns'!$A$6:$A$85,0)))))-1</f>
        <v>-0.15344470787926423</v>
      </c>
      <c r="C18" s="68">
        <f>EXP(SUMPRODUCT(LN(1+INDEX('Quarterly returns'!U$6:U$85,MATCH($B$6,'Quarterly returns'!$A$6:$A$85,0)):INDEX('Quarterly returns'!U$6:U$85,MATCH($C$6,'Quarterly returns'!$A$6:$A$85,0)))))-1</f>
        <v>-9.1979529988577724E-2</v>
      </c>
      <c r="D18" s="68">
        <f>EXP(SUMPRODUCT(LN(1+INDEX('Quarterly returns'!U$6:U$85,MATCH($B$7,'Quarterly returns'!$A$6:$A$85,0)):INDEX('Quarterly returns'!U$6:U$85,MATCH($C$7,'Quarterly returns'!$A$6:$A$85,0)))))-1</f>
        <v>9.4939572138605932E-3</v>
      </c>
      <c r="E18" s="103">
        <f>Oil!F35</f>
        <v>-9.8427119716864964E-2</v>
      </c>
    </row>
    <row r="19" spans="1:5" x14ac:dyDescent="0.2">
      <c r="A19" s="95" t="s">
        <v>30</v>
      </c>
      <c r="B19" s="68">
        <f>EXP(SUMPRODUCT(LN(1+INDEX('Quarterly returns'!V$6:V$85,MATCH($B$5,'Quarterly returns'!$A$6:$A$85,0)):INDEX('Quarterly returns'!V$6:V$85,MATCH($C$5,'Quarterly returns'!$A$6:$A$85,0)))))-1</f>
        <v>0.15561261246838121</v>
      </c>
      <c r="C19" s="68">
        <f>EXP(SUMPRODUCT(LN(1+INDEX('Quarterly returns'!V$6:V$85,MATCH($B$6,'Quarterly returns'!$A$6:$A$85,0)):INDEX('Quarterly returns'!V$6:V$85,MATCH($C$6,'Quarterly returns'!$A$6:$A$85,0)))))-1</f>
        <v>3.3109728247563419E-2</v>
      </c>
      <c r="D19" s="68">
        <f>EXP(SUMPRODUCT(LN(1+INDEX('Quarterly returns'!V$6:V$85,MATCH($B$7,'Quarterly returns'!$A$6:$A$85,0)):INDEX('Quarterly returns'!V$6:V$85,MATCH($C$7,'Quarterly returns'!$A$6:$A$85,0)))))-1</f>
        <v>-0.11082469618679014</v>
      </c>
      <c r="E19" s="103">
        <f>Oil!F36</f>
        <v>-4.8843969837898203E-2</v>
      </c>
    </row>
    <row r="20" spans="1:5" x14ac:dyDescent="0.2">
      <c r="A20" s="95" t="s">
        <v>32</v>
      </c>
      <c r="B20" s="68">
        <f>EXP(SUMPRODUCT(LN(1+INDEX('Quarterly returns'!W$6:W$85,MATCH($B$5,'Quarterly returns'!$A$6:$A$85,0)):INDEX('Quarterly returns'!W$6:W$85,MATCH($C$5,'Quarterly returns'!$A$6:$A$85,0)))))-1</f>
        <v>0.12829728650398353</v>
      </c>
      <c r="C20" s="68">
        <f>EXP(SUMPRODUCT(LN(1+INDEX('Quarterly returns'!W$6:W$85,MATCH($B$6,'Quarterly returns'!$A$6:$A$85,0)):INDEX('Quarterly returns'!W$6:W$85,MATCH($C$6,'Quarterly returns'!$A$6:$A$85,0)))))-1</f>
        <v>3.0592829203142546E-2</v>
      </c>
      <c r="D20" s="68">
        <f>EXP(SUMPRODUCT(LN(1+INDEX('Quarterly returns'!W$6:W$85,MATCH($B$7,'Quarterly returns'!$A$6:$A$85,0)):INDEX('Quarterly returns'!W$6:W$85,MATCH($C$7,'Quarterly returns'!$A$6:$A$85,0)))))-1</f>
        <v>-0.12590992857064465</v>
      </c>
      <c r="E20" s="103">
        <f>Oil!F37</f>
        <v>-4.7775823658420521E-2</v>
      </c>
    </row>
    <row r="21" spans="1:5" x14ac:dyDescent="0.2">
      <c r="A21" s="107" t="s">
        <v>34</v>
      </c>
      <c r="B21" s="324">
        <f>EXP(SUMPRODUCT(LN(1+INDEX('Quarterly returns'!X$6:X$85,MATCH($B$5,'Quarterly returns'!$A$6:$A$85,0)):INDEX('Quarterly returns'!X$6:X$85,MATCH($C$5,'Quarterly returns'!$A$6:$A$85,0)))))-1</f>
        <v>0.10525180108826371</v>
      </c>
      <c r="C21" s="324">
        <f>EXP(SUMPRODUCT(LN(1+INDEX('Quarterly returns'!X$6:X$85,MATCH($B$6,'Quarterly returns'!$A$6:$A$85,0)):INDEX('Quarterly returns'!X$6:X$85,MATCH($C$6,'Quarterly returns'!$A$6:$A$85,0)))))-1</f>
        <v>2.561273405062181E-3</v>
      </c>
      <c r="D21" s="324">
        <f>EXP(SUMPRODUCT(LN(1+INDEX('Quarterly returns'!X$6:X$85,MATCH($B$7,'Quarterly returns'!$A$6:$A$85,0)):INDEX('Quarterly returns'!X$6:X$85,MATCH($C$7,'Quarterly returns'!$A$6:$A$85,0)))))-1</f>
        <v>1.2555221974733799E-2</v>
      </c>
      <c r="E21" s="330">
        <f>Oil!F38</f>
        <v>0</v>
      </c>
    </row>
    <row r="24" spans="1:5" x14ac:dyDescent="0.2">
      <c r="A24" s="86" t="s">
        <v>452</v>
      </c>
      <c r="B24" s="87"/>
      <c r="C24" s="87"/>
      <c r="D24" s="87"/>
      <c r="E24" s="88"/>
    </row>
    <row r="25" spans="1:5" ht="42" customHeight="1" x14ac:dyDescent="0.2">
      <c r="A25" s="92" t="s">
        <v>91</v>
      </c>
      <c r="B25" s="93" t="s">
        <v>44</v>
      </c>
      <c r="C25" s="93" t="s">
        <v>46</v>
      </c>
      <c r="D25" s="93" t="s">
        <v>48</v>
      </c>
      <c r="E25" s="94" t="s">
        <v>164</v>
      </c>
    </row>
    <row r="26" spans="1:5" x14ac:dyDescent="0.2">
      <c r="A26" s="98" t="s">
        <v>141</v>
      </c>
      <c r="B26" s="68">
        <f>SUMPRODUCT(B$11:B$21,Portfolio!$C$6:$C$16)</f>
        <v>-0.24167170700493548</v>
      </c>
      <c r="C26" s="68">
        <f>SUMPRODUCT(C$11:C$21,Portfolio!$C$6:$C$16)</f>
        <v>-0.12092702523817271</v>
      </c>
      <c r="D26" s="68">
        <f>SUMPRODUCT(D$11:D$21,Portfolio!$C$6:$C$16)</f>
        <v>-7.2754437481492379E-2</v>
      </c>
      <c r="E26" s="99">
        <f>SUMPRODUCT(E$11:E$21,Portfolio!$C$6:$C$16)</f>
        <v>-8.2609308004662318E-2</v>
      </c>
    </row>
    <row r="27" spans="1:5" x14ac:dyDescent="0.2">
      <c r="A27" s="98" t="s">
        <v>7</v>
      </c>
      <c r="B27" s="68">
        <f>SUMPRODUCT(B$11:B$21,Portfolio!$D$6:$D$16)</f>
        <v>-0.19300088608551058</v>
      </c>
      <c r="C27" s="68">
        <f>SUMPRODUCT(C$11:C$21,Portfolio!$D$6:$D$16)</f>
        <v>-9.1806484538445088E-2</v>
      </c>
      <c r="D27" s="68">
        <f>SUMPRODUCT(D$11:D$21,Portfolio!$D$6:$D$16)</f>
        <v>-7.2610797933692253E-2</v>
      </c>
      <c r="E27" s="99">
        <f>SUMPRODUCT(E$11:E$21,Portfolio!$D$6:$D$16)</f>
        <v>-7.3910247008008134E-2</v>
      </c>
    </row>
    <row r="28" spans="1:5" x14ac:dyDescent="0.2">
      <c r="A28" s="283" t="s">
        <v>8</v>
      </c>
      <c r="B28" s="69">
        <f>SUMPRODUCT(B$11:B$21,Portfolio!$E$6:$E$16)</f>
        <v>-0.24131526738452802</v>
      </c>
      <c r="C28" s="69">
        <f>SUMPRODUCT(C$11:C$21,Portfolio!$E$6:$E$16)</f>
        <v>-0.11048429005790601</v>
      </c>
      <c r="D28" s="69">
        <f>SUMPRODUCT(D$11:D$21,Portfolio!$E$6:$E$16)</f>
        <v>-7.2174037325547016E-2</v>
      </c>
      <c r="E28" s="331">
        <f>SUMPRODUCT(E$11:E$21,Portfolio!$E$6:$E$16)</f>
        <v>-7.8202714049658631E-2</v>
      </c>
    </row>
    <row r="29" spans="1:5" x14ac:dyDescent="0.2">
      <c r="A29" s="283" t="s">
        <v>453</v>
      </c>
      <c r="B29" s="69">
        <f>B28-B26</f>
        <v>3.5643962040746158E-4</v>
      </c>
      <c r="C29" s="69">
        <f>C28-C26</f>
        <v>1.0442735180266699E-2</v>
      </c>
      <c r="D29" s="69">
        <f>D28-D26</f>
        <v>5.8040015594536254E-4</v>
      </c>
      <c r="E29" s="331">
        <f>E28-E26</f>
        <v>4.4065939550036876E-3</v>
      </c>
    </row>
    <row r="30" spans="1:5" x14ac:dyDescent="0.2">
      <c r="A30" s="332" t="s">
        <v>454</v>
      </c>
      <c r="B30" s="333">
        <f>B28-B27</f>
        <v>-4.8314381299017439E-2</v>
      </c>
      <c r="C30" s="333">
        <f>C28-C27</f>
        <v>-1.8677805519460924E-2</v>
      </c>
      <c r="D30" s="333">
        <f>D28-D27</f>
        <v>4.3676060814523687E-4</v>
      </c>
      <c r="E30" s="334">
        <f>E28-E27</f>
        <v>-4.2924670416504968E-3</v>
      </c>
    </row>
  </sheetData>
  <pageMargins left="0.75" right="0.75" top="1" bottom="1" header="0.5" footer="0.5"/>
  <pageSetup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843C0C"/>
    <pageSetUpPr fitToPage="1"/>
  </sheetPr>
  <dimension ref="A1:AE701"/>
  <sheetViews>
    <sheetView showGridLines="0" workbookViewId="0">
      <pane ySplit="4" topLeftCell="A5" activePane="bottomLeft" state="frozen"/>
      <selection pane="bottomLeft" activeCell="E4" sqref="E4"/>
    </sheetView>
  </sheetViews>
  <sheetFormatPr baseColWidth="10" defaultColWidth="8.83203125" defaultRowHeight="15" x14ac:dyDescent="0.2"/>
  <cols>
    <col min="1" max="1" width="34" customWidth="1"/>
    <col min="2" max="6" width="12" customWidth="1"/>
    <col min="7" max="7" width="11" customWidth="1"/>
    <col min="8" max="8" width="13" customWidth="1"/>
    <col min="9" max="12" width="11" customWidth="1"/>
    <col min="13" max="13" width="3" customWidth="1"/>
    <col min="14" max="31" width="11" customWidth="1"/>
  </cols>
  <sheetData>
    <row r="1" spans="1:31" ht="19" x14ac:dyDescent="0.2">
      <c r="A1" s="53" t="s">
        <v>108</v>
      </c>
    </row>
    <row r="3" spans="1:31" x14ac:dyDescent="0.2">
      <c r="A3" s="104" t="s">
        <v>455</v>
      </c>
      <c r="B3" s="105"/>
      <c r="C3" s="106"/>
      <c r="N3" s="203" t="s">
        <v>456</v>
      </c>
      <c r="O3" s="204"/>
      <c r="P3" s="204"/>
      <c r="Q3" s="204"/>
      <c r="R3" s="204"/>
      <c r="S3" s="204"/>
      <c r="T3" s="204"/>
      <c r="U3" s="204"/>
      <c r="V3" s="204"/>
      <c r="W3" s="204"/>
      <c r="X3" s="204"/>
      <c r="Y3" s="204"/>
      <c r="Z3" s="204"/>
      <c r="AA3" s="204"/>
      <c r="AB3" s="204"/>
      <c r="AC3" s="204"/>
      <c r="AD3" s="204"/>
      <c r="AE3" s="205"/>
    </row>
    <row r="4" spans="1:31" ht="54" customHeight="1" x14ac:dyDescent="0.2">
      <c r="A4" s="114" t="s">
        <v>457</v>
      </c>
      <c r="B4" s="192">
        <v>96.41</v>
      </c>
      <c r="C4" s="420" t="s">
        <v>458</v>
      </c>
      <c r="N4" s="206" t="s">
        <v>459</v>
      </c>
      <c r="O4" s="207" t="s">
        <v>460</v>
      </c>
      <c r="P4" s="207" t="s">
        <v>461</v>
      </c>
      <c r="Q4" s="207" t="s">
        <v>462</v>
      </c>
      <c r="R4" s="207" t="s">
        <v>463</v>
      </c>
      <c r="S4" s="207" t="s">
        <v>464</v>
      </c>
      <c r="T4" s="335" t="s">
        <v>465</v>
      </c>
      <c r="U4" s="112" t="s">
        <v>466</v>
      </c>
      <c r="V4" s="112" t="s">
        <v>467</v>
      </c>
      <c r="W4" s="112" t="s">
        <v>468</v>
      </c>
      <c r="X4" s="335" t="s">
        <v>469</v>
      </c>
      <c r="Y4" s="112" t="s">
        <v>470</v>
      </c>
      <c r="Z4" s="112" t="s">
        <v>471</v>
      </c>
      <c r="AA4" s="112" t="s">
        <v>472</v>
      </c>
      <c r="AB4" s="335" t="s">
        <v>473</v>
      </c>
      <c r="AC4" s="112" t="s">
        <v>474</v>
      </c>
      <c r="AD4" s="112" t="s">
        <v>475</v>
      </c>
      <c r="AE4" s="336" t="s">
        <v>476</v>
      </c>
    </row>
    <row r="5" spans="1:31" x14ac:dyDescent="0.2">
      <c r="A5" s="114" t="s">
        <v>477</v>
      </c>
      <c r="B5" s="192">
        <v>150</v>
      </c>
      <c r="C5" s="420" t="s">
        <v>220</v>
      </c>
      <c r="N5" s="337">
        <v>24868</v>
      </c>
      <c r="O5" s="116">
        <f>INDEX('Additional data'!$B$2:$B$965,MATCH(DATE(YEAR(N5),MONTH(N5),1),'Additional data'!$A$2:$A$965,0))</f>
        <v>3.07</v>
      </c>
      <c r="P5" s="232">
        <f t="shared" ref="P5:P68" si="0">LN(O5)</f>
        <v>1.1216775615991057</v>
      </c>
      <c r="Q5" s="232">
        <f>LN(1+INDEX('Additional data'!$H$2:$H$1196,MATCH(N5,'Additional data'!$G$2:$G$1196,1))+INDEX('Additional data'!$I$2:$I$1196,MATCH(N5,'Additional data'!$G$2:$G$1196,1)))</f>
        <v>-3.6975236124895311E-2</v>
      </c>
      <c r="R5" s="77"/>
      <c r="S5" s="116">
        <f>INDEX('Additional data'!$E$2:$E$699,MATCH(DATE(YEAR(N5),MONTH(N5),1),'Additional data'!$D$2:$D$699,0))</f>
        <v>5.0999999999999996</v>
      </c>
      <c r="T5" s="77"/>
      <c r="U5" s="77"/>
      <c r="V5" s="77"/>
      <c r="W5" s="77"/>
      <c r="X5" s="77"/>
      <c r="Y5" s="77"/>
      <c r="Z5" s="77"/>
      <c r="AA5" s="77"/>
      <c r="AB5" s="77"/>
      <c r="AC5" s="77"/>
      <c r="AD5" s="77"/>
      <c r="AE5" s="237"/>
    </row>
    <row r="6" spans="1:31" x14ac:dyDescent="0.2">
      <c r="A6" s="114" t="s">
        <v>478</v>
      </c>
      <c r="B6" s="68">
        <f>B5/B4-1</f>
        <v>0.55585520174255798</v>
      </c>
      <c r="C6" s="338"/>
      <c r="N6" s="337">
        <v>24897</v>
      </c>
      <c r="O6" s="116">
        <f>INDEX('Additional data'!$B$2:$B$965,MATCH(DATE(YEAR(N6),MONTH(N6),1),'Additional data'!$A$2:$A$965,0))</f>
        <v>3.07</v>
      </c>
      <c r="P6" s="232">
        <f t="shared" si="0"/>
        <v>1.1216775615991057</v>
      </c>
      <c r="Q6" s="232">
        <f>Q5+LN(1+INDEX('Additional data'!$H$2:$H$1196,MATCH(N6,'Additional data'!$G$2:$G$1196,1))+INDEX('Additional data'!$I$2:$I$1196,MATCH(N6,'Additional data'!$G$2:$G$1196,1)))</f>
        <v>-7.1049216458646758E-2</v>
      </c>
      <c r="R6" s="77"/>
      <c r="S6" s="116">
        <f>INDEX('Additional data'!$E$2:$E$699,MATCH(DATE(YEAR(N6),MONTH(N6),1),'Additional data'!$D$2:$D$699,0))</f>
        <v>5.15</v>
      </c>
      <c r="T6" s="115">
        <f t="shared" ref="T6:T69" si="1">P6-P5</f>
        <v>0</v>
      </c>
      <c r="U6" s="115">
        <f t="shared" ref="U6:U69" si="2">Q6-Q5</f>
        <v>-3.4073980333751447E-2</v>
      </c>
      <c r="V6" s="77"/>
      <c r="W6" s="116">
        <f t="shared" ref="W6:W69" si="3">S6-S5</f>
        <v>5.0000000000000711E-2</v>
      </c>
      <c r="X6" s="77"/>
      <c r="Y6" s="77"/>
      <c r="Z6" s="77"/>
      <c r="AA6" s="77"/>
      <c r="AB6" s="77"/>
      <c r="AC6" s="77"/>
      <c r="AD6" s="77"/>
      <c r="AE6" s="237"/>
    </row>
    <row r="7" spans="1:31" x14ac:dyDescent="0.2">
      <c r="A7" s="339" t="s">
        <v>479</v>
      </c>
      <c r="B7" s="340">
        <f>LN(B5/B4)</f>
        <v>0.44202536341996684</v>
      </c>
      <c r="C7" s="341"/>
      <c r="N7" s="337">
        <v>24928</v>
      </c>
      <c r="O7" s="116">
        <f>INDEX('Additional data'!$B$2:$B$965,MATCH(DATE(YEAR(N7),MONTH(N7),1),'Additional data'!$A$2:$A$965,0))</f>
        <v>3.07</v>
      </c>
      <c r="P7" s="232">
        <f t="shared" si="0"/>
        <v>1.1216775615991057</v>
      </c>
      <c r="Q7" s="232">
        <f>Q6+LN(1+INDEX('Additional data'!$H$2:$H$1196,MATCH(N7,'Additional data'!$G$2:$G$1196,1))+INDEX('Additional data'!$I$2:$I$1196,MATCH(N7,'Additional data'!$G$2:$G$1196,1)))</f>
        <v>-6.5166553300491245E-2</v>
      </c>
      <c r="R7" s="77"/>
      <c r="S7" s="116">
        <f>INDEX('Additional data'!$E$2:$E$699,MATCH(DATE(YEAR(N7),MONTH(N7),1),'Additional data'!$D$2:$D$699,0))</f>
        <v>5.15</v>
      </c>
      <c r="T7" s="115">
        <f t="shared" si="1"/>
        <v>0</v>
      </c>
      <c r="U7" s="115">
        <f t="shared" si="2"/>
        <v>5.8826631581555128E-3</v>
      </c>
      <c r="V7" s="77"/>
      <c r="W7" s="116">
        <f t="shared" si="3"/>
        <v>0</v>
      </c>
      <c r="X7" s="77"/>
      <c r="Y7" s="77"/>
      <c r="Z7" s="77"/>
      <c r="AA7" s="77"/>
      <c r="AB7" s="77"/>
      <c r="AC7" s="77"/>
      <c r="AD7" s="77"/>
      <c r="AE7" s="237"/>
    </row>
    <row r="8" spans="1:31" x14ac:dyDescent="0.2">
      <c r="N8" s="337">
        <v>24958</v>
      </c>
      <c r="O8" s="116">
        <f>INDEX('Additional data'!$B$2:$B$965,MATCH(DATE(YEAR(N8),MONTH(N8),1),'Additional data'!$A$2:$A$965,0))</f>
        <v>3.07</v>
      </c>
      <c r="P8" s="232">
        <f t="shared" si="0"/>
        <v>1.1216775615991057</v>
      </c>
      <c r="Q8" s="232">
        <f>Q7+LN(1+INDEX('Additional data'!$H$2:$H$1196,MATCH(N8,'Additional data'!$G$2:$G$1196,1))+INDEX('Additional data'!$I$2:$I$1196,MATCH(N8,'Additional data'!$G$2:$G$1196,1)))</f>
        <v>2.5131084680289364E-2</v>
      </c>
      <c r="R8" s="77"/>
      <c r="S8" s="116">
        <f>INDEX('Additional data'!$E$2:$E$699,MATCH(DATE(YEAR(N8),MONTH(N8),1),'Additional data'!$D$2:$D$699,0))</f>
        <v>5.15</v>
      </c>
      <c r="T8" s="115">
        <f t="shared" si="1"/>
        <v>0</v>
      </c>
      <c r="U8" s="115">
        <f t="shared" si="2"/>
        <v>9.029763798078061E-2</v>
      </c>
      <c r="V8" s="77"/>
      <c r="W8" s="116">
        <f t="shared" si="3"/>
        <v>0</v>
      </c>
      <c r="X8" s="77"/>
      <c r="Y8" s="77"/>
      <c r="Z8" s="77"/>
      <c r="AA8" s="77"/>
      <c r="AB8" s="77"/>
      <c r="AC8" s="77"/>
      <c r="AD8" s="77"/>
      <c r="AE8" s="237"/>
    </row>
    <row r="9" spans="1:31" x14ac:dyDescent="0.2">
      <c r="A9" s="104" t="s">
        <v>480</v>
      </c>
      <c r="B9" s="105"/>
      <c r="C9" s="105"/>
      <c r="D9" s="105"/>
      <c r="E9" s="105"/>
      <c r="F9" s="105"/>
      <c r="G9" s="105"/>
      <c r="H9" s="106"/>
      <c r="N9" s="337">
        <v>24989</v>
      </c>
      <c r="O9" s="116">
        <f>INDEX('Additional data'!$B$2:$B$965,MATCH(DATE(YEAR(N9),MONTH(N9),1),'Additional data'!$A$2:$A$965,0))</f>
        <v>3.07</v>
      </c>
      <c r="P9" s="232">
        <f t="shared" si="0"/>
        <v>1.1216775615991057</v>
      </c>
      <c r="Q9" s="232">
        <f>Q8+LN(1+INDEX('Additional data'!$H$2:$H$1196,MATCH(N9,'Additional data'!$G$2:$G$1196,1))+INDEX('Additional data'!$I$2:$I$1196,MATCH(N9,'Additional data'!$G$2:$G$1196,1)))</f>
        <v>5.2065085920370194E-2</v>
      </c>
      <c r="R9" s="77"/>
      <c r="S9" s="116">
        <f>INDEX('Additional data'!$E$2:$E$699,MATCH(DATE(YEAR(N9),MONTH(N9),1),'Additional data'!$D$2:$D$699,0))</f>
        <v>5.3</v>
      </c>
      <c r="T9" s="115">
        <f t="shared" si="1"/>
        <v>0</v>
      </c>
      <c r="U9" s="115">
        <f t="shared" si="2"/>
        <v>2.6934001240080829E-2</v>
      </c>
      <c r="V9" s="77"/>
      <c r="W9" s="116">
        <f t="shared" si="3"/>
        <v>0.14999999999999947</v>
      </c>
      <c r="X9" s="77"/>
      <c r="Y9" s="77"/>
      <c r="Z9" s="77"/>
      <c r="AA9" s="77"/>
      <c r="AB9" s="77"/>
      <c r="AC9" s="77"/>
      <c r="AD9" s="77"/>
      <c r="AE9" s="237"/>
    </row>
    <row r="10" spans="1:31" ht="42" customHeight="1" x14ac:dyDescent="0.2">
      <c r="A10" s="111" t="s">
        <v>55</v>
      </c>
      <c r="B10" s="112" t="s">
        <v>481</v>
      </c>
      <c r="C10" s="112" t="s">
        <v>56</v>
      </c>
      <c r="D10" s="112" t="s">
        <v>482</v>
      </c>
      <c r="E10" s="112" t="s">
        <v>483</v>
      </c>
      <c r="F10" s="112" t="s">
        <v>58</v>
      </c>
      <c r="G10" s="112" t="s">
        <v>484</v>
      </c>
      <c r="H10" s="113" t="s">
        <v>485</v>
      </c>
      <c r="N10" s="337">
        <v>25019</v>
      </c>
      <c r="O10" s="116">
        <f>INDEX('Additional data'!$B$2:$B$965,MATCH(DATE(YEAR(N10),MONTH(N10),1),'Additional data'!$A$2:$A$965,0))</f>
        <v>3.07</v>
      </c>
      <c r="P10" s="232">
        <f t="shared" si="0"/>
        <v>1.1216775615991057</v>
      </c>
      <c r="Q10" s="232">
        <f>Q9+LN(1+INDEX('Additional data'!$H$2:$H$1196,MATCH(N10,'Additional data'!$G$2:$G$1196,1))+INDEX('Additional data'!$I$2:$I$1196,MATCH(N10,'Additional data'!$G$2:$G$1196,1)))</f>
        <v>6.3301717846357741E-2</v>
      </c>
      <c r="R10" s="77"/>
      <c r="S10" s="116">
        <f>INDEX('Additional data'!$E$2:$E$699,MATCH(DATE(YEAR(N10),MONTH(N10),1),'Additional data'!$D$2:$D$699,0))</f>
        <v>5.5</v>
      </c>
      <c r="T10" s="115">
        <f t="shared" si="1"/>
        <v>0</v>
      </c>
      <c r="U10" s="115">
        <f t="shared" si="2"/>
        <v>1.1236631925987547E-2</v>
      </c>
      <c r="V10" s="77"/>
      <c r="W10" s="116">
        <f t="shared" si="3"/>
        <v>0.20000000000000018</v>
      </c>
      <c r="X10" s="77"/>
      <c r="Y10" s="77"/>
      <c r="Z10" s="77"/>
      <c r="AA10" s="77"/>
      <c r="AB10" s="77"/>
      <c r="AC10" s="77"/>
      <c r="AD10" s="77"/>
      <c r="AE10" s="237"/>
    </row>
    <row r="11" spans="1:31" x14ac:dyDescent="0.2">
      <c r="A11" s="114" t="s">
        <v>59</v>
      </c>
      <c r="B11" s="342">
        <v>1</v>
      </c>
      <c r="C11" s="115">
        <f>SLOPE($U$6:$U$701,$T$6:$T$701)</f>
        <v>3.3291576486848377E-2</v>
      </c>
      <c r="D11" s="116">
        <f>CORREL($U$6:$U$701,$T$6:$T$701)*SQRT((G11-2)/(1-F11))</f>
        <v>1.705586346111106</v>
      </c>
      <c r="E11" s="116">
        <f t="shared" ref="E11:E19" si="4">D11/SQRT(B11)</f>
        <v>1.705586346111106</v>
      </c>
      <c r="F11" s="116">
        <f>RSQ($U$6:$U$701,$T$6:$T$701)</f>
        <v>4.1741815367394436E-3</v>
      </c>
      <c r="G11" s="342">
        <f>COUNT($U$6:$U$701)</f>
        <v>696</v>
      </c>
      <c r="H11" s="343">
        <f t="shared" ref="H11:H16" si="5">EXP(C11*$B$7)-1</f>
        <v>1.482453050120891E-2</v>
      </c>
      <c r="N11" s="337">
        <v>25050</v>
      </c>
      <c r="O11" s="116">
        <f>INDEX('Additional data'!$B$2:$B$965,MATCH(DATE(YEAR(N11),MONTH(N11),1),'Additional data'!$A$2:$A$965,0))</f>
        <v>3.07</v>
      </c>
      <c r="P11" s="232">
        <f t="shared" si="0"/>
        <v>1.1216775615991057</v>
      </c>
      <c r="Q11" s="232">
        <f>Q10+LN(1+INDEX('Additional data'!$H$2:$H$1196,MATCH(N11,'Additional data'!$G$2:$G$1196,1))+INDEX('Additional data'!$I$2:$I$1196,MATCH(N11,'Additional data'!$G$2:$G$1196,1)))</f>
        <v>4.0953854182450122E-2</v>
      </c>
      <c r="R11" s="77"/>
      <c r="S11" s="116">
        <f>INDEX('Additional data'!$E$2:$E$699,MATCH(DATE(YEAR(N11),MONTH(N11),1),'Additional data'!$D$2:$D$699,0))</f>
        <v>5.0999999999999996</v>
      </c>
      <c r="T11" s="115">
        <f t="shared" si="1"/>
        <v>0</v>
      </c>
      <c r="U11" s="115">
        <f t="shared" si="2"/>
        <v>-2.2347863663907619E-2</v>
      </c>
      <c r="V11" s="77"/>
      <c r="W11" s="116">
        <f t="shared" si="3"/>
        <v>-0.40000000000000036</v>
      </c>
      <c r="X11" s="77"/>
      <c r="Y11" s="77"/>
      <c r="Z11" s="77"/>
      <c r="AA11" s="77"/>
      <c r="AB11" s="77"/>
      <c r="AC11" s="77"/>
      <c r="AD11" s="77"/>
      <c r="AE11" s="237"/>
    </row>
    <row r="12" spans="1:31" x14ac:dyDescent="0.2">
      <c r="A12" s="114" t="s">
        <v>59</v>
      </c>
      <c r="B12" s="342">
        <v>12</v>
      </c>
      <c r="C12" s="115">
        <f>SLOPE($Y$17:$Y$701,$X$17:$X$701)</f>
        <v>2.030193864590087E-2</v>
      </c>
      <c r="D12" s="116">
        <f>CORREL($Y$17:$Y$701,$X$17:$X$701)*SQRT((G12-2)/(1-F12))</f>
        <v>1.0700093353038507</v>
      </c>
      <c r="E12" s="116">
        <f t="shared" si="4"/>
        <v>0.30888508888654537</v>
      </c>
      <c r="F12" s="116">
        <f>RSQ($Y$17:$Y$701,$X$17:$X$701)</f>
        <v>1.6735050487180581E-3</v>
      </c>
      <c r="G12" s="342">
        <f>COUNT($Y$17:$Y$701)</f>
        <v>685</v>
      </c>
      <c r="H12" s="343">
        <f t="shared" si="5"/>
        <v>9.0143586127062747E-3</v>
      </c>
      <c r="N12" s="337">
        <v>25081</v>
      </c>
      <c r="O12" s="116">
        <f>INDEX('Additional data'!$B$2:$B$965,MATCH(DATE(YEAR(N12),MONTH(N12),1),'Additional data'!$A$2:$A$965,0))</f>
        <v>3.07</v>
      </c>
      <c r="P12" s="232">
        <f t="shared" si="0"/>
        <v>1.1216775615991057</v>
      </c>
      <c r="Q12" s="232">
        <f>Q11+LN(1+INDEX('Additional data'!$H$2:$H$1196,MATCH(N12,'Additional data'!$G$2:$G$1196,1))+INDEX('Additional data'!$I$2:$I$1196,MATCH(N12,'Additional data'!$G$2:$G$1196,1)))</f>
        <v>5.8499033398198987E-2</v>
      </c>
      <c r="R12" s="77"/>
      <c r="S12" s="116">
        <f>INDEX('Additional data'!$E$2:$E$699,MATCH(DATE(YEAR(N12),MONTH(N12),1),'Additional data'!$D$2:$D$699,0))</f>
        <v>5.0999999999999996</v>
      </c>
      <c r="T12" s="115">
        <f t="shared" si="1"/>
        <v>0</v>
      </c>
      <c r="U12" s="115">
        <f t="shared" si="2"/>
        <v>1.7545179215748864E-2</v>
      </c>
      <c r="V12" s="77"/>
      <c r="W12" s="116">
        <f t="shared" si="3"/>
        <v>0</v>
      </c>
      <c r="X12" s="77"/>
      <c r="Y12" s="77"/>
      <c r="Z12" s="77"/>
      <c r="AA12" s="77"/>
      <c r="AB12" s="77"/>
      <c r="AC12" s="77"/>
      <c r="AD12" s="77"/>
      <c r="AE12" s="237"/>
    </row>
    <row r="13" spans="1:31" x14ac:dyDescent="0.2">
      <c r="A13" s="114" t="s">
        <v>59</v>
      </c>
      <c r="B13" s="342">
        <v>60</v>
      </c>
      <c r="C13" s="115">
        <f>SLOPE($AC$65:$AC$701,$AB$65:$AB$701)</f>
        <v>-0.22998126837037369</v>
      </c>
      <c r="D13" s="116">
        <f>CORREL($AC$65:$AC$701,$AB$65:$AB$701)*SQRT((G13-2)/(1-F13))</f>
        <v>-12.039039050912457</v>
      </c>
      <c r="E13" s="116">
        <f t="shared" si="4"/>
        <v>-1.5542332582841563</v>
      </c>
      <c r="F13" s="116">
        <f>RSQ($AC$65:$AC$701,$AB$65:$AB$701)</f>
        <v>0.18583320154964442</v>
      </c>
      <c r="G13" s="342">
        <f>COUNT($AC$65:$AC$701)</f>
        <v>637</v>
      </c>
      <c r="H13" s="343">
        <f t="shared" si="5"/>
        <v>-9.6661156275604787E-2</v>
      </c>
      <c r="N13" s="337">
        <v>25111</v>
      </c>
      <c r="O13" s="116">
        <f>INDEX('Additional data'!$B$2:$B$965,MATCH(DATE(YEAR(N13),MONTH(N13),1),'Additional data'!$A$2:$A$965,0))</f>
        <v>3.07</v>
      </c>
      <c r="P13" s="232">
        <f t="shared" si="0"/>
        <v>1.1216775615991057</v>
      </c>
      <c r="Q13" s="232">
        <f>Q12+LN(1+INDEX('Additional data'!$H$2:$H$1196,MATCH(N13,'Additional data'!$G$2:$G$1196,1))+INDEX('Additional data'!$I$2:$I$1196,MATCH(N13,'Additional data'!$G$2:$G$1196,1)))</f>
        <v>0.1023245129382285</v>
      </c>
      <c r="R13" s="77"/>
      <c r="S13" s="116">
        <f>INDEX('Additional data'!$E$2:$E$699,MATCH(DATE(YEAR(N13),MONTH(N13),1),'Additional data'!$D$2:$D$699,0))</f>
        <v>5.05</v>
      </c>
      <c r="T13" s="115">
        <f t="shared" si="1"/>
        <v>0</v>
      </c>
      <c r="U13" s="115">
        <f t="shared" si="2"/>
        <v>4.3825479540029515E-2</v>
      </c>
      <c r="V13" s="77"/>
      <c r="W13" s="116">
        <f t="shared" si="3"/>
        <v>-4.9999999999999822E-2</v>
      </c>
      <c r="X13" s="77"/>
      <c r="Y13" s="77"/>
      <c r="Z13" s="77"/>
      <c r="AA13" s="77"/>
      <c r="AB13" s="77"/>
      <c r="AC13" s="77"/>
      <c r="AD13" s="77"/>
      <c r="AE13" s="237"/>
    </row>
    <row r="14" spans="1:31" x14ac:dyDescent="0.2">
      <c r="A14" s="114" t="s">
        <v>60</v>
      </c>
      <c r="B14" s="342">
        <v>1</v>
      </c>
      <c r="C14" s="115">
        <f>SLOPE($V$209:$V$701,$T$209:$T$701)</f>
        <v>6.7087054081970979E-2</v>
      </c>
      <c r="D14" s="116">
        <f>CORREL($V$209:$V$701,$T$209:$T$701)*SQRT((G14-2)/(1-F14))</f>
        <v>3.0035220689834494</v>
      </c>
      <c r="E14" s="116">
        <f t="shared" si="4"/>
        <v>3.0035220689834494</v>
      </c>
      <c r="F14" s="116">
        <f>RSQ($V$209:$V$701,$T$209:$T$701)</f>
        <v>1.8041526668114146E-2</v>
      </c>
      <c r="G14" s="342">
        <f>COUNT($V$209:$V$701)</f>
        <v>493</v>
      </c>
      <c r="H14" s="343">
        <f t="shared" si="5"/>
        <v>3.0098243221416299E-2</v>
      </c>
      <c r="N14" s="337">
        <v>25142</v>
      </c>
      <c r="O14" s="116">
        <f>INDEX('Additional data'!$B$2:$B$965,MATCH(DATE(YEAR(N14),MONTH(N14),1),'Additional data'!$A$2:$A$965,0))</f>
        <v>3.07</v>
      </c>
      <c r="P14" s="232">
        <f t="shared" si="0"/>
        <v>1.1216775615991057</v>
      </c>
      <c r="Q14" s="232">
        <f>Q13+LN(1+INDEX('Additional data'!$H$2:$H$1196,MATCH(N14,'Additional data'!$G$2:$G$1196,1))+INDEX('Additional data'!$I$2:$I$1196,MATCH(N14,'Additional data'!$G$2:$G$1196,1)))</f>
        <v>0.11098688601688109</v>
      </c>
      <c r="R14" s="77"/>
      <c r="S14" s="116">
        <f>INDEX('Additional data'!$E$2:$E$699,MATCH(DATE(YEAR(N14),MONTH(N14),1),'Additional data'!$D$2:$D$699,0))</f>
        <v>5</v>
      </c>
      <c r="T14" s="115">
        <f t="shared" si="1"/>
        <v>0</v>
      </c>
      <c r="U14" s="115">
        <f t="shared" si="2"/>
        <v>8.6623730786525854E-3</v>
      </c>
      <c r="V14" s="77"/>
      <c r="W14" s="116">
        <f t="shared" si="3"/>
        <v>-4.9999999999999822E-2</v>
      </c>
      <c r="X14" s="77"/>
      <c r="Y14" s="77"/>
      <c r="Z14" s="77"/>
      <c r="AA14" s="77"/>
      <c r="AB14" s="77"/>
      <c r="AC14" s="77"/>
      <c r="AD14" s="77"/>
      <c r="AE14" s="237"/>
    </row>
    <row r="15" spans="1:31" x14ac:dyDescent="0.2">
      <c r="A15" s="114" t="s">
        <v>60</v>
      </c>
      <c r="B15" s="342">
        <v>12</v>
      </c>
      <c r="C15" s="115">
        <f>SLOPE($Z$220:$Z$701,$X$220:$X$701)</f>
        <v>0.10082179247598959</v>
      </c>
      <c r="D15" s="116">
        <f>CORREL($Z$220:$Z$701,$X$220:$X$701)*SQRT((G15-2)/(1-F15))</f>
        <v>5.1124036381454951</v>
      </c>
      <c r="E15" s="116">
        <f t="shared" si="4"/>
        <v>1.475823808344662</v>
      </c>
      <c r="F15" s="116">
        <f>RSQ($Z$220:$Z$701,$X$220:$X$701)</f>
        <v>5.1639552039934755E-2</v>
      </c>
      <c r="G15" s="342">
        <f>COUNT($Z$220:$Z$701)</f>
        <v>482</v>
      </c>
      <c r="H15" s="343">
        <f t="shared" si="5"/>
        <v>4.5573762180800337E-2</v>
      </c>
      <c r="N15" s="337">
        <v>25172</v>
      </c>
      <c r="O15" s="116">
        <f>INDEX('Additional data'!$B$2:$B$965,MATCH(DATE(YEAR(N15),MONTH(N15),1),'Additional data'!$A$2:$A$965,0))</f>
        <v>3.07</v>
      </c>
      <c r="P15" s="232">
        <f t="shared" si="0"/>
        <v>1.1216775615991057</v>
      </c>
      <c r="Q15" s="232">
        <f>Q14+LN(1+INDEX('Additional data'!$H$2:$H$1196,MATCH(N15,'Additional data'!$G$2:$G$1196,1))+INDEX('Additional data'!$I$2:$I$1196,MATCH(N15,'Additional data'!$G$2:$G$1196,1)))</f>
        <v>0.16783969760966388</v>
      </c>
      <c r="R15" s="77"/>
      <c r="S15" s="116">
        <f>INDEX('Additional data'!$E$2:$E$699,MATCH(DATE(YEAR(N15),MONTH(N15),1),'Additional data'!$D$2:$D$699,0))</f>
        <v>4.9000000000000004</v>
      </c>
      <c r="T15" s="115">
        <f t="shared" si="1"/>
        <v>0</v>
      </c>
      <c r="U15" s="115">
        <f t="shared" si="2"/>
        <v>5.6852811592782798E-2</v>
      </c>
      <c r="V15" s="77"/>
      <c r="W15" s="116">
        <f t="shared" si="3"/>
        <v>-9.9999999999999645E-2</v>
      </c>
      <c r="X15" s="77"/>
      <c r="Y15" s="77"/>
      <c r="Z15" s="77"/>
      <c r="AA15" s="77"/>
      <c r="AB15" s="77"/>
      <c r="AC15" s="77"/>
      <c r="AD15" s="77"/>
      <c r="AE15" s="237"/>
    </row>
    <row r="16" spans="1:31" x14ac:dyDescent="0.2">
      <c r="A16" s="114" t="s">
        <v>60</v>
      </c>
      <c r="B16" s="342">
        <v>60</v>
      </c>
      <c r="C16" s="115">
        <f>SLOPE($AD$268:$AD$701,$AB$268:$AB$701)</f>
        <v>8.7571807846546904E-2</v>
      </c>
      <c r="D16" s="116">
        <f>CORREL($AD$268:$AD$701,$AB$268:$AB$701)*SQRT((G16-2)/(1-F16))</f>
        <v>4.482862604641964</v>
      </c>
      <c r="E16" s="116">
        <f t="shared" si="4"/>
        <v>0.57873507370381094</v>
      </c>
      <c r="F16" s="116">
        <f>RSQ($AD$268:$AD$701,$AB$268:$AB$701)</f>
        <v>4.4450856881119619E-2</v>
      </c>
      <c r="G16" s="342">
        <f>COUNT($AD$268:$AD$701)</f>
        <v>434</v>
      </c>
      <c r="H16" s="343">
        <f t="shared" si="5"/>
        <v>3.9467913076991934E-2</v>
      </c>
      <c r="N16" s="337">
        <v>25203</v>
      </c>
      <c r="O16" s="116">
        <f>INDEX('Additional data'!$B$2:$B$965,MATCH(DATE(YEAR(N16),MONTH(N16),1),'Additional data'!$A$2:$A$965,0))</f>
        <v>3.07</v>
      </c>
      <c r="P16" s="232">
        <f t="shared" si="0"/>
        <v>1.1216775615991057</v>
      </c>
      <c r="Q16" s="232">
        <f>Q15+LN(1+INDEX('Additional data'!$H$2:$H$1196,MATCH(N16,'Additional data'!$G$2:$G$1196,1))+INDEX('Additional data'!$I$2:$I$1196,MATCH(N16,'Additional data'!$G$2:$G$1196,1)))</f>
        <v>0.13221251996651273</v>
      </c>
      <c r="R16" s="77"/>
      <c r="S16" s="116">
        <f>INDEX('Additional data'!$E$2:$E$699,MATCH(DATE(YEAR(N16),MONTH(N16),1),'Additional data'!$D$2:$D$699,0))</f>
        <v>4.9000000000000004</v>
      </c>
      <c r="T16" s="115">
        <f t="shared" si="1"/>
        <v>0</v>
      </c>
      <c r="U16" s="115">
        <f t="shared" si="2"/>
        <v>-3.5627177643151153E-2</v>
      </c>
      <c r="V16" s="77"/>
      <c r="W16" s="116">
        <f t="shared" si="3"/>
        <v>0</v>
      </c>
      <c r="X16" s="77"/>
      <c r="Y16" s="77"/>
      <c r="Z16" s="77"/>
      <c r="AA16" s="77"/>
      <c r="AB16" s="77"/>
      <c r="AC16" s="77"/>
      <c r="AD16" s="77"/>
      <c r="AE16" s="237"/>
    </row>
    <row r="17" spans="1:31" x14ac:dyDescent="0.2">
      <c r="A17" s="114" t="s">
        <v>61</v>
      </c>
      <c r="B17" s="342">
        <v>1</v>
      </c>
      <c r="C17" s="115">
        <f>SLOPE($W$6:$W$701,$T$6:$T$701)</f>
        <v>0.46261178821895915</v>
      </c>
      <c r="D17" s="116">
        <f>CORREL($W$6:$W$701,$T$6:$T$701)*SQRT((G17-2)/(1-F17))</f>
        <v>1.524301073124992</v>
      </c>
      <c r="E17" s="116">
        <f t="shared" si="4"/>
        <v>1.524301073124992</v>
      </c>
      <c r="F17" s="116">
        <f>RSQ($W$6:$W$701,$T$6:$T$701)</f>
        <v>3.3368021937311347E-3</v>
      </c>
      <c r="G17" s="342">
        <f>COUNT($W$6:$W$701)</f>
        <v>696</v>
      </c>
      <c r="H17" s="344">
        <f>C17*$B$7</f>
        <v>0.20448614380984614</v>
      </c>
      <c r="N17" s="337">
        <v>25234</v>
      </c>
      <c r="O17" s="116">
        <f>INDEX('Additional data'!$B$2:$B$965,MATCH(DATE(YEAR(N17),MONTH(N17),1),'Additional data'!$A$2:$A$965,0))</f>
        <v>3.07</v>
      </c>
      <c r="P17" s="232">
        <f t="shared" si="0"/>
        <v>1.1216775615991057</v>
      </c>
      <c r="Q17" s="232">
        <f>Q16+LN(1+INDEX('Additional data'!$H$2:$H$1196,MATCH(N17,'Additional data'!$G$2:$G$1196,1))+INDEX('Additional data'!$I$2:$I$1196,MATCH(N17,'Additional data'!$G$2:$G$1196,1)))</f>
        <v>0.12498647487477314</v>
      </c>
      <c r="R17" s="77"/>
      <c r="S17" s="116">
        <f>INDEX('Additional data'!$E$2:$E$699,MATCH(DATE(YEAR(N17),MONTH(N17),1),'Additional data'!$D$2:$D$699,0))</f>
        <v>5.0999999999999996</v>
      </c>
      <c r="T17" s="115">
        <f t="shared" si="1"/>
        <v>0</v>
      </c>
      <c r="U17" s="115">
        <f t="shared" si="2"/>
        <v>-7.2260450917395885E-3</v>
      </c>
      <c r="V17" s="77"/>
      <c r="W17" s="116">
        <f t="shared" si="3"/>
        <v>0.19999999999999929</v>
      </c>
      <c r="X17" s="115">
        <f t="shared" ref="X17:X80" si="6">P17-P5</f>
        <v>0</v>
      </c>
      <c r="Y17" s="115">
        <f t="shared" ref="Y17:Y80" si="7">Q17-Q5</f>
        <v>0.16196171099966844</v>
      </c>
      <c r="Z17" s="77"/>
      <c r="AA17" s="116">
        <f t="shared" ref="AA17:AA80" si="8">S17-S5</f>
        <v>0</v>
      </c>
      <c r="AB17" s="77"/>
      <c r="AC17" s="77"/>
      <c r="AD17" s="77"/>
      <c r="AE17" s="237"/>
    </row>
    <row r="18" spans="1:31" x14ac:dyDescent="0.2">
      <c r="A18" s="114" t="s">
        <v>61</v>
      </c>
      <c r="B18" s="342">
        <v>12</v>
      </c>
      <c r="C18" s="115">
        <f>SLOPE($AA$17:$AA$701,$X$17:$X$701)</f>
        <v>2.2729109626853123</v>
      </c>
      <c r="D18" s="116">
        <f>CORREL($AA$17:$AA$701,$X$17:$X$701)*SQRT((G18-2)/(1-F18))</f>
        <v>8.4271393439874984</v>
      </c>
      <c r="E18" s="116">
        <f t="shared" si="4"/>
        <v>2.4327055843748342</v>
      </c>
      <c r="F18" s="116">
        <f>RSQ($AA$17:$AA$701,$X$17:$X$701)</f>
        <v>9.4184491722754352E-2</v>
      </c>
      <c r="G18" s="342">
        <f>COUNT($AA$17:$AA$701)</f>
        <v>685</v>
      </c>
      <c r="H18" s="344">
        <f>C18*$B$7</f>
        <v>1.0046842943022019</v>
      </c>
      <c r="N18" s="337">
        <v>25262</v>
      </c>
      <c r="O18" s="116">
        <f>INDEX('Additional data'!$B$2:$B$965,MATCH(DATE(YEAR(N18),MONTH(N18),1),'Additional data'!$A$2:$A$965,0))</f>
        <v>3.07</v>
      </c>
      <c r="P18" s="232">
        <f t="shared" si="0"/>
        <v>1.1216775615991057</v>
      </c>
      <c r="Q18" s="232">
        <f>Q17+LN(1+INDEX('Additional data'!$H$2:$H$1196,MATCH(N18,'Additional data'!$G$2:$G$1196,1))+INDEX('Additional data'!$I$2:$I$1196,MATCH(N18,'Additional data'!$G$2:$G$1196,1)))</f>
        <v>6.9473764944514432E-2</v>
      </c>
      <c r="R18" s="77"/>
      <c r="S18" s="116">
        <f>INDEX('Additional data'!$E$2:$E$699,MATCH(DATE(YEAR(N18),MONTH(N18),1),'Additional data'!$D$2:$D$699,0))</f>
        <v>5.0999999999999996</v>
      </c>
      <c r="T18" s="115">
        <f t="shared" si="1"/>
        <v>0</v>
      </c>
      <c r="U18" s="115">
        <f t="shared" si="2"/>
        <v>-5.5512709930258711E-2</v>
      </c>
      <c r="V18" s="77"/>
      <c r="W18" s="116">
        <f t="shared" si="3"/>
        <v>0</v>
      </c>
      <c r="X18" s="115">
        <f t="shared" si="6"/>
        <v>0</v>
      </c>
      <c r="Y18" s="115">
        <f t="shared" si="7"/>
        <v>0.14052298140316119</v>
      </c>
      <c r="Z18" s="77"/>
      <c r="AA18" s="116">
        <f t="shared" si="8"/>
        <v>-5.0000000000000711E-2</v>
      </c>
      <c r="AB18" s="77"/>
      <c r="AC18" s="77"/>
      <c r="AD18" s="77"/>
      <c r="AE18" s="237"/>
    </row>
    <row r="19" spans="1:31" x14ac:dyDescent="0.2">
      <c r="A19" s="118" t="s">
        <v>61</v>
      </c>
      <c r="B19" s="345">
        <v>60</v>
      </c>
      <c r="C19" s="346">
        <f>SLOPE($AE$65:$AE$701,$AB$65:$AB$701)</f>
        <v>2.6328844741709476</v>
      </c>
      <c r="D19" s="347">
        <f>CORREL($AE$65:$AE$701,$AB$65:$AB$701)*SQRT((G19-2)/(1-F19))</f>
        <v>11.335291142841037</v>
      </c>
      <c r="E19" s="347">
        <f t="shared" si="4"/>
        <v>1.4633797940211923</v>
      </c>
      <c r="F19" s="347">
        <f>RSQ($AE$65:$AE$701,$AB$65:$AB$701)</f>
        <v>0.16829169077054396</v>
      </c>
      <c r="G19" s="345">
        <f>COUNT($AE$65:$AE$701)</f>
        <v>637</v>
      </c>
      <c r="H19" s="348">
        <f>C19*$B$7</f>
        <v>1.1638017165382015</v>
      </c>
      <c r="N19" s="337">
        <v>25293</v>
      </c>
      <c r="O19" s="116">
        <f>INDEX('Additional data'!$B$2:$B$965,MATCH(DATE(YEAR(N19),MONTH(N19),1),'Additional data'!$A$2:$A$965,0))</f>
        <v>3.25</v>
      </c>
      <c r="P19" s="232">
        <f t="shared" si="0"/>
        <v>1.1786549963416462</v>
      </c>
      <c r="Q19" s="232">
        <f>Q18+LN(1+INDEX('Additional data'!$H$2:$H$1196,MATCH(N19,'Additional data'!$G$2:$G$1196,1))+INDEX('Additional data'!$I$2:$I$1196,MATCH(N19,'Additional data'!$G$2:$G$1196,1)))</f>
        <v>0.10019693758735491</v>
      </c>
      <c r="R19" s="77"/>
      <c r="S19" s="116">
        <f>INDEX('Additional data'!$E$2:$E$699,MATCH(DATE(YEAR(N19),MONTH(N19),1),'Additional data'!$D$2:$D$699,0))</f>
        <v>5.15</v>
      </c>
      <c r="T19" s="115">
        <f t="shared" si="1"/>
        <v>5.6977434742540467E-2</v>
      </c>
      <c r="U19" s="115">
        <f t="shared" si="2"/>
        <v>3.0723172642840482E-2</v>
      </c>
      <c r="V19" s="77"/>
      <c r="W19" s="116">
        <f t="shared" si="3"/>
        <v>5.0000000000000711E-2</v>
      </c>
      <c r="X19" s="115">
        <f t="shared" si="6"/>
        <v>5.6977434742540467E-2</v>
      </c>
      <c r="Y19" s="115">
        <f t="shared" si="7"/>
        <v>0.16536349088784616</v>
      </c>
      <c r="Z19" s="77"/>
      <c r="AA19" s="116">
        <f t="shared" si="8"/>
        <v>0</v>
      </c>
      <c r="AB19" s="77"/>
      <c r="AC19" s="77"/>
      <c r="AD19" s="77"/>
      <c r="AE19" s="237"/>
    </row>
    <row r="20" spans="1:31" x14ac:dyDescent="0.2">
      <c r="N20" s="337">
        <v>25323</v>
      </c>
      <c r="O20" s="116">
        <f>INDEX('Additional data'!$B$2:$B$965,MATCH(DATE(YEAR(N20),MONTH(N20),1),'Additional data'!$A$2:$A$965,0))</f>
        <v>3.35</v>
      </c>
      <c r="P20" s="232">
        <f t="shared" si="0"/>
        <v>1.2089603458369751</v>
      </c>
      <c r="Q20" s="232">
        <f>Q19+LN(1+INDEX('Additional data'!$H$2:$H$1196,MATCH(N20,'Additional data'!$G$2:$G$1196,1))+INDEX('Additional data'!$I$2:$I$1196,MATCH(N20,'Additional data'!$G$2:$G$1196,1)))</f>
        <v>0.11990152086169034</v>
      </c>
      <c r="R20" s="77"/>
      <c r="S20" s="116">
        <f>INDEX('Additional data'!$E$2:$E$699,MATCH(DATE(YEAR(N20),MONTH(N20),1),'Additional data'!$D$2:$D$699,0))</f>
        <v>5.4</v>
      </c>
      <c r="T20" s="115">
        <f t="shared" si="1"/>
        <v>3.0305349495328926E-2</v>
      </c>
      <c r="U20" s="115">
        <f t="shared" si="2"/>
        <v>1.9704583274335427E-2</v>
      </c>
      <c r="V20" s="77"/>
      <c r="W20" s="116">
        <f t="shared" si="3"/>
        <v>0.25</v>
      </c>
      <c r="X20" s="115">
        <f t="shared" si="6"/>
        <v>8.7282784237869393E-2</v>
      </c>
      <c r="Y20" s="115">
        <f t="shared" si="7"/>
        <v>9.4770436181400977E-2</v>
      </c>
      <c r="Z20" s="77"/>
      <c r="AA20" s="116">
        <f t="shared" si="8"/>
        <v>0.25</v>
      </c>
      <c r="AB20" s="77"/>
      <c r="AC20" s="77"/>
      <c r="AD20" s="77"/>
      <c r="AE20" s="237"/>
    </row>
    <row r="21" spans="1:31" x14ac:dyDescent="0.2">
      <c r="N21" s="337">
        <v>25354</v>
      </c>
      <c r="O21" s="116">
        <f>INDEX('Additional data'!$B$2:$B$965,MATCH(DATE(YEAR(N21),MONTH(N21),1),'Additional data'!$A$2:$A$965,0))</f>
        <v>3.35</v>
      </c>
      <c r="P21" s="232">
        <f t="shared" si="0"/>
        <v>1.2089603458369751</v>
      </c>
      <c r="Q21" s="232">
        <f>Q20+LN(1+INDEX('Additional data'!$H$2:$H$1196,MATCH(N21,'Additional data'!$G$2:$G$1196,1))+INDEX('Additional data'!$I$2:$I$1196,MATCH(N21,'Additional data'!$G$2:$G$1196,1)))</f>
        <v>0.12379393557703419</v>
      </c>
      <c r="R21" s="77"/>
      <c r="S21" s="116">
        <f>INDEX('Additional data'!$E$2:$E$699,MATCH(DATE(YEAR(N21),MONTH(N21),1),'Additional data'!$D$2:$D$699,0))</f>
        <v>5.5</v>
      </c>
      <c r="T21" s="115">
        <f t="shared" si="1"/>
        <v>0</v>
      </c>
      <c r="U21" s="115">
        <f t="shared" si="2"/>
        <v>3.8924147153438504E-3</v>
      </c>
      <c r="V21" s="77"/>
      <c r="W21" s="116">
        <f t="shared" si="3"/>
        <v>9.9999999999999645E-2</v>
      </c>
      <c r="X21" s="115">
        <f t="shared" si="6"/>
        <v>8.7282784237869393E-2</v>
      </c>
      <c r="Y21" s="115">
        <f t="shared" si="7"/>
        <v>7.1728849656663998E-2</v>
      </c>
      <c r="Z21" s="77"/>
      <c r="AA21" s="116">
        <f t="shared" si="8"/>
        <v>0.20000000000000018</v>
      </c>
      <c r="AB21" s="77"/>
      <c r="AC21" s="77"/>
      <c r="AD21" s="77"/>
      <c r="AE21" s="237"/>
    </row>
    <row r="22" spans="1:31" x14ac:dyDescent="0.2">
      <c r="A22" s="86" t="s">
        <v>486</v>
      </c>
      <c r="B22" s="87"/>
      <c r="C22" s="87"/>
      <c r="D22" s="87"/>
      <c r="E22" s="87"/>
      <c r="F22" s="87"/>
      <c r="G22" s="88"/>
      <c r="N22" s="337">
        <v>25384</v>
      </c>
      <c r="O22" s="116">
        <f>INDEX('Additional data'!$B$2:$B$965,MATCH(DATE(YEAR(N22),MONTH(N22),1),'Additional data'!$A$2:$A$965,0))</f>
        <v>3.35</v>
      </c>
      <c r="P22" s="232">
        <f t="shared" si="0"/>
        <v>1.2089603458369751</v>
      </c>
      <c r="Q22" s="232">
        <f>Q21+LN(1+INDEX('Additional data'!$H$2:$H$1196,MATCH(N22,'Additional data'!$G$2:$G$1196,1))+INDEX('Additional data'!$I$2:$I$1196,MATCH(N22,'Additional data'!$G$2:$G$1196,1)))</f>
        <v>5.465819674217208E-2</v>
      </c>
      <c r="R22" s="77"/>
      <c r="S22" s="116">
        <f>INDEX('Additional data'!$E$2:$E$699,MATCH(DATE(YEAR(N22),MONTH(N22),1),'Additional data'!$D$2:$D$699,0))</f>
        <v>5.9</v>
      </c>
      <c r="T22" s="115">
        <f t="shared" si="1"/>
        <v>0</v>
      </c>
      <c r="U22" s="115">
        <f t="shared" si="2"/>
        <v>-6.9135738834862112E-2</v>
      </c>
      <c r="V22" s="77"/>
      <c r="W22" s="116">
        <f t="shared" si="3"/>
        <v>0.40000000000000036</v>
      </c>
      <c r="X22" s="115">
        <f t="shared" si="6"/>
        <v>8.7282784237869393E-2</v>
      </c>
      <c r="Y22" s="115">
        <f t="shared" si="7"/>
        <v>-8.6435211041856613E-3</v>
      </c>
      <c r="Z22" s="77"/>
      <c r="AA22" s="116">
        <f t="shared" si="8"/>
        <v>0.40000000000000036</v>
      </c>
      <c r="AB22" s="77"/>
      <c r="AC22" s="77"/>
      <c r="AD22" s="77"/>
      <c r="AE22" s="237"/>
    </row>
    <row r="23" spans="1:31" ht="28" x14ac:dyDescent="0.2">
      <c r="A23" s="92" t="s">
        <v>487</v>
      </c>
      <c r="B23" s="93" t="s">
        <v>488</v>
      </c>
      <c r="C23" s="93" t="s">
        <v>489</v>
      </c>
      <c r="D23" s="93" t="s">
        <v>490</v>
      </c>
      <c r="E23" s="93" t="s">
        <v>491</v>
      </c>
      <c r="F23" s="93" t="s">
        <v>492</v>
      </c>
      <c r="G23" s="94" t="s">
        <v>493</v>
      </c>
      <c r="N23" s="337">
        <v>25415</v>
      </c>
      <c r="O23" s="116">
        <f>INDEX('Additional data'!$B$2:$B$965,MATCH(DATE(YEAR(N23),MONTH(N23),1),'Additional data'!$A$2:$A$965,0))</f>
        <v>3.35</v>
      </c>
      <c r="P23" s="232">
        <f t="shared" si="0"/>
        <v>1.2089603458369751</v>
      </c>
      <c r="Q23" s="232">
        <f>Q22+LN(1+INDEX('Additional data'!$H$2:$H$1196,MATCH(N23,'Additional data'!$G$2:$G$1196,1))+INDEX('Additional data'!$I$2:$I$1196,MATCH(N23,'Additional data'!$G$2:$G$1196,1)))</f>
        <v>-1.2229748799459775E-2</v>
      </c>
      <c r="R23" s="77"/>
      <c r="S23" s="116">
        <f>INDEX('Additional data'!$E$2:$E$699,MATCH(DATE(YEAR(N23),MONTH(N23),1),'Additional data'!$D$2:$D$699,0))</f>
        <v>5.8</v>
      </c>
      <c r="T23" s="115">
        <f t="shared" si="1"/>
        <v>0</v>
      </c>
      <c r="U23" s="115">
        <f t="shared" si="2"/>
        <v>-6.6887945541631855E-2</v>
      </c>
      <c r="V23" s="77"/>
      <c r="W23" s="116">
        <f t="shared" si="3"/>
        <v>-0.10000000000000053</v>
      </c>
      <c r="X23" s="115">
        <f t="shared" si="6"/>
        <v>8.7282784237869393E-2</v>
      </c>
      <c r="Y23" s="115">
        <f t="shared" si="7"/>
        <v>-5.3183602981909897E-2</v>
      </c>
      <c r="Z23" s="77"/>
      <c r="AA23" s="116">
        <f t="shared" si="8"/>
        <v>0.70000000000000018</v>
      </c>
      <c r="AB23" s="77"/>
      <c r="AC23" s="77"/>
      <c r="AD23" s="77"/>
      <c r="AE23" s="237"/>
    </row>
    <row r="24" spans="1:31" x14ac:dyDescent="0.2">
      <c r="A24" s="98" t="s">
        <v>494</v>
      </c>
      <c r="B24" s="349">
        <v>33085</v>
      </c>
      <c r="C24" s="349">
        <v>33177</v>
      </c>
      <c r="D24" s="116">
        <f>INDEX('Additional data'!$B$2:$B$965,MATCH(DATE(YEAR(B24),MONTH(B24),1),'Additional data'!$A$2:$A$965,0))</f>
        <v>18.638000000000002</v>
      </c>
      <c r="E24" s="116">
        <f>INDEX('Additional data'!$B$2:$B$965,MATCH(DATE(YEAR(C24),MONTH(C24),1),'Additional data'!$A$2:$A$965,0))</f>
        <v>35.921999999999997</v>
      </c>
      <c r="F24" s="68">
        <f>E24/D24-1</f>
        <v>0.92735272024895332</v>
      </c>
      <c r="G24" s="350">
        <f>$B$7/LN(1+F24)</f>
        <v>0.67366776751396551</v>
      </c>
      <c r="N24" s="337">
        <v>25446</v>
      </c>
      <c r="O24" s="116">
        <f>INDEX('Additional data'!$B$2:$B$965,MATCH(DATE(YEAR(N24),MONTH(N24),1),'Additional data'!$A$2:$A$965,0))</f>
        <v>3.35</v>
      </c>
      <c r="P24" s="232">
        <f t="shared" si="0"/>
        <v>1.2089603458369751</v>
      </c>
      <c r="Q24" s="232">
        <f>Q23+LN(1+INDEX('Additional data'!$H$2:$H$1196,MATCH(N24,'Additional data'!$G$2:$G$1196,1))+INDEX('Additional data'!$I$2:$I$1196,MATCH(N24,'Additional data'!$G$2:$G$1196,1)))</f>
        <v>3.8368303963631452E-2</v>
      </c>
      <c r="R24" s="77"/>
      <c r="S24" s="116">
        <f>INDEX('Additional data'!$E$2:$E$699,MATCH(DATE(YEAR(N24),MONTH(N24),1),'Additional data'!$D$2:$D$699,0))</f>
        <v>6.1</v>
      </c>
      <c r="T24" s="115">
        <f t="shared" si="1"/>
        <v>0</v>
      </c>
      <c r="U24" s="115">
        <f t="shared" si="2"/>
        <v>5.0598052763091227E-2</v>
      </c>
      <c r="V24" s="77"/>
      <c r="W24" s="116">
        <f t="shared" si="3"/>
        <v>0.29999999999999982</v>
      </c>
      <c r="X24" s="115">
        <f t="shared" si="6"/>
        <v>8.7282784237869393E-2</v>
      </c>
      <c r="Y24" s="115">
        <f t="shared" si="7"/>
        <v>-2.0130729434567535E-2</v>
      </c>
      <c r="Z24" s="77"/>
      <c r="AA24" s="116">
        <f t="shared" si="8"/>
        <v>1</v>
      </c>
      <c r="AB24" s="77"/>
      <c r="AC24" s="77"/>
      <c r="AD24" s="77"/>
      <c r="AE24" s="237"/>
    </row>
    <row r="25" spans="1:31" x14ac:dyDescent="0.2">
      <c r="A25" s="98" t="s">
        <v>495</v>
      </c>
      <c r="B25" s="349">
        <v>44592</v>
      </c>
      <c r="C25" s="349">
        <v>44742</v>
      </c>
      <c r="D25" s="116">
        <f>INDEX('Additional data'!$B$2:$B$965,MATCH(DATE(YEAR(B25),MONTH(B25),1),'Additional data'!$A$2:$A$965,0))</f>
        <v>83.22</v>
      </c>
      <c r="E25" s="116">
        <f>INDEX('Additional data'!$B$2:$B$965,MATCH(DATE(YEAR(C25),MONTH(C25),1),'Additional data'!$A$2:$A$965,0))</f>
        <v>114.84</v>
      </c>
      <c r="F25" s="68">
        <f>E25/D25-1</f>
        <v>0.3799567411679885</v>
      </c>
      <c r="G25" s="350">
        <f>$B$7/LN(1+F25)</f>
        <v>1.3725272788563039</v>
      </c>
      <c r="N25" s="337">
        <v>25476</v>
      </c>
      <c r="O25" s="116">
        <f>INDEX('Additional data'!$B$2:$B$965,MATCH(DATE(YEAR(N25),MONTH(N25),1),'Additional data'!$A$2:$A$965,0))</f>
        <v>3.35</v>
      </c>
      <c r="P25" s="232">
        <f t="shared" si="0"/>
        <v>1.2089603458369751</v>
      </c>
      <c r="Q25" s="232">
        <f>Q24+LN(1+INDEX('Additional data'!$H$2:$H$1196,MATCH(N25,'Additional data'!$G$2:$G$1196,1))+INDEX('Additional data'!$I$2:$I$1196,MATCH(N25,'Additional data'!$G$2:$G$1196,1)))</f>
        <v>1.4587775298228061E-2</v>
      </c>
      <c r="R25" s="77"/>
      <c r="S25" s="116">
        <f>INDEX('Additional data'!$E$2:$E$699,MATCH(DATE(YEAR(N25),MONTH(N25),1),'Additional data'!$D$2:$D$699,0))</f>
        <v>5.8</v>
      </c>
      <c r="T25" s="115">
        <f t="shared" si="1"/>
        <v>0</v>
      </c>
      <c r="U25" s="115">
        <f t="shared" si="2"/>
        <v>-2.3780528665403391E-2</v>
      </c>
      <c r="V25" s="77"/>
      <c r="W25" s="116">
        <f t="shared" si="3"/>
        <v>-0.29999999999999982</v>
      </c>
      <c r="X25" s="115">
        <f t="shared" si="6"/>
        <v>8.7282784237869393E-2</v>
      </c>
      <c r="Y25" s="115">
        <f t="shared" si="7"/>
        <v>-8.7736737640000437E-2</v>
      </c>
      <c r="Z25" s="77"/>
      <c r="AA25" s="116">
        <f t="shared" si="8"/>
        <v>0.75</v>
      </c>
      <c r="AB25" s="77"/>
      <c r="AC25" s="77"/>
      <c r="AD25" s="77"/>
      <c r="AE25" s="237"/>
    </row>
    <row r="26" spans="1:31" x14ac:dyDescent="0.2">
      <c r="A26" s="281"/>
      <c r="B26" s="77"/>
      <c r="C26" s="77"/>
      <c r="D26" s="77"/>
      <c r="E26" s="77"/>
      <c r="F26" s="77"/>
      <c r="G26" s="282"/>
      <c r="N26" s="337">
        <v>25507</v>
      </c>
      <c r="O26" s="116">
        <f>INDEX('Additional data'!$B$2:$B$965,MATCH(DATE(YEAR(N26),MONTH(N26),1),'Additional data'!$A$2:$A$965,0))</f>
        <v>3.35</v>
      </c>
      <c r="P26" s="232">
        <f t="shared" si="0"/>
        <v>1.2089603458369751</v>
      </c>
      <c r="Q26" s="232">
        <f>Q25+LN(1+INDEX('Additional data'!$H$2:$H$1196,MATCH(N26,'Additional data'!$G$2:$G$1196,1))+INDEX('Additional data'!$I$2:$I$1196,MATCH(N26,'Additional data'!$G$2:$G$1196,1)))</f>
        <v>6.9643981046306452E-2</v>
      </c>
      <c r="R26" s="77"/>
      <c r="S26" s="116">
        <f>INDEX('Additional data'!$E$2:$E$699,MATCH(DATE(YEAR(N26),MONTH(N26),1),'Additional data'!$D$2:$D$699,0))</f>
        <v>5.6</v>
      </c>
      <c r="T26" s="115">
        <f t="shared" si="1"/>
        <v>0</v>
      </c>
      <c r="U26" s="115">
        <f t="shared" si="2"/>
        <v>5.5056205748078388E-2</v>
      </c>
      <c r="V26" s="77"/>
      <c r="W26" s="116">
        <f t="shared" si="3"/>
        <v>-0.20000000000000018</v>
      </c>
      <c r="X26" s="115">
        <f t="shared" si="6"/>
        <v>8.7282784237869393E-2</v>
      </c>
      <c r="Y26" s="115">
        <f t="shared" si="7"/>
        <v>-4.1342904970574634E-2</v>
      </c>
      <c r="Z26" s="77"/>
      <c r="AA26" s="116">
        <f t="shared" si="8"/>
        <v>0.59999999999999964</v>
      </c>
      <c r="AB26" s="77"/>
      <c r="AC26" s="77"/>
      <c r="AD26" s="77"/>
      <c r="AE26" s="237"/>
    </row>
    <row r="27" spans="1:31" ht="28" x14ac:dyDescent="0.2">
      <c r="A27" s="92" t="s">
        <v>5</v>
      </c>
      <c r="B27" s="93" t="s">
        <v>496</v>
      </c>
      <c r="C27" s="93" t="s">
        <v>497</v>
      </c>
      <c r="D27" s="93" t="s">
        <v>498</v>
      </c>
      <c r="E27" s="93" t="s">
        <v>499</v>
      </c>
      <c r="F27" s="93" t="s">
        <v>179</v>
      </c>
      <c r="G27" s="94" t="s">
        <v>500</v>
      </c>
      <c r="N27" s="337">
        <v>25537</v>
      </c>
      <c r="O27" s="116">
        <f>INDEX('Additional data'!$B$2:$B$965,MATCH(DATE(YEAR(N27),MONTH(N27),1),'Additional data'!$A$2:$A$965,0))</f>
        <v>3.35</v>
      </c>
      <c r="P27" s="232">
        <f t="shared" si="0"/>
        <v>1.2089603458369751</v>
      </c>
      <c r="Q27" s="232">
        <f>Q26+LN(1+INDEX('Additional data'!$H$2:$H$1196,MATCH(N27,'Additional data'!$G$2:$G$1196,1))+INDEX('Additional data'!$I$2:$I$1196,MATCH(N27,'Additional data'!$G$2:$G$1196,1)))</f>
        <v>3.6294001364752262E-2</v>
      </c>
      <c r="R27" s="77"/>
      <c r="S27" s="116">
        <f>INDEX('Additional data'!$E$2:$E$699,MATCH(DATE(YEAR(N27),MONTH(N27),1),'Additional data'!$D$2:$D$699,0))</f>
        <v>0</v>
      </c>
      <c r="T27" s="115">
        <f t="shared" si="1"/>
        <v>0</v>
      </c>
      <c r="U27" s="115">
        <f t="shared" si="2"/>
        <v>-3.334997968155419E-2</v>
      </c>
      <c r="V27" s="77"/>
      <c r="W27" s="116">
        <f t="shared" si="3"/>
        <v>-5.6</v>
      </c>
      <c r="X27" s="115">
        <f t="shared" si="6"/>
        <v>8.7282784237869393E-2</v>
      </c>
      <c r="Y27" s="115">
        <f t="shared" si="7"/>
        <v>-0.13154569624491164</v>
      </c>
      <c r="Z27" s="77"/>
      <c r="AA27" s="116">
        <f t="shared" si="8"/>
        <v>-4.9000000000000004</v>
      </c>
      <c r="AB27" s="77"/>
      <c r="AC27" s="77"/>
      <c r="AD27" s="77"/>
      <c r="AE27" s="237"/>
    </row>
    <row r="28" spans="1:31" x14ac:dyDescent="0.2">
      <c r="A28" s="98" t="s">
        <v>14</v>
      </c>
      <c r="B28" s="68">
        <f>INDEX(Data!B$2:B$497,MATCH($C$24,Data!$A$2:$A$497,0))/INDEX(Data!B$2:B$497,MATCH($B$24,Data!$A$2:$A$497,0))-1</f>
        <v>-0.1441977477837233</v>
      </c>
      <c r="C28" s="68">
        <f>INDEX(Data!B$2:B$497,MATCH($C$25,Data!$A$2:$A$497,0))/INDEX(Data!B$2:B$497,MATCH($B$25,Data!$A$2:$A$497,0))-1</f>
        <v>-5.2795908579323814E-2</v>
      </c>
      <c r="D28" s="68">
        <f t="shared" ref="D28:D37" si="9">B28*$G$24</f>
        <v>-9.7141374830002736E-2</v>
      </c>
      <c r="E28" s="68">
        <f t="shared" ref="E28:E37" si="10">C28*$G$25</f>
        <v>-7.2463824737125496E-2</v>
      </c>
      <c r="F28" s="69">
        <f t="shared" ref="F28:F38" si="11">AVERAGE(D28:E28)</f>
        <v>-8.4802599783564109E-2</v>
      </c>
      <c r="G28" s="282"/>
      <c r="N28" s="337">
        <v>25568</v>
      </c>
      <c r="O28" s="116">
        <f>INDEX('Additional data'!$B$2:$B$965,MATCH(DATE(YEAR(N28),MONTH(N28),1),'Additional data'!$A$2:$A$965,0))</f>
        <v>3.35</v>
      </c>
      <c r="P28" s="232">
        <f t="shared" si="0"/>
        <v>1.2089603458369751</v>
      </c>
      <c r="Q28" s="232">
        <f>Q27+LN(1+INDEX('Additional data'!$H$2:$H$1196,MATCH(N28,'Additional data'!$G$2:$G$1196,1))+INDEX('Additional data'!$I$2:$I$1196,MATCH(N28,'Additional data'!$G$2:$G$1196,1)))</f>
        <v>1.6193329657749351E-2</v>
      </c>
      <c r="R28" s="77"/>
      <c r="S28" s="116">
        <f>INDEX('Additional data'!$E$2:$E$699,MATCH(DATE(YEAR(N28),MONTH(N28),1),'Additional data'!$D$2:$D$699,0))</f>
        <v>5.65</v>
      </c>
      <c r="T28" s="115">
        <f t="shared" si="1"/>
        <v>0</v>
      </c>
      <c r="U28" s="115">
        <f t="shared" si="2"/>
        <v>-2.0100671707002912E-2</v>
      </c>
      <c r="V28" s="77"/>
      <c r="W28" s="116">
        <f t="shared" si="3"/>
        <v>5.65</v>
      </c>
      <c r="X28" s="115">
        <f t="shared" si="6"/>
        <v>8.7282784237869393E-2</v>
      </c>
      <c r="Y28" s="115">
        <f t="shared" si="7"/>
        <v>-0.11601919030876338</v>
      </c>
      <c r="Z28" s="77"/>
      <c r="AA28" s="116">
        <f t="shared" si="8"/>
        <v>0.75</v>
      </c>
      <c r="AB28" s="77"/>
      <c r="AC28" s="77"/>
      <c r="AD28" s="77"/>
      <c r="AE28" s="237"/>
    </row>
    <row r="29" spans="1:31" x14ac:dyDescent="0.2">
      <c r="A29" s="98" t="s">
        <v>16</v>
      </c>
      <c r="B29" s="68">
        <f>INDEX(Data!C$2:C$497,MATCH($C$24,Data!$A$2:$A$497,0))/INDEX(Data!C$2:C$497,MATCH($B$24,Data!$A$2:$A$497,0))-1</f>
        <v>-0.14783853281408188</v>
      </c>
      <c r="C29" s="68">
        <f>INDEX(Data!C$2:C$497,MATCH($C$25,Data!$A$2:$A$497,0))/INDEX(Data!C$2:C$497,MATCH($B$25,Data!$A$2:$A$497,0))-1</f>
        <v>-0.11676642361847567</v>
      </c>
      <c r="D29" s="68">
        <f t="shared" si="9"/>
        <v>-9.959405435340267E-2</v>
      </c>
      <c r="E29" s="68">
        <f t="shared" si="10"/>
        <v>-0.16026510167084887</v>
      </c>
      <c r="F29" s="69">
        <f t="shared" si="11"/>
        <v>-0.12992957801212576</v>
      </c>
      <c r="G29" s="282"/>
      <c r="N29" s="337">
        <v>25599</v>
      </c>
      <c r="O29" s="116">
        <f>INDEX('Additional data'!$B$2:$B$965,MATCH(DATE(YEAR(N29),MONTH(N29),1),'Additional data'!$A$2:$A$965,0))</f>
        <v>3.35</v>
      </c>
      <c r="P29" s="232">
        <f t="shared" si="0"/>
        <v>1.2089603458369751</v>
      </c>
      <c r="Q29" s="232">
        <f>Q28+LN(1+INDEX('Additional data'!$H$2:$H$1196,MATCH(N29,'Additional data'!$G$2:$G$1196,1))+INDEX('Additional data'!$I$2:$I$1196,MATCH(N29,'Additional data'!$G$2:$G$1196,1)))</f>
        <v>-6.1768211811962459E-2</v>
      </c>
      <c r="R29" s="77"/>
      <c r="S29" s="116">
        <f>INDEX('Additional data'!$E$2:$E$699,MATCH(DATE(YEAR(N29),MONTH(N29),1),'Additional data'!$D$2:$D$699,0))</f>
        <v>5.8</v>
      </c>
      <c r="T29" s="115">
        <f t="shared" si="1"/>
        <v>0</v>
      </c>
      <c r="U29" s="115">
        <f t="shared" si="2"/>
        <v>-7.7961541469711806E-2</v>
      </c>
      <c r="V29" s="77"/>
      <c r="W29" s="116">
        <f t="shared" si="3"/>
        <v>0.14999999999999947</v>
      </c>
      <c r="X29" s="115">
        <f t="shared" si="6"/>
        <v>8.7282784237869393E-2</v>
      </c>
      <c r="Y29" s="115">
        <f t="shared" si="7"/>
        <v>-0.18675468668673562</v>
      </c>
      <c r="Z29" s="77"/>
      <c r="AA29" s="116">
        <f t="shared" si="8"/>
        <v>0.70000000000000018</v>
      </c>
      <c r="AB29" s="77"/>
      <c r="AC29" s="77"/>
      <c r="AD29" s="77"/>
      <c r="AE29" s="237"/>
    </row>
    <row r="30" spans="1:31" x14ac:dyDescent="0.2">
      <c r="A30" s="98" t="s">
        <v>18</v>
      </c>
      <c r="B30" s="68">
        <f>INDEX(Data!D$2:D$497,MATCH($C$24,Data!$A$2:$A$497,0))/INDEX(Data!D$2:D$497,MATCH($B$24,Data!$A$2:$A$497,0))-1</f>
        <v>-0.20748742913822493</v>
      </c>
      <c r="C30" s="68">
        <f>INDEX(Data!D$2:D$497,MATCH($C$25,Data!$A$2:$A$497,0))/INDEX(Data!D$2:D$497,MATCH($B$25,Data!$A$2:$A$497,0))-1</f>
        <v>-9.7921451444717977E-2</v>
      </c>
      <c r="D30" s="68">
        <f t="shared" si="9"/>
        <v>-0.1397775931747601</v>
      </c>
      <c r="E30" s="68">
        <f t="shared" si="10"/>
        <v>-0.13439986329307846</v>
      </c>
      <c r="F30" s="69">
        <f t="shared" si="11"/>
        <v>-0.13708872823391927</v>
      </c>
      <c r="G30" s="282"/>
      <c r="N30" s="337">
        <v>25627</v>
      </c>
      <c r="O30" s="116">
        <f>INDEX('Additional data'!$B$2:$B$965,MATCH(DATE(YEAR(N30),MONTH(N30),1),'Additional data'!$A$2:$A$965,0))</f>
        <v>3.35</v>
      </c>
      <c r="P30" s="232">
        <f t="shared" si="0"/>
        <v>1.2089603458369751</v>
      </c>
      <c r="Q30" s="232">
        <f>Q29+LN(1+INDEX('Additional data'!$H$2:$H$1196,MATCH(N30,'Additional data'!$G$2:$G$1196,1))+INDEX('Additional data'!$I$2:$I$1196,MATCH(N30,'Additional data'!$G$2:$G$1196,1)))</f>
        <v>-5.7660216966775799E-3</v>
      </c>
      <c r="R30" s="77"/>
      <c r="S30" s="116">
        <f>INDEX('Additional data'!$E$2:$E$699,MATCH(DATE(YEAR(N30),MONTH(N30),1),'Additional data'!$D$2:$D$699,0))</f>
        <v>6.3</v>
      </c>
      <c r="T30" s="115">
        <f t="shared" si="1"/>
        <v>0</v>
      </c>
      <c r="U30" s="115">
        <f t="shared" si="2"/>
        <v>5.6002190115284879E-2</v>
      </c>
      <c r="V30" s="77"/>
      <c r="W30" s="116">
        <f t="shared" si="3"/>
        <v>0.5</v>
      </c>
      <c r="X30" s="115">
        <f t="shared" si="6"/>
        <v>8.7282784237869393E-2</v>
      </c>
      <c r="Y30" s="115">
        <f t="shared" si="7"/>
        <v>-7.5239786641192019E-2</v>
      </c>
      <c r="Z30" s="77"/>
      <c r="AA30" s="116">
        <f t="shared" si="8"/>
        <v>1.2000000000000002</v>
      </c>
      <c r="AB30" s="77"/>
      <c r="AC30" s="77"/>
      <c r="AD30" s="77"/>
      <c r="AE30" s="237"/>
    </row>
    <row r="31" spans="1:31" x14ac:dyDescent="0.2">
      <c r="A31" s="98" t="s">
        <v>20</v>
      </c>
      <c r="B31" s="68">
        <f>INDEX(Data!E$2:E$497,MATCH($C$24,Data!$A$2:$A$497,0))/INDEX(Data!E$2:E$497,MATCH($B$24,Data!$A$2:$A$497,0))-1</f>
        <v>-0.13561434914159931</v>
      </c>
      <c r="C31" s="68">
        <f>INDEX(Data!E$2:E$497,MATCH($C$25,Data!$A$2:$A$497,0))/INDEX(Data!E$2:E$497,MATCH($B$25,Data!$A$2:$A$497,0))-1</f>
        <v>-0.10179382860528885</v>
      </c>
      <c r="D31" s="68">
        <f t="shared" si="9"/>
        <v>-9.1359015829080667E-2</v>
      </c>
      <c r="E31" s="68">
        <f t="shared" si="10"/>
        <v>-0.13971480657998209</v>
      </c>
      <c r="F31" s="69">
        <f t="shared" si="11"/>
        <v>-0.11553691120453138</v>
      </c>
      <c r="G31" s="282"/>
      <c r="N31" s="337">
        <v>25658</v>
      </c>
      <c r="O31" s="116">
        <f>INDEX('Additional data'!$B$2:$B$965,MATCH(DATE(YEAR(N31),MONTH(N31),1),'Additional data'!$A$2:$A$965,0))</f>
        <v>3.35</v>
      </c>
      <c r="P31" s="232">
        <f t="shared" si="0"/>
        <v>1.2089603458369751</v>
      </c>
      <c r="Q31" s="232">
        <f>Q30+LN(1+INDEX('Additional data'!$H$2:$H$1196,MATCH(N31,'Additional data'!$G$2:$G$1196,1))+INDEX('Additional data'!$I$2:$I$1196,MATCH(N31,'Additional data'!$G$2:$G$1196,1)))</f>
        <v>-1.0678066057698221E-2</v>
      </c>
      <c r="R31" s="77"/>
      <c r="S31" s="116">
        <f>INDEX('Additional data'!$E$2:$E$699,MATCH(DATE(YEAR(N31),MONTH(N31),1),'Additional data'!$D$2:$D$699,0))</f>
        <v>7.15</v>
      </c>
      <c r="T31" s="115">
        <f t="shared" si="1"/>
        <v>0</v>
      </c>
      <c r="U31" s="115">
        <f t="shared" si="2"/>
        <v>-4.9120443610206413E-3</v>
      </c>
      <c r="V31" s="77"/>
      <c r="W31" s="116">
        <f t="shared" si="3"/>
        <v>0.85000000000000053</v>
      </c>
      <c r="X31" s="115">
        <f t="shared" si="6"/>
        <v>3.0305349495328926E-2</v>
      </c>
      <c r="Y31" s="115">
        <f t="shared" si="7"/>
        <v>-0.11087500364505314</v>
      </c>
      <c r="Z31" s="77"/>
      <c r="AA31" s="116">
        <f t="shared" si="8"/>
        <v>2</v>
      </c>
      <c r="AB31" s="77"/>
      <c r="AC31" s="77"/>
      <c r="AD31" s="77"/>
      <c r="AE31" s="237"/>
    </row>
    <row r="32" spans="1:31" x14ac:dyDescent="0.2">
      <c r="A32" s="98" t="s">
        <v>22</v>
      </c>
      <c r="B32" s="68">
        <f>INDEX(Data!F$2:F$497,MATCH($C$24,Data!$A$2:$A$497,0))/INDEX(Data!F$2:F$497,MATCH($B$24,Data!$A$2:$A$497,0))-1</f>
        <v>0.35944769856975278</v>
      </c>
      <c r="C32" s="68">
        <f>INDEX(Data!F$2:F$497,MATCH($C$25,Data!$A$2:$A$497,0))/INDEX(Data!F$2:F$497,MATCH($B$25,Data!$A$2:$A$497,0))-1</f>
        <v>0.24635525224624888</v>
      </c>
      <c r="D32" s="68">
        <f t="shared" si="9"/>
        <v>0.24214832863351818</v>
      </c>
      <c r="E32" s="68">
        <f t="shared" si="10"/>
        <v>0.3381293039975023</v>
      </c>
      <c r="F32" s="69">
        <f t="shared" si="11"/>
        <v>0.29013881631551025</v>
      </c>
      <c r="G32" s="282"/>
      <c r="N32" s="337">
        <v>25688</v>
      </c>
      <c r="O32" s="116">
        <f>INDEX('Additional data'!$B$2:$B$965,MATCH(DATE(YEAR(N32),MONTH(N32),1),'Additional data'!$A$2:$A$965,0))</f>
        <v>3.35</v>
      </c>
      <c r="P32" s="232">
        <f t="shared" si="0"/>
        <v>1.2089603458369751</v>
      </c>
      <c r="Q32" s="232">
        <f>Q31+LN(1+INDEX('Additional data'!$H$2:$H$1196,MATCH(N32,'Additional data'!$G$2:$G$1196,1))+INDEX('Additional data'!$I$2:$I$1196,MATCH(N32,'Additional data'!$G$2:$G$1196,1)))</f>
        <v>-0.121497901162942</v>
      </c>
      <c r="R32" s="77"/>
      <c r="S32" s="116">
        <f>INDEX('Additional data'!$E$2:$E$699,MATCH(DATE(YEAR(N32),MONTH(N32),1),'Additional data'!$D$2:$D$699,0))</f>
        <v>8.6</v>
      </c>
      <c r="T32" s="115">
        <f t="shared" si="1"/>
        <v>0</v>
      </c>
      <c r="U32" s="115">
        <f t="shared" si="2"/>
        <v>-0.11081983510524378</v>
      </c>
      <c r="V32" s="77"/>
      <c r="W32" s="116">
        <f t="shared" si="3"/>
        <v>1.4499999999999993</v>
      </c>
      <c r="X32" s="115">
        <f t="shared" si="6"/>
        <v>0</v>
      </c>
      <c r="Y32" s="115">
        <f t="shared" si="7"/>
        <v>-0.24139942202463233</v>
      </c>
      <c r="Z32" s="77"/>
      <c r="AA32" s="116">
        <f t="shared" si="8"/>
        <v>3.1999999999999993</v>
      </c>
      <c r="AB32" s="77"/>
      <c r="AC32" s="77"/>
      <c r="AD32" s="77"/>
      <c r="AE32" s="237"/>
    </row>
    <row r="33" spans="1:31" x14ac:dyDescent="0.2">
      <c r="A33" s="98" t="s">
        <v>24</v>
      </c>
      <c r="B33" s="68">
        <f>INDEX(Data!G$2:G$497,MATCH($C$24,Data!$A$2:$A$497,0))/INDEX(Data!G$2:G$497,MATCH($B$24,Data!$A$2:$A$497,0))-1</f>
        <v>-5.9498336390040318E-3</v>
      </c>
      <c r="C33" s="68">
        <f>INDEX(Data!G$2:G$497,MATCH($C$25,Data!$A$2:$A$497,0))/INDEX(Data!G$2:G$497,MATCH($B$25,Data!$A$2:$A$497,0))-1</f>
        <v>3.6826648217396007E-2</v>
      </c>
      <c r="D33" s="68">
        <f t="shared" si="9"/>
        <v>-4.0082111446673391E-3</v>
      </c>
      <c r="E33" s="68">
        <f t="shared" si="10"/>
        <v>5.0545579267220898E-2</v>
      </c>
      <c r="F33" s="69">
        <f t="shared" si="11"/>
        <v>2.326868406127678E-2</v>
      </c>
      <c r="G33" s="351" t="s">
        <v>501</v>
      </c>
      <c r="N33" s="337">
        <v>25719</v>
      </c>
      <c r="O33" s="116">
        <f>INDEX('Additional data'!$B$2:$B$965,MATCH(DATE(YEAR(N33),MONTH(N33),1),'Additional data'!$A$2:$A$965,0))</f>
        <v>3.35</v>
      </c>
      <c r="P33" s="232">
        <f t="shared" si="0"/>
        <v>1.2089603458369751</v>
      </c>
      <c r="Q33" s="232">
        <f>Q32+LN(1+INDEX('Additional data'!$H$2:$H$1196,MATCH(N33,'Additional data'!$G$2:$G$1196,1))+INDEX('Additional data'!$I$2:$I$1196,MATCH(N33,'Additional data'!$G$2:$G$1196,1)))</f>
        <v>-0.1873172422002356</v>
      </c>
      <c r="R33" s="77"/>
      <c r="S33" s="116">
        <f>INDEX('Additional data'!$E$2:$E$699,MATCH(DATE(YEAR(N33),MONTH(N33),1),'Additional data'!$D$2:$D$699,0))</f>
        <v>9.1</v>
      </c>
      <c r="T33" s="115">
        <f t="shared" si="1"/>
        <v>0</v>
      </c>
      <c r="U33" s="115">
        <f t="shared" si="2"/>
        <v>-6.5819341037293602E-2</v>
      </c>
      <c r="V33" s="77"/>
      <c r="W33" s="116">
        <f t="shared" si="3"/>
        <v>0.5</v>
      </c>
      <c r="X33" s="115">
        <f t="shared" si="6"/>
        <v>0</v>
      </c>
      <c r="Y33" s="115">
        <f t="shared" si="7"/>
        <v>-0.31111117777726982</v>
      </c>
      <c r="Z33" s="77"/>
      <c r="AA33" s="116">
        <f t="shared" si="8"/>
        <v>3.5999999999999996</v>
      </c>
      <c r="AB33" s="77"/>
      <c r="AC33" s="77"/>
      <c r="AD33" s="77"/>
      <c r="AE33" s="237"/>
    </row>
    <row r="34" spans="1:31" x14ac:dyDescent="0.2">
      <c r="A34" s="98" t="s">
        <v>26</v>
      </c>
      <c r="B34" s="68">
        <f>0.5*B29+0.5*B38</f>
        <v>-5.562091650157408E-2</v>
      </c>
      <c r="C34" s="68">
        <f>INDEX(Data!H$2:H$497,MATCH($C$25,Data!$A$2:$A$497,0))/INDEX(Data!H$2:H$497,MATCH($B$25,Data!$A$2:$A$497,0))-1</f>
        <v>-3.3228385662291915E-2</v>
      </c>
      <c r="D34" s="68">
        <f t="shared" si="9"/>
        <v>-3.7470018646696093E-2</v>
      </c>
      <c r="E34" s="68">
        <f t="shared" si="10"/>
        <v>-4.5606865753853344E-2</v>
      </c>
      <c r="F34" s="69">
        <f t="shared" si="11"/>
        <v>-4.1538442200274722E-2</v>
      </c>
      <c r="G34" s="351" t="s">
        <v>502</v>
      </c>
      <c r="N34" s="337">
        <v>25749</v>
      </c>
      <c r="O34" s="116">
        <f>INDEX('Additional data'!$B$2:$B$965,MATCH(DATE(YEAR(N34),MONTH(N34),1),'Additional data'!$A$2:$A$965,0))</f>
        <v>3.35</v>
      </c>
      <c r="P34" s="232">
        <f t="shared" si="0"/>
        <v>1.2089603458369751</v>
      </c>
      <c r="Q34" s="232">
        <f>Q33+LN(1+INDEX('Additional data'!$H$2:$H$1196,MATCH(N34,'Additional data'!$G$2:$G$1196,1))+INDEX('Additional data'!$I$2:$I$1196,MATCH(N34,'Additional data'!$G$2:$G$1196,1)))</f>
        <v>-0.24092901164888475</v>
      </c>
      <c r="R34" s="77"/>
      <c r="S34" s="116">
        <f>INDEX('Additional data'!$E$2:$E$699,MATCH(DATE(YEAR(N34),MONTH(N34),1),'Additional data'!$D$2:$D$699,0))</f>
        <v>8.6999999999999993</v>
      </c>
      <c r="T34" s="115">
        <f t="shared" si="1"/>
        <v>0</v>
      </c>
      <c r="U34" s="115">
        <f t="shared" si="2"/>
        <v>-5.3611769448649149E-2</v>
      </c>
      <c r="V34" s="77"/>
      <c r="W34" s="116">
        <f t="shared" si="3"/>
        <v>-0.40000000000000036</v>
      </c>
      <c r="X34" s="115">
        <f t="shared" si="6"/>
        <v>0</v>
      </c>
      <c r="Y34" s="115">
        <f t="shared" si="7"/>
        <v>-0.29558720839105684</v>
      </c>
      <c r="Z34" s="77"/>
      <c r="AA34" s="116">
        <f t="shared" si="8"/>
        <v>2.7999999999999989</v>
      </c>
      <c r="AB34" s="77"/>
      <c r="AC34" s="77"/>
      <c r="AD34" s="77"/>
      <c r="AE34" s="237"/>
    </row>
    <row r="35" spans="1:31" x14ac:dyDescent="0.2">
      <c r="A35" s="98" t="s">
        <v>28</v>
      </c>
      <c r="B35" s="68">
        <f>B29</f>
        <v>-0.14783853281408188</v>
      </c>
      <c r="C35" s="68">
        <f>INDEX(Data!I$2:I$497,MATCH($C$25,Data!$A$2:$A$497,0))/INDEX(Data!I$2:I$497,MATCH($B$25,Data!$A$2:$A$497,0))-1</f>
        <v>-7.0862114421049616E-2</v>
      </c>
      <c r="D35" s="68">
        <f t="shared" si="9"/>
        <v>-9.959405435340267E-2</v>
      </c>
      <c r="E35" s="68">
        <f t="shared" si="10"/>
        <v>-9.7260185080327272E-2</v>
      </c>
      <c r="F35" s="69">
        <f t="shared" si="11"/>
        <v>-9.8427119716864964E-2</v>
      </c>
      <c r="G35" s="351" t="s">
        <v>503</v>
      </c>
      <c r="N35" s="337">
        <v>25780</v>
      </c>
      <c r="O35" s="116">
        <f>INDEX('Additional data'!$B$2:$B$965,MATCH(DATE(YEAR(N35),MONTH(N35),1),'Additional data'!$A$2:$A$965,0))</f>
        <v>3.31</v>
      </c>
      <c r="P35" s="232">
        <f t="shared" si="0"/>
        <v>1.1969481893889715</v>
      </c>
      <c r="Q35" s="232">
        <f>Q34+LN(1+INDEX('Additional data'!$H$2:$H$1196,MATCH(N35,'Additional data'!$G$2:$G$1196,1))+INDEX('Additional data'!$I$2:$I$1196,MATCH(N35,'Additional data'!$G$2:$G$1196,1)))</f>
        <v>-0.16916664542199394</v>
      </c>
      <c r="R35" s="77"/>
      <c r="S35" s="116">
        <f>INDEX('Additional data'!$E$2:$E$699,MATCH(DATE(YEAR(N35),MONTH(N35),1),'Additional data'!$D$2:$D$699,0))</f>
        <v>7.4</v>
      </c>
      <c r="T35" s="115">
        <f t="shared" si="1"/>
        <v>-1.2012156448003575E-2</v>
      </c>
      <c r="U35" s="115">
        <f t="shared" si="2"/>
        <v>7.1762366226890806E-2</v>
      </c>
      <c r="V35" s="77"/>
      <c r="W35" s="116">
        <f t="shared" si="3"/>
        <v>-1.2999999999999989</v>
      </c>
      <c r="X35" s="115">
        <f t="shared" si="6"/>
        <v>-1.2012156448003575E-2</v>
      </c>
      <c r="Y35" s="115">
        <f t="shared" si="7"/>
        <v>-0.15693689662253418</v>
      </c>
      <c r="Z35" s="77"/>
      <c r="AA35" s="116">
        <f t="shared" si="8"/>
        <v>1.6000000000000005</v>
      </c>
      <c r="AB35" s="77"/>
      <c r="AC35" s="77"/>
      <c r="AD35" s="77"/>
      <c r="AE35" s="237"/>
    </row>
    <row r="36" spans="1:31" x14ac:dyDescent="0.2">
      <c r="A36" s="98" t="s">
        <v>30</v>
      </c>
      <c r="B36" s="68">
        <f>INDEX(Data!J$2:J$497,MATCH($C$24,Data!$A$2:$A$497,0))/INDEX(Data!J$2:J$497,MATCH($B$24,Data!$A$2:$A$497,0))-1</f>
        <v>5.0321614177780916E-2</v>
      </c>
      <c r="C36" s="68">
        <f>INDEX(Data!J$2:J$497,MATCH($C$25,Data!$A$2:$A$497,0))/INDEX(Data!J$2:J$497,MATCH($B$25,Data!$A$2:$A$497,0))-1</f>
        <v>-9.5872767837656747E-2</v>
      </c>
      <c r="D36" s="68">
        <f t="shared" si="9"/>
        <v>3.3900049480844782E-2</v>
      </c>
      <c r="E36" s="68">
        <f t="shared" si="10"/>
        <v>-0.13158798915664119</v>
      </c>
      <c r="F36" s="69">
        <f t="shared" si="11"/>
        <v>-4.8843969837898203E-2</v>
      </c>
      <c r="G36" s="282"/>
      <c r="N36" s="337">
        <v>25811</v>
      </c>
      <c r="O36" s="116">
        <f>INDEX('Additional data'!$B$2:$B$965,MATCH(DATE(YEAR(N36),MONTH(N36),1),'Additional data'!$A$2:$A$965,0))</f>
        <v>3.31</v>
      </c>
      <c r="P36" s="232">
        <f t="shared" si="0"/>
        <v>1.1969481893889715</v>
      </c>
      <c r="Q36" s="232">
        <f>Q35+LN(1+INDEX('Additional data'!$H$2:$H$1196,MATCH(N36,'Additional data'!$G$2:$G$1196,1))+INDEX('Additional data'!$I$2:$I$1196,MATCH(N36,'Additional data'!$G$2:$G$1196,1)))</f>
        <v>-0.12009080777540129</v>
      </c>
      <c r="R36" s="77"/>
      <c r="S36" s="116">
        <f>INDEX('Additional data'!$E$2:$E$699,MATCH(DATE(YEAR(N36),MONTH(N36),1),'Additional data'!$D$2:$D$699,0))</f>
        <v>6.8</v>
      </c>
      <c r="T36" s="115">
        <f t="shared" si="1"/>
        <v>0</v>
      </c>
      <c r="U36" s="115">
        <f t="shared" si="2"/>
        <v>4.9075837646592652E-2</v>
      </c>
      <c r="V36" s="77"/>
      <c r="W36" s="116">
        <f t="shared" si="3"/>
        <v>-0.60000000000000053</v>
      </c>
      <c r="X36" s="115">
        <f t="shared" si="6"/>
        <v>-1.2012156448003575E-2</v>
      </c>
      <c r="Y36" s="115">
        <f t="shared" si="7"/>
        <v>-0.15845911173903274</v>
      </c>
      <c r="Z36" s="77"/>
      <c r="AA36" s="116">
        <f t="shared" si="8"/>
        <v>0.70000000000000018</v>
      </c>
      <c r="AB36" s="77"/>
      <c r="AC36" s="77"/>
      <c r="AD36" s="77"/>
      <c r="AE36" s="237"/>
    </row>
    <row r="37" spans="1:31" x14ac:dyDescent="0.2">
      <c r="A37" s="98" t="s">
        <v>32</v>
      </c>
      <c r="B37" s="68">
        <f>INDEX(Data!K$2:K$497,MATCH($C$24,Data!$A$2:$A$497,0))/INDEX(Data!K$2:K$497,MATCH($B$24,Data!$A$2:$A$497,0))-1</f>
        <v>2.3422918999626674E-2</v>
      </c>
      <c r="C37" s="68">
        <f>INDEX(Data!K$2:K$497,MATCH($C$25,Data!$A$2:$A$497,0))/INDEX(Data!K$2:K$497,MATCH($B$25,Data!$A$2:$A$497,0))-1</f>
        <v>-8.1113807049976838E-2</v>
      </c>
      <c r="D37" s="68">
        <f t="shared" si="9"/>
        <v>1.5779265551138948E-2</v>
      </c>
      <c r="E37" s="68">
        <f t="shared" si="10"/>
        <v>-0.11133091286797998</v>
      </c>
      <c r="F37" s="69">
        <f t="shared" si="11"/>
        <v>-4.7775823658420521E-2</v>
      </c>
      <c r="G37" s="282"/>
      <c r="N37" s="337">
        <v>25841</v>
      </c>
      <c r="O37" s="116">
        <f>INDEX('Additional data'!$B$2:$B$965,MATCH(DATE(YEAR(N37),MONTH(N37),1),'Additional data'!$A$2:$A$965,0))</f>
        <v>3.31</v>
      </c>
      <c r="P37" s="232">
        <f t="shared" si="0"/>
        <v>1.1969481893889715</v>
      </c>
      <c r="Q37" s="232">
        <f>Q36+LN(1+INDEX('Additional data'!$H$2:$H$1196,MATCH(N37,'Additional data'!$G$2:$G$1196,1))+INDEX('Additional data'!$I$2:$I$1196,MATCH(N37,'Additional data'!$G$2:$G$1196,1)))</f>
        <v>-7.3970872161848056E-2</v>
      </c>
      <c r="R37" s="77"/>
      <c r="S37" s="116">
        <f>INDEX('Additional data'!$E$2:$E$699,MATCH(DATE(YEAR(N37),MONTH(N37),1),'Additional data'!$D$2:$D$699,0))</f>
        <v>6.35</v>
      </c>
      <c r="T37" s="115">
        <f t="shared" si="1"/>
        <v>0</v>
      </c>
      <c r="U37" s="115">
        <f t="shared" si="2"/>
        <v>4.6119935613553237E-2</v>
      </c>
      <c r="V37" s="77"/>
      <c r="W37" s="116">
        <f t="shared" si="3"/>
        <v>-0.45000000000000018</v>
      </c>
      <c r="X37" s="115">
        <f t="shared" si="6"/>
        <v>-1.2012156448003575E-2</v>
      </c>
      <c r="Y37" s="115">
        <f t="shared" si="7"/>
        <v>-8.855864746007612E-2</v>
      </c>
      <c r="Z37" s="77"/>
      <c r="AA37" s="116">
        <f t="shared" si="8"/>
        <v>0.54999999999999982</v>
      </c>
      <c r="AB37" s="77"/>
      <c r="AC37" s="77"/>
      <c r="AD37" s="77"/>
      <c r="AE37" s="237"/>
    </row>
    <row r="38" spans="1:31" x14ac:dyDescent="0.2">
      <c r="A38" s="100" t="s">
        <v>34</v>
      </c>
      <c r="B38" s="101">
        <f>INDEX(Data!L$2:L$497,MATCH($C$24,Data!$A$2:$A$497,0))/INDEX(Data!L$2:L$497,MATCH($B$24,Data!$A$2:$A$497,0))-1</f>
        <v>3.6596699810933719E-2</v>
      </c>
      <c r="C38" s="101">
        <f>INDEX(Data!L$2:L$497,MATCH($C$25,Data!$A$2:$A$497,0))/INDEX(Data!L$2:L$497,MATCH($B$25,Data!$A$2:$A$497,0))-1</f>
        <v>7.74426173022702E-4</v>
      </c>
      <c r="D38" s="101">
        <v>0</v>
      </c>
      <c r="E38" s="101">
        <v>0</v>
      </c>
      <c r="F38" s="333">
        <f t="shared" si="11"/>
        <v>0</v>
      </c>
      <c r="G38" s="352" t="s">
        <v>504</v>
      </c>
      <c r="N38" s="337">
        <v>25872</v>
      </c>
      <c r="O38" s="116">
        <f>INDEX('Additional data'!$B$2:$B$965,MATCH(DATE(YEAR(N38),MONTH(N38),1),'Additional data'!$A$2:$A$965,0))</f>
        <v>3.31</v>
      </c>
      <c r="P38" s="232">
        <f t="shared" si="0"/>
        <v>1.1969481893889715</v>
      </c>
      <c r="Q38" s="232">
        <f>Q37+LN(1+INDEX('Additional data'!$H$2:$H$1196,MATCH(N38,'Additional data'!$G$2:$G$1196,1))+INDEX('Additional data'!$I$2:$I$1196,MATCH(N38,'Additional data'!$G$2:$G$1196,1)))</f>
        <v>-9.2236680968740603E-2</v>
      </c>
      <c r="R38" s="77"/>
      <c r="S38" s="116">
        <f>INDEX('Additional data'!$E$2:$E$699,MATCH(DATE(YEAR(N38),MONTH(N38),1),'Additional data'!$D$2:$D$699,0))</f>
        <v>6.4</v>
      </c>
      <c r="T38" s="115">
        <f t="shared" si="1"/>
        <v>0</v>
      </c>
      <c r="U38" s="115">
        <f t="shared" si="2"/>
        <v>-1.8265808806892547E-2</v>
      </c>
      <c r="V38" s="77"/>
      <c r="W38" s="116">
        <f t="shared" si="3"/>
        <v>5.0000000000000711E-2</v>
      </c>
      <c r="X38" s="115">
        <f t="shared" si="6"/>
        <v>-1.2012156448003575E-2</v>
      </c>
      <c r="Y38" s="115">
        <f t="shared" si="7"/>
        <v>-0.16188066201504706</v>
      </c>
      <c r="Z38" s="77"/>
      <c r="AA38" s="116">
        <f t="shared" si="8"/>
        <v>0.80000000000000071</v>
      </c>
      <c r="AB38" s="77"/>
      <c r="AC38" s="77"/>
      <c r="AD38" s="77"/>
      <c r="AE38" s="237"/>
    </row>
    <row r="39" spans="1:31" x14ac:dyDescent="0.2">
      <c r="N39" s="337">
        <v>25902</v>
      </c>
      <c r="O39" s="116">
        <f>INDEX('Additional data'!$B$2:$B$965,MATCH(DATE(YEAR(N39),MONTH(N39),1),'Additional data'!$A$2:$A$965,0))</f>
        <v>3.31</v>
      </c>
      <c r="P39" s="232">
        <f t="shared" si="0"/>
        <v>1.1969481893889715</v>
      </c>
      <c r="Q39" s="232">
        <f>Q38+LN(1+INDEX('Additional data'!$H$2:$H$1196,MATCH(N39,'Additional data'!$G$2:$G$1196,1))+INDEX('Additional data'!$I$2:$I$1196,MATCH(N39,'Additional data'!$G$2:$G$1196,1)))</f>
        <v>-4.2684902139492893E-2</v>
      </c>
      <c r="R39" s="77"/>
      <c r="S39" s="116">
        <f>INDEX('Additional data'!$E$2:$E$699,MATCH(DATE(YEAR(N39),MONTH(N39),1),'Additional data'!$D$2:$D$699,0))</f>
        <v>6.2</v>
      </c>
      <c r="T39" s="115">
        <f t="shared" si="1"/>
        <v>0</v>
      </c>
      <c r="U39" s="115">
        <f t="shared" si="2"/>
        <v>4.955177882924771E-2</v>
      </c>
      <c r="V39" s="77"/>
      <c r="W39" s="116">
        <f t="shared" si="3"/>
        <v>-0.20000000000000018</v>
      </c>
      <c r="X39" s="115">
        <f t="shared" si="6"/>
        <v>-1.2012156448003575E-2</v>
      </c>
      <c r="Y39" s="115">
        <f t="shared" si="7"/>
        <v>-7.8978903504245163E-2</v>
      </c>
      <c r="Z39" s="77"/>
      <c r="AA39" s="116">
        <f t="shared" si="8"/>
        <v>6.2</v>
      </c>
      <c r="AB39" s="77"/>
      <c r="AC39" s="77"/>
      <c r="AD39" s="77"/>
      <c r="AE39" s="237"/>
    </row>
    <row r="40" spans="1:31" x14ac:dyDescent="0.2">
      <c r="N40" s="337">
        <v>25933</v>
      </c>
      <c r="O40" s="116">
        <f>INDEX('Additional data'!$B$2:$B$965,MATCH(DATE(YEAR(N40),MONTH(N40),1),'Additional data'!$A$2:$A$965,0))</f>
        <v>3.56</v>
      </c>
      <c r="P40" s="232">
        <f t="shared" si="0"/>
        <v>1.2697605448639391</v>
      </c>
      <c r="Q40" s="232">
        <f>Q39+LN(1+INDEX('Additional data'!$H$2:$H$1196,MATCH(N40,'Additional data'!$G$2:$G$1196,1))+INDEX('Additional data'!$I$2:$I$1196,MATCH(N40,'Additional data'!$G$2:$G$1196,1)))</f>
        <v>1.7092301896367693E-2</v>
      </c>
      <c r="R40" s="77"/>
      <c r="S40" s="116">
        <f>INDEX('Additional data'!$E$2:$E$699,MATCH(DATE(YEAR(N40),MONTH(N40),1),'Additional data'!$D$2:$D$699,0))</f>
        <v>6.5</v>
      </c>
      <c r="T40" s="115">
        <f t="shared" si="1"/>
        <v>7.2812355474967561E-2</v>
      </c>
      <c r="U40" s="115">
        <f t="shared" si="2"/>
        <v>5.9777204035860586E-2</v>
      </c>
      <c r="V40" s="77"/>
      <c r="W40" s="116">
        <f t="shared" si="3"/>
        <v>0.29999999999999982</v>
      </c>
      <c r="X40" s="115">
        <f t="shared" si="6"/>
        <v>6.0800199026963986E-2</v>
      </c>
      <c r="Y40" s="115">
        <f t="shared" si="7"/>
        <v>8.9897223861834172E-4</v>
      </c>
      <c r="Z40" s="77"/>
      <c r="AA40" s="116">
        <f t="shared" si="8"/>
        <v>0.84999999999999964</v>
      </c>
      <c r="AB40" s="77"/>
      <c r="AC40" s="77"/>
      <c r="AD40" s="77"/>
      <c r="AE40" s="237"/>
    </row>
    <row r="41" spans="1:31" x14ac:dyDescent="0.2">
      <c r="A41" s="104" t="s">
        <v>505</v>
      </c>
      <c r="B41" s="105"/>
      <c r="C41" s="105"/>
      <c r="D41" s="105"/>
      <c r="E41" s="105"/>
      <c r="F41" s="106"/>
      <c r="N41" s="337">
        <v>25964</v>
      </c>
      <c r="O41" s="116">
        <f>INDEX('Additional data'!$B$2:$B$965,MATCH(DATE(YEAR(N41),MONTH(N41),1),'Additional data'!$A$2:$A$965,0))</f>
        <v>3.56</v>
      </c>
      <c r="P41" s="232">
        <f t="shared" si="0"/>
        <v>1.2697605448639391</v>
      </c>
      <c r="Q41" s="232">
        <f>Q40+LN(1+INDEX('Additional data'!$H$2:$H$1196,MATCH(N41,'Additional data'!$G$2:$G$1196,1))+INDEX('Additional data'!$I$2:$I$1196,MATCH(N41,'Additional data'!$G$2:$G$1196,1)))</f>
        <v>6.7880468728472781E-2</v>
      </c>
      <c r="R41" s="77"/>
      <c r="S41" s="116">
        <f>INDEX('Additional data'!$E$2:$E$699,MATCH(DATE(YEAR(N41),MONTH(N41),1),'Additional data'!$D$2:$D$699,0))</f>
        <v>6.6</v>
      </c>
      <c r="T41" s="115">
        <f t="shared" si="1"/>
        <v>0</v>
      </c>
      <c r="U41" s="115">
        <f t="shared" si="2"/>
        <v>5.0788166832105089E-2</v>
      </c>
      <c r="V41" s="77"/>
      <c r="W41" s="116">
        <f t="shared" si="3"/>
        <v>9.9999999999999645E-2</v>
      </c>
      <c r="X41" s="115">
        <f t="shared" si="6"/>
        <v>6.0800199026963986E-2</v>
      </c>
      <c r="Y41" s="115">
        <f t="shared" si="7"/>
        <v>0.12964868054043524</v>
      </c>
      <c r="Z41" s="77"/>
      <c r="AA41" s="116">
        <f t="shared" si="8"/>
        <v>0.79999999999999982</v>
      </c>
      <c r="AB41" s="77"/>
      <c r="AC41" s="77"/>
      <c r="AD41" s="77"/>
      <c r="AE41" s="237"/>
    </row>
    <row r="42" spans="1:31" ht="28" x14ac:dyDescent="0.2">
      <c r="A42" s="111" t="s">
        <v>91</v>
      </c>
      <c r="B42" s="112" t="s">
        <v>496</v>
      </c>
      <c r="C42" s="112" t="s">
        <v>497</v>
      </c>
      <c r="D42" s="112" t="s">
        <v>498</v>
      </c>
      <c r="E42" s="112" t="s">
        <v>499</v>
      </c>
      <c r="F42" s="113" t="s">
        <v>179</v>
      </c>
      <c r="N42" s="337">
        <v>25992</v>
      </c>
      <c r="O42" s="116">
        <f>INDEX('Additional data'!$B$2:$B$965,MATCH(DATE(YEAR(N42),MONTH(N42),1),'Additional data'!$A$2:$A$965,0))</f>
        <v>3.56</v>
      </c>
      <c r="P42" s="232">
        <f t="shared" si="0"/>
        <v>1.2697605448639391</v>
      </c>
      <c r="Q42" s="232">
        <f>Q41+LN(1+INDEX('Additional data'!$H$2:$H$1196,MATCH(N42,'Additional data'!$G$2:$G$1196,1))+INDEX('Additional data'!$I$2:$I$1196,MATCH(N42,'Additional data'!$G$2:$G$1196,1)))</f>
        <v>8.513082213500045E-2</v>
      </c>
      <c r="R42" s="77"/>
      <c r="S42" s="116">
        <f>INDEX('Additional data'!$E$2:$E$699,MATCH(DATE(YEAR(N42),MONTH(N42),1),'Additional data'!$D$2:$D$699,0))</f>
        <v>7.6</v>
      </c>
      <c r="T42" s="115">
        <f t="shared" si="1"/>
        <v>0</v>
      </c>
      <c r="U42" s="115">
        <f t="shared" si="2"/>
        <v>1.7250353406527669E-2</v>
      </c>
      <c r="V42" s="77"/>
      <c r="W42" s="116">
        <f t="shared" si="3"/>
        <v>1</v>
      </c>
      <c r="X42" s="115">
        <f t="shared" si="6"/>
        <v>6.0800199026963986E-2</v>
      </c>
      <c r="Y42" s="115">
        <f t="shared" si="7"/>
        <v>9.0896843831678037E-2</v>
      </c>
      <c r="Z42" s="77"/>
      <c r="AA42" s="116">
        <f t="shared" si="8"/>
        <v>1.2999999999999998</v>
      </c>
      <c r="AB42" s="77"/>
      <c r="AC42" s="77"/>
      <c r="AD42" s="77"/>
      <c r="AE42" s="237"/>
    </row>
    <row r="43" spans="1:31" x14ac:dyDescent="0.2">
      <c r="A43" s="114" t="s">
        <v>141</v>
      </c>
      <c r="B43" s="68">
        <f>SUMPRODUCT(B$28:B$38,Portfolio!$C$6:$C$16)</f>
        <v>-8.8824395957062999E-2</v>
      </c>
      <c r="C43" s="68">
        <f>SUMPRODUCT(C$28:C$38,Portfolio!$C$6:$C$16)</f>
        <v>-7.5466840923488612E-2</v>
      </c>
      <c r="D43" s="68">
        <f>SUMPRODUCT(D$28:D$38,Portfolio!$C$6:$C$16)</f>
        <v>-6.1563913719371872E-2</v>
      </c>
      <c r="E43" s="68">
        <f>SUMPRODUCT(E$28:E$38,Portfolio!$C$6:$C$16)</f>
        <v>-0.10365470228995276</v>
      </c>
      <c r="F43" s="343">
        <f>SUMPRODUCT(F$28:F$38,Portfolio!$C$6:$C$16)</f>
        <v>-8.2609308004662318E-2</v>
      </c>
      <c r="N43" s="337">
        <v>26023</v>
      </c>
      <c r="O43" s="116">
        <f>INDEX('Additional data'!$B$2:$B$965,MATCH(DATE(YEAR(N43),MONTH(N43),1),'Additional data'!$A$2:$A$965,0))</f>
        <v>3.56</v>
      </c>
      <c r="P43" s="232">
        <f t="shared" si="0"/>
        <v>1.2697605448639391</v>
      </c>
      <c r="Q43" s="232">
        <f>Q42+LN(1+INDEX('Additional data'!$H$2:$H$1196,MATCH(N43,'Additional data'!$G$2:$G$1196,1))+INDEX('Additional data'!$I$2:$I$1196,MATCH(N43,'Additional data'!$G$2:$G$1196,1)))</f>
        <v>0.12838186412931518</v>
      </c>
      <c r="R43" s="77"/>
      <c r="S43" s="116">
        <f>INDEX('Additional data'!$E$2:$E$699,MATCH(DATE(YEAR(N43),MONTH(N43),1),'Additional data'!$D$2:$D$699,0))</f>
        <v>8</v>
      </c>
      <c r="T43" s="115">
        <f t="shared" si="1"/>
        <v>0</v>
      </c>
      <c r="U43" s="115">
        <f t="shared" si="2"/>
        <v>4.3251041994314732E-2</v>
      </c>
      <c r="V43" s="77"/>
      <c r="W43" s="116">
        <f t="shared" si="3"/>
        <v>0.40000000000000036</v>
      </c>
      <c r="X43" s="115">
        <f t="shared" si="6"/>
        <v>6.0800199026963986E-2</v>
      </c>
      <c r="Y43" s="115">
        <f t="shared" si="7"/>
        <v>0.1390599301870134</v>
      </c>
      <c r="Z43" s="77"/>
      <c r="AA43" s="116">
        <f t="shared" si="8"/>
        <v>0.84999999999999964</v>
      </c>
      <c r="AB43" s="77"/>
      <c r="AC43" s="77"/>
      <c r="AD43" s="77"/>
      <c r="AE43" s="237"/>
    </row>
    <row r="44" spans="1:31" x14ac:dyDescent="0.2">
      <c r="A44" s="114" t="s">
        <v>7</v>
      </c>
      <c r="B44" s="68">
        <f>SUMPRODUCT(B$28:B$38,Portfolio!$D$6:$D$16)</f>
        <v>-7.574118525621773E-2</v>
      </c>
      <c r="C44" s="68">
        <f>SUMPRODUCT(C$28:C$38,Portfolio!$D$6:$D$16)</f>
        <v>-6.9961881393261066E-2</v>
      </c>
      <c r="D44" s="68">
        <f>SUMPRODUCT(D$28:D$38,Portfolio!$D$6:$D$16)</f>
        <v>-5.1764015692218189E-2</v>
      </c>
      <c r="E44" s="68">
        <f>SUMPRODUCT(E$28:E$38,Portfolio!$D$6:$D$16)</f>
        <v>-9.60564783237981E-2</v>
      </c>
      <c r="F44" s="343">
        <f>SUMPRODUCT(F$28:F$38,Portfolio!$D$6:$D$16)</f>
        <v>-7.3910247008008134E-2</v>
      </c>
      <c r="N44" s="337">
        <v>26053</v>
      </c>
      <c r="O44" s="116">
        <f>INDEX('Additional data'!$B$2:$B$965,MATCH(DATE(YEAR(N44),MONTH(N44),1),'Additional data'!$A$2:$A$965,0))</f>
        <v>3.56</v>
      </c>
      <c r="P44" s="232">
        <f t="shared" si="0"/>
        <v>1.2697605448639391</v>
      </c>
      <c r="Q44" s="232">
        <f>Q43+LN(1+INDEX('Additional data'!$H$2:$H$1196,MATCH(N44,'Additional data'!$G$2:$G$1196,1))+INDEX('Additional data'!$I$2:$I$1196,MATCH(N44,'Additional data'!$G$2:$G$1196,1)))</f>
        <v>0.16210673353093608</v>
      </c>
      <c r="R44" s="77"/>
      <c r="S44" s="116">
        <f>INDEX('Additional data'!$E$2:$E$699,MATCH(DATE(YEAR(N44),MONTH(N44),1),'Additional data'!$D$2:$D$699,0))</f>
        <v>7.8</v>
      </c>
      <c r="T44" s="115">
        <f t="shared" si="1"/>
        <v>0</v>
      </c>
      <c r="U44" s="115">
        <f t="shared" si="2"/>
        <v>3.3724869401620894E-2</v>
      </c>
      <c r="V44" s="77"/>
      <c r="W44" s="116">
        <f t="shared" si="3"/>
        <v>-0.20000000000000018</v>
      </c>
      <c r="X44" s="115">
        <f t="shared" si="6"/>
        <v>6.0800199026963986E-2</v>
      </c>
      <c r="Y44" s="115">
        <f t="shared" si="7"/>
        <v>0.28360463469387809</v>
      </c>
      <c r="Z44" s="77"/>
      <c r="AA44" s="116">
        <f t="shared" si="8"/>
        <v>-0.79999999999999982</v>
      </c>
      <c r="AB44" s="77"/>
      <c r="AC44" s="77"/>
      <c r="AD44" s="77"/>
      <c r="AE44" s="237"/>
    </row>
    <row r="45" spans="1:31" x14ac:dyDescent="0.2">
      <c r="A45" s="353" t="s">
        <v>8</v>
      </c>
      <c r="B45" s="69">
        <f>SUMPRODUCT(B$28:B$38,Portfolio!$E$6:$E$16)</f>
        <v>-8.7683595274543086E-2</v>
      </c>
      <c r="C45" s="69">
        <f>SUMPRODUCT(C$28:C$38,Portfolio!$E$6:$E$16)</f>
        <v>-7.0542479521163298E-2</v>
      </c>
      <c r="D45" s="69">
        <f>SUMPRODUCT(D$28:D$38,Portfolio!$E$6:$E$16)</f>
        <v>-5.9562692217399758E-2</v>
      </c>
      <c r="E45" s="69">
        <f>SUMPRODUCT(E$28:E$38,Portfolio!$E$6:$E$16)</f>
        <v>-9.6842735881917455E-2</v>
      </c>
      <c r="F45" s="354">
        <f>SUMPRODUCT(F$28:F$38,Portfolio!$E$6:$E$16)</f>
        <v>-7.8202714049658631E-2</v>
      </c>
      <c r="N45" s="337">
        <v>26084</v>
      </c>
      <c r="O45" s="116">
        <f>INDEX('Additional data'!$B$2:$B$965,MATCH(DATE(YEAR(N45),MONTH(N45),1),'Additional data'!$A$2:$A$965,0))</f>
        <v>3.56</v>
      </c>
      <c r="P45" s="232">
        <f t="shared" si="0"/>
        <v>1.2697605448639391</v>
      </c>
      <c r="Q45" s="232">
        <f>Q44+LN(1+INDEX('Additional data'!$H$2:$H$1196,MATCH(N45,'Additional data'!$G$2:$G$1196,1))+INDEX('Additional data'!$I$2:$I$1196,MATCH(N45,'Additional data'!$G$2:$G$1196,1)))</f>
        <v>0.12440486634692455</v>
      </c>
      <c r="R45" s="77"/>
      <c r="S45" s="116">
        <f>INDEX('Additional data'!$E$2:$E$699,MATCH(DATE(YEAR(N45),MONTH(N45),1),'Additional data'!$D$2:$D$699,0))</f>
        <v>7.8</v>
      </c>
      <c r="T45" s="115">
        <f t="shared" si="1"/>
        <v>0</v>
      </c>
      <c r="U45" s="115">
        <f t="shared" si="2"/>
        <v>-3.7701867184011528E-2</v>
      </c>
      <c r="V45" s="77"/>
      <c r="W45" s="116">
        <f t="shared" si="3"/>
        <v>0</v>
      </c>
      <c r="X45" s="115">
        <f t="shared" si="6"/>
        <v>6.0800199026963986E-2</v>
      </c>
      <c r="Y45" s="115">
        <f t="shared" si="7"/>
        <v>0.31172210854716015</v>
      </c>
      <c r="Z45" s="77"/>
      <c r="AA45" s="116">
        <f t="shared" si="8"/>
        <v>-1.2999999999999998</v>
      </c>
      <c r="AB45" s="77"/>
      <c r="AC45" s="77"/>
      <c r="AD45" s="77"/>
      <c r="AE45" s="237"/>
    </row>
    <row r="46" spans="1:31" x14ac:dyDescent="0.2">
      <c r="A46" s="353" t="s">
        <v>454</v>
      </c>
      <c r="B46" s="69">
        <f>B45-B44</f>
        <v>-1.1942410018325356E-2</v>
      </c>
      <c r="C46" s="69">
        <f>C45-C44</f>
        <v>-5.8059812790223209E-4</v>
      </c>
      <c r="D46" s="69">
        <f>D45-D44</f>
        <v>-7.7986765251815693E-3</v>
      </c>
      <c r="E46" s="69">
        <f>E45-E44</f>
        <v>-7.8625755811935483E-4</v>
      </c>
      <c r="F46" s="354">
        <f>F45-F44</f>
        <v>-4.2924670416504968E-3</v>
      </c>
      <c r="N46" s="337">
        <v>26114</v>
      </c>
      <c r="O46" s="116">
        <f>INDEX('Additional data'!$B$2:$B$965,MATCH(DATE(YEAR(N46),MONTH(N46),1),'Additional data'!$A$2:$A$965,0))</f>
        <v>3.56</v>
      </c>
      <c r="P46" s="232">
        <f t="shared" si="0"/>
        <v>1.2697605448639391</v>
      </c>
      <c r="Q46" s="232">
        <f>Q45+LN(1+INDEX('Additional data'!$H$2:$H$1196,MATCH(N46,'Additional data'!$G$2:$G$1196,1))+INDEX('Additional data'!$I$2:$I$1196,MATCH(N46,'Additional data'!$G$2:$G$1196,1)))</f>
        <v>0.12720095364892572</v>
      </c>
      <c r="R46" s="77"/>
      <c r="S46" s="116">
        <f>INDEX('Additional data'!$E$2:$E$699,MATCH(DATE(YEAR(N46),MONTH(N46),1),'Additional data'!$D$2:$D$699,0))</f>
        <v>8.15</v>
      </c>
      <c r="T46" s="115">
        <f t="shared" si="1"/>
        <v>0</v>
      </c>
      <c r="U46" s="115">
        <f t="shared" si="2"/>
        <v>2.7960873020011767E-3</v>
      </c>
      <c r="V46" s="77"/>
      <c r="W46" s="116">
        <f t="shared" si="3"/>
        <v>0.35000000000000053</v>
      </c>
      <c r="X46" s="115">
        <f t="shared" si="6"/>
        <v>6.0800199026963986E-2</v>
      </c>
      <c r="Y46" s="115">
        <f t="shared" si="7"/>
        <v>0.3681299652978105</v>
      </c>
      <c r="Z46" s="77"/>
      <c r="AA46" s="116">
        <f t="shared" si="8"/>
        <v>-0.54999999999999893</v>
      </c>
      <c r="AB46" s="77"/>
      <c r="AC46" s="77"/>
      <c r="AD46" s="77"/>
      <c r="AE46" s="237"/>
    </row>
    <row r="47" spans="1:31" x14ac:dyDescent="0.2">
      <c r="A47" s="339" t="s">
        <v>453</v>
      </c>
      <c r="B47" s="355">
        <f>B45-B43</f>
        <v>1.140800682519913E-3</v>
      </c>
      <c r="C47" s="355">
        <f>C45-C43</f>
        <v>4.9243614023253141E-3</v>
      </c>
      <c r="D47" s="355">
        <f>D45-D43</f>
        <v>2.0012215019721141E-3</v>
      </c>
      <c r="E47" s="355">
        <f>E45-E43</f>
        <v>6.8119664080353026E-3</v>
      </c>
      <c r="F47" s="356">
        <f>F45-F43</f>
        <v>4.4065939550036876E-3</v>
      </c>
      <c r="N47" s="337">
        <v>26145</v>
      </c>
      <c r="O47" s="116">
        <f>INDEX('Additional data'!$B$2:$B$965,MATCH(DATE(YEAR(N47),MONTH(N47),1),'Additional data'!$A$2:$A$965,0))</f>
        <v>3.56</v>
      </c>
      <c r="P47" s="232">
        <f t="shared" si="0"/>
        <v>1.2697605448639391</v>
      </c>
      <c r="Q47" s="232">
        <f>Q46+LN(1+INDEX('Additional data'!$H$2:$H$1196,MATCH(N47,'Additional data'!$G$2:$G$1196,1))+INDEX('Additional data'!$I$2:$I$1196,MATCH(N47,'Additional data'!$G$2:$G$1196,1)))</f>
        <v>8.5441019400694068E-2</v>
      </c>
      <c r="R47" s="77"/>
      <c r="S47" s="116">
        <f>INDEX('Additional data'!$E$2:$E$699,MATCH(DATE(YEAR(N47),MONTH(N47),1),'Additional data'!$D$2:$D$699,0))</f>
        <v>6.8</v>
      </c>
      <c r="T47" s="115">
        <f t="shared" si="1"/>
        <v>0</v>
      </c>
      <c r="U47" s="115">
        <f t="shared" si="2"/>
        <v>-4.1759934248231656E-2</v>
      </c>
      <c r="V47" s="77"/>
      <c r="W47" s="116">
        <f t="shared" si="3"/>
        <v>-1.3500000000000005</v>
      </c>
      <c r="X47" s="115">
        <f t="shared" si="6"/>
        <v>7.2812355474967561E-2</v>
      </c>
      <c r="Y47" s="115">
        <f t="shared" si="7"/>
        <v>0.25460766482268804</v>
      </c>
      <c r="Z47" s="77"/>
      <c r="AA47" s="116">
        <f t="shared" si="8"/>
        <v>-0.60000000000000053</v>
      </c>
      <c r="AB47" s="77"/>
      <c r="AC47" s="77"/>
      <c r="AD47" s="77"/>
      <c r="AE47" s="237"/>
    </row>
    <row r="48" spans="1:31" x14ac:dyDescent="0.2">
      <c r="N48" s="337">
        <v>26176</v>
      </c>
      <c r="O48" s="116">
        <f>INDEX('Additional data'!$B$2:$B$965,MATCH(DATE(YEAR(N48),MONTH(N48),1),'Additional data'!$A$2:$A$965,0))</f>
        <v>3.56</v>
      </c>
      <c r="P48" s="232">
        <f t="shared" si="0"/>
        <v>1.2697605448639391</v>
      </c>
      <c r="Q48" s="232">
        <f>Q47+LN(1+INDEX('Additional data'!$H$2:$H$1196,MATCH(N48,'Additional data'!$G$2:$G$1196,1))+INDEX('Additional data'!$I$2:$I$1196,MATCH(N48,'Additional data'!$G$2:$G$1196,1)))</f>
        <v>0.12715861275256254</v>
      </c>
      <c r="R48" s="77"/>
      <c r="S48" s="116">
        <f>INDEX('Additional data'!$E$2:$E$699,MATCH(DATE(YEAR(N48),MONTH(N48),1),'Additional data'!$D$2:$D$699,0))</f>
        <v>6.7</v>
      </c>
      <c r="T48" s="115">
        <f t="shared" si="1"/>
        <v>0</v>
      </c>
      <c r="U48" s="115">
        <f t="shared" si="2"/>
        <v>4.1717593351868476E-2</v>
      </c>
      <c r="V48" s="77"/>
      <c r="W48" s="116">
        <f t="shared" si="3"/>
        <v>-9.9999999999999645E-2</v>
      </c>
      <c r="X48" s="115">
        <f t="shared" si="6"/>
        <v>7.2812355474967561E-2</v>
      </c>
      <c r="Y48" s="115">
        <f t="shared" si="7"/>
        <v>0.24724942052796384</v>
      </c>
      <c r="Z48" s="77"/>
      <c r="AA48" s="116">
        <f t="shared" si="8"/>
        <v>-9.9999999999999645E-2</v>
      </c>
      <c r="AB48" s="77"/>
      <c r="AC48" s="77"/>
      <c r="AD48" s="77"/>
      <c r="AE48" s="237"/>
    </row>
    <row r="49" spans="1:31" x14ac:dyDescent="0.2">
      <c r="N49" s="337">
        <v>26206</v>
      </c>
      <c r="O49" s="116">
        <f>INDEX('Additional data'!$B$2:$B$965,MATCH(DATE(YEAR(N49),MONTH(N49),1),'Additional data'!$A$2:$A$965,0))</f>
        <v>3.56</v>
      </c>
      <c r="P49" s="232">
        <f t="shared" si="0"/>
        <v>1.2697605448639391</v>
      </c>
      <c r="Q49" s="232">
        <f>Q48+LN(1+INDEX('Additional data'!$H$2:$H$1196,MATCH(N49,'Additional data'!$G$2:$G$1196,1))+INDEX('Additional data'!$I$2:$I$1196,MATCH(N49,'Additional data'!$G$2:$G$1196,1)))</f>
        <v>0.12224656839154191</v>
      </c>
      <c r="R49" s="77"/>
      <c r="S49" s="116">
        <f>INDEX('Additional data'!$E$2:$E$699,MATCH(DATE(YEAR(N49),MONTH(N49),1),'Additional data'!$D$2:$D$699,0))</f>
        <v>6.45</v>
      </c>
      <c r="T49" s="115">
        <f t="shared" si="1"/>
        <v>0</v>
      </c>
      <c r="U49" s="115">
        <f t="shared" si="2"/>
        <v>-4.9120443610206344E-3</v>
      </c>
      <c r="V49" s="77"/>
      <c r="W49" s="116">
        <f t="shared" si="3"/>
        <v>-0.25</v>
      </c>
      <c r="X49" s="115">
        <f t="shared" si="6"/>
        <v>7.2812355474967561E-2</v>
      </c>
      <c r="Y49" s="115">
        <f t="shared" si="7"/>
        <v>0.19621744055338997</v>
      </c>
      <c r="Z49" s="77"/>
      <c r="AA49" s="116">
        <f t="shared" si="8"/>
        <v>0.10000000000000053</v>
      </c>
      <c r="AB49" s="77"/>
      <c r="AC49" s="77"/>
      <c r="AD49" s="77"/>
      <c r="AE49" s="237"/>
    </row>
    <row r="50" spans="1:31" x14ac:dyDescent="0.2">
      <c r="A50" s="181" t="s">
        <v>506</v>
      </c>
      <c r="B50" s="182"/>
      <c r="C50" s="183"/>
      <c r="N50" s="337">
        <v>26237</v>
      </c>
      <c r="O50" s="116">
        <f>INDEX('Additional data'!$B$2:$B$965,MATCH(DATE(YEAR(N50),MONTH(N50),1),'Additional data'!$A$2:$A$965,0))</f>
        <v>3.56</v>
      </c>
      <c r="P50" s="232">
        <f t="shared" si="0"/>
        <v>1.2697605448639391</v>
      </c>
      <c r="Q50" s="232">
        <f>Q49+LN(1+INDEX('Additional data'!$H$2:$H$1196,MATCH(N50,'Additional data'!$G$2:$G$1196,1))+INDEX('Additional data'!$I$2:$I$1196,MATCH(N50,'Additional data'!$G$2:$G$1196,1)))</f>
        <v>8.0903604857159472E-2</v>
      </c>
      <c r="R50" s="77"/>
      <c r="S50" s="116">
        <f>INDEX('Additional data'!$E$2:$E$699,MATCH(DATE(YEAR(N50),MONTH(N50),1),'Additional data'!$D$2:$D$699,0))</f>
        <v>6.3</v>
      </c>
      <c r="T50" s="115">
        <f t="shared" si="1"/>
        <v>0</v>
      </c>
      <c r="U50" s="115">
        <f t="shared" si="2"/>
        <v>-4.1342963534382438E-2</v>
      </c>
      <c r="V50" s="77"/>
      <c r="W50" s="116">
        <f t="shared" si="3"/>
        <v>-0.15000000000000036</v>
      </c>
      <c r="X50" s="115">
        <f t="shared" si="6"/>
        <v>7.2812355474967561E-2</v>
      </c>
      <c r="Y50" s="115">
        <f t="shared" si="7"/>
        <v>0.17314028582590008</v>
      </c>
      <c r="Z50" s="77"/>
      <c r="AA50" s="116">
        <f t="shared" si="8"/>
        <v>-0.10000000000000053</v>
      </c>
      <c r="AB50" s="77"/>
      <c r="AC50" s="77"/>
      <c r="AD50" s="77"/>
      <c r="AE50" s="237"/>
    </row>
    <row r="51" spans="1:31" x14ac:dyDescent="0.2">
      <c r="A51" s="187" t="s">
        <v>507</v>
      </c>
      <c r="B51" s="68">
        <f>COUNTIF($X$17:$X$701,"&gt;="&amp;$B$7)/COUNT($X$17:$X$701)</f>
        <v>0.10656934306569343</v>
      </c>
      <c r="C51" s="269"/>
      <c r="N51" s="337">
        <v>26267</v>
      </c>
      <c r="O51" s="116">
        <f>INDEX('Additional data'!$B$2:$B$965,MATCH(DATE(YEAR(N51),MONTH(N51),1),'Additional data'!$A$2:$A$965,0))</f>
        <v>3.56</v>
      </c>
      <c r="P51" s="232">
        <f t="shared" si="0"/>
        <v>1.2697605448639391</v>
      </c>
      <c r="Q51" s="232">
        <f>Q50+LN(1+INDEX('Additional data'!$H$2:$H$1196,MATCH(N51,'Additional data'!$G$2:$G$1196,1))+INDEX('Additional data'!$I$2:$I$1196,MATCH(N51,'Additional data'!$G$2:$G$1196,1)))</f>
        <v>8.0003199613995324E-2</v>
      </c>
      <c r="R51" s="77"/>
      <c r="S51" s="116">
        <f>INDEX('Additional data'!$E$2:$E$699,MATCH(DATE(YEAR(N51),MONTH(N51),1),'Additional data'!$D$2:$D$699,0))</f>
        <v>6</v>
      </c>
      <c r="T51" s="115">
        <f t="shared" si="1"/>
        <v>0</v>
      </c>
      <c r="U51" s="115">
        <f t="shared" si="2"/>
        <v>-9.0040524316414849E-4</v>
      </c>
      <c r="V51" s="77"/>
      <c r="W51" s="116">
        <f t="shared" si="3"/>
        <v>-0.29999999999999982</v>
      </c>
      <c r="X51" s="115">
        <f t="shared" si="6"/>
        <v>7.2812355474967561E-2</v>
      </c>
      <c r="Y51" s="115">
        <f t="shared" si="7"/>
        <v>0.12268810175348821</v>
      </c>
      <c r="Z51" s="77"/>
      <c r="AA51" s="116">
        <f t="shared" si="8"/>
        <v>-0.20000000000000018</v>
      </c>
      <c r="AB51" s="77"/>
      <c r="AC51" s="77"/>
      <c r="AD51" s="77"/>
      <c r="AE51" s="237"/>
    </row>
    <row r="52" spans="1:31" x14ac:dyDescent="0.2">
      <c r="A52" s="187" t="s">
        <v>508</v>
      </c>
      <c r="B52" s="342">
        <f>COUNT($X$17:$X$701)</f>
        <v>685</v>
      </c>
      <c r="C52" s="269"/>
      <c r="N52" s="337">
        <v>26298</v>
      </c>
      <c r="O52" s="116">
        <f>INDEX('Additional data'!$B$2:$B$965,MATCH(DATE(YEAR(N52),MONTH(N52),1),'Additional data'!$A$2:$A$965,0))</f>
        <v>3.56</v>
      </c>
      <c r="P52" s="232">
        <f t="shared" si="0"/>
        <v>1.2697605448639391</v>
      </c>
      <c r="Q52" s="232">
        <f>Q51+LN(1+INDEX('Additional data'!$H$2:$H$1196,MATCH(N52,'Additional data'!$G$2:$G$1196,1))+INDEX('Additional data'!$I$2:$I$1196,MATCH(N52,'Additional data'!$G$2:$G$1196,1)))</f>
        <v>0.16691457160329171</v>
      </c>
      <c r="R52" s="77"/>
      <c r="S52" s="116">
        <f>INDEX('Additional data'!$E$2:$E$699,MATCH(DATE(YEAR(N52),MONTH(N52),1),'Additional data'!$D$2:$D$699,0))</f>
        <v>5.9</v>
      </c>
      <c r="T52" s="115">
        <f t="shared" si="1"/>
        <v>0</v>
      </c>
      <c r="U52" s="115">
        <f t="shared" si="2"/>
        <v>8.6911371989296382E-2</v>
      </c>
      <c r="V52" s="77"/>
      <c r="W52" s="116">
        <f t="shared" si="3"/>
        <v>-9.9999999999999645E-2</v>
      </c>
      <c r="X52" s="115">
        <f t="shared" si="6"/>
        <v>0</v>
      </c>
      <c r="Y52" s="115">
        <f t="shared" si="7"/>
        <v>0.14982226970692403</v>
      </c>
      <c r="Z52" s="77"/>
      <c r="AA52" s="116">
        <f t="shared" si="8"/>
        <v>-0.59999999999999964</v>
      </c>
      <c r="AB52" s="77"/>
      <c r="AC52" s="77"/>
      <c r="AD52" s="77"/>
      <c r="AE52" s="237"/>
    </row>
    <row r="53" spans="1:31" x14ac:dyDescent="0.2">
      <c r="A53" s="190" t="s">
        <v>509</v>
      </c>
      <c r="B53" s="306">
        <f>COUNTIF($AB$65:$AB$701,"&gt;="&amp;$B$7)/COUNT($AB$65:$AB$701)</f>
        <v>0.40345368916797486</v>
      </c>
      <c r="C53" s="357"/>
      <c r="N53" s="337">
        <v>26329</v>
      </c>
      <c r="O53" s="116">
        <f>INDEX('Additional data'!$B$2:$B$965,MATCH(DATE(YEAR(N53),MONTH(N53),1),'Additional data'!$A$2:$A$965,0))</f>
        <v>3.56</v>
      </c>
      <c r="P53" s="232">
        <f t="shared" si="0"/>
        <v>1.2697605448639391</v>
      </c>
      <c r="Q53" s="232">
        <f>Q52+LN(1+INDEX('Additional data'!$H$2:$H$1196,MATCH(N53,'Additional data'!$G$2:$G$1196,1))+INDEX('Additional data'!$I$2:$I$1196,MATCH(N53,'Additional data'!$G$2:$G$1196,1)))</f>
        <v>0.19414055785688303</v>
      </c>
      <c r="R53" s="77"/>
      <c r="S53" s="116">
        <f>INDEX('Additional data'!$E$2:$E$699,MATCH(DATE(YEAR(N53),MONTH(N53),1),'Additional data'!$D$2:$D$699,0))</f>
        <v>5.6</v>
      </c>
      <c r="T53" s="115">
        <f t="shared" si="1"/>
        <v>0</v>
      </c>
      <c r="U53" s="115">
        <f t="shared" si="2"/>
        <v>2.7225986253591322E-2</v>
      </c>
      <c r="V53" s="77"/>
      <c r="W53" s="116">
        <f t="shared" si="3"/>
        <v>-0.30000000000000071</v>
      </c>
      <c r="X53" s="115">
        <f t="shared" si="6"/>
        <v>0</v>
      </c>
      <c r="Y53" s="115">
        <f t="shared" si="7"/>
        <v>0.12626008912841025</v>
      </c>
      <c r="Z53" s="77"/>
      <c r="AA53" s="116">
        <f t="shared" si="8"/>
        <v>-1</v>
      </c>
      <c r="AB53" s="77"/>
      <c r="AC53" s="77"/>
      <c r="AD53" s="77"/>
      <c r="AE53" s="237"/>
    </row>
    <row r="54" spans="1:31" x14ac:dyDescent="0.2">
      <c r="N54" s="337">
        <v>26358</v>
      </c>
      <c r="O54" s="116">
        <f>INDEX('Additional data'!$B$2:$B$965,MATCH(DATE(YEAR(N54),MONTH(N54),1),'Additional data'!$A$2:$A$965,0))</f>
        <v>3.56</v>
      </c>
      <c r="P54" s="232">
        <f t="shared" si="0"/>
        <v>1.2697605448639391</v>
      </c>
      <c r="Q54" s="232">
        <f>Q53+LN(1+INDEX('Additional data'!$H$2:$H$1196,MATCH(N54,'Additional data'!$G$2:$G$1196,1))+INDEX('Additional data'!$I$2:$I$1196,MATCH(N54,'Additional data'!$G$2:$G$1196,1)))</f>
        <v>0.2248637304997235</v>
      </c>
      <c r="R54" s="77"/>
      <c r="S54" s="116">
        <f>INDEX('Additional data'!$E$2:$E$699,MATCH(DATE(YEAR(N54),MONTH(N54),1),'Additional data'!$D$2:$D$699,0))</f>
        <v>5.5</v>
      </c>
      <c r="T54" s="115">
        <f t="shared" si="1"/>
        <v>0</v>
      </c>
      <c r="U54" s="115">
        <f t="shared" si="2"/>
        <v>3.0723172642840468E-2</v>
      </c>
      <c r="V54" s="77"/>
      <c r="W54" s="116">
        <f t="shared" si="3"/>
        <v>-9.9999999999999645E-2</v>
      </c>
      <c r="X54" s="115">
        <f t="shared" si="6"/>
        <v>0</v>
      </c>
      <c r="Y54" s="115">
        <f t="shared" si="7"/>
        <v>0.13973290836472305</v>
      </c>
      <c r="Z54" s="77"/>
      <c r="AA54" s="116">
        <f t="shared" si="8"/>
        <v>-2.0999999999999996</v>
      </c>
      <c r="AB54" s="77"/>
      <c r="AC54" s="77"/>
      <c r="AD54" s="77"/>
      <c r="AE54" s="237"/>
    </row>
    <row r="55" spans="1:31" x14ac:dyDescent="0.2">
      <c r="N55" s="337">
        <v>26389</v>
      </c>
      <c r="O55" s="116">
        <f>INDEX('Additional data'!$B$2:$B$965,MATCH(DATE(YEAR(N55),MONTH(N55),1),'Additional data'!$A$2:$A$965,0))</f>
        <v>3.56</v>
      </c>
      <c r="P55" s="232">
        <f t="shared" si="0"/>
        <v>1.2697605448639391</v>
      </c>
      <c r="Q55" s="232">
        <f>Q54+LN(1+INDEX('Additional data'!$H$2:$H$1196,MATCH(N55,'Additional data'!$G$2:$G$1196,1))+INDEX('Additional data'!$I$2:$I$1196,MATCH(N55,'Additional data'!$G$2:$G$1196,1)))</f>
        <v>0.23372435893191995</v>
      </c>
      <c r="R55" s="77"/>
      <c r="S55" s="116">
        <f>INDEX('Additional data'!$E$2:$E$699,MATCH(DATE(YEAR(N55),MONTH(N55),1),'Additional data'!$D$2:$D$699,0))</f>
        <v>5.5</v>
      </c>
      <c r="T55" s="115">
        <f t="shared" si="1"/>
        <v>0</v>
      </c>
      <c r="U55" s="115">
        <f t="shared" si="2"/>
        <v>8.8606284321964546E-3</v>
      </c>
      <c r="V55" s="77"/>
      <c r="W55" s="116">
        <f t="shared" si="3"/>
        <v>0</v>
      </c>
      <c r="X55" s="115">
        <f t="shared" si="6"/>
        <v>0</v>
      </c>
      <c r="Y55" s="115">
        <f t="shared" si="7"/>
        <v>0.10534249480260477</v>
      </c>
      <c r="Z55" s="77"/>
      <c r="AA55" s="116">
        <f t="shared" si="8"/>
        <v>-2.5</v>
      </c>
      <c r="AB55" s="77"/>
      <c r="AC55" s="77"/>
      <c r="AD55" s="77"/>
      <c r="AE55" s="237"/>
    </row>
    <row r="56" spans="1:31" x14ac:dyDescent="0.2">
      <c r="A56" s="121" t="s">
        <v>510</v>
      </c>
      <c r="B56" s="122"/>
      <c r="C56" s="122"/>
      <c r="D56" s="122"/>
      <c r="E56" s="122"/>
      <c r="F56" s="122"/>
      <c r="G56" s="122"/>
      <c r="H56" s="122"/>
      <c r="I56" s="122"/>
      <c r="J56" s="122"/>
      <c r="K56" s="122"/>
      <c r="L56" s="123"/>
      <c r="N56" s="337">
        <v>26419</v>
      </c>
      <c r="O56" s="116">
        <f>INDEX('Additional data'!$B$2:$B$965,MATCH(DATE(YEAR(N56),MONTH(N56),1),'Additional data'!$A$2:$A$965,0))</f>
        <v>3.56</v>
      </c>
      <c r="P56" s="232">
        <f t="shared" si="0"/>
        <v>1.2697605448639391</v>
      </c>
      <c r="Q56" s="232">
        <f>Q55+LN(1+INDEX('Additional data'!$H$2:$H$1196,MATCH(N56,'Additional data'!$G$2:$G$1196,1))+INDEX('Additional data'!$I$2:$I$1196,MATCH(N56,'Additional data'!$G$2:$G$1196,1)))</f>
        <v>0.23950760368764709</v>
      </c>
      <c r="R56" s="77"/>
      <c r="S56" s="116">
        <f>INDEX('Additional data'!$E$2:$E$699,MATCH(DATE(YEAR(N56),MONTH(N56),1),'Additional data'!$D$2:$D$699,0))</f>
        <v>5.5</v>
      </c>
      <c r="T56" s="115">
        <f t="shared" si="1"/>
        <v>0</v>
      </c>
      <c r="U56" s="115">
        <f t="shared" si="2"/>
        <v>5.7832447557271405E-3</v>
      </c>
      <c r="V56" s="77"/>
      <c r="W56" s="116">
        <f t="shared" si="3"/>
        <v>0</v>
      </c>
      <c r="X56" s="115">
        <f t="shared" si="6"/>
        <v>0</v>
      </c>
      <c r="Y56" s="115">
        <f t="shared" si="7"/>
        <v>7.7400870156711016E-2</v>
      </c>
      <c r="Z56" s="77"/>
      <c r="AA56" s="116">
        <f t="shared" si="8"/>
        <v>-2.2999999999999998</v>
      </c>
      <c r="AB56" s="77"/>
      <c r="AC56" s="77"/>
      <c r="AD56" s="77"/>
      <c r="AE56" s="237"/>
    </row>
    <row r="57" spans="1:31" x14ac:dyDescent="0.2">
      <c r="A57" s="127" t="s">
        <v>511</v>
      </c>
      <c r="B57" s="173">
        <v>0.02</v>
      </c>
      <c r="C57" s="77"/>
      <c r="D57" s="77"/>
      <c r="E57" s="77"/>
      <c r="F57" s="77"/>
      <c r="G57" s="77"/>
      <c r="H57" s="77"/>
      <c r="I57" s="77"/>
      <c r="J57" s="77"/>
      <c r="K57" s="77"/>
      <c r="L57" s="222"/>
      <c r="N57" s="337">
        <v>26450</v>
      </c>
      <c r="O57" s="116">
        <f>INDEX('Additional data'!$B$2:$B$965,MATCH(DATE(YEAR(N57),MONTH(N57),1),'Additional data'!$A$2:$A$965,0))</f>
        <v>3.56</v>
      </c>
      <c r="P57" s="232">
        <f t="shared" si="0"/>
        <v>1.2697605448639391</v>
      </c>
      <c r="Q57" s="232">
        <f>Q56+LN(1+INDEX('Additional data'!$H$2:$H$1196,MATCH(N57,'Additional data'!$G$2:$G$1196,1))+INDEX('Additional data'!$I$2:$I$1196,MATCH(N57,'Additional data'!$G$2:$G$1196,1)))</f>
        <v>0.25528252280300912</v>
      </c>
      <c r="R57" s="77"/>
      <c r="S57" s="116">
        <f>INDEX('Additional data'!$E$2:$E$699,MATCH(DATE(YEAR(N57),MONTH(N57),1),'Additional data'!$D$2:$D$699,0))</f>
        <v>5.6</v>
      </c>
      <c r="T57" s="115">
        <f t="shared" si="1"/>
        <v>0</v>
      </c>
      <c r="U57" s="115">
        <f t="shared" si="2"/>
        <v>1.5774919115362024E-2</v>
      </c>
      <c r="V57" s="77"/>
      <c r="W57" s="116">
        <f t="shared" si="3"/>
        <v>9.9999999999999645E-2</v>
      </c>
      <c r="X57" s="115">
        <f t="shared" si="6"/>
        <v>0</v>
      </c>
      <c r="Y57" s="115">
        <f t="shared" si="7"/>
        <v>0.13087765645608457</v>
      </c>
      <c r="Z57" s="77"/>
      <c r="AA57" s="116">
        <f t="shared" si="8"/>
        <v>-2.2000000000000002</v>
      </c>
      <c r="AB57" s="77"/>
      <c r="AC57" s="77"/>
      <c r="AD57" s="77"/>
      <c r="AE57" s="237"/>
    </row>
    <row r="58" spans="1:31" ht="28" x14ac:dyDescent="0.2">
      <c r="A58" s="124" t="s">
        <v>91</v>
      </c>
      <c r="B58" s="125" t="s">
        <v>140</v>
      </c>
      <c r="C58" s="125" t="s">
        <v>193</v>
      </c>
      <c r="D58" s="125" t="s">
        <v>512</v>
      </c>
      <c r="E58" s="77"/>
      <c r="F58" s="77"/>
      <c r="G58" s="77"/>
      <c r="H58" s="77"/>
      <c r="I58" s="77"/>
      <c r="J58" s="77"/>
      <c r="K58" s="77"/>
      <c r="L58" s="222"/>
      <c r="N58" s="337">
        <v>26480</v>
      </c>
      <c r="O58" s="116">
        <f>INDEX('Additional data'!$B$2:$B$965,MATCH(DATE(YEAR(N58),MONTH(N58),1),'Additional data'!$A$2:$A$965,0))</f>
        <v>3.56</v>
      </c>
      <c r="P58" s="232">
        <f t="shared" si="0"/>
        <v>1.2697605448639391</v>
      </c>
      <c r="Q58" s="232">
        <f>Q57+LN(1+INDEX('Additional data'!$H$2:$H$1196,MATCH(N58,'Additional data'!$G$2:$G$1196,1))+INDEX('Additional data'!$I$2:$I$1196,MATCH(N58,'Additional data'!$G$2:$G$1196,1)))</f>
        <v>0.23365022267589527</v>
      </c>
      <c r="R58" s="77"/>
      <c r="S58" s="116">
        <f>INDEX('Additional data'!$E$2:$E$699,MATCH(DATE(YEAR(N58),MONTH(N58),1),'Additional data'!$D$2:$D$699,0))</f>
        <v>5.75</v>
      </c>
      <c r="T58" s="115">
        <f t="shared" si="1"/>
        <v>0</v>
      </c>
      <c r="U58" s="115">
        <f t="shared" si="2"/>
        <v>-2.163230012711384E-2</v>
      </c>
      <c r="V58" s="77"/>
      <c r="W58" s="116">
        <f t="shared" si="3"/>
        <v>0.15000000000000036</v>
      </c>
      <c r="X58" s="115">
        <f t="shared" si="6"/>
        <v>0</v>
      </c>
      <c r="Y58" s="115">
        <f t="shared" si="7"/>
        <v>0.10644926902696955</v>
      </c>
      <c r="Z58" s="77"/>
      <c r="AA58" s="116">
        <f t="shared" si="8"/>
        <v>-2.4000000000000004</v>
      </c>
      <c r="AB58" s="77"/>
      <c r="AC58" s="77"/>
      <c r="AD58" s="77"/>
      <c r="AE58" s="237"/>
    </row>
    <row r="59" spans="1:31" x14ac:dyDescent="0.2">
      <c r="A59" s="127" t="s">
        <v>8</v>
      </c>
      <c r="B59" s="72">
        <f>SUMPRODUCT(Risk!$B$54:$L$54,B64:L64)</f>
        <v>7.1373051138514956E-2</v>
      </c>
      <c r="C59" s="72">
        <f>SQRT(SUMPRODUCT(MMULT(B66:L66,Risk!$B$41:$L$51),B66:L66))</f>
        <v>1.0997193071421192E-2</v>
      </c>
      <c r="D59" s="68">
        <f>SUMPRODUCT(MMULT(B64:L64,$F$28:$F$38))</f>
        <v>-7.8202714049658631E-2</v>
      </c>
      <c r="E59" s="77"/>
      <c r="F59" s="77"/>
      <c r="G59" s="77"/>
      <c r="H59" s="77"/>
      <c r="I59" s="77"/>
      <c r="J59" s="77"/>
      <c r="K59" s="77"/>
      <c r="L59" s="222"/>
      <c r="N59" s="337">
        <v>26511</v>
      </c>
      <c r="O59" s="116">
        <f>INDEX('Additional data'!$B$2:$B$965,MATCH(DATE(YEAR(N59),MONTH(N59),1),'Additional data'!$A$2:$A$965,0))</f>
        <v>3.56</v>
      </c>
      <c r="P59" s="232">
        <f t="shared" si="0"/>
        <v>1.2697605448639391</v>
      </c>
      <c r="Q59" s="232">
        <f>Q58+LN(1+INDEX('Additional data'!$H$2:$H$1196,MATCH(N59,'Additional data'!$G$2:$G$1196,1))+INDEX('Additional data'!$I$2:$I$1196,MATCH(N59,'Additional data'!$G$2:$G$1196,1)))</f>
        <v>0.22873817831487464</v>
      </c>
      <c r="R59" s="77"/>
      <c r="S59" s="116">
        <f>INDEX('Additional data'!$E$2:$E$699,MATCH(DATE(YEAR(N59),MONTH(N59),1),'Additional data'!$D$2:$D$699,0))</f>
        <v>4.5999999999999996</v>
      </c>
      <c r="T59" s="115">
        <f t="shared" si="1"/>
        <v>0</v>
      </c>
      <c r="U59" s="115">
        <f t="shared" si="2"/>
        <v>-4.9120443610206344E-3</v>
      </c>
      <c r="V59" s="77"/>
      <c r="W59" s="116">
        <f t="shared" si="3"/>
        <v>-1.1500000000000004</v>
      </c>
      <c r="X59" s="115">
        <f t="shared" si="6"/>
        <v>0</v>
      </c>
      <c r="Y59" s="115">
        <f t="shared" si="7"/>
        <v>0.14329715891418057</v>
      </c>
      <c r="Z59" s="77"/>
      <c r="AA59" s="116">
        <f t="shared" si="8"/>
        <v>-2.2000000000000002</v>
      </c>
      <c r="AB59" s="77"/>
      <c r="AC59" s="77"/>
      <c r="AD59" s="77"/>
      <c r="AE59" s="237"/>
    </row>
    <row r="60" spans="1:31" x14ac:dyDescent="0.2">
      <c r="A60" s="127" t="s">
        <v>513</v>
      </c>
      <c r="B60" s="72">
        <f>SUMPRODUCT(Risk!$B$54:$L$54,B65:L65)</f>
        <v>7.07350230999821E-2</v>
      </c>
      <c r="C60" s="72">
        <f>SQRT(SUMPRODUCT(MMULT(B67:L67,Risk!$B$41:$L$51),B67:L67))</f>
        <v>1.270248790551776E-2</v>
      </c>
      <c r="D60" s="68">
        <f>SUMPRODUCT(MMULT(B65:L65,$F$28:$F$38))</f>
        <v>-6.9801346163105904E-2</v>
      </c>
      <c r="E60" s="77"/>
      <c r="F60" s="77"/>
      <c r="G60" s="77"/>
      <c r="H60" s="77"/>
      <c r="I60" s="77"/>
      <c r="J60" s="77"/>
      <c r="K60" s="77"/>
      <c r="L60" s="222"/>
      <c r="N60" s="337">
        <v>26542</v>
      </c>
      <c r="O60" s="116">
        <f>INDEX('Additional data'!$B$2:$B$965,MATCH(DATE(YEAR(N60),MONTH(N60),1),'Additional data'!$A$2:$A$965,0))</f>
        <v>3.56</v>
      </c>
      <c r="P60" s="232">
        <f t="shared" si="0"/>
        <v>1.2697605448639391</v>
      </c>
      <c r="Q60" s="232">
        <f>Q59+LN(1+INDEX('Additional data'!$H$2:$H$1196,MATCH(N60,'Additional data'!$G$2:$G$1196,1))+INDEX('Additional data'!$I$2:$I$1196,MATCH(N60,'Additional data'!$G$2:$G$1196,1)))</f>
        <v>0.26371914721012002</v>
      </c>
      <c r="R60" s="77"/>
      <c r="S60" s="116">
        <f>INDEX('Additional data'!$E$2:$E$699,MATCH(DATE(YEAR(N60),MONTH(N60),1),'Additional data'!$D$2:$D$699,0))</f>
        <v>4.5999999999999996</v>
      </c>
      <c r="T60" s="115">
        <f t="shared" si="1"/>
        <v>0</v>
      </c>
      <c r="U60" s="115">
        <f t="shared" si="2"/>
        <v>3.4980968895245379E-2</v>
      </c>
      <c r="V60" s="77"/>
      <c r="W60" s="116">
        <f t="shared" si="3"/>
        <v>0</v>
      </c>
      <c r="X60" s="115">
        <f t="shared" si="6"/>
        <v>0</v>
      </c>
      <c r="Y60" s="115">
        <f t="shared" si="7"/>
        <v>0.13656053445755748</v>
      </c>
      <c r="Z60" s="77"/>
      <c r="AA60" s="116">
        <f t="shared" si="8"/>
        <v>-2.1000000000000005</v>
      </c>
      <c r="AB60" s="77"/>
      <c r="AC60" s="77"/>
      <c r="AD60" s="77"/>
      <c r="AE60" s="237"/>
    </row>
    <row r="61" spans="1:31" x14ac:dyDescent="0.2">
      <c r="A61" s="221" t="s">
        <v>403</v>
      </c>
      <c r="B61" s="96">
        <f>B60-B59</f>
        <v>-6.3802803853285628E-4</v>
      </c>
      <c r="C61" s="96">
        <f>C60-C59</f>
        <v>1.7052948340965674E-3</v>
      </c>
      <c r="D61" s="69">
        <f>D60-D59</f>
        <v>8.4013678865527269E-3</v>
      </c>
      <c r="E61" s="77"/>
      <c r="F61" s="77"/>
      <c r="G61" s="77"/>
      <c r="H61" s="77"/>
      <c r="I61" s="77"/>
      <c r="J61" s="77"/>
      <c r="K61" s="77"/>
      <c r="L61" s="222"/>
      <c r="N61" s="337">
        <v>26572</v>
      </c>
      <c r="O61" s="116">
        <f>INDEX('Additional data'!$B$2:$B$965,MATCH(DATE(YEAR(N61),MONTH(N61),1),'Additional data'!$A$2:$A$965,0))</f>
        <v>3.56</v>
      </c>
      <c r="P61" s="232">
        <f t="shared" si="0"/>
        <v>1.2697605448639391</v>
      </c>
      <c r="Q61" s="232">
        <f>Q60+LN(1+INDEX('Additional data'!$H$2:$H$1196,MATCH(N61,'Additional data'!$G$2:$G$1196,1))+INDEX('Additional data'!$I$2:$I$1196,MATCH(N61,'Additional data'!$G$2:$G$1196,1)))</f>
        <v>0.25568697551285574</v>
      </c>
      <c r="R61" s="77"/>
      <c r="S61" s="116">
        <f>INDEX('Additional data'!$E$2:$E$699,MATCH(DATE(YEAR(N61),MONTH(N61),1),'Additional data'!$D$2:$D$699,0))</f>
        <v>4.5</v>
      </c>
      <c r="T61" s="115">
        <f t="shared" si="1"/>
        <v>0</v>
      </c>
      <c r="U61" s="115">
        <f t="shared" si="2"/>
        <v>-8.0321716972642787E-3</v>
      </c>
      <c r="V61" s="77"/>
      <c r="W61" s="116">
        <f t="shared" si="3"/>
        <v>-9.9999999999999645E-2</v>
      </c>
      <c r="X61" s="115">
        <f t="shared" si="6"/>
        <v>0</v>
      </c>
      <c r="Y61" s="115">
        <f t="shared" si="7"/>
        <v>0.13344040712131383</v>
      </c>
      <c r="Z61" s="77"/>
      <c r="AA61" s="116">
        <f t="shared" si="8"/>
        <v>-1.9500000000000002</v>
      </c>
      <c r="AB61" s="77"/>
      <c r="AC61" s="77"/>
      <c r="AD61" s="77"/>
      <c r="AE61" s="237"/>
    </row>
    <row r="62" spans="1:31" x14ac:dyDescent="0.2">
      <c r="A62" s="227"/>
      <c r="B62" s="77"/>
      <c r="C62" s="77"/>
      <c r="D62" s="77"/>
      <c r="E62" s="77"/>
      <c r="F62" s="77"/>
      <c r="G62" s="77"/>
      <c r="H62" s="77"/>
      <c r="I62" s="77"/>
      <c r="J62" s="77"/>
      <c r="K62" s="77"/>
      <c r="L62" s="222"/>
      <c r="N62" s="337">
        <v>26603</v>
      </c>
      <c r="O62" s="116">
        <f>INDEX('Additional data'!$B$2:$B$965,MATCH(DATE(YEAR(N62),MONTH(N62),1),'Additional data'!$A$2:$A$965,0))</f>
        <v>3.56</v>
      </c>
      <c r="P62" s="232">
        <f t="shared" si="0"/>
        <v>1.2697605448639391</v>
      </c>
      <c r="Q62" s="232">
        <f>Q61+LN(1+INDEX('Additional data'!$H$2:$H$1196,MATCH(N62,'Additional data'!$G$2:$G$1196,1))+INDEX('Additional data'!$I$2:$I$1196,MATCH(N62,'Additional data'!$G$2:$G$1196,1)))</f>
        <v>0.26484491329762144</v>
      </c>
      <c r="R62" s="77"/>
      <c r="S62" s="116">
        <f>INDEX('Additional data'!$E$2:$E$699,MATCH(DATE(YEAR(N62),MONTH(N62),1),'Additional data'!$D$2:$D$699,0))</f>
        <v>4.3</v>
      </c>
      <c r="T62" s="115">
        <f t="shared" si="1"/>
        <v>0</v>
      </c>
      <c r="U62" s="115">
        <f t="shared" si="2"/>
        <v>9.1579377847657017E-3</v>
      </c>
      <c r="V62" s="77"/>
      <c r="W62" s="116">
        <f t="shared" si="3"/>
        <v>-0.20000000000000018</v>
      </c>
      <c r="X62" s="115">
        <f t="shared" si="6"/>
        <v>0</v>
      </c>
      <c r="Y62" s="115">
        <f t="shared" si="7"/>
        <v>0.18394130844046197</v>
      </c>
      <c r="Z62" s="77"/>
      <c r="AA62" s="116">
        <f t="shared" si="8"/>
        <v>-2</v>
      </c>
      <c r="AB62" s="77"/>
      <c r="AC62" s="77"/>
      <c r="AD62" s="77"/>
      <c r="AE62" s="237"/>
    </row>
    <row r="63" spans="1:31" ht="42" customHeight="1" x14ac:dyDescent="0.2">
      <c r="A63" s="124" t="s">
        <v>514</v>
      </c>
      <c r="B63" s="125" t="s">
        <v>14</v>
      </c>
      <c r="C63" s="125" t="s">
        <v>16</v>
      </c>
      <c r="D63" s="125" t="s">
        <v>18</v>
      </c>
      <c r="E63" s="125" t="s">
        <v>20</v>
      </c>
      <c r="F63" s="125" t="s">
        <v>22</v>
      </c>
      <c r="G63" s="125" t="s">
        <v>24</v>
      </c>
      <c r="H63" s="125" t="s">
        <v>26</v>
      </c>
      <c r="I63" s="125" t="s">
        <v>28</v>
      </c>
      <c r="J63" s="125" t="s">
        <v>30</v>
      </c>
      <c r="K63" s="125" t="s">
        <v>32</v>
      </c>
      <c r="L63" s="126" t="s">
        <v>34</v>
      </c>
      <c r="N63" s="337">
        <v>26633</v>
      </c>
      <c r="O63" s="116">
        <f>INDEX('Additional data'!$B$2:$B$965,MATCH(DATE(YEAR(N63),MONTH(N63),1),'Additional data'!$A$2:$A$965,0))</f>
        <v>3.56</v>
      </c>
      <c r="P63" s="232">
        <f t="shared" si="0"/>
        <v>1.2697605448639391</v>
      </c>
      <c r="Q63" s="232">
        <f>Q62+LN(1+INDEX('Additional data'!$H$2:$H$1196,MATCH(N63,'Additional data'!$G$2:$G$1196,1))+INDEX('Additional data'!$I$2:$I$1196,MATCH(N63,'Additional data'!$G$2:$G$1196,1)))</f>
        <v>0.3133493223572365</v>
      </c>
      <c r="R63" s="77"/>
      <c r="S63" s="116">
        <f>INDEX('Additional data'!$E$2:$E$699,MATCH(DATE(YEAR(N63),MONTH(N63),1),'Additional data'!$D$2:$D$699,0))</f>
        <v>5.0999999999999996</v>
      </c>
      <c r="T63" s="115">
        <f t="shared" si="1"/>
        <v>0</v>
      </c>
      <c r="U63" s="115">
        <f t="shared" si="2"/>
        <v>4.8504409059615061E-2</v>
      </c>
      <c r="V63" s="77"/>
      <c r="W63" s="116">
        <f t="shared" si="3"/>
        <v>0.79999999999999982</v>
      </c>
      <c r="X63" s="115">
        <f t="shared" si="6"/>
        <v>0</v>
      </c>
      <c r="Y63" s="115">
        <f t="shared" si="7"/>
        <v>0.23334612274324118</v>
      </c>
      <c r="Z63" s="77"/>
      <c r="AA63" s="116">
        <f t="shared" si="8"/>
        <v>-0.90000000000000036</v>
      </c>
      <c r="AB63" s="77"/>
      <c r="AC63" s="77"/>
      <c r="AD63" s="77"/>
      <c r="AE63" s="237"/>
    </row>
    <row r="64" spans="1:31" x14ac:dyDescent="0.2">
      <c r="A64" s="127" t="s">
        <v>8</v>
      </c>
      <c r="B64" s="68">
        <f>Risk!B58</f>
        <v>0.2697</v>
      </c>
      <c r="C64" s="68">
        <f>Risk!C58</f>
        <v>0.2732</v>
      </c>
      <c r="D64" s="68">
        <f>Risk!D58</f>
        <v>7.7100000000000002E-2</v>
      </c>
      <c r="E64" s="68">
        <f>Risk!E58</f>
        <v>7.5399999999999995E-2</v>
      </c>
      <c r="F64" s="68">
        <f>Risk!F58</f>
        <v>0.03</v>
      </c>
      <c r="G64" s="68">
        <f>Risk!G58</f>
        <v>0.05</v>
      </c>
      <c r="H64" s="68">
        <f>Risk!H58</f>
        <v>0</v>
      </c>
      <c r="I64" s="68">
        <f>Risk!I58</f>
        <v>0.01</v>
      </c>
      <c r="J64" s="68">
        <f>Risk!J58</f>
        <v>0.13089999999999999</v>
      </c>
      <c r="K64" s="68">
        <f>Risk!K58</f>
        <v>6.3700000000000007E-2</v>
      </c>
      <c r="L64" s="133">
        <f>Risk!L58</f>
        <v>0.02</v>
      </c>
      <c r="N64" s="337">
        <v>26664</v>
      </c>
      <c r="O64" s="116">
        <f>INDEX('Additional data'!$B$2:$B$965,MATCH(DATE(YEAR(N64),MONTH(N64),1),'Additional data'!$A$2:$A$965,0))</f>
        <v>3.56</v>
      </c>
      <c r="P64" s="232">
        <f t="shared" si="0"/>
        <v>1.2697605448639391</v>
      </c>
      <c r="Q64" s="232">
        <f>Q63+LN(1+INDEX('Additional data'!$H$2:$H$1196,MATCH(N64,'Additional data'!$G$2:$G$1196,1))+INDEX('Additional data'!$I$2:$I$1196,MATCH(N64,'Additional data'!$G$2:$G$1196,1)))</f>
        <v>0.32320063840761071</v>
      </c>
      <c r="R64" s="77"/>
      <c r="S64" s="116">
        <f>INDEX('Additional data'!$E$2:$E$699,MATCH(DATE(YEAR(N64),MONTH(N64),1),'Additional data'!$D$2:$D$699,0))</f>
        <v>4.45</v>
      </c>
      <c r="T64" s="115">
        <f t="shared" si="1"/>
        <v>0</v>
      </c>
      <c r="U64" s="115">
        <f t="shared" si="2"/>
        <v>9.8513160503742037E-3</v>
      </c>
      <c r="V64" s="77"/>
      <c r="W64" s="116">
        <f t="shared" si="3"/>
        <v>-0.64999999999999947</v>
      </c>
      <c r="X64" s="115">
        <f t="shared" si="6"/>
        <v>0</v>
      </c>
      <c r="Y64" s="115">
        <f t="shared" si="7"/>
        <v>0.156286066804319</v>
      </c>
      <c r="Z64" s="77"/>
      <c r="AA64" s="116">
        <f t="shared" si="8"/>
        <v>-1.4500000000000002</v>
      </c>
      <c r="AB64" s="77"/>
      <c r="AC64" s="77"/>
      <c r="AD64" s="77"/>
      <c r="AE64" s="237"/>
    </row>
    <row r="65" spans="1:31" x14ac:dyDescent="0.2">
      <c r="A65" s="127" t="s">
        <v>513</v>
      </c>
      <c r="B65" s="68">
        <f>B64</f>
        <v>0.2697</v>
      </c>
      <c r="C65" s="68">
        <f>C64-$B$57</f>
        <v>0.25319999999999998</v>
      </c>
      <c r="D65" s="68">
        <f>D64</f>
        <v>7.7100000000000002E-2</v>
      </c>
      <c r="E65" s="68">
        <f>E64</f>
        <v>7.5399999999999995E-2</v>
      </c>
      <c r="F65" s="68">
        <f>F64+$B$57</f>
        <v>0.05</v>
      </c>
      <c r="G65" s="68">
        <f t="shared" ref="G65:L65" si="12">G64</f>
        <v>0.05</v>
      </c>
      <c r="H65" s="68">
        <f t="shared" si="12"/>
        <v>0</v>
      </c>
      <c r="I65" s="68">
        <f t="shared" si="12"/>
        <v>0.01</v>
      </c>
      <c r="J65" s="68">
        <f t="shared" si="12"/>
        <v>0.13089999999999999</v>
      </c>
      <c r="K65" s="68">
        <f t="shared" si="12"/>
        <v>6.3700000000000007E-2</v>
      </c>
      <c r="L65" s="133">
        <f t="shared" si="12"/>
        <v>0.02</v>
      </c>
      <c r="N65" s="337">
        <v>26695</v>
      </c>
      <c r="O65" s="116">
        <f>INDEX('Additional data'!$B$2:$B$965,MATCH(DATE(YEAR(N65),MONTH(N65),1),'Additional data'!$A$2:$A$965,0))</f>
        <v>3.56</v>
      </c>
      <c r="P65" s="232">
        <f t="shared" si="0"/>
        <v>1.2697605448639391</v>
      </c>
      <c r="Q65" s="232">
        <f>Q64+LN(1+INDEX('Additional data'!$H$2:$H$1196,MATCH(N65,'Additional data'!$G$2:$G$1196,1))+INDEX('Additional data'!$I$2:$I$1196,MATCH(N65,'Additional data'!$G$2:$G$1196,1)))</f>
        <v>0.29449247427086694</v>
      </c>
      <c r="R65" s="77"/>
      <c r="S65" s="116">
        <f>INDEX('Additional data'!$E$2:$E$699,MATCH(DATE(YEAR(N65),MONTH(N65),1),'Additional data'!$D$2:$D$699,0))</f>
        <v>4.7</v>
      </c>
      <c r="T65" s="115">
        <f t="shared" si="1"/>
        <v>0</v>
      </c>
      <c r="U65" s="115">
        <f t="shared" si="2"/>
        <v>-2.8708164136743763E-2</v>
      </c>
      <c r="V65" s="77"/>
      <c r="W65" s="116">
        <f t="shared" si="3"/>
        <v>0.25</v>
      </c>
      <c r="X65" s="115">
        <f t="shared" si="6"/>
        <v>0</v>
      </c>
      <c r="Y65" s="115">
        <f t="shared" si="7"/>
        <v>0.10035191641398392</v>
      </c>
      <c r="Z65" s="77"/>
      <c r="AA65" s="116">
        <f t="shared" si="8"/>
        <v>-0.89999999999999947</v>
      </c>
      <c r="AB65" s="115">
        <f t="shared" ref="AB65:AB128" si="13">P65-P5</f>
        <v>0.14808298326483338</v>
      </c>
      <c r="AC65" s="115">
        <f t="shared" ref="AC65:AC128" si="14">Q65-Q5</f>
        <v>0.33146771039576228</v>
      </c>
      <c r="AD65" s="77"/>
      <c r="AE65" s="235">
        <f t="shared" ref="AE65:AE128" si="15">S65-S5</f>
        <v>-0.39999999999999947</v>
      </c>
    </row>
    <row r="66" spans="1:31" x14ac:dyDescent="0.2">
      <c r="A66" s="127" t="s">
        <v>515</v>
      </c>
      <c r="B66" s="68">
        <f>B64-Risk!B57</f>
        <v>1.9699999999999995E-2</v>
      </c>
      <c r="C66" s="68">
        <f>C64-Risk!C57</f>
        <v>3.3200000000000007E-2</v>
      </c>
      <c r="D66" s="68">
        <f>D64-Risk!D57</f>
        <v>4.7100000000000003E-2</v>
      </c>
      <c r="E66" s="68">
        <f>E64-Risk!E57</f>
        <v>5.3999999999999881E-3</v>
      </c>
      <c r="F66" s="68">
        <f>F64-Risk!F57</f>
        <v>9.9999999999999985E-3</v>
      </c>
      <c r="G66" s="68">
        <f>G64-Risk!G57</f>
        <v>0</v>
      </c>
      <c r="H66" s="68">
        <f>H64-Risk!H57</f>
        <v>-0.03</v>
      </c>
      <c r="I66" s="68">
        <f>I64-Risk!I57</f>
        <v>-1.9999999999999997E-2</v>
      </c>
      <c r="J66" s="68">
        <f>J64-Risk!J57</f>
        <v>-9.1000000000000247E-3</v>
      </c>
      <c r="K66" s="68">
        <f>K64-Risk!K57</f>
        <v>-4.6299999999999994E-2</v>
      </c>
      <c r="L66" s="133">
        <f>L64-Risk!L57</f>
        <v>-9.9999999999999985E-3</v>
      </c>
      <c r="N66" s="337">
        <v>26723</v>
      </c>
      <c r="O66" s="116">
        <f>INDEX('Additional data'!$B$2:$B$965,MATCH(DATE(YEAR(N66),MONTH(N66),1),'Additional data'!$A$2:$A$965,0))</f>
        <v>3.56</v>
      </c>
      <c r="P66" s="232">
        <f t="shared" si="0"/>
        <v>1.2697605448639391</v>
      </c>
      <c r="Q66" s="232">
        <f>Q65+LN(1+INDEX('Additional data'!$H$2:$H$1196,MATCH(N66,'Additional data'!$G$2:$G$1196,1))+INDEX('Additional data'!$I$2:$I$1196,MATCH(N66,'Additional data'!$G$2:$G$1196,1)))</f>
        <v>0.24918125156086388</v>
      </c>
      <c r="R66" s="77"/>
      <c r="S66" s="116">
        <f>INDEX('Additional data'!$E$2:$E$699,MATCH(DATE(YEAR(N66),MONTH(N66),1),'Additional data'!$D$2:$D$699,0))</f>
        <v>4.8</v>
      </c>
      <c r="T66" s="115">
        <f t="shared" si="1"/>
        <v>0</v>
      </c>
      <c r="U66" s="115">
        <f t="shared" si="2"/>
        <v>-4.5311222710003068E-2</v>
      </c>
      <c r="V66" s="77"/>
      <c r="W66" s="116">
        <f t="shared" si="3"/>
        <v>9.9999999999999645E-2</v>
      </c>
      <c r="X66" s="115">
        <f t="shared" si="6"/>
        <v>0</v>
      </c>
      <c r="Y66" s="115">
        <f t="shared" si="7"/>
        <v>2.4317521061140379E-2</v>
      </c>
      <c r="Z66" s="77"/>
      <c r="AA66" s="116">
        <f t="shared" si="8"/>
        <v>-0.70000000000000018</v>
      </c>
      <c r="AB66" s="115">
        <f t="shared" si="13"/>
        <v>0.14808298326483338</v>
      </c>
      <c r="AC66" s="115">
        <f t="shared" si="14"/>
        <v>0.32023046801951061</v>
      </c>
      <c r="AD66" s="77"/>
      <c r="AE66" s="235">
        <f t="shared" si="15"/>
        <v>-0.35000000000000053</v>
      </c>
    </row>
    <row r="67" spans="1:31" x14ac:dyDescent="0.2">
      <c r="A67" s="130" t="s">
        <v>516</v>
      </c>
      <c r="B67" s="358">
        <f>B65-Risk!B57</f>
        <v>1.9699999999999995E-2</v>
      </c>
      <c r="C67" s="358">
        <f>C65-Risk!C57</f>
        <v>1.319999999999999E-2</v>
      </c>
      <c r="D67" s="358">
        <f>D65-Risk!D57</f>
        <v>4.7100000000000003E-2</v>
      </c>
      <c r="E67" s="358">
        <f>E65-Risk!E57</f>
        <v>5.3999999999999881E-3</v>
      </c>
      <c r="F67" s="358">
        <f>F65-Risk!F57</f>
        <v>3.0000000000000002E-2</v>
      </c>
      <c r="G67" s="358">
        <f>G65-Risk!G57</f>
        <v>0</v>
      </c>
      <c r="H67" s="358">
        <f>H65-Risk!H57</f>
        <v>-0.03</v>
      </c>
      <c r="I67" s="358">
        <f>I65-Risk!I57</f>
        <v>-1.9999999999999997E-2</v>
      </c>
      <c r="J67" s="358">
        <f>J65-Risk!J57</f>
        <v>-9.1000000000000247E-3</v>
      </c>
      <c r="K67" s="358">
        <f>K65-Risk!K57</f>
        <v>-4.6299999999999994E-2</v>
      </c>
      <c r="L67" s="132">
        <f>L65-Risk!L57</f>
        <v>-9.9999999999999985E-3</v>
      </c>
      <c r="N67" s="337">
        <v>26754</v>
      </c>
      <c r="O67" s="116">
        <f>INDEX('Additional data'!$B$2:$B$965,MATCH(DATE(YEAR(N67),MONTH(N67),1),'Additional data'!$A$2:$A$965,0))</f>
        <v>3.56</v>
      </c>
      <c r="P67" s="232">
        <f t="shared" si="0"/>
        <v>1.2697605448639391</v>
      </c>
      <c r="Q67" s="232">
        <f>Q66+LN(1+INDEX('Additional data'!$H$2:$H$1196,MATCH(N67,'Additional data'!$G$2:$G$1196,1))+INDEX('Additional data'!$I$2:$I$1196,MATCH(N67,'Additional data'!$G$2:$G$1196,1)))</f>
        <v>0.2407457727397623</v>
      </c>
      <c r="R67" s="77"/>
      <c r="S67" s="116">
        <f>INDEX('Additional data'!$E$2:$E$699,MATCH(DATE(YEAR(N67),MONTH(N67),1),'Additional data'!$D$2:$D$699,0))</f>
        <v>5.45</v>
      </c>
      <c r="T67" s="115">
        <f t="shared" si="1"/>
        <v>0</v>
      </c>
      <c r="U67" s="115">
        <f t="shared" si="2"/>
        <v>-8.4354788211015719E-3</v>
      </c>
      <c r="V67" s="77"/>
      <c r="W67" s="116">
        <f t="shared" si="3"/>
        <v>0.65000000000000036</v>
      </c>
      <c r="X67" s="115">
        <f t="shared" si="6"/>
        <v>0</v>
      </c>
      <c r="Y67" s="115">
        <f t="shared" si="7"/>
        <v>7.0214138078423527E-3</v>
      </c>
      <c r="Z67" s="77"/>
      <c r="AA67" s="116">
        <f t="shared" si="8"/>
        <v>-4.9999999999999822E-2</v>
      </c>
      <c r="AB67" s="115">
        <f t="shared" si="13"/>
        <v>0.14808298326483338</v>
      </c>
      <c r="AC67" s="115">
        <f t="shared" si="14"/>
        <v>0.30591232604025353</v>
      </c>
      <c r="AD67" s="77"/>
      <c r="AE67" s="235">
        <f t="shared" si="15"/>
        <v>0.29999999999999982</v>
      </c>
    </row>
    <row r="68" spans="1:31" x14ac:dyDescent="0.2">
      <c r="N68" s="337">
        <v>26784</v>
      </c>
      <c r="O68" s="116">
        <f>INDEX('Additional data'!$B$2:$B$965,MATCH(DATE(YEAR(N68),MONTH(N68),1),'Additional data'!$A$2:$A$965,0))</f>
        <v>3.56</v>
      </c>
      <c r="P68" s="232">
        <f t="shared" si="0"/>
        <v>1.2697605448639391</v>
      </c>
      <c r="Q68" s="232">
        <f>Q67+LN(1+INDEX('Additional data'!$H$2:$H$1196,MATCH(N68,'Additional data'!$G$2:$G$1196,1))+INDEX('Additional data'!$I$2:$I$1196,MATCH(N68,'Additional data'!$G$2:$G$1196,1)))</f>
        <v>0.18776684794887569</v>
      </c>
      <c r="R68" s="77"/>
      <c r="S68" s="116">
        <f>INDEX('Additional data'!$E$2:$E$699,MATCH(DATE(YEAR(N68),MONTH(N68),1),'Additional data'!$D$2:$D$699,0))</f>
        <v>5.8</v>
      </c>
      <c r="T68" s="115">
        <f t="shared" si="1"/>
        <v>0</v>
      </c>
      <c r="U68" s="115">
        <f t="shared" si="2"/>
        <v>-5.2978924790886617E-2</v>
      </c>
      <c r="V68" s="77"/>
      <c r="W68" s="116">
        <f t="shared" si="3"/>
        <v>0.34999999999999964</v>
      </c>
      <c r="X68" s="115">
        <f t="shared" si="6"/>
        <v>0</v>
      </c>
      <c r="Y68" s="115">
        <f t="shared" si="7"/>
        <v>-5.1740755738771405E-2</v>
      </c>
      <c r="Z68" s="77"/>
      <c r="AA68" s="116">
        <f t="shared" si="8"/>
        <v>0.29999999999999982</v>
      </c>
      <c r="AB68" s="115">
        <f t="shared" si="13"/>
        <v>0.14808298326483338</v>
      </c>
      <c r="AC68" s="115">
        <f t="shared" si="14"/>
        <v>0.16263576326858631</v>
      </c>
      <c r="AD68" s="77"/>
      <c r="AE68" s="235">
        <f t="shared" si="15"/>
        <v>0.64999999999999947</v>
      </c>
    </row>
    <row r="69" spans="1:31" x14ac:dyDescent="0.2">
      <c r="N69" s="337">
        <v>26815</v>
      </c>
      <c r="O69" s="116">
        <f>INDEX('Additional data'!$B$2:$B$965,MATCH(DATE(YEAR(N69),MONTH(N69),1),'Additional data'!$A$2:$A$965,0))</f>
        <v>3.56</v>
      </c>
      <c r="P69" s="232">
        <f t="shared" ref="P69:P132" si="16">LN(O69)</f>
        <v>1.2697605448639391</v>
      </c>
      <c r="Q69" s="232">
        <f>Q68+LN(1+INDEX('Additional data'!$H$2:$H$1196,MATCH(N69,'Additional data'!$G$2:$G$1196,1))+INDEX('Additional data'!$I$2:$I$1196,MATCH(N69,'Additional data'!$G$2:$G$1196,1)))</f>
        <v>0.1628592122426909</v>
      </c>
      <c r="R69" s="77"/>
      <c r="S69" s="116">
        <f>INDEX('Additional data'!$E$2:$E$699,MATCH(DATE(YEAR(N69),MONTH(N69),1),'Additional data'!$D$2:$D$699,0))</f>
        <v>6.4</v>
      </c>
      <c r="T69" s="115">
        <f t="shared" si="1"/>
        <v>0</v>
      </c>
      <c r="U69" s="115">
        <f t="shared" si="2"/>
        <v>-2.4907635706184789E-2</v>
      </c>
      <c r="V69" s="77"/>
      <c r="W69" s="116">
        <f t="shared" si="3"/>
        <v>0.60000000000000053</v>
      </c>
      <c r="X69" s="115">
        <f t="shared" si="6"/>
        <v>0</v>
      </c>
      <c r="Y69" s="115">
        <f t="shared" si="7"/>
        <v>-9.2423310560318217E-2</v>
      </c>
      <c r="Z69" s="77"/>
      <c r="AA69" s="116">
        <f t="shared" si="8"/>
        <v>0.80000000000000071</v>
      </c>
      <c r="AB69" s="115">
        <f t="shared" si="13"/>
        <v>0.14808298326483338</v>
      </c>
      <c r="AC69" s="115">
        <f t="shared" si="14"/>
        <v>0.1107941263223207</v>
      </c>
      <c r="AD69" s="77"/>
      <c r="AE69" s="235">
        <f t="shared" si="15"/>
        <v>1.1000000000000005</v>
      </c>
    </row>
    <row r="70" spans="1:31" x14ac:dyDescent="0.2">
      <c r="N70" s="337">
        <v>26845</v>
      </c>
      <c r="O70" s="116">
        <f>INDEX('Additional data'!$B$2:$B$965,MATCH(DATE(YEAR(N70),MONTH(N70),1),'Additional data'!$A$2:$A$965,0))</f>
        <v>3.56</v>
      </c>
      <c r="P70" s="232">
        <f t="shared" si="16"/>
        <v>1.2697605448639391</v>
      </c>
      <c r="Q70" s="232">
        <f>Q69+LN(1+INDEX('Additional data'!$H$2:$H$1196,MATCH(N70,'Additional data'!$G$2:$G$1196,1))+INDEX('Additional data'!$I$2:$I$1196,MATCH(N70,'Additional data'!$G$2:$G$1196,1)))</f>
        <v>0.15220263205416201</v>
      </c>
      <c r="R70" s="77"/>
      <c r="S70" s="116">
        <f>INDEX('Additional data'!$E$2:$E$699,MATCH(DATE(YEAR(N70),MONTH(N70),1),'Additional data'!$D$2:$D$699,0))</f>
        <v>6.4</v>
      </c>
      <c r="T70" s="115">
        <f t="shared" ref="T70:T133" si="17">P70-P69</f>
        <v>0</v>
      </c>
      <c r="U70" s="115">
        <f t="shared" ref="U70:U133" si="18">Q70-Q69</f>
        <v>-1.0656580188528886E-2</v>
      </c>
      <c r="V70" s="77"/>
      <c r="W70" s="116">
        <f t="shared" ref="W70:W133" si="19">S70-S69</f>
        <v>0</v>
      </c>
      <c r="X70" s="115">
        <f t="shared" si="6"/>
        <v>0</v>
      </c>
      <c r="Y70" s="115">
        <f t="shared" si="7"/>
        <v>-8.1447590621733262E-2</v>
      </c>
      <c r="Z70" s="77"/>
      <c r="AA70" s="116">
        <f t="shared" si="8"/>
        <v>0.65000000000000036</v>
      </c>
      <c r="AB70" s="115">
        <f t="shared" si="13"/>
        <v>0.14808298326483338</v>
      </c>
      <c r="AC70" s="115">
        <f t="shared" si="14"/>
        <v>8.8900914207804271E-2</v>
      </c>
      <c r="AD70" s="77"/>
      <c r="AE70" s="235">
        <f t="shared" si="15"/>
        <v>0.90000000000000036</v>
      </c>
    </row>
    <row r="71" spans="1:31" x14ac:dyDescent="0.2">
      <c r="N71" s="337">
        <v>26876</v>
      </c>
      <c r="O71" s="116">
        <f>INDEX('Additional data'!$B$2:$B$965,MATCH(DATE(YEAR(N71),MONTH(N71),1),'Additional data'!$A$2:$A$965,0))</f>
        <v>3.56</v>
      </c>
      <c r="P71" s="232">
        <f t="shared" si="16"/>
        <v>1.2697605448639391</v>
      </c>
      <c r="Q71" s="232">
        <f>Q70+LN(1+INDEX('Additional data'!$H$2:$H$1196,MATCH(N71,'Additional data'!$G$2:$G$1196,1))+INDEX('Additional data'!$I$2:$I$1196,MATCH(N71,'Additional data'!$G$2:$G$1196,1)))</f>
        <v>0.20744810628014049</v>
      </c>
      <c r="R71" s="77"/>
      <c r="S71" s="116">
        <f>INDEX('Additional data'!$E$2:$E$699,MATCH(DATE(YEAR(N71),MONTH(N71),1),'Additional data'!$D$2:$D$699,0))</f>
        <v>6.5</v>
      </c>
      <c r="T71" s="115">
        <f t="shared" si="17"/>
        <v>0</v>
      </c>
      <c r="U71" s="115">
        <f t="shared" si="18"/>
        <v>5.5245474225978475E-2</v>
      </c>
      <c r="V71" s="77"/>
      <c r="W71" s="116">
        <f t="shared" si="19"/>
        <v>9.9999999999999645E-2</v>
      </c>
      <c r="X71" s="115">
        <f t="shared" si="6"/>
        <v>0</v>
      </c>
      <c r="Y71" s="115">
        <f t="shared" si="7"/>
        <v>-2.1290072034734153E-2</v>
      </c>
      <c r="Z71" s="77"/>
      <c r="AA71" s="116">
        <f t="shared" si="8"/>
        <v>1.9000000000000004</v>
      </c>
      <c r="AB71" s="115">
        <f t="shared" si="13"/>
        <v>0.14808298326483338</v>
      </c>
      <c r="AC71" s="115">
        <f t="shared" si="14"/>
        <v>0.16649425209769037</v>
      </c>
      <c r="AD71" s="77"/>
      <c r="AE71" s="235">
        <f t="shared" si="15"/>
        <v>1.4000000000000004</v>
      </c>
    </row>
    <row r="72" spans="1:31" x14ac:dyDescent="0.2">
      <c r="N72" s="337">
        <v>26907</v>
      </c>
      <c r="O72" s="116">
        <f>INDEX('Additional data'!$B$2:$B$965,MATCH(DATE(YEAR(N72),MONTH(N72),1),'Additional data'!$A$2:$A$965,0))</f>
        <v>4.3099999999999996</v>
      </c>
      <c r="P72" s="232">
        <f t="shared" si="16"/>
        <v>1.4609379041156563</v>
      </c>
      <c r="Q72" s="232">
        <f>Q71+LN(1+INDEX('Additional data'!$H$2:$H$1196,MATCH(N72,'Additional data'!$G$2:$G$1196,1))+INDEX('Additional data'!$I$2:$I$1196,MATCH(N72,'Additional data'!$G$2:$G$1196,1)))</f>
        <v>0.17575101953688593</v>
      </c>
      <c r="R72" s="77"/>
      <c r="S72" s="116">
        <f>INDEX('Additional data'!$E$2:$E$699,MATCH(DATE(YEAR(N72),MONTH(N72),1),'Additional data'!$D$2:$D$699,0))</f>
        <v>6.4</v>
      </c>
      <c r="T72" s="115">
        <f t="shared" si="17"/>
        <v>0.19117735925171719</v>
      </c>
      <c r="U72" s="115">
        <f t="shared" si="18"/>
        <v>-3.1697086743254554E-2</v>
      </c>
      <c r="V72" s="77"/>
      <c r="W72" s="116">
        <f t="shared" si="19"/>
        <v>-9.9999999999999645E-2</v>
      </c>
      <c r="X72" s="115">
        <f t="shared" si="6"/>
        <v>0.19117735925171719</v>
      </c>
      <c r="Y72" s="115">
        <f t="shared" si="7"/>
        <v>-8.7968127673234087E-2</v>
      </c>
      <c r="Z72" s="77"/>
      <c r="AA72" s="116">
        <f t="shared" si="8"/>
        <v>1.8000000000000007</v>
      </c>
      <c r="AB72" s="115">
        <f t="shared" si="13"/>
        <v>0.33926034251655057</v>
      </c>
      <c r="AC72" s="115">
        <f t="shared" si="14"/>
        <v>0.11725198613868695</v>
      </c>
      <c r="AD72" s="77"/>
      <c r="AE72" s="235">
        <f t="shared" si="15"/>
        <v>1.3000000000000007</v>
      </c>
    </row>
    <row r="73" spans="1:31" x14ac:dyDescent="0.2">
      <c r="N73" s="337">
        <v>26937</v>
      </c>
      <c r="O73" s="116">
        <f>INDEX('Additional data'!$B$2:$B$965,MATCH(DATE(YEAR(N73),MONTH(N73),1),'Additional data'!$A$2:$A$965,0))</f>
        <v>4.3099999999999996</v>
      </c>
      <c r="P73" s="232">
        <f t="shared" si="16"/>
        <v>1.4609379041156563</v>
      </c>
      <c r="Q73" s="232">
        <f>Q72+LN(1+INDEX('Additional data'!$H$2:$H$1196,MATCH(N73,'Additional data'!$G$2:$G$1196,1))+INDEX('Additional data'!$I$2:$I$1196,MATCH(N73,'Additional data'!$G$2:$G$1196,1)))</f>
        <v>0.22853320497585541</v>
      </c>
      <c r="R73" s="77"/>
      <c r="S73" s="116">
        <f>INDEX('Additional data'!$E$2:$E$699,MATCH(DATE(YEAR(N73),MONTH(N73),1),'Additional data'!$D$2:$D$699,0))</f>
        <v>9.25</v>
      </c>
      <c r="T73" s="115">
        <f t="shared" si="17"/>
        <v>0</v>
      </c>
      <c r="U73" s="115">
        <f t="shared" si="18"/>
        <v>5.2782185438969481E-2</v>
      </c>
      <c r="V73" s="77"/>
      <c r="W73" s="116">
        <f t="shared" si="19"/>
        <v>2.8499999999999996</v>
      </c>
      <c r="X73" s="115">
        <f t="shared" si="6"/>
        <v>0.19117735925171719</v>
      </c>
      <c r="Y73" s="115">
        <f t="shared" si="7"/>
        <v>-2.7153770537000327E-2</v>
      </c>
      <c r="Z73" s="77"/>
      <c r="AA73" s="116">
        <f t="shared" si="8"/>
        <v>4.75</v>
      </c>
      <c r="AB73" s="115">
        <f t="shared" si="13"/>
        <v>0.33926034251655057</v>
      </c>
      <c r="AC73" s="115">
        <f t="shared" si="14"/>
        <v>0.12620869203762691</v>
      </c>
      <c r="AD73" s="77"/>
      <c r="AE73" s="235">
        <f t="shared" si="15"/>
        <v>4.2</v>
      </c>
    </row>
    <row r="74" spans="1:31" x14ac:dyDescent="0.2">
      <c r="N74" s="337">
        <v>26968</v>
      </c>
      <c r="O74" s="116">
        <f>INDEX('Additional data'!$B$2:$B$965,MATCH(DATE(YEAR(N74),MONTH(N74),1),'Additional data'!$A$2:$A$965,0))</f>
        <v>4.3099999999999996</v>
      </c>
      <c r="P74" s="232">
        <f t="shared" si="16"/>
        <v>1.4609379041156563</v>
      </c>
      <c r="Q74" s="232">
        <f>Q73+LN(1+INDEX('Additional data'!$H$2:$H$1196,MATCH(N74,'Additional data'!$G$2:$G$1196,1))+INDEX('Additional data'!$I$2:$I$1196,MATCH(N74,'Additional data'!$G$2:$G$1196,1)))</f>
        <v>0.22673158302922722</v>
      </c>
      <c r="R74" s="77"/>
      <c r="S74" s="116">
        <f>INDEX('Additional data'!$E$2:$E$699,MATCH(DATE(YEAR(N74),MONTH(N74),1),'Additional data'!$D$2:$D$699,0))</f>
        <v>9.65</v>
      </c>
      <c r="T74" s="115">
        <f t="shared" si="17"/>
        <v>0</v>
      </c>
      <c r="U74" s="115">
        <f t="shared" si="18"/>
        <v>-1.8016219466281957E-3</v>
      </c>
      <c r="V74" s="77"/>
      <c r="W74" s="116">
        <f t="shared" si="19"/>
        <v>0.40000000000000036</v>
      </c>
      <c r="X74" s="115">
        <f t="shared" si="6"/>
        <v>0.19117735925171719</v>
      </c>
      <c r="Y74" s="115">
        <f t="shared" si="7"/>
        <v>-3.8113330268394224E-2</v>
      </c>
      <c r="Z74" s="77"/>
      <c r="AA74" s="116">
        <f t="shared" si="8"/>
        <v>5.3500000000000005</v>
      </c>
      <c r="AB74" s="115">
        <f t="shared" si="13"/>
        <v>0.33926034251655057</v>
      </c>
      <c r="AC74" s="115">
        <f t="shared" si="14"/>
        <v>0.11574469701234613</v>
      </c>
      <c r="AD74" s="77"/>
      <c r="AE74" s="235">
        <f t="shared" si="15"/>
        <v>4.6500000000000004</v>
      </c>
    </row>
    <row r="75" spans="1:31" x14ac:dyDescent="0.2">
      <c r="N75" s="337">
        <v>26998</v>
      </c>
      <c r="O75" s="116">
        <f>INDEX('Additional data'!$B$2:$B$965,MATCH(DATE(YEAR(N75),MONTH(N75),1),'Additional data'!$A$2:$A$965,0))</f>
        <v>4.3099999999999996</v>
      </c>
      <c r="P75" s="232">
        <f t="shared" si="16"/>
        <v>1.4609379041156563</v>
      </c>
      <c r="Q75" s="232">
        <f>Q74+LN(1+INDEX('Additional data'!$H$2:$H$1196,MATCH(N75,'Additional data'!$G$2:$G$1196,1))+INDEX('Additional data'!$I$2:$I$1196,MATCH(N75,'Additional data'!$G$2:$G$1196,1)))</f>
        <v>9.6395081301223817E-2</v>
      </c>
      <c r="R75" s="77"/>
      <c r="S75" s="116">
        <f>INDEX('Additional data'!$E$2:$E$699,MATCH(DATE(YEAR(N75),MONTH(N75),1),'Additional data'!$D$2:$D$699,0))</f>
        <v>9.1999999999999993</v>
      </c>
      <c r="T75" s="115">
        <f t="shared" si="17"/>
        <v>0</v>
      </c>
      <c r="U75" s="115">
        <f t="shared" si="18"/>
        <v>-0.1303365017280034</v>
      </c>
      <c r="V75" s="77"/>
      <c r="W75" s="116">
        <f t="shared" si="19"/>
        <v>-0.45000000000000107</v>
      </c>
      <c r="X75" s="115">
        <f t="shared" si="6"/>
        <v>0.19117735925171719</v>
      </c>
      <c r="Y75" s="115">
        <f t="shared" si="7"/>
        <v>-0.21695424105601269</v>
      </c>
      <c r="Z75" s="77"/>
      <c r="AA75" s="116">
        <f t="shared" si="8"/>
        <v>4.0999999999999996</v>
      </c>
      <c r="AB75" s="115">
        <f t="shared" si="13"/>
        <v>0.33926034251655057</v>
      </c>
      <c r="AC75" s="115">
        <f t="shared" si="14"/>
        <v>-7.1444616308440068E-2</v>
      </c>
      <c r="AD75" s="77"/>
      <c r="AE75" s="235">
        <f t="shared" si="15"/>
        <v>4.2999999999999989</v>
      </c>
    </row>
    <row r="76" spans="1:31" x14ac:dyDescent="0.2">
      <c r="N76" s="337">
        <v>27029</v>
      </c>
      <c r="O76" s="116">
        <f>INDEX('Additional data'!$B$2:$B$965,MATCH(DATE(YEAR(N76),MONTH(N76),1),'Additional data'!$A$2:$A$965,0))</f>
        <v>4.3099999999999996</v>
      </c>
      <c r="P76" s="232">
        <f t="shared" si="16"/>
        <v>1.4609379041156563</v>
      </c>
      <c r="Q76" s="232">
        <f>Q75+LN(1+INDEX('Additional data'!$H$2:$H$1196,MATCH(N76,'Additional data'!$G$2:$G$1196,1))+INDEX('Additional data'!$I$2:$I$1196,MATCH(N76,'Additional data'!$G$2:$G$1196,1)))</f>
        <v>0.10862005092379276</v>
      </c>
      <c r="R76" s="77"/>
      <c r="S76" s="116">
        <f>INDEX('Additional data'!$E$2:$E$699,MATCH(DATE(YEAR(N76),MONTH(N76),1),'Additional data'!$D$2:$D$699,0))</f>
        <v>9.25</v>
      </c>
      <c r="T76" s="115">
        <f t="shared" si="17"/>
        <v>0</v>
      </c>
      <c r="U76" s="115">
        <f t="shared" si="18"/>
        <v>1.2224969622568943E-2</v>
      </c>
      <c r="V76" s="77"/>
      <c r="W76" s="116">
        <f t="shared" si="19"/>
        <v>5.0000000000000711E-2</v>
      </c>
      <c r="X76" s="115">
        <f t="shared" si="6"/>
        <v>0.19117735925171719</v>
      </c>
      <c r="Y76" s="115">
        <f t="shared" si="7"/>
        <v>-0.21458058748381795</v>
      </c>
      <c r="Z76" s="77"/>
      <c r="AA76" s="116">
        <f t="shared" si="8"/>
        <v>4.8</v>
      </c>
      <c r="AB76" s="115">
        <f t="shared" si="13"/>
        <v>0.33926034251655057</v>
      </c>
      <c r="AC76" s="115">
        <f t="shared" si="14"/>
        <v>-2.3592469042719971E-2</v>
      </c>
      <c r="AD76" s="77"/>
      <c r="AE76" s="235">
        <f t="shared" si="15"/>
        <v>4.3499999999999996</v>
      </c>
    </row>
    <row r="77" spans="1:31" x14ac:dyDescent="0.2">
      <c r="N77" s="337">
        <v>27060</v>
      </c>
      <c r="O77" s="116">
        <f>INDEX('Additional data'!$B$2:$B$965,MATCH(DATE(YEAR(N77),MONTH(N77),1),'Additional data'!$A$2:$A$965,0))</f>
        <v>10.11</v>
      </c>
      <c r="P77" s="232">
        <f t="shared" si="16"/>
        <v>2.3135250330323798</v>
      </c>
      <c r="Q77" s="232">
        <f>Q76+LN(1+INDEX('Additional data'!$H$2:$H$1196,MATCH(N77,'Additional data'!$G$2:$G$1196,1))+INDEX('Additional data'!$I$2:$I$1196,MATCH(N77,'Additional data'!$G$2:$G$1196,1)))</f>
        <v>0.11330904040992423</v>
      </c>
      <c r="R77" s="77"/>
      <c r="S77" s="116">
        <f>INDEX('Additional data'!$E$2:$E$699,MATCH(DATE(YEAR(N77),MONTH(N77),1),'Additional data'!$D$2:$D$699,0))</f>
        <v>9.25</v>
      </c>
      <c r="T77" s="115">
        <f t="shared" si="17"/>
        <v>0.8525871289167235</v>
      </c>
      <c r="U77" s="115">
        <f t="shared" si="18"/>
        <v>4.6889894861314729E-3</v>
      </c>
      <c r="V77" s="77"/>
      <c r="W77" s="116">
        <f t="shared" si="19"/>
        <v>0</v>
      </c>
      <c r="X77" s="115">
        <f t="shared" si="6"/>
        <v>1.0437644881684407</v>
      </c>
      <c r="Y77" s="115">
        <f t="shared" si="7"/>
        <v>-0.18118343386094271</v>
      </c>
      <c r="Z77" s="77"/>
      <c r="AA77" s="116">
        <f t="shared" si="8"/>
        <v>4.55</v>
      </c>
      <c r="AB77" s="115">
        <f t="shared" si="13"/>
        <v>1.1918474714332741</v>
      </c>
      <c r="AC77" s="115">
        <f t="shared" si="14"/>
        <v>-1.167743446484891E-2</v>
      </c>
      <c r="AD77" s="77"/>
      <c r="AE77" s="235">
        <f t="shared" si="15"/>
        <v>4.1500000000000004</v>
      </c>
    </row>
    <row r="78" spans="1:31" x14ac:dyDescent="0.2">
      <c r="N78" s="337">
        <v>27088</v>
      </c>
      <c r="O78" s="116">
        <f>INDEX('Additional data'!$B$2:$B$965,MATCH(DATE(YEAR(N78),MONTH(N78),1),'Additional data'!$A$2:$A$965,0))</f>
        <v>10.11</v>
      </c>
      <c r="P78" s="232">
        <f t="shared" si="16"/>
        <v>2.3135250330323798</v>
      </c>
      <c r="Q78" s="232">
        <f>Q77+LN(1+INDEX('Additional data'!$H$2:$H$1196,MATCH(N78,'Additional data'!$G$2:$G$1196,1))+INDEX('Additional data'!$I$2:$I$1196,MATCH(N78,'Additional data'!$G$2:$G$1196,1)))</f>
        <v>0.1145083209854062</v>
      </c>
      <c r="R78" s="77"/>
      <c r="S78" s="116">
        <f>INDEX('Additional data'!$E$2:$E$699,MATCH(DATE(YEAR(N78),MONTH(N78),1),'Additional data'!$D$2:$D$699,0))</f>
        <v>9.5</v>
      </c>
      <c r="T78" s="115">
        <f t="shared" si="17"/>
        <v>0</v>
      </c>
      <c r="U78" s="115">
        <f t="shared" si="18"/>
        <v>1.1992805754819647E-3</v>
      </c>
      <c r="V78" s="77"/>
      <c r="W78" s="116">
        <f t="shared" si="19"/>
        <v>0.25</v>
      </c>
      <c r="X78" s="115">
        <f t="shared" si="6"/>
        <v>1.0437644881684407</v>
      </c>
      <c r="Y78" s="115">
        <f t="shared" si="7"/>
        <v>-0.13467293057545768</v>
      </c>
      <c r="Z78" s="77"/>
      <c r="AA78" s="116">
        <f t="shared" si="8"/>
        <v>4.7</v>
      </c>
      <c r="AB78" s="115">
        <f t="shared" si="13"/>
        <v>1.1918474714332741</v>
      </c>
      <c r="AC78" s="115">
        <f t="shared" si="14"/>
        <v>4.5034556040891766E-2</v>
      </c>
      <c r="AD78" s="77"/>
      <c r="AE78" s="235">
        <f t="shared" si="15"/>
        <v>4.4000000000000004</v>
      </c>
    </row>
    <row r="79" spans="1:31" x14ac:dyDescent="0.2">
      <c r="N79" s="337">
        <v>27119</v>
      </c>
      <c r="O79" s="116">
        <f>INDEX('Additional data'!$B$2:$B$965,MATCH(DATE(YEAR(N79),MONTH(N79),1),'Additional data'!$A$2:$A$965,0))</f>
        <v>10.11</v>
      </c>
      <c r="P79" s="232">
        <f t="shared" si="16"/>
        <v>2.3135250330323798</v>
      </c>
      <c r="Q79" s="232">
        <f>Q78+LN(1+INDEX('Additional data'!$H$2:$H$1196,MATCH(N79,'Additional data'!$G$2:$G$1196,1))+INDEX('Additional data'!$I$2:$I$1196,MATCH(N79,'Additional data'!$G$2:$G$1196,1)))</f>
        <v>9.1649026839323633E-2</v>
      </c>
      <c r="R79" s="77"/>
      <c r="S79" s="116">
        <f>INDEX('Additional data'!$E$2:$E$699,MATCH(DATE(YEAR(N79),MONTH(N79),1),'Additional data'!$D$2:$D$699,0))</f>
        <v>10.1</v>
      </c>
      <c r="T79" s="115">
        <f t="shared" si="17"/>
        <v>0</v>
      </c>
      <c r="U79" s="115">
        <f t="shared" si="18"/>
        <v>-2.2859294146082565E-2</v>
      </c>
      <c r="V79" s="77"/>
      <c r="W79" s="116">
        <f t="shared" si="19"/>
        <v>0.59999999999999964</v>
      </c>
      <c r="X79" s="115">
        <f t="shared" si="6"/>
        <v>1.0437644881684407</v>
      </c>
      <c r="Y79" s="115">
        <f t="shared" si="7"/>
        <v>-0.14909674590043867</v>
      </c>
      <c r="Z79" s="77"/>
      <c r="AA79" s="116">
        <f t="shared" si="8"/>
        <v>4.6499999999999995</v>
      </c>
      <c r="AB79" s="115">
        <f t="shared" si="13"/>
        <v>1.1348700366907336</v>
      </c>
      <c r="AC79" s="115">
        <f t="shared" si="14"/>
        <v>-8.5479107480312816E-3</v>
      </c>
      <c r="AD79" s="77"/>
      <c r="AE79" s="235">
        <f t="shared" si="15"/>
        <v>4.9499999999999993</v>
      </c>
    </row>
    <row r="80" spans="1:31" x14ac:dyDescent="0.2">
      <c r="N80" s="337">
        <v>27149</v>
      </c>
      <c r="O80" s="116">
        <f>INDEX('Additional data'!$B$2:$B$965,MATCH(DATE(YEAR(N80),MONTH(N80),1),'Additional data'!$A$2:$A$965,0))</f>
        <v>10.11</v>
      </c>
      <c r="P80" s="232">
        <f t="shared" si="16"/>
        <v>2.3135250330323798</v>
      </c>
      <c r="Q80" s="232">
        <f>Q79+LN(1+INDEX('Additional data'!$H$2:$H$1196,MATCH(N80,'Additional data'!$G$2:$G$1196,1))+INDEX('Additional data'!$I$2:$I$1196,MATCH(N80,'Additional data'!$G$2:$G$1196,1)))</f>
        <v>4.529090286117407E-2</v>
      </c>
      <c r="R80" s="77"/>
      <c r="S80" s="116">
        <f>INDEX('Additional data'!$E$2:$E$699,MATCH(DATE(YEAR(N80),MONTH(N80),1),'Additional data'!$D$2:$D$699,0))</f>
        <v>16.25</v>
      </c>
      <c r="T80" s="115">
        <f t="shared" si="17"/>
        <v>0</v>
      </c>
      <c r="U80" s="115">
        <f t="shared" si="18"/>
        <v>-4.6358123978149562E-2</v>
      </c>
      <c r="V80" s="77"/>
      <c r="W80" s="116">
        <f t="shared" si="19"/>
        <v>6.15</v>
      </c>
      <c r="X80" s="115">
        <f t="shared" si="6"/>
        <v>1.0437644881684407</v>
      </c>
      <c r="Y80" s="115">
        <f t="shared" si="7"/>
        <v>-0.14247594508770162</v>
      </c>
      <c r="Z80" s="77"/>
      <c r="AA80" s="116">
        <f t="shared" si="8"/>
        <v>10.45</v>
      </c>
      <c r="AB80" s="115">
        <f t="shared" si="13"/>
        <v>1.1045646871954047</v>
      </c>
      <c r="AC80" s="115">
        <f t="shared" si="14"/>
        <v>-7.4610618000516271E-2</v>
      </c>
      <c r="AD80" s="77"/>
      <c r="AE80" s="235">
        <f t="shared" si="15"/>
        <v>10.85</v>
      </c>
    </row>
    <row r="81" spans="14:31" x14ac:dyDescent="0.2">
      <c r="N81" s="337">
        <v>27180</v>
      </c>
      <c r="O81" s="116">
        <f>INDEX('Additional data'!$B$2:$B$965,MATCH(DATE(YEAR(N81),MONTH(N81),1),'Additional data'!$A$2:$A$965,0))</f>
        <v>10.11</v>
      </c>
      <c r="P81" s="232">
        <f t="shared" si="16"/>
        <v>2.3135250330323798</v>
      </c>
      <c r="Q81" s="232">
        <f>Q80+LN(1+INDEX('Additional data'!$H$2:$H$1196,MATCH(N81,'Additional data'!$G$2:$G$1196,1))+INDEX('Additional data'!$I$2:$I$1196,MATCH(N81,'Additional data'!$G$2:$G$1196,1)))</f>
        <v>4.9896060876482642E-3</v>
      </c>
      <c r="R81" s="77"/>
      <c r="S81" s="116">
        <f>INDEX('Additional data'!$E$2:$E$699,MATCH(DATE(YEAR(N81),MONTH(N81),1),'Additional data'!$D$2:$D$699,0))</f>
        <v>21.75</v>
      </c>
      <c r="T81" s="115">
        <f t="shared" si="17"/>
        <v>0</v>
      </c>
      <c r="U81" s="115">
        <f t="shared" si="18"/>
        <v>-4.0301296773525806E-2</v>
      </c>
      <c r="V81" s="77"/>
      <c r="W81" s="116">
        <f t="shared" si="19"/>
        <v>5.5</v>
      </c>
      <c r="X81" s="115">
        <f t="shared" ref="X81:X144" si="20">P81-P69</f>
        <v>1.0437644881684407</v>
      </c>
      <c r="Y81" s="115">
        <f t="shared" ref="Y81:Y144" si="21">Q81-Q69</f>
        <v>-0.15786960615504264</v>
      </c>
      <c r="Z81" s="77"/>
      <c r="AA81" s="116">
        <f t="shared" ref="AA81:AA144" si="22">S81-S69</f>
        <v>15.35</v>
      </c>
      <c r="AB81" s="115">
        <f t="shared" si="13"/>
        <v>1.1045646871954047</v>
      </c>
      <c r="AC81" s="115">
        <f t="shared" si="14"/>
        <v>-0.11880432948938593</v>
      </c>
      <c r="AD81" s="77"/>
      <c r="AE81" s="235">
        <f t="shared" si="15"/>
        <v>16.25</v>
      </c>
    </row>
    <row r="82" spans="14:31" x14ac:dyDescent="0.2">
      <c r="N82" s="337">
        <v>27210</v>
      </c>
      <c r="O82" s="116">
        <f>INDEX('Additional data'!$B$2:$B$965,MATCH(DATE(YEAR(N82),MONTH(N82),1),'Additional data'!$A$2:$A$965,0))</f>
        <v>10.11</v>
      </c>
      <c r="P82" s="232">
        <f t="shared" si="16"/>
        <v>2.3135250330323798</v>
      </c>
      <c r="Q82" s="232">
        <f>Q81+LN(1+INDEX('Additional data'!$H$2:$H$1196,MATCH(N82,'Additional data'!$G$2:$G$1196,1))+INDEX('Additional data'!$I$2:$I$1196,MATCH(N82,'Additional data'!$G$2:$G$1196,1)))</f>
        <v>-1.7665084477157887E-2</v>
      </c>
      <c r="R82" s="77"/>
      <c r="S82" s="116">
        <f>INDEX('Additional data'!$E$2:$E$699,MATCH(DATE(YEAR(N82),MONTH(N82),1),'Additional data'!$D$2:$D$699,0))</f>
        <v>18.8</v>
      </c>
      <c r="T82" s="115">
        <f t="shared" si="17"/>
        <v>0</v>
      </c>
      <c r="U82" s="115">
        <f t="shared" si="18"/>
        <v>-2.2654690564806151E-2</v>
      </c>
      <c r="V82" s="77"/>
      <c r="W82" s="116">
        <f t="shared" si="19"/>
        <v>-2.9499999999999993</v>
      </c>
      <c r="X82" s="115">
        <f t="shared" si="20"/>
        <v>1.0437644881684407</v>
      </c>
      <c r="Y82" s="115">
        <f t="shared" si="21"/>
        <v>-0.16986771653131991</v>
      </c>
      <c r="Z82" s="77"/>
      <c r="AA82" s="116">
        <f t="shared" si="22"/>
        <v>12.4</v>
      </c>
      <c r="AB82" s="115">
        <f t="shared" si="13"/>
        <v>1.1045646871954047</v>
      </c>
      <c r="AC82" s="115">
        <f t="shared" si="14"/>
        <v>-7.232328121932996E-2</v>
      </c>
      <c r="AD82" s="77"/>
      <c r="AE82" s="235">
        <f t="shared" si="15"/>
        <v>12.9</v>
      </c>
    </row>
    <row r="83" spans="14:31" x14ac:dyDescent="0.2">
      <c r="N83" s="337">
        <v>27241</v>
      </c>
      <c r="O83" s="116">
        <f>INDEX('Additional data'!$B$2:$B$965,MATCH(DATE(YEAR(N83),MONTH(N83),1),'Additional data'!$A$2:$A$965,0))</f>
        <v>10.11</v>
      </c>
      <c r="P83" s="232">
        <f t="shared" si="16"/>
        <v>2.3135250330323798</v>
      </c>
      <c r="Q83" s="232">
        <f>Q82+LN(1+INDEX('Additional data'!$H$2:$H$1196,MATCH(N83,'Additional data'!$G$2:$G$1196,1))+INDEX('Additional data'!$I$2:$I$1196,MATCH(N83,'Additional data'!$G$2:$G$1196,1)))</f>
        <v>-9.4114256640564137E-2</v>
      </c>
      <c r="R83" s="77"/>
      <c r="S83" s="116">
        <f>INDEX('Additional data'!$E$2:$E$699,MATCH(DATE(YEAR(N83),MONTH(N83),1),'Additional data'!$D$2:$D$699,0))</f>
        <v>15</v>
      </c>
      <c r="T83" s="115">
        <f t="shared" si="17"/>
        <v>0</v>
      </c>
      <c r="U83" s="115">
        <f t="shared" si="18"/>
        <v>-7.6449172163406243E-2</v>
      </c>
      <c r="V83" s="77"/>
      <c r="W83" s="116">
        <f t="shared" si="19"/>
        <v>-3.8000000000000007</v>
      </c>
      <c r="X83" s="115">
        <f t="shared" si="20"/>
        <v>1.0437644881684407</v>
      </c>
      <c r="Y83" s="115">
        <f t="shared" si="21"/>
        <v>-0.3015623629207046</v>
      </c>
      <c r="Z83" s="77"/>
      <c r="AA83" s="116">
        <f t="shared" si="22"/>
        <v>8.5</v>
      </c>
      <c r="AB83" s="115">
        <f t="shared" si="13"/>
        <v>1.1045646871954047</v>
      </c>
      <c r="AC83" s="115">
        <f t="shared" si="14"/>
        <v>-8.1884507841104362E-2</v>
      </c>
      <c r="AD83" s="77"/>
      <c r="AE83" s="235">
        <f t="shared" si="15"/>
        <v>9.1999999999999993</v>
      </c>
    </row>
    <row r="84" spans="14:31" x14ac:dyDescent="0.2">
      <c r="N84" s="337">
        <v>27272</v>
      </c>
      <c r="O84" s="116">
        <f>INDEX('Additional data'!$B$2:$B$965,MATCH(DATE(YEAR(N84),MONTH(N84),1),'Additional data'!$A$2:$A$965,0))</f>
        <v>10.11</v>
      </c>
      <c r="P84" s="232">
        <f t="shared" si="16"/>
        <v>2.3135250330323798</v>
      </c>
      <c r="Q84" s="232">
        <f>Q83+LN(1+INDEX('Additional data'!$H$2:$H$1196,MATCH(N84,'Additional data'!$G$2:$G$1196,1))+INDEX('Additional data'!$I$2:$I$1196,MATCH(N84,'Additional data'!$G$2:$G$1196,1)))</f>
        <v>-0.18611990243658844</v>
      </c>
      <c r="R84" s="77"/>
      <c r="S84" s="116">
        <f>INDEX('Additional data'!$E$2:$E$699,MATCH(DATE(YEAR(N84),MONTH(N84),1),'Additional data'!$D$2:$D$699,0))</f>
        <v>14.2</v>
      </c>
      <c r="T84" s="115">
        <f t="shared" si="17"/>
        <v>0</v>
      </c>
      <c r="U84" s="115">
        <f t="shared" si="18"/>
        <v>-9.2005645796024299E-2</v>
      </c>
      <c r="V84" s="77"/>
      <c r="W84" s="116">
        <f t="shared" si="19"/>
        <v>-0.80000000000000071</v>
      </c>
      <c r="X84" s="115">
        <f t="shared" si="20"/>
        <v>0.8525871289167235</v>
      </c>
      <c r="Y84" s="115">
        <f t="shared" si="21"/>
        <v>-0.36187092197347437</v>
      </c>
      <c r="Z84" s="77"/>
      <c r="AA84" s="116">
        <f t="shared" si="22"/>
        <v>7.7999999999999989</v>
      </c>
      <c r="AB84" s="115">
        <f t="shared" si="13"/>
        <v>1.1045646871954047</v>
      </c>
      <c r="AC84" s="115">
        <f t="shared" si="14"/>
        <v>-0.22448820640021988</v>
      </c>
      <c r="AD84" s="77"/>
      <c r="AE84" s="235">
        <f t="shared" si="15"/>
        <v>8.1</v>
      </c>
    </row>
    <row r="85" spans="14:31" x14ac:dyDescent="0.2">
      <c r="N85" s="337">
        <v>27302</v>
      </c>
      <c r="O85" s="116">
        <f>INDEX('Additional data'!$B$2:$B$965,MATCH(DATE(YEAR(N85),MONTH(N85),1),'Additional data'!$A$2:$A$965,0))</f>
        <v>10.11</v>
      </c>
      <c r="P85" s="232">
        <f t="shared" si="16"/>
        <v>2.3135250330323798</v>
      </c>
      <c r="Q85" s="232">
        <f>Q84+LN(1+INDEX('Additional data'!$H$2:$H$1196,MATCH(N85,'Additional data'!$G$2:$G$1196,1))+INDEX('Additional data'!$I$2:$I$1196,MATCH(N85,'Additional data'!$G$2:$G$1196,1)))</f>
        <v>-0.30242902483697154</v>
      </c>
      <c r="R85" s="77"/>
      <c r="S85" s="116">
        <f>INDEX('Additional data'!$E$2:$E$699,MATCH(DATE(YEAR(N85),MONTH(N85),1),'Additional data'!$D$2:$D$699,0))</f>
        <v>12.6</v>
      </c>
      <c r="T85" s="115">
        <f t="shared" si="17"/>
        <v>0</v>
      </c>
      <c r="U85" s="115">
        <f t="shared" si="18"/>
        <v>-0.1163091224003831</v>
      </c>
      <c r="V85" s="77"/>
      <c r="W85" s="116">
        <f t="shared" si="19"/>
        <v>-1.5999999999999996</v>
      </c>
      <c r="X85" s="115">
        <f t="shared" si="20"/>
        <v>0.8525871289167235</v>
      </c>
      <c r="Y85" s="115">
        <f t="shared" si="21"/>
        <v>-0.53096222981282692</v>
      </c>
      <c r="Z85" s="77"/>
      <c r="AA85" s="116">
        <f t="shared" si="22"/>
        <v>3.3499999999999996</v>
      </c>
      <c r="AB85" s="115">
        <f t="shared" si="13"/>
        <v>1.1045646871954047</v>
      </c>
      <c r="AC85" s="115">
        <f t="shared" si="14"/>
        <v>-0.31701680013519962</v>
      </c>
      <c r="AD85" s="77"/>
      <c r="AE85" s="235">
        <f t="shared" si="15"/>
        <v>6.8</v>
      </c>
    </row>
    <row r="86" spans="14:31" x14ac:dyDescent="0.2">
      <c r="N86" s="337">
        <v>27333</v>
      </c>
      <c r="O86" s="116">
        <f>INDEX('Additional data'!$B$2:$B$965,MATCH(DATE(YEAR(N86),MONTH(N86),1),'Additional data'!$A$2:$A$965,0))</f>
        <v>11.16</v>
      </c>
      <c r="P86" s="232">
        <f t="shared" si="16"/>
        <v>2.4123359569531648</v>
      </c>
      <c r="Q86" s="232">
        <f>Q85+LN(1+INDEX('Additional data'!$H$2:$H$1196,MATCH(N86,'Additional data'!$G$2:$G$1196,1))+INDEX('Additional data'!$I$2:$I$1196,MATCH(N86,'Additional data'!$G$2:$G$1196,1)))</f>
        <v>-0.14867842503105286</v>
      </c>
      <c r="R86" s="77"/>
      <c r="S86" s="116">
        <f>INDEX('Additional data'!$E$2:$E$699,MATCH(DATE(YEAR(N86),MONTH(N86),1),'Additional data'!$D$2:$D$699,0))</f>
        <v>10.4</v>
      </c>
      <c r="T86" s="115">
        <f t="shared" si="17"/>
        <v>9.8810923920785054E-2</v>
      </c>
      <c r="U86" s="115">
        <f t="shared" si="18"/>
        <v>0.15375059980591868</v>
      </c>
      <c r="V86" s="77"/>
      <c r="W86" s="116">
        <f t="shared" si="19"/>
        <v>-2.1999999999999993</v>
      </c>
      <c r="X86" s="115">
        <f t="shared" si="20"/>
        <v>0.95139805283750856</v>
      </c>
      <c r="Y86" s="115">
        <f t="shared" si="21"/>
        <v>-0.37541000806028008</v>
      </c>
      <c r="Z86" s="77"/>
      <c r="AA86" s="116">
        <f t="shared" si="22"/>
        <v>0.75</v>
      </c>
      <c r="AB86" s="115">
        <f t="shared" si="13"/>
        <v>1.2033756111161897</v>
      </c>
      <c r="AC86" s="115">
        <f t="shared" si="14"/>
        <v>-0.21832240607735931</v>
      </c>
      <c r="AD86" s="77"/>
      <c r="AE86" s="235">
        <f t="shared" si="15"/>
        <v>4.8000000000000007</v>
      </c>
    </row>
    <row r="87" spans="14:31" x14ac:dyDescent="0.2">
      <c r="N87" s="337">
        <v>27363</v>
      </c>
      <c r="O87" s="116">
        <f>INDEX('Additional data'!$B$2:$B$965,MATCH(DATE(YEAR(N87),MONTH(N87),1),'Additional data'!$A$2:$A$965,0))</f>
        <v>11.16</v>
      </c>
      <c r="P87" s="232">
        <f t="shared" si="16"/>
        <v>2.4123359569531648</v>
      </c>
      <c r="Q87" s="232">
        <f>Q86+LN(1+INDEX('Additional data'!$H$2:$H$1196,MATCH(N87,'Additional data'!$G$2:$G$1196,1))+INDEX('Additional data'!$I$2:$I$1196,MATCH(N87,'Additional data'!$G$2:$G$1196,1)))</f>
        <v>-0.18939625830961188</v>
      </c>
      <c r="R87" s="77"/>
      <c r="S87" s="116">
        <f>INDEX('Additional data'!$E$2:$E$699,MATCH(DATE(YEAR(N87),MONTH(N87),1),'Additional data'!$D$2:$D$699,0))</f>
        <v>10.3</v>
      </c>
      <c r="T87" s="115">
        <f t="shared" si="17"/>
        <v>0</v>
      </c>
      <c r="U87" s="115">
        <f t="shared" si="18"/>
        <v>-4.0717833278559018E-2</v>
      </c>
      <c r="V87" s="77"/>
      <c r="W87" s="116">
        <f t="shared" si="19"/>
        <v>-9.9999999999999645E-2</v>
      </c>
      <c r="X87" s="115">
        <f t="shared" si="20"/>
        <v>0.95139805283750856</v>
      </c>
      <c r="Y87" s="115">
        <f t="shared" si="21"/>
        <v>-0.28579133961083569</v>
      </c>
      <c r="Z87" s="77"/>
      <c r="AA87" s="116">
        <f t="shared" si="22"/>
        <v>1.1000000000000014</v>
      </c>
      <c r="AB87" s="115">
        <f t="shared" si="13"/>
        <v>1.2033756111161897</v>
      </c>
      <c r="AC87" s="115">
        <f t="shared" si="14"/>
        <v>-0.22569025967436412</v>
      </c>
      <c r="AD87" s="77"/>
      <c r="AE87" s="235">
        <f t="shared" si="15"/>
        <v>10.3</v>
      </c>
    </row>
    <row r="88" spans="14:31" x14ac:dyDescent="0.2">
      <c r="N88" s="337">
        <v>27394</v>
      </c>
      <c r="O88" s="116">
        <f>INDEX('Additional data'!$B$2:$B$965,MATCH(DATE(YEAR(N88),MONTH(N88),1),'Additional data'!$A$2:$A$965,0))</f>
        <v>11.16</v>
      </c>
      <c r="P88" s="232">
        <f t="shared" si="16"/>
        <v>2.4123359569531648</v>
      </c>
      <c r="Q88" s="232">
        <f>Q87+LN(1+INDEX('Additional data'!$H$2:$H$1196,MATCH(N88,'Additional data'!$G$2:$G$1196,1))+INDEX('Additional data'!$I$2:$I$1196,MATCH(N88,'Additional data'!$G$2:$G$1196,1)))</f>
        <v>-0.21717863932206349</v>
      </c>
      <c r="R88" s="77"/>
      <c r="S88" s="116">
        <f>INDEX('Additional data'!$E$2:$E$699,MATCH(DATE(YEAR(N88),MONTH(N88),1),'Additional data'!$D$2:$D$699,0))</f>
        <v>9.75</v>
      </c>
      <c r="T88" s="115">
        <f t="shared" si="17"/>
        <v>0</v>
      </c>
      <c r="U88" s="115">
        <f t="shared" si="18"/>
        <v>-2.7782381012451618E-2</v>
      </c>
      <c r="V88" s="77"/>
      <c r="W88" s="116">
        <f t="shared" si="19"/>
        <v>-0.55000000000000071</v>
      </c>
      <c r="X88" s="115">
        <f t="shared" si="20"/>
        <v>0.95139805283750856</v>
      </c>
      <c r="Y88" s="115">
        <f t="shared" si="21"/>
        <v>-0.32579869024585628</v>
      </c>
      <c r="Z88" s="77"/>
      <c r="AA88" s="116">
        <f t="shared" si="22"/>
        <v>0.5</v>
      </c>
      <c r="AB88" s="115">
        <f t="shared" si="13"/>
        <v>1.2033756111161897</v>
      </c>
      <c r="AC88" s="115">
        <f t="shared" si="14"/>
        <v>-0.23337196897981285</v>
      </c>
      <c r="AD88" s="77"/>
      <c r="AE88" s="235">
        <f t="shared" si="15"/>
        <v>4.0999999999999996</v>
      </c>
    </row>
    <row r="89" spans="14:31" x14ac:dyDescent="0.2">
      <c r="N89" s="337">
        <v>27425</v>
      </c>
      <c r="O89" s="116">
        <f>INDEX('Additional data'!$B$2:$B$965,MATCH(DATE(YEAR(N89),MONTH(N89),1),'Additional data'!$A$2:$A$965,0))</f>
        <v>11.16</v>
      </c>
      <c r="P89" s="232">
        <f t="shared" si="16"/>
        <v>2.4123359569531648</v>
      </c>
      <c r="Q89" s="232">
        <f>Q88+LN(1+INDEX('Additional data'!$H$2:$H$1196,MATCH(N89,'Additional data'!$G$2:$G$1196,1))+INDEX('Additional data'!$I$2:$I$1196,MATCH(N89,'Additional data'!$G$2:$G$1196,1)))</f>
        <v>-8.3959795535840709E-2</v>
      </c>
      <c r="R89" s="77"/>
      <c r="S89" s="116">
        <f>INDEX('Additional data'!$E$2:$E$699,MATCH(DATE(YEAR(N89),MONTH(N89),1),'Additional data'!$D$2:$D$699,0))</f>
        <v>8.9499999999999993</v>
      </c>
      <c r="T89" s="115">
        <f t="shared" si="17"/>
        <v>0</v>
      </c>
      <c r="U89" s="115">
        <f t="shared" si="18"/>
        <v>0.13321884378622278</v>
      </c>
      <c r="V89" s="77"/>
      <c r="W89" s="116">
        <f t="shared" si="19"/>
        <v>-0.80000000000000071</v>
      </c>
      <c r="X89" s="115">
        <f t="shared" si="20"/>
        <v>9.8810923920785054E-2</v>
      </c>
      <c r="Y89" s="115">
        <f t="shared" si="21"/>
        <v>-0.19726883594576494</v>
      </c>
      <c r="Z89" s="77"/>
      <c r="AA89" s="116">
        <f t="shared" si="22"/>
        <v>-0.30000000000000071</v>
      </c>
      <c r="AB89" s="115">
        <f t="shared" si="13"/>
        <v>1.2033756111161897</v>
      </c>
      <c r="AC89" s="115">
        <f t="shared" si="14"/>
        <v>-2.219158372387825E-2</v>
      </c>
      <c r="AD89" s="77"/>
      <c r="AE89" s="235">
        <f t="shared" si="15"/>
        <v>3.1499999999999995</v>
      </c>
    </row>
    <row r="90" spans="14:31" x14ac:dyDescent="0.2">
      <c r="N90" s="337">
        <v>27453</v>
      </c>
      <c r="O90" s="116">
        <f>INDEX('Additional data'!$B$2:$B$965,MATCH(DATE(YEAR(N90),MONTH(N90),1),'Additional data'!$A$2:$A$965,0))</f>
        <v>11.16</v>
      </c>
      <c r="P90" s="232">
        <f t="shared" si="16"/>
        <v>2.4123359569531648</v>
      </c>
      <c r="Q90" s="232">
        <f>Q89+LN(1+INDEX('Additional data'!$H$2:$H$1196,MATCH(N90,'Additional data'!$G$2:$G$1196,1))+INDEX('Additional data'!$I$2:$I$1196,MATCH(N90,'Additional data'!$G$2:$G$1196,1)))</f>
        <v>-2.5785231484768474E-2</v>
      </c>
      <c r="R90" s="77"/>
      <c r="S90" s="116">
        <f>INDEX('Additional data'!$E$2:$E$699,MATCH(DATE(YEAR(N90),MONTH(N90),1),'Additional data'!$D$2:$D$699,0))</f>
        <v>9</v>
      </c>
      <c r="T90" s="115">
        <f t="shared" si="17"/>
        <v>0</v>
      </c>
      <c r="U90" s="115">
        <f t="shared" si="18"/>
        <v>5.8174564051072235E-2</v>
      </c>
      <c r="V90" s="77"/>
      <c r="W90" s="116">
        <f t="shared" si="19"/>
        <v>5.0000000000000711E-2</v>
      </c>
      <c r="X90" s="115">
        <f t="shared" si="20"/>
        <v>9.8810923920785054E-2</v>
      </c>
      <c r="Y90" s="115">
        <f t="shared" si="21"/>
        <v>-0.14029355247017467</v>
      </c>
      <c r="Z90" s="77"/>
      <c r="AA90" s="116">
        <f t="shared" si="22"/>
        <v>-0.5</v>
      </c>
      <c r="AB90" s="115">
        <f t="shared" si="13"/>
        <v>1.2033756111161897</v>
      </c>
      <c r="AC90" s="115">
        <f t="shared" si="14"/>
        <v>-2.0019209788090894E-2</v>
      </c>
      <c r="AD90" s="77"/>
      <c r="AE90" s="235">
        <f t="shared" si="15"/>
        <v>2.7</v>
      </c>
    </row>
    <row r="91" spans="14:31" x14ac:dyDescent="0.2">
      <c r="N91" s="337">
        <v>27484</v>
      </c>
      <c r="O91" s="116">
        <f>INDEX('Additional data'!$B$2:$B$965,MATCH(DATE(YEAR(N91),MONTH(N91),1),'Additional data'!$A$2:$A$965,0))</f>
        <v>11.16</v>
      </c>
      <c r="P91" s="232">
        <f t="shared" si="16"/>
        <v>2.4123359569531648</v>
      </c>
      <c r="Q91" s="232">
        <f>Q90+LN(1+INDEX('Additional data'!$H$2:$H$1196,MATCH(N91,'Additional data'!$G$2:$G$1196,1))+INDEX('Additional data'!$I$2:$I$1196,MATCH(N91,'Additional data'!$G$2:$G$1196,1)))</f>
        <v>4.4529515758414719E-3</v>
      </c>
      <c r="R91" s="77"/>
      <c r="S91" s="116">
        <f>INDEX('Additional data'!$E$2:$E$699,MATCH(DATE(YEAR(N91),MONTH(N91),1),'Additional data'!$D$2:$D$699,0))</f>
        <v>8.75</v>
      </c>
      <c r="T91" s="115">
        <f t="shared" si="17"/>
        <v>0</v>
      </c>
      <c r="U91" s="115">
        <f t="shared" si="18"/>
        <v>3.0238183060609946E-2</v>
      </c>
      <c r="V91" s="77"/>
      <c r="W91" s="116">
        <f t="shared" si="19"/>
        <v>-0.25</v>
      </c>
      <c r="X91" s="115">
        <f t="shared" si="20"/>
        <v>9.8810923920785054E-2</v>
      </c>
      <c r="Y91" s="115">
        <f t="shared" si="21"/>
        <v>-8.7196075263482165E-2</v>
      </c>
      <c r="Z91" s="77"/>
      <c r="AA91" s="116">
        <f t="shared" si="22"/>
        <v>-1.3499999999999996</v>
      </c>
      <c r="AB91" s="115">
        <f t="shared" si="13"/>
        <v>1.2033756111161897</v>
      </c>
      <c r="AC91" s="115">
        <f t="shared" si="14"/>
        <v>1.5131017633539693E-2</v>
      </c>
      <c r="AD91" s="77"/>
      <c r="AE91" s="235">
        <f t="shared" si="15"/>
        <v>1.5999999999999996</v>
      </c>
    </row>
    <row r="92" spans="14:31" x14ac:dyDescent="0.2">
      <c r="N92" s="337">
        <v>27514</v>
      </c>
      <c r="O92" s="116">
        <f>INDEX('Additional data'!$B$2:$B$965,MATCH(DATE(YEAR(N92),MONTH(N92),1),'Additional data'!$A$2:$A$965,0))</f>
        <v>11.16</v>
      </c>
      <c r="P92" s="232">
        <f t="shared" si="16"/>
        <v>2.4123359569531648</v>
      </c>
      <c r="Q92" s="232">
        <f>Q91+LN(1+INDEX('Additional data'!$H$2:$H$1196,MATCH(N92,'Additional data'!$G$2:$G$1196,1))+INDEX('Additional data'!$I$2:$I$1196,MATCH(N92,'Additional data'!$G$2:$G$1196,1)))</f>
        <v>4.9999766531811832E-2</v>
      </c>
      <c r="R92" s="77"/>
      <c r="S92" s="116">
        <f>INDEX('Additional data'!$E$2:$E$699,MATCH(DATE(YEAR(N92),MONTH(N92),1),'Additional data'!$D$2:$D$699,0))</f>
        <v>9.8000000000000007</v>
      </c>
      <c r="T92" s="115">
        <f t="shared" si="17"/>
        <v>0</v>
      </c>
      <c r="U92" s="115">
        <f t="shared" si="18"/>
        <v>4.5546814955970363E-2</v>
      </c>
      <c r="V92" s="77"/>
      <c r="W92" s="116">
        <f t="shared" si="19"/>
        <v>1.0500000000000007</v>
      </c>
      <c r="X92" s="115">
        <f t="shared" si="20"/>
        <v>9.8810923920785054E-2</v>
      </c>
      <c r="Y92" s="115">
        <f t="shared" si="21"/>
        <v>4.7088636706377612E-3</v>
      </c>
      <c r="Z92" s="77"/>
      <c r="AA92" s="116">
        <f t="shared" si="22"/>
        <v>-6.4499999999999993</v>
      </c>
      <c r="AB92" s="115">
        <f t="shared" si="13"/>
        <v>1.2033756111161897</v>
      </c>
      <c r="AC92" s="115">
        <f t="shared" si="14"/>
        <v>0.17149766769475383</v>
      </c>
      <c r="AD92" s="77"/>
      <c r="AE92" s="235">
        <f t="shared" si="15"/>
        <v>1.2000000000000011</v>
      </c>
    </row>
    <row r="93" spans="14:31" x14ac:dyDescent="0.2">
      <c r="N93" s="337">
        <v>27545</v>
      </c>
      <c r="O93" s="116">
        <f>INDEX('Additional data'!$B$2:$B$965,MATCH(DATE(YEAR(N93),MONTH(N93),1),'Additional data'!$A$2:$A$965,0))</f>
        <v>11.16</v>
      </c>
      <c r="P93" s="232">
        <f t="shared" si="16"/>
        <v>2.4123359569531648</v>
      </c>
      <c r="Q93" s="232">
        <f>Q92+LN(1+INDEX('Additional data'!$H$2:$H$1196,MATCH(N93,'Additional data'!$G$2:$G$1196,1))+INDEX('Additional data'!$I$2:$I$1196,MATCH(N93,'Additional data'!$G$2:$G$1196,1)))</f>
        <v>0.10486666797265193</v>
      </c>
      <c r="R93" s="77"/>
      <c r="S93" s="116">
        <f>INDEX('Additional data'!$E$2:$E$699,MATCH(DATE(YEAR(N93),MONTH(N93),1),'Additional data'!$D$2:$D$699,0))</f>
        <v>8.9</v>
      </c>
      <c r="T93" s="115">
        <f t="shared" si="17"/>
        <v>0</v>
      </c>
      <c r="U93" s="115">
        <f t="shared" si="18"/>
        <v>5.4866901440840096E-2</v>
      </c>
      <c r="V93" s="77"/>
      <c r="W93" s="116">
        <f t="shared" si="19"/>
        <v>-0.90000000000000036</v>
      </c>
      <c r="X93" s="115">
        <f t="shared" si="20"/>
        <v>9.8810923920785054E-2</v>
      </c>
      <c r="Y93" s="115">
        <f t="shared" si="21"/>
        <v>9.9877061885003671E-2</v>
      </c>
      <c r="Z93" s="77"/>
      <c r="AA93" s="116">
        <f t="shared" si="22"/>
        <v>-12.85</v>
      </c>
      <c r="AB93" s="115">
        <f t="shared" si="13"/>
        <v>1.2033756111161897</v>
      </c>
      <c r="AC93" s="115">
        <f t="shared" si="14"/>
        <v>0.29218391017288753</v>
      </c>
      <c r="AD93" s="77"/>
      <c r="AE93" s="235">
        <f t="shared" si="15"/>
        <v>-0.19999999999999929</v>
      </c>
    </row>
    <row r="94" spans="14:31" x14ac:dyDescent="0.2">
      <c r="N94" s="337">
        <v>27575</v>
      </c>
      <c r="O94" s="116">
        <f>INDEX('Additional data'!$B$2:$B$965,MATCH(DATE(YEAR(N94),MONTH(N94),1),'Additional data'!$A$2:$A$965,0))</f>
        <v>11.16</v>
      </c>
      <c r="P94" s="232">
        <f t="shared" si="16"/>
        <v>2.4123359569531648</v>
      </c>
      <c r="Q94" s="232">
        <f>Q93+LN(1+INDEX('Additional data'!$H$2:$H$1196,MATCH(N94,'Additional data'!$G$2:$G$1196,1))+INDEX('Additional data'!$I$2:$I$1196,MATCH(N94,'Additional data'!$G$2:$G$1196,1)))</f>
        <v>0.15631994956156758</v>
      </c>
      <c r="R94" s="77"/>
      <c r="S94" s="116">
        <f>INDEX('Additional data'!$E$2:$E$699,MATCH(DATE(YEAR(N94),MONTH(N94),1),'Additional data'!$D$2:$D$699,0))</f>
        <v>8.8000000000000007</v>
      </c>
      <c r="T94" s="115">
        <f t="shared" si="17"/>
        <v>0</v>
      </c>
      <c r="U94" s="115">
        <f t="shared" si="18"/>
        <v>5.1453281588915656E-2</v>
      </c>
      <c r="V94" s="77"/>
      <c r="W94" s="116">
        <f t="shared" si="19"/>
        <v>-9.9999999999999645E-2</v>
      </c>
      <c r="X94" s="115">
        <f t="shared" si="20"/>
        <v>9.8810923920785054E-2</v>
      </c>
      <c r="Y94" s="115">
        <f t="shared" si="21"/>
        <v>0.17398503403872548</v>
      </c>
      <c r="Z94" s="77"/>
      <c r="AA94" s="116">
        <f t="shared" si="22"/>
        <v>-10</v>
      </c>
      <c r="AB94" s="115">
        <f t="shared" si="13"/>
        <v>1.2033756111161897</v>
      </c>
      <c r="AC94" s="115">
        <f t="shared" si="14"/>
        <v>0.39724896121045233</v>
      </c>
      <c r="AD94" s="77"/>
      <c r="AE94" s="235">
        <f t="shared" si="15"/>
        <v>0.10000000000000142</v>
      </c>
    </row>
    <row r="95" spans="14:31" x14ac:dyDescent="0.2">
      <c r="N95" s="337">
        <v>27606</v>
      </c>
      <c r="O95" s="116">
        <f>INDEX('Additional data'!$B$2:$B$965,MATCH(DATE(YEAR(N95),MONTH(N95),1),'Additional data'!$A$2:$A$965,0))</f>
        <v>11.16</v>
      </c>
      <c r="P95" s="232">
        <f t="shared" si="16"/>
        <v>2.4123359569531648</v>
      </c>
      <c r="Q95" s="232">
        <f>Q94+LN(1+INDEX('Additional data'!$H$2:$H$1196,MATCH(N95,'Additional data'!$G$2:$G$1196,1))+INDEX('Additional data'!$I$2:$I$1196,MATCH(N95,'Additional data'!$G$2:$G$1196,1)))</f>
        <v>9.316713455629895E-2</v>
      </c>
      <c r="R95" s="77"/>
      <c r="S95" s="116">
        <f>INDEX('Additional data'!$E$2:$E$699,MATCH(DATE(YEAR(N95),MONTH(N95),1),'Additional data'!$D$2:$D$699,0))</f>
        <v>8.15</v>
      </c>
      <c r="T95" s="115">
        <f t="shared" si="17"/>
        <v>0</v>
      </c>
      <c r="U95" s="115">
        <f t="shared" si="18"/>
        <v>-6.3152815005268634E-2</v>
      </c>
      <c r="V95" s="77"/>
      <c r="W95" s="116">
        <f t="shared" si="19"/>
        <v>-0.65000000000000036</v>
      </c>
      <c r="X95" s="115">
        <f t="shared" si="20"/>
        <v>9.8810923920785054E-2</v>
      </c>
      <c r="Y95" s="115">
        <f t="shared" si="21"/>
        <v>0.1872813911968631</v>
      </c>
      <c r="Z95" s="77"/>
      <c r="AA95" s="116">
        <f t="shared" si="22"/>
        <v>-6.85</v>
      </c>
      <c r="AB95" s="115">
        <f t="shared" si="13"/>
        <v>1.2153877675641933</v>
      </c>
      <c r="AC95" s="115">
        <f t="shared" si="14"/>
        <v>0.26233377997829288</v>
      </c>
      <c r="AD95" s="77"/>
      <c r="AE95" s="235">
        <f t="shared" si="15"/>
        <v>0.75</v>
      </c>
    </row>
    <row r="96" spans="14:31" x14ac:dyDescent="0.2">
      <c r="N96" s="337">
        <v>27637</v>
      </c>
      <c r="O96" s="116">
        <f>INDEX('Additional data'!$B$2:$B$965,MATCH(DATE(YEAR(N96),MONTH(N96),1),'Additional data'!$A$2:$A$965,0))</f>
        <v>11.16</v>
      </c>
      <c r="P96" s="232">
        <f t="shared" si="16"/>
        <v>2.4123359569531648</v>
      </c>
      <c r="Q96" s="232">
        <f>Q95+LN(1+INDEX('Additional data'!$H$2:$H$1196,MATCH(N96,'Additional data'!$G$2:$G$1196,1))+INDEX('Additional data'!$I$2:$I$1196,MATCH(N96,'Additional data'!$G$2:$G$1196,1)))</f>
        <v>6.9284194092966947E-2</v>
      </c>
      <c r="R96" s="77"/>
      <c r="S96" s="116">
        <f>INDEX('Additional data'!$E$2:$E$699,MATCH(DATE(YEAR(N96),MONTH(N96),1),'Additional data'!$D$2:$D$699,0))</f>
        <v>8.15</v>
      </c>
      <c r="T96" s="115">
        <f t="shared" si="17"/>
        <v>0</v>
      </c>
      <c r="U96" s="115">
        <f t="shared" si="18"/>
        <v>-2.3882940463332003E-2</v>
      </c>
      <c r="V96" s="77"/>
      <c r="W96" s="116">
        <f t="shared" si="19"/>
        <v>0</v>
      </c>
      <c r="X96" s="115">
        <f t="shared" si="20"/>
        <v>9.8810923920785054E-2</v>
      </c>
      <c r="Y96" s="115">
        <f t="shared" si="21"/>
        <v>0.25540409652955537</v>
      </c>
      <c r="Z96" s="77"/>
      <c r="AA96" s="116">
        <f t="shared" si="22"/>
        <v>-6.0499999999999989</v>
      </c>
      <c r="AB96" s="115">
        <f t="shared" si="13"/>
        <v>1.2153877675641933</v>
      </c>
      <c r="AC96" s="115">
        <f t="shared" si="14"/>
        <v>0.18937500186836825</v>
      </c>
      <c r="AD96" s="77"/>
      <c r="AE96" s="235">
        <f t="shared" si="15"/>
        <v>1.3500000000000005</v>
      </c>
    </row>
    <row r="97" spans="14:31" x14ac:dyDescent="0.2">
      <c r="N97" s="337">
        <v>27667</v>
      </c>
      <c r="O97" s="116">
        <f>INDEX('Additional data'!$B$2:$B$965,MATCH(DATE(YEAR(N97),MONTH(N97),1),'Additional data'!$A$2:$A$965,0))</f>
        <v>11.16</v>
      </c>
      <c r="P97" s="232">
        <f t="shared" si="16"/>
        <v>2.4123359569531648</v>
      </c>
      <c r="Q97" s="232">
        <f>Q96+LN(1+INDEX('Additional data'!$H$2:$H$1196,MATCH(N97,'Additional data'!$G$2:$G$1196,1))+INDEX('Additional data'!$I$2:$I$1196,MATCH(N97,'Additional data'!$G$2:$G$1196,1)))</f>
        <v>3.1270751894750773E-2</v>
      </c>
      <c r="R97" s="77"/>
      <c r="S97" s="116">
        <f>INDEX('Additional data'!$E$2:$E$699,MATCH(DATE(YEAR(N97),MONTH(N97),1),'Additional data'!$D$2:$D$699,0))</f>
        <v>8.1</v>
      </c>
      <c r="T97" s="115">
        <f t="shared" si="17"/>
        <v>0</v>
      </c>
      <c r="U97" s="115">
        <f t="shared" si="18"/>
        <v>-3.8013442198216174E-2</v>
      </c>
      <c r="V97" s="77"/>
      <c r="W97" s="116">
        <f t="shared" si="19"/>
        <v>-5.0000000000000711E-2</v>
      </c>
      <c r="X97" s="115">
        <f t="shared" si="20"/>
        <v>9.8810923920785054E-2</v>
      </c>
      <c r="Y97" s="115">
        <f t="shared" si="21"/>
        <v>0.3336997767317223</v>
      </c>
      <c r="Z97" s="77"/>
      <c r="AA97" s="116">
        <f t="shared" si="22"/>
        <v>-4.5</v>
      </c>
      <c r="AB97" s="115">
        <f t="shared" si="13"/>
        <v>1.2153877675641933</v>
      </c>
      <c r="AC97" s="115">
        <f t="shared" si="14"/>
        <v>0.10524162405659883</v>
      </c>
      <c r="AD97" s="77"/>
      <c r="AE97" s="235">
        <f t="shared" si="15"/>
        <v>1.75</v>
      </c>
    </row>
    <row r="98" spans="14:31" x14ac:dyDescent="0.2">
      <c r="N98" s="337">
        <v>27698</v>
      </c>
      <c r="O98" s="116">
        <f>INDEX('Additional data'!$B$2:$B$965,MATCH(DATE(YEAR(N98),MONTH(N98),1),'Additional data'!$A$2:$A$965,0))</f>
        <v>11.16</v>
      </c>
      <c r="P98" s="232">
        <f t="shared" si="16"/>
        <v>2.4123359569531648</v>
      </c>
      <c r="Q98" s="232">
        <f>Q97+LN(1+INDEX('Additional data'!$H$2:$H$1196,MATCH(N98,'Additional data'!$G$2:$G$1196,1))+INDEX('Additional data'!$I$2:$I$1196,MATCH(N98,'Additional data'!$G$2:$G$1196,1)))</f>
        <v>8.8406943265559895E-2</v>
      </c>
      <c r="R98" s="77"/>
      <c r="S98" s="116">
        <f>INDEX('Additional data'!$E$2:$E$699,MATCH(DATE(YEAR(N98),MONTH(N98),1),'Additional data'!$D$2:$D$699,0))</f>
        <v>7.95</v>
      </c>
      <c r="T98" s="115">
        <f t="shared" si="17"/>
        <v>0</v>
      </c>
      <c r="U98" s="115">
        <f t="shared" si="18"/>
        <v>5.7136191370809122E-2</v>
      </c>
      <c r="V98" s="77"/>
      <c r="W98" s="116">
        <f t="shared" si="19"/>
        <v>-0.14999999999999947</v>
      </c>
      <c r="X98" s="115">
        <f t="shared" si="20"/>
        <v>0</v>
      </c>
      <c r="Y98" s="115">
        <f t="shared" si="21"/>
        <v>0.23708536829661275</v>
      </c>
      <c r="Z98" s="77"/>
      <c r="AA98" s="116">
        <f t="shared" si="22"/>
        <v>-2.4500000000000002</v>
      </c>
      <c r="AB98" s="115">
        <f t="shared" si="13"/>
        <v>1.2153877675641933</v>
      </c>
      <c r="AC98" s="115">
        <f t="shared" si="14"/>
        <v>0.1806436242343005</v>
      </c>
      <c r="AD98" s="77"/>
      <c r="AE98" s="235">
        <f t="shared" si="15"/>
        <v>1.5499999999999998</v>
      </c>
    </row>
    <row r="99" spans="14:31" x14ac:dyDescent="0.2">
      <c r="N99" s="337">
        <v>27728</v>
      </c>
      <c r="O99" s="116">
        <f>INDEX('Additional data'!$B$2:$B$965,MATCH(DATE(YEAR(N99),MONTH(N99),1),'Additional data'!$A$2:$A$965,0))</f>
        <v>11.16</v>
      </c>
      <c r="P99" s="232">
        <f t="shared" si="16"/>
        <v>2.4123359569531648</v>
      </c>
      <c r="Q99" s="232">
        <f>Q98+LN(1+INDEX('Additional data'!$H$2:$H$1196,MATCH(N99,'Additional data'!$G$2:$G$1196,1))+INDEX('Additional data'!$I$2:$I$1196,MATCH(N99,'Additional data'!$G$2:$G$1196,1)))</f>
        <v>0.1185481001775467</v>
      </c>
      <c r="R99" s="77"/>
      <c r="S99" s="116">
        <f>INDEX('Additional data'!$E$2:$E$699,MATCH(DATE(YEAR(N99),MONTH(N99),1),'Additional data'!$D$2:$D$699,0))</f>
        <v>8.0500000000000007</v>
      </c>
      <c r="T99" s="115">
        <f t="shared" si="17"/>
        <v>0</v>
      </c>
      <c r="U99" s="115">
        <f t="shared" si="18"/>
        <v>3.0141156911986808E-2</v>
      </c>
      <c r="V99" s="77"/>
      <c r="W99" s="116">
        <f t="shared" si="19"/>
        <v>0.10000000000000053</v>
      </c>
      <c r="X99" s="115">
        <f t="shared" si="20"/>
        <v>0</v>
      </c>
      <c r="Y99" s="115">
        <f t="shared" si="21"/>
        <v>0.30794435848715856</v>
      </c>
      <c r="Z99" s="77"/>
      <c r="AA99" s="116">
        <f t="shared" si="22"/>
        <v>-2.25</v>
      </c>
      <c r="AB99" s="115">
        <f t="shared" si="13"/>
        <v>1.2153877675641933</v>
      </c>
      <c r="AC99" s="115">
        <f t="shared" si="14"/>
        <v>0.1612330023170396</v>
      </c>
      <c r="AD99" s="77"/>
      <c r="AE99" s="235">
        <f t="shared" si="15"/>
        <v>1.8500000000000005</v>
      </c>
    </row>
    <row r="100" spans="14:31" x14ac:dyDescent="0.2">
      <c r="N100" s="337">
        <v>27759</v>
      </c>
      <c r="O100" s="116">
        <f>INDEX('Additional data'!$B$2:$B$965,MATCH(DATE(YEAR(N100),MONTH(N100),1),'Additional data'!$A$2:$A$965,0))</f>
        <v>11.16</v>
      </c>
      <c r="P100" s="232">
        <f t="shared" si="16"/>
        <v>2.4123359569531648</v>
      </c>
      <c r="Q100" s="232">
        <f>Q99+LN(1+INDEX('Additional data'!$H$2:$H$1196,MATCH(N100,'Additional data'!$G$2:$G$1196,1))+INDEX('Additional data'!$I$2:$I$1196,MATCH(N100,'Additional data'!$G$2:$G$1196,1)))</f>
        <v>0.10728490789883599</v>
      </c>
      <c r="R100" s="77"/>
      <c r="S100" s="116">
        <f>INDEX('Additional data'!$E$2:$E$699,MATCH(DATE(YEAR(N100),MONTH(N100),1),'Additional data'!$D$2:$D$699,0))</f>
        <v>7.7</v>
      </c>
      <c r="T100" s="115">
        <f t="shared" si="17"/>
        <v>0</v>
      </c>
      <c r="U100" s="115">
        <f t="shared" si="18"/>
        <v>-1.1263192278710712E-2</v>
      </c>
      <c r="V100" s="77"/>
      <c r="W100" s="116">
        <f t="shared" si="19"/>
        <v>-0.35000000000000053</v>
      </c>
      <c r="X100" s="115">
        <f t="shared" si="20"/>
        <v>0</v>
      </c>
      <c r="Y100" s="115">
        <f t="shared" si="21"/>
        <v>0.32446354722089948</v>
      </c>
      <c r="Z100" s="77"/>
      <c r="AA100" s="116">
        <f t="shared" si="22"/>
        <v>-2.0499999999999998</v>
      </c>
      <c r="AB100" s="115">
        <f t="shared" si="13"/>
        <v>1.1425754120892258</v>
      </c>
      <c r="AC100" s="115">
        <f t="shared" si="14"/>
        <v>9.0192606002468298E-2</v>
      </c>
      <c r="AD100" s="77"/>
      <c r="AE100" s="235">
        <f t="shared" si="15"/>
        <v>1.2000000000000002</v>
      </c>
    </row>
    <row r="101" spans="14:31" x14ac:dyDescent="0.2">
      <c r="N101" s="337">
        <v>27790</v>
      </c>
      <c r="O101" s="116">
        <f>INDEX('Additional data'!$B$2:$B$965,MATCH(DATE(YEAR(N101),MONTH(N101),1),'Additional data'!$A$2:$A$965,0))</f>
        <v>11.16</v>
      </c>
      <c r="P101" s="232">
        <f t="shared" si="16"/>
        <v>2.4123359569531648</v>
      </c>
      <c r="Q101" s="232">
        <f>Q100+LN(1+INDEX('Additional data'!$H$2:$H$1196,MATCH(N101,'Additional data'!$G$2:$G$1196,1))+INDEX('Additional data'!$I$2:$I$1196,MATCH(N101,'Additional data'!$G$2:$G$1196,1)))</f>
        <v>0.22613404173721696</v>
      </c>
      <c r="R101" s="77"/>
      <c r="S101" s="116">
        <f>INDEX('Additional data'!$E$2:$E$699,MATCH(DATE(YEAR(N101),MONTH(N101),1),'Additional data'!$D$2:$D$699,0))</f>
        <v>7.65</v>
      </c>
      <c r="T101" s="115">
        <f t="shared" si="17"/>
        <v>0</v>
      </c>
      <c r="U101" s="115">
        <f t="shared" si="18"/>
        <v>0.11884913383838097</v>
      </c>
      <c r="V101" s="77"/>
      <c r="W101" s="116">
        <f t="shared" si="19"/>
        <v>-4.9999999999999822E-2</v>
      </c>
      <c r="X101" s="115">
        <f t="shared" si="20"/>
        <v>0</v>
      </c>
      <c r="Y101" s="115">
        <f t="shared" si="21"/>
        <v>0.31009383727305767</v>
      </c>
      <c r="Z101" s="77"/>
      <c r="AA101" s="116">
        <f t="shared" si="22"/>
        <v>-1.2999999999999989</v>
      </c>
      <c r="AB101" s="115">
        <f t="shared" si="13"/>
        <v>1.1425754120892258</v>
      </c>
      <c r="AC101" s="115">
        <f t="shared" si="14"/>
        <v>0.15825357300874418</v>
      </c>
      <c r="AD101" s="77"/>
      <c r="AE101" s="235">
        <f t="shared" si="15"/>
        <v>1.0500000000000007</v>
      </c>
    </row>
    <row r="102" spans="14:31" x14ac:dyDescent="0.2">
      <c r="N102" s="337">
        <v>27819</v>
      </c>
      <c r="O102" s="116">
        <f>INDEX('Additional data'!$B$2:$B$965,MATCH(DATE(YEAR(N102),MONTH(N102),1),'Additional data'!$A$2:$A$965,0))</f>
        <v>12.03</v>
      </c>
      <c r="P102" s="232">
        <f t="shared" si="16"/>
        <v>2.4874035299865875</v>
      </c>
      <c r="Q102" s="232">
        <f>Q101+LN(1+INDEX('Additional data'!$H$2:$H$1196,MATCH(N102,'Additional data'!$G$2:$G$1196,1))+INDEX('Additional data'!$I$2:$I$1196,MATCH(N102,'Additional data'!$G$2:$G$1196,1)))</f>
        <v>0.23261300783492625</v>
      </c>
      <c r="R102" s="77"/>
      <c r="S102" s="116">
        <f>INDEX('Additional data'!$E$2:$E$699,MATCH(DATE(YEAR(N102),MONTH(N102),1),'Additional data'!$D$2:$D$699,0))</f>
        <v>8.35</v>
      </c>
      <c r="T102" s="115">
        <f t="shared" si="17"/>
        <v>7.5067573033422708E-2</v>
      </c>
      <c r="U102" s="115">
        <f t="shared" si="18"/>
        <v>6.4789660977092878E-3</v>
      </c>
      <c r="V102" s="77"/>
      <c r="W102" s="116">
        <f t="shared" si="19"/>
        <v>0.69999999999999929</v>
      </c>
      <c r="X102" s="115">
        <f t="shared" si="20"/>
        <v>7.5067573033422708E-2</v>
      </c>
      <c r="Y102" s="115">
        <f t="shared" si="21"/>
        <v>0.25839823931969474</v>
      </c>
      <c r="Z102" s="77"/>
      <c r="AA102" s="116">
        <f t="shared" si="22"/>
        <v>-0.65000000000000036</v>
      </c>
      <c r="AB102" s="115">
        <f t="shared" si="13"/>
        <v>1.2176429851226485</v>
      </c>
      <c r="AC102" s="115">
        <f t="shared" si="14"/>
        <v>0.1474821856999258</v>
      </c>
      <c r="AD102" s="77"/>
      <c r="AE102" s="235">
        <f t="shared" si="15"/>
        <v>0.75</v>
      </c>
    </row>
    <row r="103" spans="14:31" x14ac:dyDescent="0.2">
      <c r="N103" s="337">
        <v>27850</v>
      </c>
      <c r="O103" s="116">
        <f>INDEX('Additional data'!$B$2:$B$965,MATCH(DATE(YEAR(N103),MONTH(N103),1),'Additional data'!$A$2:$A$965,0))</f>
        <v>12.1</v>
      </c>
      <c r="P103" s="232">
        <f t="shared" si="16"/>
        <v>2.4932054526026954</v>
      </c>
      <c r="Q103" s="232">
        <f>Q102+LN(1+INDEX('Additional data'!$H$2:$H$1196,MATCH(N103,'Additional data'!$G$2:$G$1196,1))+INDEX('Additional data'!$I$2:$I$1196,MATCH(N103,'Additional data'!$G$2:$G$1196,1)))</f>
        <v>0.25944966178848605</v>
      </c>
      <c r="R103" s="77"/>
      <c r="S103" s="116">
        <f>INDEX('Additional data'!$E$2:$E$699,MATCH(DATE(YEAR(N103),MONTH(N103),1),'Additional data'!$D$2:$D$699,0))</f>
        <v>8.4</v>
      </c>
      <c r="T103" s="115">
        <f t="shared" si="17"/>
        <v>5.8019226161079018E-3</v>
      </c>
      <c r="U103" s="115">
        <f t="shared" si="18"/>
        <v>2.6836653953559803E-2</v>
      </c>
      <c r="V103" s="77"/>
      <c r="W103" s="116">
        <f t="shared" si="19"/>
        <v>5.0000000000000711E-2</v>
      </c>
      <c r="X103" s="115">
        <f t="shared" si="20"/>
        <v>8.0869495649530609E-2</v>
      </c>
      <c r="Y103" s="115">
        <f t="shared" si="21"/>
        <v>0.25499671021264458</v>
      </c>
      <c r="Z103" s="77"/>
      <c r="AA103" s="116">
        <f t="shared" si="22"/>
        <v>-0.34999999999999964</v>
      </c>
      <c r="AB103" s="115">
        <f t="shared" si="13"/>
        <v>1.2234449077387564</v>
      </c>
      <c r="AC103" s="115">
        <f t="shared" si="14"/>
        <v>0.13106779765917087</v>
      </c>
      <c r="AD103" s="77"/>
      <c r="AE103" s="235">
        <f t="shared" si="15"/>
        <v>0.40000000000000036</v>
      </c>
    </row>
    <row r="104" spans="14:31" x14ac:dyDescent="0.2">
      <c r="N104" s="337">
        <v>27880</v>
      </c>
      <c r="O104" s="116">
        <f>INDEX('Additional data'!$B$2:$B$965,MATCH(DATE(YEAR(N104),MONTH(N104),1),'Additional data'!$A$2:$A$965,0))</f>
        <v>12.17</v>
      </c>
      <c r="P104" s="232">
        <f t="shared" si="16"/>
        <v>2.4989739069994359</v>
      </c>
      <c r="Q104" s="232">
        <f>Q103+LN(1+INDEX('Additional data'!$H$2:$H$1196,MATCH(N104,'Additional data'!$G$2:$G$1196,1))+INDEX('Additional data'!$I$2:$I$1196,MATCH(N104,'Additional data'!$G$2:$G$1196,1)))</f>
        <v>0.24869200513552583</v>
      </c>
      <c r="R104" s="77"/>
      <c r="S104" s="116">
        <f>INDEX('Additional data'!$E$2:$E$699,MATCH(DATE(YEAR(N104),MONTH(N104),1),'Additional data'!$D$2:$D$699,0))</f>
        <v>9.61</v>
      </c>
      <c r="T104" s="115">
        <f t="shared" si="17"/>
        <v>5.7684543967404522E-3</v>
      </c>
      <c r="U104" s="115">
        <f t="shared" si="18"/>
        <v>-1.0757656652960218E-2</v>
      </c>
      <c r="V104" s="77"/>
      <c r="W104" s="116">
        <f t="shared" si="19"/>
        <v>1.2099999999999991</v>
      </c>
      <c r="X104" s="115">
        <f t="shared" si="20"/>
        <v>8.6637950046271062E-2</v>
      </c>
      <c r="Y104" s="115">
        <f t="shared" si="21"/>
        <v>0.19869223860371399</v>
      </c>
      <c r="Z104" s="77"/>
      <c r="AA104" s="116">
        <f t="shared" si="22"/>
        <v>-0.19000000000000128</v>
      </c>
      <c r="AB104" s="115">
        <f t="shared" si="13"/>
        <v>1.2292133621354968</v>
      </c>
      <c r="AC104" s="115">
        <f t="shared" si="14"/>
        <v>8.6585271604589759E-2</v>
      </c>
      <c r="AD104" s="77"/>
      <c r="AE104" s="235">
        <f t="shared" si="15"/>
        <v>1.8099999999999996</v>
      </c>
    </row>
    <row r="105" spans="14:31" x14ac:dyDescent="0.2">
      <c r="N105" s="337">
        <v>27911</v>
      </c>
      <c r="O105" s="116">
        <f>INDEX('Additional data'!$B$2:$B$965,MATCH(DATE(YEAR(N105),MONTH(N105),1),'Additional data'!$A$2:$A$965,0))</f>
        <v>12.17</v>
      </c>
      <c r="P105" s="232">
        <f t="shared" si="16"/>
        <v>2.4989739069994359</v>
      </c>
      <c r="Q105" s="232">
        <f>Q104+LN(1+INDEX('Additional data'!$H$2:$H$1196,MATCH(N105,'Additional data'!$G$2:$G$1196,1))+INDEX('Additional data'!$I$2:$I$1196,MATCH(N105,'Additional data'!$G$2:$G$1196,1)))</f>
        <v>0.23894465368064588</v>
      </c>
      <c r="R105" s="77"/>
      <c r="S105" s="116">
        <f>INDEX('Additional data'!$E$2:$E$699,MATCH(DATE(YEAR(N105),MONTH(N105),1),'Additional data'!$D$2:$D$699,0))</f>
        <v>10.24</v>
      </c>
      <c r="T105" s="115">
        <f t="shared" si="17"/>
        <v>0</v>
      </c>
      <c r="U105" s="115">
        <f t="shared" si="18"/>
        <v>-9.7473514548799545E-3</v>
      </c>
      <c r="V105" s="77"/>
      <c r="W105" s="116">
        <f t="shared" si="19"/>
        <v>0.63000000000000078</v>
      </c>
      <c r="X105" s="115">
        <f t="shared" si="20"/>
        <v>8.6637950046271062E-2</v>
      </c>
      <c r="Y105" s="115">
        <f t="shared" si="21"/>
        <v>0.13407798570799395</v>
      </c>
      <c r="Z105" s="77"/>
      <c r="AA105" s="116">
        <f t="shared" si="22"/>
        <v>1.3399999999999999</v>
      </c>
      <c r="AB105" s="115">
        <f t="shared" si="13"/>
        <v>1.2292133621354968</v>
      </c>
      <c r="AC105" s="115">
        <f t="shared" si="14"/>
        <v>0.11453978733372133</v>
      </c>
      <c r="AD105" s="77"/>
      <c r="AE105" s="235">
        <f t="shared" si="15"/>
        <v>2.4400000000000004</v>
      </c>
    </row>
    <row r="106" spans="14:31" x14ac:dyDescent="0.2">
      <c r="N106" s="337">
        <v>27941</v>
      </c>
      <c r="O106" s="116">
        <f>INDEX('Additional data'!$B$2:$B$965,MATCH(DATE(YEAR(N106),MONTH(N106),1),'Additional data'!$A$2:$A$965,0))</f>
        <v>12.17</v>
      </c>
      <c r="P106" s="232">
        <f t="shared" si="16"/>
        <v>2.4989739069994359</v>
      </c>
      <c r="Q106" s="232">
        <f>Q105+LN(1+INDEX('Additional data'!$H$2:$H$1196,MATCH(N106,'Additional data'!$G$2:$G$1196,1))+INDEX('Additional data'!$I$2:$I$1196,MATCH(N106,'Additional data'!$G$2:$G$1196,1)))</f>
        <v>0.28286584073857396</v>
      </c>
      <c r="R106" s="77"/>
      <c r="S106" s="116">
        <f>INDEX('Additional data'!$E$2:$E$699,MATCH(DATE(YEAR(N106),MONTH(N106),1),'Additional data'!$D$2:$D$699,0))</f>
        <v>10.27</v>
      </c>
      <c r="T106" s="115">
        <f t="shared" si="17"/>
        <v>0</v>
      </c>
      <c r="U106" s="115">
        <f t="shared" si="18"/>
        <v>4.3921187057928079E-2</v>
      </c>
      <c r="V106" s="77"/>
      <c r="W106" s="116">
        <f t="shared" si="19"/>
        <v>2.9999999999999361E-2</v>
      </c>
      <c r="X106" s="115">
        <f t="shared" si="20"/>
        <v>8.6637950046271062E-2</v>
      </c>
      <c r="Y106" s="115">
        <f t="shared" si="21"/>
        <v>0.12654589117700638</v>
      </c>
      <c r="Z106" s="77"/>
      <c r="AA106" s="116">
        <f t="shared" si="22"/>
        <v>1.4699999999999989</v>
      </c>
      <c r="AB106" s="115">
        <f t="shared" si="13"/>
        <v>1.2292133621354968</v>
      </c>
      <c r="AC106" s="115">
        <f t="shared" si="14"/>
        <v>0.15566488708964824</v>
      </c>
      <c r="AD106" s="77"/>
      <c r="AE106" s="235">
        <f t="shared" si="15"/>
        <v>2.1199999999999992</v>
      </c>
    </row>
    <row r="107" spans="14:31" x14ac:dyDescent="0.2">
      <c r="N107" s="337">
        <v>27972</v>
      </c>
      <c r="O107" s="116">
        <f>INDEX('Additional data'!$B$2:$B$965,MATCH(DATE(YEAR(N107),MONTH(N107),1),'Additional data'!$A$2:$A$965,0))</f>
        <v>12.17</v>
      </c>
      <c r="P107" s="232">
        <f t="shared" si="16"/>
        <v>2.4989739069994359</v>
      </c>
      <c r="Q107" s="232">
        <f>Q106+LN(1+INDEX('Additional data'!$H$2:$H$1196,MATCH(N107,'Additional data'!$G$2:$G$1196,1))+INDEX('Additional data'!$I$2:$I$1196,MATCH(N107,'Additional data'!$G$2:$G$1196,1)))</f>
        <v>0.27694836697453634</v>
      </c>
      <c r="R107" s="77"/>
      <c r="S107" s="116">
        <f>INDEX('Additional data'!$E$2:$E$699,MATCH(DATE(YEAR(N107),MONTH(N107),1),'Additional data'!$D$2:$D$699,0))</f>
        <v>9.67</v>
      </c>
      <c r="T107" s="115">
        <f t="shared" si="17"/>
        <v>0</v>
      </c>
      <c r="U107" s="115">
        <f t="shared" si="18"/>
        <v>-5.9174737640376174E-3</v>
      </c>
      <c r="V107" s="77"/>
      <c r="W107" s="116">
        <f t="shared" si="19"/>
        <v>-0.59999999999999964</v>
      </c>
      <c r="X107" s="115">
        <f t="shared" si="20"/>
        <v>8.6637950046271062E-2</v>
      </c>
      <c r="Y107" s="115">
        <f t="shared" si="21"/>
        <v>0.18378123241823741</v>
      </c>
      <c r="Z107" s="77"/>
      <c r="AA107" s="116">
        <f t="shared" si="22"/>
        <v>1.5199999999999996</v>
      </c>
      <c r="AB107" s="115">
        <f t="shared" si="13"/>
        <v>1.2292133621354968</v>
      </c>
      <c r="AC107" s="115">
        <f t="shared" si="14"/>
        <v>0.19150734757384227</v>
      </c>
      <c r="AD107" s="77"/>
      <c r="AE107" s="235">
        <f t="shared" si="15"/>
        <v>2.87</v>
      </c>
    </row>
    <row r="108" spans="14:31" x14ac:dyDescent="0.2">
      <c r="N108" s="337">
        <v>28003</v>
      </c>
      <c r="O108" s="116">
        <f>INDEX('Additional data'!$B$2:$B$965,MATCH(DATE(YEAR(N108),MONTH(N108),1),'Additional data'!$A$2:$A$965,0))</f>
        <v>12.17</v>
      </c>
      <c r="P108" s="232">
        <f t="shared" si="16"/>
        <v>2.4989739069994359</v>
      </c>
      <c r="Q108" s="232">
        <f>Q107+LN(1+INDEX('Additional data'!$H$2:$H$1196,MATCH(N108,'Additional data'!$G$2:$G$1196,1))+INDEX('Additional data'!$I$2:$I$1196,MATCH(N108,'Additional data'!$G$2:$G$1196,1)))</f>
        <v>0.27544724084826916</v>
      </c>
      <c r="R108" s="77"/>
      <c r="S108" s="116">
        <f>INDEX('Additional data'!$E$2:$E$699,MATCH(DATE(YEAR(N108),MONTH(N108),1),'Additional data'!$D$2:$D$699,0))</f>
        <v>9.36</v>
      </c>
      <c r="T108" s="115">
        <f t="shared" si="17"/>
        <v>0</v>
      </c>
      <c r="U108" s="115">
        <f t="shared" si="18"/>
        <v>-1.5011261262671827E-3</v>
      </c>
      <c r="V108" s="77"/>
      <c r="W108" s="116">
        <f t="shared" si="19"/>
        <v>-0.3100000000000005</v>
      </c>
      <c r="X108" s="115">
        <f t="shared" si="20"/>
        <v>8.6637950046271062E-2</v>
      </c>
      <c r="Y108" s="115">
        <f t="shared" si="21"/>
        <v>0.20616304675530223</v>
      </c>
      <c r="Z108" s="77"/>
      <c r="AA108" s="116">
        <f t="shared" si="22"/>
        <v>1.2099999999999991</v>
      </c>
      <c r="AB108" s="115">
        <f t="shared" si="13"/>
        <v>1.2292133621354968</v>
      </c>
      <c r="AC108" s="115">
        <f t="shared" si="14"/>
        <v>0.14828862809570661</v>
      </c>
      <c r="AD108" s="77"/>
      <c r="AE108" s="235">
        <f t="shared" si="15"/>
        <v>2.6599999999999993</v>
      </c>
    </row>
    <row r="109" spans="14:31" x14ac:dyDescent="0.2">
      <c r="N109" s="337">
        <v>28033</v>
      </c>
      <c r="O109" s="116">
        <f>INDEX('Additional data'!$B$2:$B$965,MATCH(DATE(YEAR(N109),MONTH(N109),1),'Additional data'!$A$2:$A$965,0))</f>
        <v>13.9</v>
      </c>
      <c r="P109" s="232">
        <f t="shared" si="16"/>
        <v>2.631888840136646</v>
      </c>
      <c r="Q109" s="232">
        <f>Q108+LN(1+INDEX('Additional data'!$H$2:$H$1196,MATCH(N109,'Additional data'!$G$2:$G$1196,1))+INDEX('Additional data'!$I$2:$I$1196,MATCH(N109,'Additional data'!$G$2:$G$1196,1)))</f>
        <v>0.30013985343864058</v>
      </c>
      <c r="R109" s="77"/>
      <c r="S109" s="116">
        <f>INDEX('Additional data'!$E$2:$E$699,MATCH(DATE(YEAR(N109),MONTH(N109),1),'Additional data'!$D$2:$D$699,0))</f>
        <v>9.31</v>
      </c>
      <c r="T109" s="115">
        <f t="shared" si="17"/>
        <v>0.13291493313721015</v>
      </c>
      <c r="U109" s="115">
        <f t="shared" si="18"/>
        <v>2.4692612590371421E-2</v>
      </c>
      <c r="V109" s="77"/>
      <c r="W109" s="116">
        <f t="shared" si="19"/>
        <v>-4.9999999999998934E-2</v>
      </c>
      <c r="X109" s="115">
        <f t="shared" si="20"/>
        <v>0.21955288318348121</v>
      </c>
      <c r="Y109" s="115">
        <f t="shared" si="21"/>
        <v>0.26886910154388982</v>
      </c>
      <c r="Z109" s="77"/>
      <c r="AA109" s="116">
        <f t="shared" si="22"/>
        <v>1.2100000000000009</v>
      </c>
      <c r="AB109" s="115">
        <f t="shared" si="13"/>
        <v>1.362128295272707</v>
      </c>
      <c r="AC109" s="115">
        <f t="shared" si="14"/>
        <v>0.17789328504709867</v>
      </c>
      <c r="AD109" s="77"/>
      <c r="AE109" s="235">
        <f t="shared" si="15"/>
        <v>2.8600000000000003</v>
      </c>
    </row>
    <row r="110" spans="14:31" x14ac:dyDescent="0.2">
      <c r="N110" s="337">
        <v>28064</v>
      </c>
      <c r="O110" s="116">
        <f>INDEX('Additional data'!$B$2:$B$965,MATCH(DATE(YEAR(N110),MONTH(N110),1),'Additional data'!$A$2:$A$965,0))</f>
        <v>13.9</v>
      </c>
      <c r="P110" s="232">
        <f t="shared" si="16"/>
        <v>2.631888840136646</v>
      </c>
      <c r="Q110" s="232">
        <f>Q109+LN(1+INDEX('Additional data'!$H$2:$H$1196,MATCH(N110,'Additional data'!$G$2:$G$1196,1))+INDEX('Additional data'!$I$2:$I$1196,MATCH(N110,'Additional data'!$G$2:$G$1196,1)))</f>
        <v>0.27983510009827628</v>
      </c>
      <c r="R110" s="77"/>
      <c r="S110" s="116">
        <f>INDEX('Additional data'!$E$2:$E$699,MATCH(DATE(YEAR(N110),MONTH(N110),1),'Additional data'!$D$2:$D$699,0))</f>
        <v>9.06</v>
      </c>
      <c r="T110" s="115">
        <f t="shared" si="17"/>
        <v>0</v>
      </c>
      <c r="U110" s="115">
        <f t="shared" si="18"/>
        <v>-2.0304753340364301E-2</v>
      </c>
      <c r="V110" s="77"/>
      <c r="W110" s="116">
        <f t="shared" si="19"/>
        <v>-0.25</v>
      </c>
      <c r="X110" s="115">
        <f t="shared" si="20"/>
        <v>0.21955288318348121</v>
      </c>
      <c r="Y110" s="115">
        <f t="shared" si="21"/>
        <v>0.19142815683271638</v>
      </c>
      <c r="Z110" s="77"/>
      <c r="AA110" s="116">
        <f t="shared" si="22"/>
        <v>1.1100000000000003</v>
      </c>
      <c r="AB110" s="115">
        <f t="shared" si="13"/>
        <v>1.362128295272707</v>
      </c>
      <c r="AC110" s="115">
        <f t="shared" si="14"/>
        <v>0.19893149524111681</v>
      </c>
      <c r="AD110" s="77"/>
      <c r="AE110" s="235">
        <f t="shared" si="15"/>
        <v>2.7600000000000007</v>
      </c>
    </row>
    <row r="111" spans="14:31" x14ac:dyDescent="0.2">
      <c r="N111" s="337">
        <v>28094</v>
      </c>
      <c r="O111" s="116">
        <f>INDEX('Additional data'!$B$2:$B$965,MATCH(DATE(YEAR(N111),MONTH(N111),1),'Additional data'!$A$2:$A$965,0))</f>
        <v>13.9</v>
      </c>
      <c r="P111" s="232">
        <f t="shared" si="16"/>
        <v>2.631888840136646</v>
      </c>
      <c r="Q111" s="232">
        <f>Q110+LN(1+INDEX('Additional data'!$H$2:$H$1196,MATCH(N111,'Additional data'!$G$2:$G$1196,1))+INDEX('Additional data'!$I$2:$I$1196,MATCH(N111,'Additional data'!$G$2:$G$1196,1)))</f>
        <v>0.28740636559459443</v>
      </c>
      <c r="R111" s="77"/>
      <c r="S111" s="116">
        <f>INDEX('Additional data'!$E$2:$E$699,MATCH(DATE(YEAR(N111),MONTH(N111),1),'Additional data'!$D$2:$D$699,0))</f>
        <v>9.52</v>
      </c>
      <c r="T111" s="115">
        <f t="shared" si="17"/>
        <v>0</v>
      </c>
      <c r="U111" s="115">
        <f t="shared" si="18"/>
        <v>7.5712654963181469E-3</v>
      </c>
      <c r="V111" s="77"/>
      <c r="W111" s="116">
        <f t="shared" si="19"/>
        <v>0.45999999999999908</v>
      </c>
      <c r="X111" s="115">
        <f t="shared" si="20"/>
        <v>0.21955288318348121</v>
      </c>
      <c r="Y111" s="115">
        <f t="shared" si="21"/>
        <v>0.16885826541704774</v>
      </c>
      <c r="Z111" s="77"/>
      <c r="AA111" s="116">
        <f t="shared" si="22"/>
        <v>1.4699999999999989</v>
      </c>
      <c r="AB111" s="115">
        <f t="shared" si="13"/>
        <v>1.362128295272707</v>
      </c>
      <c r="AC111" s="115">
        <f t="shared" si="14"/>
        <v>0.2074031659805991</v>
      </c>
      <c r="AD111" s="77"/>
      <c r="AE111" s="235">
        <f t="shared" si="15"/>
        <v>3.5199999999999996</v>
      </c>
    </row>
    <row r="112" spans="14:31" x14ac:dyDescent="0.2">
      <c r="N112" s="337">
        <v>28125</v>
      </c>
      <c r="O112" s="116">
        <f>INDEX('Additional data'!$B$2:$B$965,MATCH(DATE(YEAR(N112),MONTH(N112),1),'Additional data'!$A$2:$A$965,0))</f>
        <v>13.9</v>
      </c>
      <c r="P112" s="232">
        <f t="shared" si="16"/>
        <v>2.631888840136646</v>
      </c>
      <c r="Q112" s="232">
        <f>Q111+LN(1+INDEX('Additional data'!$H$2:$H$1196,MATCH(N112,'Additional data'!$G$2:$G$1196,1))+INDEX('Additional data'!$I$2:$I$1196,MATCH(N112,'Additional data'!$G$2:$G$1196,1)))</f>
        <v>0.34614686061719452</v>
      </c>
      <c r="R112" s="77"/>
      <c r="S112" s="116">
        <f>INDEX('Additional data'!$E$2:$E$699,MATCH(DATE(YEAR(N112),MONTH(N112),1),'Additional data'!$D$2:$D$699,0))</f>
        <v>9.44</v>
      </c>
      <c r="T112" s="115">
        <f t="shared" si="17"/>
        <v>0</v>
      </c>
      <c r="U112" s="115">
        <f t="shared" si="18"/>
        <v>5.8740495022600092E-2</v>
      </c>
      <c r="V112" s="77"/>
      <c r="W112" s="116">
        <f t="shared" si="19"/>
        <v>-8.0000000000000071E-2</v>
      </c>
      <c r="X112" s="115">
        <f t="shared" si="20"/>
        <v>0.21955288318348121</v>
      </c>
      <c r="Y112" s="115">
        <f t="shared" si="21"/>
        <v>0.23886195271835853</v>
      </c>
      <c r="Z112" s="77"/>
      <c r="AA112" s="116">
        <f t="shared" si="22"/>
        <v>1.7399999999999993</v>
      </c>
      <c r="AB112" s="115">
        <f t="shared" si="13"/>
        <v>1.362128295272707</v>
      </c>
      <c r="AC112" s="115">
        <f t="shared" si="14"/>
        <v>0.17923228901390281</v>
      </c>
      <c r="AD112" s="77"/>
      <c r="AE112" s="235">
        <f t="shared" si="15"/>
        <v>3.5399999999999991</v>
      </c>
    </row>
    <row r="113" spans="14:31" x14ac:dyDescent="0.2">
      <c r="N113" s="337">
        <v>28156</v>
      </c>
      <c r="O113" s="116">
        <f>INDEX('Additional data'!$B$2:$B$965,MATCH(DATE(YEAR(N113),MONTH(N113),1),'Additional data'!$A$2:$A$965,0))</f>
        <v>13.9</v>
      </c>
      <c r="P113" s="232">
        <f t="shared" si="16"/>
        <v>2.631888840136646</v>
      </c>
      <c r="Q113" s="232">
        <f>Q112+LN(1+INDEX('Additional data'!$H$2:$H$1196,MATCH(N113,'Additional data'!$G$2:$G$1196,1))+INDEX('Additional data'!$I$2:$I$1196,MATCH(N113,'Additional data'!$G$2:$G$1196,1)))</f>
        <v>0.30875647139863543</v>
      </c>
      <c r="R113" s="77"/>
      <c r="S113" s="116">
        <f>INDEX('Additional data'!$E$2:$E$699,MATCH(DATE(YEAR(N113),MONTH(N113),1),'Additional data'!$D$2:$D$699,0))</f>
        <v>8.93</v>
      </c>
      <c r="T113" s="115">
        <f t="shared" si="17"/>
        <v>0</v>
      </c>
      <c r="U113" s="115">
        <f t="shared" si="18"/>
        <v>-3.7390389218559084E-2</v>
      </c>
      <c r="V113" s="77"/>
      <c r="W113" s="116">
        <f t="shared" si="19"/>
        <v>-0.50999999999999979</v>
      </c>
      <c r="X113" s="115">
        <f t="shared" si="20"/>
        <v>0.21955288318348121</v>
      </c>
      <c r="Y113" s="115">
        <f t="shared" si="21"/>
        <v>8.2622429661418473E-2</v>
      </c>
      <c r="Z113" s="77"/>
      <c r="AA113" s="116">
        <f t="shared" si="22"/>
        <v>1.2799999999999994</v>
      </c>
      <c r="AB113" s="115">
        <f t="shared" si="13"/>
        <v>1.362128295272707</v>
      </c>
      <c r="AC113" s="115">
        <f t="shared" si="14"/>
        <v>0.11461591354175241</v>
      </c>
      <c r="AD113" s="77"/>
      <c r="AE113" s="235">
        <f t="shared" si="15"/>
        <v>3.33</v>
      </c>
    </row>
    <row r="114" spans="14:31" x14ac:dyDescent="0.2">
      <c r="N114" s="337">
        <v>28184</v>
      </c>
      <c r="O114" s="116">
        <f>INDEX('Additional data'!$B$2:$B$965,MATCH(DATE(YEAR(N114),MONTH(N114),1),'Additional data'!$A$2:$A$965,0))</f>
        <v>13.9</v>
      </c>
      <c r="P114" s="232">
        <f t="shared" si="16"/>
        <v>2.631888840136646</v>
      </c>
      <c r="Q114" s="232">
        <f>Q113+LN(1+INDEX('Additional data'!$H$2:$H$1196,MATCH(N114,'Additional data'!$G$2:$G$1196,1))+INDEX('Additional data'!$I$2:$I$1196,MATCH(N114,'Additional data'!$G$2:$G$1196,1)))</f>
        <v>0.29272871032143821</v>
      </c>
      <c r="R114" s="77"/>
      <c r="S114" s="116">
        <f>INDEX('Additional data'!$E$2:$E$699,MATCH(DATE(YEAR(N114),MONTH(N114),1),'Additional data'!$D$2:$D$699,0))</f>
        <v>9.31</v>
      </c>
      <c r="T114" s="115">
        <f t="shared" si="17"/>
        <v>0</v>
      </c>
      <c r="U114" s="115">
        <f t="shared" si="18"/>
        <v>-1.6027761077197222E-2</v>
      </c>
      <c r="V114" s="77"/>
      <c r="W114" s="116">
        <f t="shared" si="19"/>
        <v>0.38000000000000078</v>
      </c>
      <c r="X114" s="115">
        <f t="shared" si="20"/>
        <v>0.1444853101500585</v>
      </c>
      <c r="Y114" s="115">
        <f t="shared" si="21"/>
        <v>6.0115702486511963E-2</v>
      </c>
      <c r="Z114" s="77"/>
      <c r="AA114" s="116">
        <f t="shared" si="22"/>
        <v>0.96000000000000085</v>
      </c>
      <c r="AB114" s="115">
        <f t="shared" si="13"/>
        <v>1.362128295272707</v>
      </c>
      <c r="AC114" s="115">
        <f t="shared" si="14"/>
        <v>6.7864979821714716E-2</v>
      </c>
      <c r="AD114" s="77"/>
      <c r="AE114" s="235">
        <f t="shared" si="15"/>
        <v>3.8100000000000005</v>
      </c>
    </row>
    <row r="115" spans="14:31" x14ac:dyDescent="0.2">
      <c r="N115" s="337">
        <v>28215</v>
      </c>
      <c r="O115" s="116">
        <f>INDEX('Additional data'!$B$2:$B$965,MATCH(DATE(YEAR(N115),MONTH(N115),1),'Additional data'!$A$2:$A$965,0))</f>
        <v>13.9</v>
      </c>
      <c r="P115" s="232">
        <f t="shared" si="16"/>
        <v>2.631888840136646</v>
      </c>
      <c r="Q115" s="232">
        <f>Q114+LN(1+INDEX('Additional data'!$H$2:$H$1196,MATCH(N115,'Additional data'!$G$2:$G$1196,1))+INDEX('Additional data'!$I$2:$I$1196,MATCH(N115,'Additional data'!$G$2:$G$1196,1)))</f>
        <v>0.28298135886655823</v>
      </c>
      <c r="R115" s="77"/>
      <c r="S115" s="116">
        <f>INDEX('Additional data'!$E$2:$E$699,MATCH(DATE(YEAR(N115),MONTH(N115),1),'Additional data'!$D$2:$D$699,0))</f>
        <v>9.73</v>
      </c>
      <c r="T115" s="115">
        <f t="shared" si="17"/>
        <v>0</v>
      </c>
      <c r="U115" s="115">
        <f t="shared" si="18"/>
        <v>-9.7473514548799822E-3</v>
      </c>
      <c r="V115" s="77"/>
      <c r="W115" s="116">
        <f t="shared" si="19"/>
        <v>0.41999999999999993</v>
      </c>
      <c r="X115" s="115">
        <f t="shared" si="20"/>
        <v>0.1386833875339506</v>
      </c>
      <c r="Y115" s="115">
        <f t="shared" si="21"/>
        <v>2.3531697078072178E-2</v>
      </c>
      <c r="Z115" s="77"/>
      <c r="AA115" s="116">
        <f t="shared" si="22"/>
        <v>1.33</v>
      </c>
      <c r="AB115" s="115">
        <f t="shared" si="13"/>
        <v>1.362128295272707</v>
      </c>
      <c r="AC115" s="115">
        <f t="shared" si="14"/>
        <v>4.9256999934638279E-2</v>
      </c>
      <c r="AD115" s="77"/>
      <c r="AE115" s="235">
        <f t="shared" si="15"/>
        <v>4.2300000000000004</v>
      </c>
    </row>
    <row r="116" spans="14:31" x14ac:dyDescent="0.2">
      <c r="N116" s="337">
        <v>28245</v>
      </c>
      <c r="O116" s="116">
        <f>INDEX('Additional data'!$B$2:$B$965,MATCH(DATE(YEAR(N116),MONTH(N116),1),'Additional data'!$A$2:$A$965,0))</f>
        <v>13.9</v>
      </c>
      <c r="P116" s="232">
        <f t="shared" si="16"/>
        <v>2.631888840136646</v>
      </c>
      <c r="Q116" s="232">
        <f>Q115+LN(1+INDEX('Additional data'!$H$2:$H$1196,MATCH(N116,'Additional data'!$G$2:$G$1196,1))+INDEX('Additional data'!$I$2:$I$1196,MATCH(N116,'Additional data'!$G$2:$G$1196,1)))</f>
        <v>0.28826736329579566</v>
      </c>
      <c r="R116" s="77"/>
      <c r="S116" s="116">
        <f>INDEX('Additional data'!$E$2:$E$699,MATCH(DATE(YEAR(N116),MONTH(N116),1),'Additional data'!$D$2:$D$699,0))</f>
        <v>10.86</v>
      </c>
      <c r="T116" s="115">
        <f t="shared" si="17"/>
        <v>0</v>
      </c>
      <c r="U116" s="115">
        <f t="shared" si="18"/>
        <v>5.2860044292374342E-3</v>
      </c>
      <c r="V116" s="77"/>
      <c r="W116" s="116">
        <f t="shared" si="19"/>
        <v>1.129999999999999</v>
      </c>
      <c r="X116" s="115">
        <f t="shared" si="20"/>
        <v>0.13291493313721015</v>
      </c>
      <c r="Y116" s="115">
        <f t="shared" si="21"/>
        <v>3.957535816026983E-2</v>
      </c>
      <c r="Z116" s="77"/>
      <c r="AA116" s="116">
        <f t="shared" si="22"/>
        <v>1.25</v>
      </c>
      <c r="AB116" s="115">
        <f t="shared" si="13"/>
        <v>1.362128295272707</v>
      </c>
      <c r="AC116" s="115">
        <f t="shared" si="14"/>
        <v>4.8759759608148573E-2</v>
      </c>
      <c r="AD116" s="77"/>
      <c r="AE116" s="235">
        <f t="shared" si="15"/>
        <v>5.3599999999999994</v>
      </c>
    </row>
    <row r="117" spans="14:31" x14ac:dyDescent="0.2">
      <c r="N117" s="337">
        <v>28276</v>
      </c>
      <c r="O117" s="116">
        <f>INDEX('Additional data'!$B$2:$B$965,MATCH(DATE(YEAR(N117),MONTH(N117),1),'Additional data'!$A$2:$A$965,0))</f>
        <v>13.9</v>
      </c>
      <c r="P117" s="232">
        <f t="shared" si="16"/>
        <v>2.631888840136646</v>
      </c>
      <c r="Q117" s="232">
        <f>Q116+LN(1+INDEX('Additional data'!$H$2:$H$1196,MATCH(N117,'Additional data'!$G$2:$G$1196,1))+INDEX('Additional data'!$I$2:$I$1196,MATCH(N117,'Additional data'!$G$2:$G$1196,1)))</f>
        <v>0.27720641593637074</v>
      </c>
      <c r="R117" s="77"/>
      <c r="S117" s="116">
        <f>INDEX('Additional data'!$E$2:$E$699,MATCH(DATE(YEAR(N117),MONTH(N117),1),'Additional data'!$D$2:$D$699,0))</f>
        <v>10.94</v>
      </c>
      <c r="T117" s="115">
        <f t="shared" si="17"/>
        <v>0</v>
      </c>
      <c r="U117" s="115">
        <f t="shared" si="18"/>
        <v>-1.1060947359424922E-2</v>
      </c>
      <c r="V117" s="77"/>
      <c r="W117" s="116">
        <f t="shared" si="19"/>
        <v>8.0000000000000071E-2</v>
      </c>
      <c r="X117" s="115">
        <f t="shared" si="20"/>
        <v>0.13291493313721015</v>
      </c>
      <c r="Y117" s="115">
        <f t="shared" si="21"/>
        <v>3.8261762255724863E-2</v>
      </c>
      <c r="Z117" s="77"/>
      <c r="AA117" s="116">
        <f t="shared" si="22"/>
        <v>0.69999999999999929</v>
      </c>
      <c r="AB117" s="115">
        <f t="shared" si="13"/>
        <v>1.362128295272707</v>
      </c>
      <c r="AC117" s="115">
        <f t="shared" si="14"/>
        <v>2.1923893133361627E-2</v>
      </c>
      <c r="AD117" s="77"/>
      <c r="AE117" s="235">
        <f t="shared" si="15"/>
        <v>5.34</v>
      </c>
    </row>
    <row r="118" spans="14:31" x14ac:dyDescent="0.2">
      <c r="N118" s="337">
        <v>28306</v>
      </c>
      <c r="O118" s="116">
        <f>INDEX('Additional data'!$B$2:$B$965,MATCH(DATE(YEAR(N118),MONTH(N118),1),'Additional data'!$A$2:$A$965,0))</f>
        <v>13.9</v>
      </c>
      <c r="P118" s="232">
        <f t="shared" si="16"/>
        <v>2.631888840136646</v>
      </c>
      <c r="Q118" s="232">
        <f>Q117+LN(1+INDEX('Additional data'!$H$2:$H$1196,MATCH(N118,'Additional data'!$G$2:$G$1196,1))+INDEX('Additional data'!$I$2:$I$1196,MATCH(N118,'Additional data'!$G$2:$G$1196,1)))</f>
        <v>0.32713878468457969</v>
      </c>
      <c r="R118" s="77"/>
      <c r="S118" s="116">
        <f>INDEX('Additional data'!$E$2:$E$699,MATCH(DATE(YEAR(N118),MONTH(N118),1),'Additional data'!$D$2:$D$699,0))</f>
        <v>10.95</v>
      </c>
      <c r="T118" s="115">
        <f t="shared" si="17"/>
        <v>0</v>
      </c>
      <c r="U118" s="115">
        <f t="shared" si="18"/>
        <v>4.9932368748208944E-2</v>
      </c>
      <c r="V118" s="77"/>
      <c r="W118" s="116">
        <f t="shared" si="19"/>
        <v>9.9999999999997868E-3</v>
      </c>
      <c r="X118" s="115">
        <f t="shared" si="20"/>
        <v>0.13291493313721015</v>
      </c>
      <c r="Y118" s="115">
        <f t="shared" si="21"/>
        <v>4.4272943946005727E-2</v>
      </c>
      <c r="Z118" s="77"/>
      <c r="AA118" s="116">
        <f t="shared" si="22"/>
        <v>0.67999999999999972</v>
      </c>
      <c r="AB118" s="115">
        <f t="shared" si="13"/>
        <v>1.362128295272707</v>
      </c>
      <c r="AC118" s="115">
        <f t="shared" si="14"/>
        <v>9.3488562008684412E-2</v>
      </c>
      <c r="AD118" s="77"/>
      <c r="AE118" s="235">
        <f t="shared" si="15"/>
        <v>5.1999999999999993</v>
      </c>
    </row>
    <row r="119" spans="14:31" x14ac:dyDescent="0.2">
      <c r="N119" s="337">
        <v>28337</v>
      </c>
      <c r="O119" s="116">
        <f>INDEX('Additional data'!$B$2:$B$965,MATCH(DATE(YEAR(N119),MONTH(N119),1),'Additional data'!$A$2:$A$965,0))</f>
        <v>13.9</v>
      </c>
      <c r="P119" s="232">
        <f t="shared" si="16"/>
        <v>2.631888840136646</v>
      </c>
      <c r="Q119" s="232">
        <f>Q118+LN(1+INDEX('Additional data'!$H$2:$H$1196,MATCH(N119,'Additional data'!$G$2:$G$1196,1))+INDEX('Additional data'!$I$2:$I$1196,MATCH(N119,'Additional data'!$G$2:$G$1196,1)))</f>
        <v>0.31435745031984652</v>
      </c>
      <c r="R119" s="77"/>
      <c r="S119" s="116">
        <f>INDEX('Additional data'!$E$2:$E$699,MATCH(DATE(YEAR(N119),MONTH(N119),1),'Additional data'!$D$2:$D$699,0))</f>
        <v>10.72</v>
      </c>
      <c r="T119" s="115">
        <f t="shared" si="17"/>
        <v>0</v>
      </c>
      <c r="U119" s="115">
        <f t="shared" si="18"/>
        <v>-1.2781334364733166E-2</v>
      </c>
      <c r="V119" s="77"/>
      <c r="W119" s="116">
        <f t="shared" si="19"/>
        <v>-0.22999999999999865</v>
      </c>
      <c r="X119" s="115">
        <f t="shared" si="20"/>
        <v>0.13291493313721015</v>
      </c>
      <c r="Y119" s="115">
        <f t="shared" si="21"/>
        <v>3.7409083345310179E-2</v>
      </c>
      <c r="Z119" s="77"/>
      <c r="AA119" s="116">
        <f t="shared" si="22"/>
        <v>1.0500000000000007</v>
      </c>
      <c r="AB119" s="115">
        <f t="shared" si="13"/>
        <v>1.362128295272707</v>
      </c>
      <c r="AC119" s="115">
        <f t="shared" si="14"/>
        <v>8.561927200497188E-2</v>
      </c>
      <c r="AD119" s="77"/>
      <c r="AE119" s="235">
        <f t="shared" si="15"/>
        <v>6.120000000000001</v>
      </c>
    </row>
    <row r="120" spans="14:31" x14ac:dyDescent="0.2">
      <c r="N120" s="337">
        <v>28368</v>
      </c>
      <c r="O120" s="116">
        <f>INDEX('Additional data'!$B$2:$B$965,MATCH(DATE(YEAR(N120),MONTH(N120),1),'Additional data'!$A$2:$A$965,0))</f>
        <v>14.85</v>
      </c>
      <c r="P120" s="232">
        <f t="shared" si="16"/>
        <v>2.6979998652487085</v>
      </c>
      <c r="Q120" s="232">
        <f>Q119+LN(1+INDEX('Additional data'!$H$2:$H$1196,MATCH(N120,'Additional data'!$G$2:$G$1196,1))+INDEX('Additional data'!$I$2:$I$1196,MATCH(N120,'Additional data'!$G$2:$G$1196,1)))</f>
        <v>0.30106955599291113</v>
      </c>
      <c r="R120" s="77"/>
      <c r="S120" s="116">
        <f>INDEX('Additional data'!$E$2:$E$699,MATCH(DATE(YEAR(N120),MONTH(N120),1),'Additional data'!$D$2:$D$699,0))</f>
        <v>10.9</v>
      </c>
      <c r="T120" s="115">
        <f t="shared" si="17"/>
        <v>6.611102511206246E-2</v>
      </c>
      <c r="U120" s="115">
        <f t="shared" si="18"/>
        <v>-1.328789432693539E-2</v>
      </c>
      <c r="V120" s="77"/>
      <c r="W120" s="116">
        <f t="shared" si="19"/>
        <v>0.17999999999999972</v>
      </c>
      <c r="X120" s="115">
        <f t="shared" si="20"/>
        <v>0.19902595824927261</v>
      </c>
      <c r="Y120" s="115">
        <f t="shared" si="21"/>
        <v>2.5622315144641972E-2</v>
      </c>
      <c r="Z120" s="77"/>
      <c r="AA120" s="116">
        <f t="shared" si="22"/>
        <v>1.5400000000000009</v>
      </c>
      <c r="AB120" s="115">
        <f t="shared" si="13"/>
        <v>1.4282393203847694</v>
      </c>
      <c r="AC120" s="115">
        <f t="shared" si="14"/>
        <v>3.7350408782791111E-2</v>
      </c>
      <c r="AD120" s="77"/>
      <c r="AE120" s="235">
        <f t="shared" si="15"/>
        <v>6.3000000000000007</v>
      </c>
    </row>
    <row r="121" spans="14:31" x14ac:dyDescent="0.2">
      <c r="N121" s="337">
        <v>28398</v>
      </c>
      <c r="O121" s="116">
        <f>INDEX('Additional data'!$B$2:$B$965,MATCH(DATE(YEAR(N121),MONTH(N121),1),'Additional data'!$A$2:$A$965,0))</f>
        <v>14.85</v>
      </c>
      <c r="P121" s="232">
        <f t="shared" si="16"/>
        <v>2.6979998652487085</v>
      </c>
      <c r="Q121" s="232">
        <f>Q120+LN(1+INDEX('Additional data'!$H$2:$H$1196,MATCH(N121,'Additional data'!$G$2:$G$1196,1))+INDEX('Additional data'!$I$2:$I$1196,MATCH(N121,'Additional data'!$G$2:$G$1196,1)))</f>
        <v>0.30266827735660823</v>
      </c>
      <c r="R121" s="77"/>
      <c r="S121" s="116">
        <f>INDEX('Additional data'!$E$2:$E$699,MATCH(DATE(YEAR(N121),MONTH(N121),1),'Additional data'!$D$2:$D$699,0))</f>
        <v>10.43</v>
      </c>
      <c r="T121" s="115">
        <f t="shared" si="17"/>
        <v>0</v>
      </c>
      <c r="U121" s="115">
        <f t="shared" si="18"/>
        <v>1.5987213636970976E-3</v>
      </c>
      <c r="V121" s="77"/>
      <c r="W121" s="116">
        <f t="shared" si="19"/>
        <v>-0.47000000000000064</v>
      </c>
      <c r="X121" s="115">
        <f t="shared" si="20"/>
        <v>6.611102511206246E-2</v>
      </c>
      <c r="Y121" s="115">
        <f t="shared" si="21"/>
        <v>2.5284239179676482E-3</v>
      </c>
      <c r="Z121" s="77"/>
      <c r="AA121" s="116">
        <f t="shared" si="22"/>
        <v>1.1199999999999992</v>
      </c>
      <c r="AB121" s="115">
        <f t="shared" si="13"/>
        <v>1.4282393203847694</v>
      </c>
      <c r="AC121" s="115">
        <f t="shared" si="14"/>
        <v>4.6981301843752488E-2</v>
      </c>
      <c r="AD121" s="77"/>
      <c r="AE121" s="235">
        <f t="shared" si="15"/>
        <v>5.93</v>
      </c>
    </row>
    <row r="122" spans="14:31" x14ac:dyDescent="0.2">
      <c r="N122" s="337">
        <v>28429</v>
      </c>
      <c r="O122" s="116">
        <f>INDEX('Additional data'!$B$2:$B$965,MATCH(DATE(YEAR(N122),MONTH(N122),1),'Additional data'!$A$2:$A$965,0))</f>
        <v>14.85</v>
      </c>
      <c r="P122" s="232">
        <f t="shared" si="16"/>
        <v>2.6979998652487085</v>
      </c>
      <c r="Q122" s="232">
        <f>Q121+LN(1+INDEX('Additional data'!$H$2:$H$1196,MATCH(N122,'Additional data'!$G$2:$G$1196,1))+INDEX('Additional data'!$I$2:$I$1196,MATCH(N122,'Additional data'!$G$2:$G$1196,1)))</f>
        <v>0.26288740734476362</v>
      </c>
      <c r="R122" s="77"/>
      <c r="S122" s="116">
        <f>INDEX('Additional data'!$E$2:$E$699,MATCH(DATE(YEAR(N122),MONTH(N122),1),'Additional data'!$D$2:$D$699,0))</f>
        <v>10.02</v>
      </c>
      <c r="T122" s="115">
        <f t="shared" si="17"/>
        <v>0</v>
      </c>
      <c r="U122" s="115">
        <f t="shared" si="18"/>
        <v>-3.9780870011844605E-2</v>
      </c>
      <c r="V122" s="77"/>
      <c r="W122" s="116">
        <f t="shared" si="19"/>
        <v>-0.41000000000000014</v>
      </c>
      <c r="X122" s="115">
        <f t="shared" si="20"/>
        <v>6.611102511206246E-2</v>
      </c>
      <c r="Y122" s="115">
        <f t="shared" si="21"/>
        <v>-1.6947692753512655E-2</v>
      </c>
      <c r="Z122" s="77"/>
      <c r="AA122" s="116">
        <f t="shared" si="22"/>
        <v>0.95999999999999908</v>
      </c>
      <c r="AB122" s="115">
        <f t="shared" si="13"/>
        <v>1.4282393203847694</v>
      </c>
      <c r="AC122" s="115">
        <f t="shared" si="14"/>
        <v>-1.9575059528578187E-3</v>
      </c>
      <c r="AD122" s="77"/>
      <c r="AE122" s="235">
        <f t="shared" si="15"/>
        <v>5.72</v>
      </c>
    </row>
    <row r="123" spans="14:31" x14ac:dyDescent="0.2">
      <c r="N123" s="337">
        <v>28459</v>
      </c>
      <c r="O123" s="116">
        <f>INDEX('Additional data'!$B$2:$B$965,MATCH(DATE(YEAR(N123),MONTH(N123),1),'Additional data'!$A$2:$A$965,0))</f>
        <v>14.85</v>
      </c>
      <c r="P123" s="232">
        <f t="shared" si="16"/>
        <v>2.6979998652487085</v>
      </c>
      <c r="Q123" s="232">
        <f>Q122+LN(1+INDEX('Additional data'!$H$2:$H$1196,MATCH(N123,'Additional data'!$G$2:$G$1196,1))+INDEX('Additional data'!$I$2:$I$1196,MATCH(N123,'Additional data'!$G$2:$G$1196,1)))</f>
        <v>0.30690429276153786</v>
      </c>
      <c r="R123" s="77"/>
      <c r="S123" s="116">
        <f>INDEX('Additional data'!$E$2:$E$699,MATCH(DATE(YEAR(N123),MONTH(N123),1),'Additional data'!$D$2:$D$699,0))</f>
        <v>10.01</v>
      </c>
      <c r="T123" s="115">
        <f t="shared" si="17"/>
        <v>0</v>
      </c>
      <c r="U123" s="115">
        <f t="shared" si="18"/>
        <v>4.4016885416774232E-2</v>
      </c>
      <c r="V123" s="77"/>
      <c r="W123" s="116">
        <f t="shared" si="19"/>
        <v>-9.9999999999997868E-3</v>
      </c>
      <c r="X123" s="115">
        <f t="shared" si="20"/>
        <v>6.611102511206246E-2</v>
      </c>
      <c r="Y123" s="115">
        <f t="shared" si="21"/>
        <v>1.949792716694343E-2</v>
      </c>
      <c r="Z123" s="77"/>
      <c r="AA123" s="116">
        <f t="shared" si="22"/>
        <v>0.49000000000000021</v>
      </c>
      <c r="AB123" s="115">
        <f t="shared" si="13"/>
        <v>1.4282393203847694</v>
      </c>
      <c r="AC123" s="115">
        <f t="shared" si="14"/>
        <v>-6.4450295956986481E-3</v>
      </c>
      <c r="AD123" s="77"/>
      <c r="AE123" s="235">
        <f t="shared" si="15"/>
        <v>4.91</v>
      </c>
    </row>
    <row r="124" spans="14:31" x14ac:dyDescent="0.2">
      <c r="N124" s="337">
        <v>28490</v>
      </c>
      <c r="O124" s="116">
        <f>INDEX('Additional data'!$B$2:$B$965,MATCH(DATE(YEAR(N124),MONTH(N124),1),'Additional data'!$A$2:$A$965,0))</f>
        <v>14.85</v>
      </c>
      <c r="P124" s="232">
        <f t="shared" si="16"/>
        <v>2.6979998652487085</v>
      </c>
      <c r="Q124" s="232">
        <f>Q123+LN(1+INDEX('Additional data'!$H$2:$H$1196,MATCH(N124,'Additional data'!$G$2:$G$1196,1))+INDEX('Additional data'!$I$2:$I$1196,MATCH(N124,'Additional data'!$G$2:$G$1196,1)))</f>
        <v>0.31447555825785578</v>
      </c>
      <c r="R124" s="77"/>
      <c r="S124" s="116">
        <f>INDEX('Additional data'!$E$2:$E$699,MATCH(DATE(YEAR(N124),MONTH(N124),1),'Additional data'!$D$2:$D$699,0))</f>
        <v>9.75</v>
      </c>
      <c r="T124" s="115">
        <f t="shared" si="17"/>
        <v>0</v>
      </c>
      <c r="U124" s="115">
        <f t="shared" si="18"/>
        <v>7.5712654963179249E-3</v>
      </c>
      <c r="V124" s="77"/>
      <c r="W124" s="116">
        <f t="shared" si="19"/>
        <v>-0.25999999999999979</v>
      </c>
      <c r="X124" s="115">
        <f t="shared" si="20"/>
        <v>6.611102511206246E-2</v>
      </c>
      <c r="Y124" s="115">
        <f t="shared" si="21"/>
        <v>-3.1671302359338738E-2</v>
      </c>
      <c r="Z124" s="77"/>
      <c r="AA124" s="116">
        <f t="shared" si="22"/>
        <v>0.3100000000000005</v>
      </c>
      <c r="AB124" s="115">
        <f t="shared" si="13"/>
        <v>1.4282393203847694</v>
      </c>
      <c r="AC124" s="115">
        <f t="shared" si="14"/>
        <v>-8.7250801497549269E-3</v>
      </c>
      <c r="AD124" s="77"/>
      <c r="AE124" s="235">
        <f t="shared" si="15"/>
        <v>5.3</v>
      </c>
    </row>
    <row r="125" spans="14:31" x14ac:dyDescent="0.2">
      <c r="N125" s="337">
        <v>28521</v>
      </c>
      <c r="O125" s="116">
        <f>INDEX('Additional data'!$B$2:$B$965,MATCH(DATE(YEAR(N125),MONTH(N125),1),'Additional data'!$A$2:$A$965,0))</f>
        <v>14.85</v>
      </c>
      <c r="P125" s="232">
        <f t="shared" si="16"/>
        <v>2.6979998652487085</v>
      </c>
      <c r="Q125" s="232">
        <f>Q124+LN(1+INDEX('Additional data'!$H$2:$H$1196,MATCH(N125,'Additional data'!$G$2:$G$1196,1))+INDEX('Additional data'!$I$2:$I$1196,MATCH(N125,'Additional data'!$G$2:$G$1196,1)))</f>
        <v>0.25779938106429889</v>
      </c>
      <c r="R125" s="77"/>
      <c r="S125" s="116">
        <f>INDEX('Additional data'!$E$2:$E$699,MATCH(DATE(YEAR(N125),MONTH(N125),1),'Additional data'!$D$2:$D$699,0))</f>
        <v>9.49</v>
      </c>
      <c r="T125" s="115">
        <f t="shared" si="17"/>
        <v>0</v>
      </c>
      <c r="U125" s="115">
        <f t="shared" si="18"/>
        <v>-5.6676177193556887E-2</v>
      </c>
      <c r="V125" s="77"/>
      <c r="W125" s="116">
        <f t="shared" si="19"/>
        <v>-0.25999999999999979</v>
      </c>
      <c r="X125" s="115">
        <f t="shared" si="20"/>
        <v>6.611102511206246E-2</v>
      </c>
      <c r="Y125" s="115">
        <f t="shared" si="21"/>
        <v>-5.0957090334336541E-2</v>
      </c>
      <c r="Z125" s="77"/>
      <c r="AA125" s="116">
        <f t="shared" si="22"/>
        <v>0.5600000000000005</v>
      </c>
      <c r="AB125" s="115">
        <f t="shared" si="13"/>
        <v>1.4282393203847694</v>
      </c>
      <c r="AC125" s="115">
        <f t="shared" si="14"/>
        <v>-3.669309320656805E-2</v>
      </c>
      <c r="AD125" s="77"/>
      <c r="AE125" s="235">
        <f t="shared" si="15"/>
        <v>4.79</v>
      </c>
    </row>
    <row r="126" spans="14:31" x14ac:dyDescent="0.2">
      <c r="N126" s="337">
        <v>28549</v>
      </c>
      <c r="O126" s="116">
        <f>INDEX('Additional data'!$B$2:$B$965,MATCH(DATE(YEAR(N126),MONTH(N126),1),'Additional data'!$A$2:$A$965,0))</f>
        <v>14.85</v>
      </c>
      <c r="P126" s="232">
        <f t="shared" si="16"/>
        <v>2.6979998652487085</v>
      </c>
      <c r="Q126" s="232">
        <f>Q125+LN(1+INDEX('Additional data'!$H$2:$H$1196,MATCH(N126,'Additional data'!$G$2:$G$1196,1))+INDEX('Additional data'!$I$2:$I$1196,MATCH(N126,'Additional data'!$G$2:$G$1196,1)))</f>
        <v>0.24845586606114642</v>
      </c>
      <c r="R126" s="77"/>
      <c r="S126" s="116">
        <f>INDEX('Additional data'!$E$2:$E$699,MATCH(DATE(YEAR(N126),MONTH(N126),1),'Additional data'!$D$2:$D$699,0))</f>
        <v>9.5500000000000007</v>
      </c>
      <c r="T126" s="115">
        <f t="shared" si="17"/>
        <v>0</v>
      </c>
      <c r="U126" s="115">
        <f t="shared" si="18"/>
        <v>-9.343515003152475E-3</v>
      </c>
      <c r="V126" s="77"/>
      <c r="W126" s="116">
        <f t="shared" si="19"/>
        <v>6.0000000000000497E-2</v>
      </c>
      <c r="X126" s="115">
        <f t="shared" si="20"/>
        <v>6.611102511206246E-2</v>
      </c>
      <c r="Y126" s="115">
        <f t="shared" si="21"/>
        <v>-4.4272844260291794E-2</v>
      </c>
      <c r="Z126" s="77"/>
      <c r="AA126" s="116">
        <f t="shared" si="22"/>
        <v>0.24000000000000021</v>
      </c>
      <c r="AB126" s="115">
        <f t="shared" si="13"/>
        <v>1.4282393203847694</v>
      </c>
      <c r="AC126" s="115">
        <f t="shared" si="14"/>
        <v>-7.2538549971745692E-4</v>
      </c>
      <c r="AD126" s="77"/>
      <c r="AE126" s="235">
        <f t="shared" si="15"/>
        <v>4.7500000000000009</v>
      </c>
    </row>
    <row r="127" spans="14:31" x14ac:dyDescent="0.2">
      <c r="N127" s="337">
        <v>28580</v>
      </c>
      <c r="O127" s="116">
        <f>INDEX('Additional data'!$B$2:$B$965,MATCH(DATE(YEAR(N127),MONTH(N127),1),'Additional data'!$A$2:$A$965,0))</f>
        <v>14.85</v>
      </c>
      <c r="P127" s="232">
        <f t="shared" si="16"/>
        <v>2.6979998652487085</v>
      </c>
      <c r="Q127" s="232">
        <f>Q126+LN(1+INDEX('Additional data'!$H$2:$H$1196,MATCH(N127,'Additional data'!$G$2:$G$1196,1))+INDEX('Additional data'!$I$2:$I$1196,MATCH(N127,'Additional data'!$G$2:$G$1196,1)))</f>
        <v>0.28169719984094838</v>
      </c>
      <c r="R127" s="77"/>
      <c r="S127" s="116">
        <f>INDEX('Additional data'!$E$2:$E$699,MATCH(DATE(YEAR(N127),MONTH(N127),1),'Additional data'!$D$2:$D$699,0))</f>
        <v>10.039999999999999</v>
      </c>
      <c r="T127" s="115">
        <f t="shared" si="17"/>
        <v>0</v>
      </c>
      <c r="U127" s="115">
        <f t="shared" si="18"/>
        <v>3.3241333779801957E-2</v>
      </c>
      <c r="V127" s="77"/>
      <c r="W127" s="116">
        <f t="shared" si="19"/>
        <v>0.48999999999999844</v>
      </c>
      <c r="X127" s="115">
        <f t="shared" si="20"/>
        <v>6.611102511206246E-2</v>
      </c>
      <c r="Y127" s="115">
        <f t="shared" si="21"/>
        <v>-1.2841590256098545E-3</v>
      </c>
      <c r="Z127" s="77"/>
      <c r="AA127" s="116">
        <f t="shared" si="22"/>
        <v>0.30999999999999872</v>
      </c>
      <c r="AB127" s="115">
        <f t="shared" si="13"/>
        <v>1.4282393203847694</v>
      </c>
      <c r="AC127" s="115">
        <f t="shared" si="14"/>
        <v>4.0951427101186072E-2</v>
      </c>
      <c r="AD127" s="77"/>
      <c r="AE127" s="235">
        <f t="shared" si="15"/>
        <v>4.589999999999999</v>
      </c>
    </row>
    <row r="128" spans="14:31" x14ac:dyDescent="0.2">
      <c r="N128" s="337">
        <v>28610</v>
      </c>
      <c r="O128" s="116">
        <f>INDEX('Additional data'!$B$2:$B$965,MATCH(DATE(YEAR(N128),MONTH(N128),1),'Additional data'!$A$2:$A$965,0))</f>
        <v>14.85</v>
      </c>
      <c r="P128" s="232">
        <f t="shared" si="16"/>
        <v>2.6979998652487085</v>
      </c>
      <c r="Q128" s="232">
        <f>Q127+LN(1+INDEX('Additional data'!$H$2:$H$1196,MATCH(N128,'Additional data'!$G$2:$G$1196,1))+INDEX('Additional data'!$I$2:$I$1196,MATCH(N128,'Additional data'!$G$2:$G$1196,1)))</f>
        <v>0.36244734952605745</v>
      </c>
      <c r="R128" s="77"/>
      <c r="S128" s="116">
        <f>INDEX('Additional data'!$E$2:$E$699,MATCH(DATE(YEAR(N128),MONTH(N128),1),'Additional data'!$D$2:$D$699,0))</f>
        <v>10.86</v>
      </c>
      <c r="T128" s="115">
        <f t="shared" si="17"/>
        <v>0</v>
      </c>
      <c r="U128" s="115">
        <f t="shared" si="18"/>
        <v>8.0750149685109074E-2</v>
      </c>
      <c r="V128" s="77"/>
      <c r="W128" s="116">
        <f t="shared" si="19"/>
        <v>0.82000000000000028</v>
      </c>
      <c r="X128" s="115">
        <f t="shared" si="20"/>
        <v>6.611102511206246E-2</v>
      </c>
      <c r="Y128" s="115">
        <f t="shared" si="21"/>
        <v>7.4179986230261785E-2</v>
      </c>
      <c r="Z128" s="77"/>
      <c r="AA128" s="116">
        <f t="shared" si="22"/>
        <v>0</v>
      </c>
      <c r="AB128" s="115">
        <f t="shared" si="13"/>
        <v>1.4282393203847694</v>
      </c>
      <c r="AC128" s="115">
        <f t="shared" si="14"/>
        <v>0.17468050157718176</v>
      </c>
      <c r="AD128" s="77"/>
      <c r="AE128" s="235">
        <f t="shared" si="15"/>
        <v>5.0599999999999996</v>
      </c>
    </row>
    <row r="129" spans="14:31" x14ac:dyDescent="0.2">
      <c r="N129" s="337">
        <v>28641</v>
      </c>
      <c r="O129" s="116">
        <f>INDEX('Additional data'!$B$2:$B$965,MATCH(DATE(YEAR(N129),MONTH(N129),1),'Additional data'!$A$2:$A$965,0))</f>
        <v>14.85</v>
      </c>
      <c r="P129" s="232">
        <f t="shared" si="16"/>
        <v>2.6979998652487085</v>
      </c>
      <c r="Q129" s="232">
        <f>Q128+LN(1+INDEX('Additional data'!$H$2:$H$1196,MATCH(N129,'Additional data'!$G$2:$G$1196,1))+INDEX('Additional data'!$I$2:$I$1196,MATCH(N129,'Additional data'!$G$2:$G$1196,1)))</f>
        <v>0.38489353835588769</v>
      </c>
      <c r="R129" s="77"/>
      <c r="S129" s="116">
        <f>INDEX('Additional data'!$E$2:$E$699,MATCH(DATE(YEAR(N129),MONTH(N129),1),'Additional data'!$D$2:$D$699,0))</f>
        <v>10.6</v>
      </c>
      <c r="T129" s="115">
        <f t="shared" si="17"/>
        <v>0</v>
      </c>
      <c r="U129" s="115">
        <f t="shared" si="18"/>
        <v>2.2446188829830238E-2</v>
      </c>
      <c r="V129" s="77"/>
      <c r="W129" s="116">
        <f t="shared" si="19"/>
        <v>-0.25999999999999979</v>
      </c>
      <c r="X129" s="115">
        <f t="shared" si="20"/>
        <v>6.611102511206246E-2</v>
      </c>
      <c r="Y129" s="115">
        <f t="shared" si="21"/>
        <v>0.10768712241951695</v>
      </c>
      <c r="Z129" s="77"/>
      <c r="AA129" s="116">
        <f t="shared" si="22"/>
        <v>-0.33999999999999986</v>
      </c>
      <c r="AB129" s="115">
        <f t="shared" ref="AB129:AB192" si="23">P129-P69</f>
        <v>1.4282393203847694</v>
      </c>
      <c r="AC129" s="115">
        <f t="shared" ref="AC129:AC192" si="24">Q129-Q69</f>
        <v>0.22203432611319679</v>
      </c>
      <c r="AD129" s="77"/>
      <c r="AE129" s="235">
        <f t="shared" ref="AE129:AE192" si="25">S129-S69</f>
        <v>4.1999999999999993</v>
      </c>
    </row>
    <row r="130" spans="14:31" x14ac:dyDescent="0.2">
      <c r="N130" s="337">
        <v>28671</v>
      </c>
      <c r="O130" s="116">
        <f>INDEX('Additional data'!$B$2:$B$965,MATCH(DATE(YEAR(N130),MONTH(N130),1),'Additional data'!$A$2:$A$965,0))</f>
        <v>14.85</v>
      </c>
      <c r="P130" s="232">
        <f t="shared" si="16"/>
        <v>2.6979998652487085</v>
      </c>
      <c r="Q130" s="232">
        <f>Q129+LN(1+INDEX('Additional data'!$H$2:$H$1196,MATCH(N130,'Additional data'!$G$2:$G$1196,1))+INDEX('Additional data'!$I$2:$I$1196,MATCH(N130,'Additional data'!$G$2:$G$1196,1)))</f>
        <v>0.37332690198442214</v>
      </c>
      <c r="R130" s="77"/>
      <c r="S130" s="116">
        <f>INDEX('Additional data'!$E$2:$E$699,MATCH(DATE(YEAR(N130),MONTH(N130),1),'Additional data'!$D$2:$D$699,0))</f>
        <v>10.63</v>
      </c>
      <c r="T130" s="115">
        <f t="shared" si="17"/>
        <v>0</v>
      </c>
      <c r="U130" s="115">
        <f t="shared" si="18"/>
        <v>-1.1566636371465544E-2</v>
      </c>
      <c r="V130" s="77"/>
      <c r="W130" s="116">
        <f t="shared" si="19"/>
        <v>3.0000000000001137E-2</v>
      </c>
      <c r="X130" s="115">
        <f t="shared" si="20"/>
        <v>6.611102511206246E-2</v>
      </c>
      <c r="Y130" s="115">
        <f t="shared" si="21"/>
        <v>4.6188117299842457E-2</v>
      </c>
      <c r="Z130" s="77"/>
      <c r="AA130" s="116">
        <f t="shared" si="22"/>
        <v>-0.31999999999999851</v>
      </c>
      <c r="AB130" s="115">
        <f t="shared" si="23"/>
        <v>1.4282393203847694</v>
      </c>
      <c r="AC130" s="115">
        <f t="shared" si="24"/>
        <v>0.22112426993026013</v>
      </c>
      <c r="AD130" s="77"/>
      <c r="AE130" s="235">
        <f t="shared" si="25"/>
        <v>4.2300000000000004</v>
      </c>
    </row>
    <row r="131" spans="14:31" x14ac:dyDescent="0.2">
      <c r="N131" s="337">
        <v>28702</v>
      </c>
      <c r="O131" s="116">
        <f>INDEX('Additional data'!$B$2:$B$965,MATCH(DATE(YEAR(N131),MONTH(N131),1),'Additional data'!$A$2:$A$965,0))</f>
        <v>14.85</v>
      </c>
      <c r="P131" s="232">
        <f t="shared" si="16"/>
        <v>2.6979998652487085</v>
      </c>
      <c r="Q131" s="232">
        <f>Q130+LN(1+INDEX('Additional data'!$H$2:$H$1196,MATCH(N131,'Additional data'!$G$2:$G$1196,1))+INDEX('Additional data'!$I$2:$I$1196,MATCH(N131,'Additional data'!$G$2:$G$1196,1)))</f>
        <v>0.42857237621040062</v>
      </c>
      <c r="R131" s="77"/>
      <c r="S131" s="116">
        <f>INDEX('Additional data'!$E$2:$E$699,MATCH(DATE(YEAR(N131),MONTH(N131),1),'Additional data'!$D$2:$D$699,0))</f>
        <v>9.84</v>
      </c>
      <c r="T131" s="115">
        <f t="shared" si="17"/>
        <v>0</v>
      </c>
      <c r="U131" s="115">
        <f t="shared" si="18"/>
        <v>5.5245474225978475E-2</v>
      </c>
      <c r="V131" s="77"/>
      <c r="W131" s="116">
        <f t="shared" si="19"/>
        <v>-0.79000000000000092</v>
      </c>
      <c r="X131" s="115">
        <f t="shared" si="20"/>
        <v>6.611102511206246E-2</v>
      </c>
      <c r="Y131" s="115">
        <f t="shared" si="21"/>
        <v>0.1142149258905541</v>
      </c>
      <c r="Z131" s="77"/>
      <c r="AA131" s="116">
        <f t="shared" si="22"/>
        <v>-0.88000000000000078</v>
      </c>
      <c r="AB131" s="115">
        <f t="shared" si="23"/>
        <v>1.4282393203847694</v>
      </c>
      <c r="AC131" s="115">
        <f t="shared" si="24"/>
        <v>0.22112426993026013</v>
      </c>
      <c r="AD131" s="77"/>
      <c r="AE131" s="235">
        <f t="shared" si="25"/>
        <v>3.34</v>
      </c>
    </row>
    <row r="132" spans="14:31" x14ac:dyDescent="0.2">
      <c r="N132" s="337">
        <v>28733</v>
      </c>
      <c r="O132" s="116">
        <f>INDEX('Additional data'!$B$2:$B$965,MATCH(DATE(YEAR(N132),MONTH(N132),1),'Additional data'!$A$2:$A$965,0))</f>
        <v>14.85</v>
      </c>
      <c r="P132" s="232">
        <f t="shared" si="16"/>
        <v>2.6979998652487085</v>
      </c>
      <c r="Q132" s="232">
        <f>Q131+LN(1+INDEX('Additional data'!$H$2:$H$1196,MATCH(N132,'Additional data'!$G$2:$G$1196,1))+INDEX('Additional data'!$I$2:$I$1196,MATCH(N132,'Additional data'!$G$2:$G$1196,1)))</f>
        <v>0.47105698781655603</v>
      </c>
      <c r="R132" s="77"/>
      <c r="S132" s="116">
        <f>INDEX('Additional data'!$E$2:$E$699,MATCH(DATE(YEAR(N132),MONTH(N132),1),'Additional data'!$D$2:$D$699,0))</f>
        <v>9.6999999999999993</v>
      </c>
      <c r="T132" s="115">
        <f t="shared" si="17"/>
        <v>0</v>
      </c>
      <c r="U132" s="115">
        <f t="shared" si="18"/>
        <v>4.2484611606155409E-2</v>
      </c>
      <c r="V132" s="77"/>
      <c r="W132" s="116">
        <f t="shared" si="19"/>
        <v>-0.14000000000000057</v>
      </c>
      <c r="X132" s="115">
        <f t="shared" si="20"/>
        <v>0</v>
      </c>
      <c r="Y132" s="115">
        <f t="shared" si="21"/>
        <v>0.1699874318236449</v>
      </c>
      <c r="Z132" s="77"/>
      <c r="AA132" s="116">
        <f t="shared" si="22"/>
        <v>-1.2000000000000011</v>
      </c>
      <c r="AB132" s="115">
        <f t="shared" si="23"/>
        <v>1.2370619611330522</v>
      </c>
      <c r="AC132" s="115">
        <f t="shared" si="24"/>
        <v>0.29530596827967009</v>
      </c>
      <c r="AD132" s="77"/>
      <c r="AE132" s="235">
        <f t="shared" si="25"/>
        <v>3.2999999999999989</v>
      </c>
    </row>
    <row r="133" spans="14:31" x14ac:dyDescent="0.2">
      <c r="N133" s="337">
        <v>28763</v>
      </c>
      <c r="O133" s="116">
        <f>INDEX('Additional data'!$B$2:$B$965,MATCH(DATE(YEAR(N133),MONTH(N133),1),'Additional data'!$A$2:$A$965,0))</f>
        <v>14.85</v>
      </c>
      <c r="P133" s="232">
        <f t="shared" ref="P133:P196" si="26">LN(O133)</f>
        <v>2.6979998652487085</v>
      </c>
      <c r="Q133" s="232">
        <f>Q132+LN(1+INDEX('Additional data'!$H$2:$H$1196,MATCH(N133,'Additional data'!$G$2:$G$1196,1))+INDEX('Additional data'!$I$2:$I$1196,MATCH(N133,'Additional data'!$G$2:$G$1196,1)))</f>
        <v>0.46282318288945251</v>
      </c>
      <c r="R133" s="77"/>
      <c r="S133" s="116">
        <f>INDEX('Additional data'!$E$2:$E$699,MATCH(DATE(YEAR(N133),MONTH(N133),1),'Additional data'!$D$2:$D$699,0))</f>
        <v>9.7200000000000006</v>
      </c>
      <c r="T133" s="115">
        <f t="shared" si="17"/>
        <v>0</v>
      </c>
      <c r="U133" s="115">
        <f t="shared" si="18"/>
        <v>-8.2338049271035163E-3</v>
      </c>
      <c r="V133" s="77"/>
      <c r="W133" s="116">
        <f t="shared" si="19"/>
        <v>2.000000000000135E-2</v>
      </c>
      <c r="X133" s="115">
        <f t="shared" si="20"/>
        <v>0</v>
      </c>
      <c r="Y133" s="115">
        <f t="shared" si="21"/>
        <v>0.16015490553284428</v>
      </c>
      <c r="Z133" s="77"/>
      <c r="AA133" s="116">
        <f t="shared" si="22"/>
        <v>-0.70999999999999908</v>
      </c>
      <c r="AB133" s="115">
        <f t="shared" si="23"/>
        <v>1.2370619611330522</v>
      </c>
      <c r="AC133" s="115">
        <f t="shared" si="24"/>
        <v>0.2342899779135971</v>
      </c>
      <c r="AD133" s="77"/>
      <c r="AE133" s="235">
        <f t="shared" si="25"/>
        <v>0.47000000000000064</v>
      </c>
    </row>
    <row r="134" spans="14:31" x14ac:dyDescent="0.2">
      <c r="N134" s="337">
        <v>28794</v>
      </c>
      <c r="O134" s="116">
        <f>INDEX('Additional data'!$B$2:$B$965,MATCH(DATE(YEAR(N134),MONTH(N134),1),'Additional data'!$A$2:$A$965,0))</f>
        <v>14.85</v>
      </c>
      <c r="P134" s="232">
        <f t="shared" si="26"/>
        <v>2.6979998652487085</v>
      </c>
      <c r="Q134" s="232">
        <f>Q133+LN(1+INDEX('Additional data'!$H$2:$H$1196,MATCH(N134,'Additional data'!$G$2:$G$1196,1))+INDEX('Additional data'!$I$2:$I$1196,MATCH(N134,'Additional data'!$G$2:$G$1196,1)))</f>
        <v>0.34381439630725036</v>
      </c>
      <c r="R134" s="77"/>
      <c r="S134" s="116">
        <f>INDEX('Additional data'!$E$2:$E$699,MATCH(DATE(YEAR(N134),MONTH(N134),1),'Additional data'!$D$2:$D$699,0))</f>
        <v>9.74</v>
      </c>
      <c r="T134" s="115">
        <f t="shared" ref="T134:T197" si="27">P134-P133</f>
        <v>0</v>
      </c>
      <c r="U134" s="115">
        <f t="shared" ref="U134:U197" si="28">Q134-Q133</f>
        <v>-0.11900878658220215</v>
      </c>
      <c r="V134" s="77"/>
      <c r="W134" s="116">
        <f t="shared" ref="W134:W197" si="29">S134-S133</f>
        <v>1.9999999999999574E-2</v>
      </c>
      <c r="X134" s="115">
        <f t="shared" si="20"/>
        <v>0</v>
      </c>
      <c r="Y134" s="115">
        <f t="shared" si="21"/>
        <v>8.0926988962486734E-2</v>
      </c>
      <c r="Z134" s="77"/>
      <c r="AA134" s="116">
        <f t="shared" si="22"/>
        <v>-0.27999999999999936</v>
      </c>
      <c r="AB134" s="115">
        <f t="shared" si="23"/>
        <v>1.2370619611330522</v>
      </c>
      <c r="AC134" s="115">
        <f t="shared" si="24"/>
        <v>0.11708281327802314</v>
      </c>
      <c r="AD134" s="77"/>
      <c r="AE134" s="235">
        <f t="shared" si="25"/>
        <v>8.9999999999999858E-2</v>
      </c>
    </row>
    <row r="135" spans="14:31" x14ac:dyDescent="0.2">
      <c r="N135" s="337">
        <v>28824</v>
      </c>
      <c r="O135" s="116">
        <f>INDEX('Additional data'!$B$2:$B$965,MATCH(DATE(YEAR(N135),MONTH(N135),1),'Additional data'!$A$2:$A$965,0))</f>
        <v>14.85</v>
      </c>
      <c r="P135" s="232">
        <f t="shared" si="26"/>
        <v>2.6979998652487085</v>
      </c>
      <c r="Q135" s="232">
        <f>Q134+LN(1+INDEX('Additional data'!$H$2:$H$1196,MATCH(N135,'Additional data'!$G$2:$G$1196,1))+INDEX('Additional data'!$I$2:$I$1196,MATCH(N135,'Additional data'!$G$2:$G$1196,1)))</f>
        <v>0.37734587951604248</v>
      </c>
      <c r="R135" s="77"/>
      <c r="S135" s="116">
        <f>INDEX('Additional data'!$E$2:$E$699,MATCH(DATE(YEAR(N135),MONTH(N135),1),'Additional data'!$D$2:$D$699,0))</f>
        <v>9.19</v>
      </c>
      <c r="T135" s="115">
        <f t="shared" si="27"/>
        <v>0</v>
      </c>
      <c r="U135" s="115">
        <f t="shared" si="28"/>
        <v>3.3531483208792123E-2</v>
      </c>
      <c r="V135" s="77"/>
      <c r="W135" s="116">
        <f t="shared" si="29"/>
        <v>-0.55000000000000071</v>
      </c>
      <c r="X135" s="115">
        <f t="shared" si="20"/>
        <v>0</v>
      </c>
      <c r="Y135" s="115">
        <f t="shared" si="21"/>
        <v>7.0441586754504626E-2</v>
      </c>
      <c r="Z135" s="77"/>
      <c r="AA135" s="116">
        <f t="shared" si="22"/>
        <v>-0.82000000000000028</v>
      </c>
      <c r="AB135" s="115">
        <f t="shared" si="23"/>
        <v>1.2370619611330522</v>
      </c>
      <c r="AC135" s="115">
        <f t="shared" si="24"/>
        <v>0.28095079821481866</v>
      </c>
      <c r="AD135" s="77"/>
      <c r="AE135" s="235">
        <f t="shared" si="25"/>
        <v>-9.9999999999997868E-3</v>
      </c>
    </row>
    <row r="136" spans="14:31" x14ac:dyDescent="0.2">
      <c r="N136" s="337">
        <v>28855</v>
      </c>
      <c r="O136" s="116">
        <f>INDEX('Additional data'!$B$2:$B$965,MATCH(DATE(YEAR(N136),MONTH(N136),1),'Additional data'!$A$2:$A$965,0))</f>
        <v>14.85</v>
      </c>
      <c r="P136" s="232">
        <f t="shared" si="26"/>
        <v>2.6979998652487085</v>
      </c>
      <c r="Q136" s="232">
        <f>Q135+LN(1+INDEX('Additional data'!$H$2:$H$1196,MATCH(N136,'Additional data'!$G$2:$G$1196,1))+INDEX('Additional data'!$I$2:$I$1196,MATCH(N136,'Additional data'!$G$2:$G$1196,1)))</f>
        <v>0.3937112336023067</v>
      </c>
      <c r="R136" s="77"/>
      <c r="S136" s="116">
        <f>INDEX('Additional data'!$E$2:$E$699,MATCH(DATE(YEAR(N136),MONTH(N136),1),'Additional data'!$D$2:$D$699,0))</f>
        <v>8.76</v>
      </c>
      <c r="T136" s="115">
        <f t="shared" si="27"/>
        <v>0</v>
      </c>
      <c r="U136" s="115">
        <f t="shared" si="28"/>
        <v>1.6365354086264217E-2</v>
      </c>
      <c r="V136" s="77"/>
      <c r="W136" s="116">
        <f t="shared" si="29"/>
        <v>-0.42999999999999972</v>
      </c>
      <c r="X136" s="115">
        <f t="shared" si="20"/>
        <v>0</v>
      </c>
      <c r="Y136" s="115">
        <f t="shared" si="21"/>
        <v>7.9235675344450918E-2</v>
      </c>
      <c r="Z136" s="77"/>
      <c r="AA136" s="116">
        <f t="shared" si="22"/>
        <v>-0.99000000000000021</v>
      </c>
      <c r="AB136" s="115">
        <f t="shared" si="23"/>
        <v>1.2370619611330522</v>
      </c>
      <c r="AC136" s="115">
        <f t="shared" si="24"/>
        <v>0.28509118267851397</v>
      </c>
      <c r="AD136" s="77"/>
      <c r="AE136" s="235">
        <f t="shared" si="25"/>
        <v>-0.49000000000000021</v>
      </c>
    </row>
    <row r="137" spans="14:31" x14ac:dyDescent="0.2">
      <c r="N137" s="337">
        <v>28886</v>
      </c>
      <c r="O137" s="116">
        <f>INDEX('Additional data'!$B$2:$B$965,MATCH(DATE(YEAR(N137),MONTH(N137),1),'Additional data'!$A$2:$A$965,0))</f>
        <v>14.85</v>
      </c>
      <c r="P137" s="232">
        <f t="shared" si="26"/>
        <v>2.6979998652487085</v>
      </c>
      <c r="Q137" s="232">
        <f>Q136+LN(1+INDEX('Additional data'!$H$2:$H$1196,MATCH(N137,'Additional data'!$G$2:$G$1196,1))+INDEX('Additional data'!$I$2:$I$1196,MATCH(N137,'Additional data'!$G$2:$G$1196,1)))</f>
        <v>0.44240615514106529</v>
      </c>
      <c r="R137" s="77"/>
      <c r="S137" s="116">
        <f>INDEX('Additional data'!$E$2:$E$699,MATCH(DATE(YEAR(N137),MONTH(N137),1),'Additional data'!$D$2:$D$699,0))</f>
        <v>8.51</v>
      </c>
      <c r="T137" s="115">
        <f t="shared" si="27"/>
        <v>0</v>
      </c>
      <c r="U137" s="115">
        <f t="shared" si="28"/>
        <v>4.8694921538758595E-2</v>
      </c>
      <c r="V137" s="77"/>
      <c r="W137" s="116">
        <f t="shared" si="29"/>
        <v>-0.25</v>
      </c>
      <c r="X137" s="115">
        <f t="shared" si="20"/>
        <v>0</v>
      </c>
      <c r="Y137" s="115">
        <f t="shared" si="21"/>
        <v>0.1846067740767664</v>
      </c>
      <c r="Z137" s="77"/>
      <c r="AA137" s="116">
        <f t="shared" si="22"/>
        <v>-0.98000000000000043</v>
      </c>
      <c r="AB137" s="115">
        <f t="shared" si="23"/>
        <v>0.38447483221632872</v>
      </c>
      <c r="AC137" s="115">
        <f t="shared" si="24"/>
        <v>0.32909711473114106</v>
      </c>
      <c r="AD137" s="77"/>
      <c r="AE137" s="235">
        <f t="shared" si="25"/>
        <v>-0.74000000000000021</v>
      </c>
    </row>
    <row r="138" spans="14:31" x14ac:dyDescent="0.2">
      <c r="N138" s="337">
        <v>28914</v>
      </c>
      <c r="O138" s="116">
        <f>INDEX('Additional data'!$B$2:$B$965,MATCH(DATE(YEAR(N138),MONTH(N138),1),'Additional data'!$A$2:$A$965,0))</f>
        <v>15.85</v>
      </c>
      <c r="P138" s="232">
        <f t="shared" si="26"/>
        <v>2.7631695003232895</v>
      </c>
      <c r="Q138" s="232">
        <f>Q137+LN(1+INDEX('Additional data'!$H$2:$H$1196,MATCH(N138,'Additional data'!$G$2:$G$1196,1))+INDEX('Additional data'!$I$2:$I$1196,MATCH(N138,'Additional data'!$G$2:$G$1196,1)))</f>
        <v>0.41369799100432153</v>
      </c>
      <c r="R138" s="77"/>
      <c r="S138" s="116">
        <f>INDEX('Additional data'!$E$2:$E$699,MATCH(DATE(YEAR(N138),MONTH(N138),1),'Additional data'!$D$2:$D$699,0))</f>
        <v>8.6</v>
      </c>
      <c r="T138" s="115">
        <f t="shared" si="27"/>
        <v>6.5169635074580956E-2</v>
      </c>
      <c r="U138" s="115">
        <f t="shared" si="28"/>
        <v>-2.8708164136743763E-2</v>
      </c>
      <c r="V138" s="77"/>
      <c r="W138" s="116">
        <f t="shared" si="29"/>
        <v>8.9999999999999858E-2</v>
      </c>
      <c r="X138" s="115">
        <f t="shared" si="20"/>
        <v>6.5169635074580956E-2</v>
      </c>
      <c r="Y138" s="115">
        <f t="shared" si="21"/>
        <v>0.16524212494317511</v>
      </c>
      <c r="Z138" s="77"/>
      <c r="AA138" s="116">
        <f t="shared" si="22"/>
        <v>-0.95000000000000107</v>
      </c>
      <c r="AB138" s="115">
        <f t="shared" si="23"/>
        <v>0.44964446729090968</v>
      </c>
      <c r="AC138" s="115">
        <f t="shared" si="24"/>
        <v>0.29918967001891533</v>
      </c>
      <c r="AD138" s="77"/>
      <c r="AE138" s="235">
        <f t="shared" si="25"/>
        <v>-0.90000000000000036</v>
      </c>
    </row>
    <row r="139" spans="14:31" x14ac:dyDescent="0.2">
      <c r="N139" s="337">
        <v>28945</v>
      </c>
      <c r="O139" s="116">
        <f>INDEX('Additional data'!$B$2:$B$965,MATCH(DATE(YEAR(N139),MONTH(N139),1),'Additional data'!$A$2:$A$965,0))</f>
        <v>15.85</v>
      </c>
      <c r="P139" s="232">
        <f t="shared" si="26"/>
        <v>2.7631695003232895</v>
      </c>
      <c r="Q139" s="232">
        <f>Q138+LN(1+INDEX('Additional data'!$H$2:$H$1196,MATCH(N139,'Additional data'!$G$2:$G$1196,1))+INDEX('Additional data'!$I$2:$I$1196,MATCH(N139,'Additional data'!$G$2:$G$1196,1)))</f>
        <v>0.47648497910308629</v>
      </c>
      <c r="R139" s="77"/>
      <c r="S139" s="116">
        <f>INDEX('Additional data'!$E$2:$E$699,MATCH(DATE(YEAR(N139),MONTH(N139),1),'Additional data'!$D$2:$D$699,0))</f>
        <v>9.16</v>
      </c>
      <c r="T139" s="115">
        <f t="shared" si="27"/>
        <v>0</v>
      </c>
      <c r="U139" s="115">
        <f t="shared" si="28"/>
        <v>6.2786988098764762E-2</v>
      </c>
      <c r="V139" s="77"/>
      <c r="W139" s="116">
        <f t="shared" si="29"/>
        <v>0.5600000000000005</v>
      </c>
      <c r="X139" s="115">
        <f t="shared" si="20"/>
        <v>6.5169635074580956E-2</v>
      </c>
      <c r="Y139" s="115">
        <f t="shared" si="21"/>
        <v>0.19478777926213792</v>
      </c>
      <c r="Z139" s="77"/>
      <c r="AA139" s="116">
        <f t="shared" si="22"/>
        <v>-0.87999999999999901</v>
      </c>
      <c r="AB139" s="115">
        <f t="shared" si="23"/>
        <v>0.44964446729090968</v>
      </c>
      <c r="AC139" s="115">
        <f t="shared" si="24"/>
        <v>0.38483595226376266</v>
      </c>
      <c r="AD139" s="77"/>
      <c r="AE139" s="235">
        <f t="shared" si="25"/>
        <v>-0.9399999999999995</v>
      </c>
    </row>
    <row r="140" spans="14:31" x14ac:dyDescent="0.2">
      <c r="N140" s="337">
        <v>28975</v>
      </c>
      <c r="O140" s="116">
        <f>INDEX('Additional data'!$B$2:$B$965,MATCH(DATE(YEAR(N140),MONTH(N140),1),'Additional data'!$A$2:$A$965,0))</f>
        <v>15.85</v>
      </c>
      <c r="P140" s="232">
        <f t="shared" si="26"/>
        <v>2.7631695003232895</v>
      </c>
      <c r="Q140" s="232">
        <f>Q139+LN(1+INDEX('Additional data'!$H$2:$H$1196,MATCH(N140,'Additional data'!$G$2:$G$1196,1))+INDEX('Additional data'!$I$2:$I$1196,MATCH(N140,'Additional data'!$G$2:$G$1196,1)))</f>
        <v>0.48375846306958453</v>
      </c>
      <c r="R140" s="77"/>
      <c r="S140" s="116">
        <f>INDEX('Additional data'!$E$2:$E$699,MATCH(DATE(YEAR(N140),MONTH(N140),1),'Additional data'!$D$2:$D$699,0))</f>
        <v>10.42</v>
      </c>
      <c r="T140" s="115">
        <f t="shared" si="27"/>
        <v>0</v>
      </c>
      <c r="U140" s="115">
        <f t="shared" si="28"/>
        <v>7.2734839664982398E-3</v>
      </c>
      <c r="V140" s="77"/>
      <c r="W140" s="116">
        <f t="shared" si="29"/>
        <v>1.2599999999999998</v>
      </c>
      <c r="X140" s="115">
        <f t="shared" si="20"/>
        <v>6.5169635074580956E-2</v>
      </c>
      <c r="Y140" s="115">
        <f t="shared" si="21"/>
        <v>0.12131111354352708</v>
      </c>
      <c r="Z140" s="77"/>
      <c r="AA140" s="116">
        <f t="shared" si="22"/>
        <v>-0.4399999999999995</v>
      </c>
      <c r="AB140" s="115">
        <f t="shared" si="23"/>
        <v>0.44964446729090968</v>
      </c>
      <c r="AC140" s="115">
        <f t="shared" si="24"/>
        <v>0.43846756020841049</v>
      </c>
      <c r="AD140" s="77"/>
      <c r="AE140" s="235">
        <f t="shared" si="25"/>
        <v>-5.83</v>
      </c>
    </row>
    <row r="141" spans="14:31" x14ac:dyDescent="0.2">
      <c r="N141" s="337">
        <v>29006</v>
      </c>
      <c r="O141" s="116">
        <f>INDEX('Additional data'!$B$2:$B$965,MATCH(DATE(YEAR(N141),MONTH(N141),1),'Additional data'!$A$2:$A$965,0))</f>
        <v>18.100000000000001</v>
      </c>
      <c r="P141" s="232">
        <f t="shared" si="26"/>
        <v>2.8959119382717802</v>
      </c>
      <c r="Q141" s="232">
        <f>Q140+LN(1+INDEX('Additional data'!$H$2:$H$1196,MATCH(N141,'Additional data'!$G$2:$G$1196,1))+INDEX('Additional data'!$I$2:$I$1196,MATCH(N141,'Additional data'!$G$2:$G$1196,1)))</f>
        <v>0.46986235787747316</v>
      </c>
      <c r="R141" s="77"/>
      <c r="S141" s="116">
        <f>INDEX('Additional data'!$E$2:$E$699,MATCH(DATE(YEAR(N141),MONTH(N141),1),'Additional data'!$D$2:$D$699,0))</f>
        <v>10.54</v>
      </c>
      <c r="T141" s="115">
        <f t="shared" si="27"/>
        <v>0.13274243794849072</v>
      </c>
      <c r="U141" s="115">
        <f t="shared" si="28"/>
        <v>-1.3896105192111374E-2</v>
      </c>
      <c r="V141" s="77"/>
      <c r="W141" s="116">
        <f t="shared" si="29"/>
        <v>0.11999999999999922</v>
      </c>
      <c r="X141" s="115">
        <f t="shared" si="20"/>
        <v>0.19791207302307168</v>
      </c>
      <c r="Y141" s="115">
        <f t="shared" si="21"/>
        <v>8.496881952158547E-2</v>
      </c>
      <c r="Z141" s="77"/>
      <c r="AA141" s="116">
        <f t="shared" si="22"/>
        <v>-6.0000000000000497E-2</v>
      </c>
      <c r="AB141" s="115">
        <f t="shared" si="23"/>
        <v>0.5823869052394004</v>
      </c>
      <c r="AC141" s="115">
        <f t="shared" si="24"/>
        <v>0.4648727517898249</v>
      </c>
      <c r="AD141" s="77"/>
      <c r="AE141" s="235">
        <f t="shared" si="25"/>
        <v>-11.21</v>
      </c>
    </row>
    <row r="142" spans="14:31" x14ac:dyDescent="0.2">
      <c r="N142" s="337">
        <v>29036</v>
      </c>
      <c r="O142" s="116">
        <f>INDEX('Additional data'!$B$2:$B$965,MATCH(DATE(YEAR(N142),MONTH(N142),1),'Additional data'!$A$2:$A$965,0))</f>
        <v>19.100000000000001</v>
      </c>
      <c r="P142" s="232">
        <f t="shared" si="26"/>
        <v>2.9496883350525844</v>
      </c>
      <c r="Q142" s="232">
        <f>Q141+LN(1+INDEX('Additional data'!$H$2:$H$1196,MATCH(N142,'Additional data'!$G$2:$G$1196,1))+INDEX('Additional data'!$I$2:$I$1196,MATCH(N142,'Additional data'!$G$2:$G$1196,1)))</f>
        <v>0.51531362078139054</v>
      </c>
      <c r="R142" s="77"/>
      <c r="S142" s="116">
        <f>INDEX('Additional data'!$E$2:$E$699,MATCH(DATE(YEAR(N142),MONTH(N142),1),'Additional data'!$D$2:$D$699,0))</f>
        <v>10.26</v>
      </c>
      <c r="T142" s="115">
        <f t="shared" si="27"/>
        <v>5.3776396780804259E-2</v>
      </c>
      <c r="U142" s="115">
        <f t="shared" si="28"/>
        <v>4.5451262903917378E-2</v>
      </c>
      <c r="V142" s="77"/>
      <c r="W142" s="116">
        <f t="shared" si="29"/>
        <v>-0.27999999999999936</v>
      </c>
      <c r="X142" s="115">
        <f t="shared" si="20"/>
        <v>0.25168846980387594</v>
      </c>
      <c r="Y142" s="115">
        <f t="shared" si="21"/>
        <v>0.14198671879696839</v>
      </c>
      <c r="Z142" s="77"/>
      <c r="AA142" s="116">
        <f t="shared" si="22"/>
        <v>-0.37000000000000099</v>
      </c>
      <c r="AB142" s="115">
        <f t="shared" si="23"/>
        <v>0.63616330202020466</v>
      </c>
      <c r="AC142" s="115">
        <f t="shared" si="24"/>
        <v>0.5329787052585484</v>
      </c>
      <c r="AD142" s="77"/>
      <c r="AE142" s="235">
        <f t="shared" si="25"/>
        <v>-8.5400000000000009</v>
      </c>
    </row>
    <row r="143" spans="14:31" x14ac:dyDescent="0.2">
      <c r="N143" s="337">
        <v>29067</v>
      </c>
      <c r="O143" s="116">
        <f>INDEX('Additional data'!$B$2:$B$965,MATCH(DATE(YEAR(N143),MONTH(N143),1),'Additional data'!$A$2:$A$965,0))</f>
        <v>21.75</v>
      </c>
      <c r="P143" s="232">
        <f t="shared" si="26"/>
        <v>3.0796137575346929</v>
      </c>
      <c r="Q143" s="232">
        <f>Q142+LN(1+INDEX('Additional data'!$H$2:$H$1196,MATCH(N143,'Additional data'!$G$2:$G$1196,1))+INDEX('Additional data'!$I$2:$I$1196,MATCH(N143,'Additional data'!$G$2:$G$1196,1)))</f>
        <v>0.53118696993768066</v>
      </c>
      <c r="R143" s="77"/>
      <c r="S143" s="116">
        <f>INDEX('Additional data'!$E$2:$E$699,MATCH(DATE(YEAR(N143),MONTH(N143),1),'Additional data'!$D$2:$D$699,0))</f>
        <v>9.86</v>
      </c>
      <c r="T143" s="115">
        <f t="shared" si="27"/>
        <v>0.12992542248210848</v>
      </c>
      <c r="U143" s="115">
        <f t="shared" si="28"/>
        <v>1.5873349156290129E-2</v>
      </c>
      <c r="V143" s="77"/>
      <c r="W143" s="116">
        <f t="shared" si="29"/>
        <v>-0.40000000000000036</v>
      </c>
      <c r="X143" s="115">
        <f t="shared" si="20"/>
        <v>0.38161389228598441</v>
      </c>
      <c r="Y143" s="115">
        <f t="shared" si="21"/>
        <v>0.10261459372728005</v>
      </c>
      <c r="Z143" s="77"/>
      <c r="AA143" s="116">
        <f t="shared" si="22"/>
        <v>1.9999999999999574E-2</v>
      </c>
      <c r="AB143" s="115">
        <f t="shared" si="23"/>
        <v>0.76608872450231313</v>
      </c>
      <c r="AC143" s="115">
        <f t="shared" si="24"/>
        <v>0.62530122657824483</v>
      </c>
      <c r="AD143" s="77"/>
      <c r="AE143" s="235">
        <f t="shared" si="25"/>
        <v>-5.1400000000000006</v>
      </c>
    </row>
    <row r="144" spans="14:31" x14ac:dyDescent="0.2">
      <c r="N144" s="337">
        <v>29098</v>
      </c>
      <c r="O144" s="116">
        <f>INDEX('Additional data'!$B$2:$B$965,MATCH(DATE(YEAR(N144),MONTH(N144),1),'Additional data'!$A$2:$A$965,0))</f>
        <v>26.5</v>
      </c>
      <c r="P144" s="232">
        <f t="shared" si="26"/>
        <v>3.2771447329921766</v>
      </c>
      <c r="Q144" s="232">
        <f>Q143+LN(1+INDEX('Additional data'!$H$2:$H$1196,MATCH(N144,'Additional data'!$G$2:$G$1196,1))+INDEX('Additional data'!$I$2:$I$1196,MATCH(N144,'Additional data'!$G$2:$G$1196,1)))</f>
        <v>0.59237613825010305</v>
      </c>
      <c r="R144" s="77"/>
      <c r="S144" s="116">
        <f>INDEX('Additional data'!$E$2:$E$699,MATCH(DATE(YEAR(N144),MONTH(N144),1),'Additional data'!$D$2:$D$699,0))</f>
        <v>9.7799999999999994</v>
      </c>
      <c r="T144" s="115">
        <f t="shared" si="27"/>
        <v>0.19753097545748366</v>
      </c>
      <c r="U144" s="115">
        <f t="shared" si="28"/>
        <v>6.1189168312422382E-2</v>
      </c>
      <c r="V144" s="77"/>
      <c r="W144" s="116">
        <f t="shared" si="29"/>
        <v>-8.0000000000000071E-2</v>
      </c>
      <c r="X144" s="115">
        <f t="shared" si="20"/>
        <v>0.57914486774346807</v>
      </c>
      <c r="Y144" s="115">
        <f t="shared" si="21"/>
        <v>0.12131915043354702</v>
      </c>
      <c r="Z144" s="77"/>
      <c r="AA144" s="116">
        <f t="shared" si="22"/>
        <v>8.0000000000000071E-2</v>
      </c>
      <c r="AB144" s="115">
        <f t="shared" si="23"/>
        <v>0.96361969995979679</v>
      </c>
      <c r="AC144" s="115">
        <f t="shared" si="24"/>
        <v>0.77849604068669143</v>
      </c>
      <c r="AD144" s="77"/>
      <c r="AE144" s="235">
        <f t="shared" si="25"/>
        <v>-4.42</v>
      </c>
    </row>
    <row r="145" spans="14:31" x14ac:dyDescent="0.2">
      <c r="N145" s="337">
        <v>29128</v>
      </c>
      <c r="O145" s="116">
        <f>INDEX('Additional data'!$B$2:$B$965,MATCH(DATE(YEAR(N145),MONTH(N145),1),'Additional data'!$A$2:$A$965,0))</f>
        <v>28.5</v>
      </c>
      <c r="P145" s="232">
        <f t="shared" si="26"/>
        <v>3.3499040872746049</v>
      </c>
      <c r="Q145" s="232">
        <f>Q144+LN(1+INDEX('Additional data'!$H$2:$H$1196,MATCH(N145,'Additional data'!$G$2:$G$1196,1))+INDEX('Additional data'!$I$2:$I$1196,MATCH(N145,'Additional data'!$G$2:$G$1196,1)))</f>
        <v>0.59237613825010305</v>
      </c>
      <c r="R145" s="77"/>
      <c r="S145" s="116">
        <f>INDEX('Additional data'!$E$2:$E$699,MATCH(DATE(YEAR(N145),MONTH(N145),1),'Additional data'!$D$2:$D$699,0))</f>
        <v>9.8699999999999992</v>
      </c>
      <c r="T145" s="115">
        <f t="shared" si="27"/>
        <v>7.2759354282428301E-2</v>
      </c>
      <c r="U145" s="115">
        <f t="shared" si="28"/>
        <v>0</v>
      </c>
      <c r="V145" s="77"/>
      <c r="W145" s="116">
        <f t="shared" si="29"/>
        <v>8.9999999999999858E-2</v>
      </c>
      <c r="X145" s="115">
        <f t="shared" ref="X145:X208" si="30">P145-P133</f>
        <v>0.65190422202589637</v>
      </c>
      <c r="Y145" s="115">
        <f t="shared" ref="Y145:Y208" si="31">Q145-Q133</f>
        <v>0.12955295536065053</v>
      </c>
      <c r="Z145" s="77"/>
      <c r="AA145" s="116">
        <f t="shared" ref="AA145:AA208" si="32">S145-S133</f>
        <v>0.14999999999999858</v>
      </c>
      <c r="AB145" s="115">
        <f t="shared" si="23"/>
        <v>1.0363790542422251</v>
      </c>
      <c r="AC145" s="115">
        <f t="shared" si="24"/>
        <v>0.89480516308707458</v>
      </c>
      <c r="AD145" s="77"/>
      <c r="AE145" s="235">
        <f t="shared" si="25"/>
        <v>-2.7300000000000004</v>
      </c>
    </row>
    <row r="146" spans="14:31" x14ac:dyDescent="0.2">
      <c r="N146" s="337">
        <v>29159</v>
      </c>
      <c r="O146" s="116">
        <f>INDEX('Additional data'!$B$2:$B$965,MATCH(DATE(YEAR(N146),MONTH(N146),1),'Additional data'!$A$2:$A$965,0))</f>
        <v>29</v>
      </c>
      <c r="P146" s="232">
        <f t="shared" si="26"/>
        <v>3.3672958299864741</v>
      </c>
      <c r="Q146" s="232">
        <f>Q145+LN(1+INDEX('Additional data'!$H$2:$H$1196,MATCH(N146,'Additional data'!$G$2:$G$1196,1))+INDEX('Additional data'!$I$2:$I$1196,MATCH(N146,'Additional data'!$G$2:$G$1196,1)))</f>
        <v>0.51732926392719192</v>
      </c>
      <c r="R146" s="77"/>
      <c r="S146" s="116">
        <f>INDEX('Additional data'!$E$2:$E$699,MATCH(DATE(YEAR(N146),MONTH(N146),1),'Additional data'!$D$2:$D$699,0))</f>
        <v>10.039999999999999</v>
      </c>
      <c r="T146" s="115">
        <f t="shared" si="27"/>
        <v>1.7391742711869274E-2</v>
      </c>
      <c r="U146" s="115">
        <f t="shared" si="28"/>
        <v>-7.5046874322911128E-2</v>
      </c>
      <c r="V146" s="77"/>
      <c r="W146" s="116">
        <f t="shared" si="29"/>
        <v>0.16999999999999993</v>
      </c>
      <c r="X146" s="115">
        <f t="shared" si="30"/>
        <v>0.66929596473776565</v>
      </c>
      <c r="Y146" s="115">
        <f t="shared" si="31"/>
        <v>0.17351486761994156</v>
      </c>
      <c r="Z146" s="77"/>
      <c r="AA146" s="116">
        <f t="shared" si="32"/>
        <v>0.29999999999999893</v>
      </c>
      <c r="AB146" s="115">
        <f t="shared" si="23"/>
        <v>0.95495987303330931</v>
      </c>
      <c r="AC146" s="115">
        <f t="shared" si="24"/>
        <v>0.6660076889582448</v>
      </c>
      <c r="AD146" s="77"/>
      <c r="AE146" s="235">
        <f t="shared" si="25"/>
        <v>-0.36000000000000121</v>
      </c>
    </row>
    <row r="147" spans="14:31" x14ac:dyDescent="0.2">
      <c r="N147" s="337">
        <v>29189</v>
      </c>
      <c r="O147" s="116">
        <f>INDEX('Additional data'!$B$2:$B$965,MATCH(DATE(YEAR(N147),MONTH(N147),1),'Additional data'!$A$2:$A$965,0))</f>
        <v>31</v>
      </c>
      <c r="P147" s="232">
        <f t="shared" si="26"/>
        <v>3.4339872044851463</v>
      </c>
      <c r="Q147" s="232">
        <f>Q146+LN(1+INDEX('Additional data'!$H$2:$H$1196,MATCH(N147,'Additional data'!$G$2:$G$1196,1))+INDEX('Additional data'!$I$2:$I$1196,MATCH(N147,'Additional data'!$G$2:$G$1196,1)))</f>
        <v>0.57757734427254881</v>
      </c>
      <c r="R147" s="77"/>
      <c r="S147" s="116">
        <f>INDEX('Additional data'!$E$2:$E$699,MATCH(DATE(YEAR(N147),MONTH(N147),1),'Additional data'!$D$2:$D$699,0))</f>
        <v>10.119999999999999</v>
      </c>
      <c r="T147" s="115">
        <f t="shared" si="27"/>
        <v>6.6691374498672129E-2</v>
      </c>
      <c r="U147" s="115">
        <f t="shared" si="28"/>
        <v>6.0248080345356891E-2</v>
      </c>
      <c r="V147" s="77"/>
      <c r="W147" s="116">
        <f t="shared" si="29"/>
        <v>8.0000000000000071E-2</v>
      </c>
      <c r="X147" s="115">
        <f t="shared" si="30"/>
        <v>0.73598733923643778</v>
      </c>
      <c r="Y147" s="115">
        <f t="shared" si="31"/>
        <v>0.20023146475650633</v>
      </c>
      <c r="Z147" s="77"/>
      <c r="AA147" s="116">
        <f t="shared" si="32"/>
        <v>0.92999999999999972</v>
      </c>
      <c r="AB147" s="115">
        <f t="shared" si="23"/>
        <v>1.0216512475319814</v>
      </c>
      <c r="AC147" s="115">
        <f t="shared" si="24"/>
        <v>0.76697360258216074</v>
      </c>
      <c r="AD147" s="77"/>
      <c r="AE147" s="235">
        <f t="shared" si="25"/>
        <v>-0.18000000000000149</v>
      </c>
    </row>
    <row r="148" spans="14:31" x14ac:dyDescent="0.2">
      <c r="N148" s="337">
        <v>29220</v>
      </c>
      <c r="O148" s="116">
        <f>INDEX('Additional data'!$B$2:$B$965,MATCH(DATE(YEAR(N148),MONTH(N148),1),'Additional data'!$A$2:$A$965,0))</f>
        <v>32.5</v>
      </c>
      <c r="P148" s="232">
        <f t="shared" si="26"/>
        <v>3.4812400893356918</v>
      </c>
      <c r="Q148" s="232">
        <f>Q147+LN(1+INDEX('Additional data'!$H$2:$H$1196,MATCH(N148,'Additional data'!$G$2:$G$1196,1))+INDEX('Additional data'!$I$2:$I$1196,MATCH(N148,'Additional data'!$G$2:$G$1196,1)))</f>
        <v>0.60451134551262986</v>
      </c>
      <c r="R148" s="77"/>
      <c r="S148" s="116">
        <f>INDEX('Additional data'!$E$2:$E$699,MATCH(DATE(YEAR(N148),MONTH(N148),1),'Additional data'!$D$2:$D$699,0))</f>
        <v>10.119999999999999</v>
      </c>
      <c r="T148" s="115">
        <f t="shared" si="27"/>
        <v>4.7252884850545573E-2</v>
      </c>
      <c r="U148" s="115">
        <f t="shared" si="28"/>
        <v>2.6934001240081051E-2</v>
      </c>
      <c r="V148" s="77"/>
      <c r="W148" s="116">
        <f t="shared" si="29"/>
        <v>0</v>
      </c>
      <c r="X148" s="115">
        <f t="shared" si="30"/>
        <v>0.78324022408698335</v>
      </c>
      <c r="Y148" s="115">
        <f t="shared" si="31"/>
        <v>0.21080011191032316</v>
      </c>
      <c r="Z148" s="77"/>
      <c r="AA148" s="116">
        <f t="shared" si="32"/>
        <v>1.3599999999999994</v>
      </c>
      <c r="AB148" s="115">
        <f t="shared" si="23"/>
        <v>1.068904132382527</v>
      </c>
      <c r="AC148" s="115">
        <f t="shared" si="24"/>
        <v>0.82168998483469335</v>
      </c>
      <c r="AD148" s="77"/>
      <c r="AE148" s="235">
        <f t="shared" si="25"/>
        <v>0.36999999999999922</v>
      </c>
    </row>
    <row r="149" spans="14:31" x14ac:dyDescent="0.2">
      <c r="N149" s="337">
        <v>29251</v>
      </c>
      <c r="O149" s="116">
        <f>INDEX('Additional data'!$B$2:$B$965,MATCH(DATE(YEAR(N149),MONTH(N149),1),'Additional data'!$A$2:$A$965,0))</f>
        <v>32.5</v>
      </c>
      <c r="P149" s="232">
        <f t="shared" si="26"/>
        <v>3.4812400893356918</v>
      </c>
      <c r="Q149" s="232">
        <f>Q148+LN(1+INDEX('Additional data'!$H$2:$H$1196,MATCH(N149,'Additional data'!$G$2:$G$1196,1))+INDEX('Additional data'!$I$2:$I$1196,MATCH(N149,'Additional data'!$G$2:$G$1196,1)))</f>
        <v>0.66560644487244069</v>
      </c>
      <c r="R149" s="77"/>
      <c r="S149" s="116">
        <f>INDEX('Additional data'!$E$2:$E$699,MATCH(DATE(YEAR(N149),MONTH(N149),1),'Additional data'!$D$2:$D$699,0))</f>
        <v>10.029999999999999</v>
      </c>
      <c r="T149" s="115">
        <f t="shared" si="27"/>
        <v>0</v>
      </c>
      <c r="U149" s="115">
        <f t="shared" si="28"/>
        <v>6.1095099359810834E-2</v>
      </c>
      <c r="V149" s="77"/>
      <c r="W149" s="116">
        <f t="shared" si="29"/>
        <v>-8.9999999999999858E-2</v>
      </c>
      <c r="X149" s="115">
        <f t="shared" si="30"/>
        <v>0.78324022408698335</v>
      </c>
      <c r="Y149" s="115">
        <f t="shared" si="31"/>
        <v>0.2232002897313754</v>
      </c>
      <c r="Z149" s="77"/>
      <c r="AA149" s="116">
        <f t="shared" si="32"/>
        <v>1.5199999999999996</v>
      </c>
      <c r="AB149" s="115">
        <f t="shared" si="23"/>
        <v>1.068904132382527</v>
      </c>
      <c r="AC149" s="115">
        <f t="shared" si="24"/>
        <v>0.74956624040828146</v>
      </c>
      <c r="AD149" s="77"/>
      <c r="AE149" s="235">
        <f t="shared" si="25"/>
        <v>1.08</v>
      </c>
    </row>
    <row r="150" spans="14:31" x14ac:dyDescent="0.2">
      <c r="N150" s="337">
        <v>29280</v>
      </c>
      <c r="O150" s="116">
        <f>INDEX('Additional data'!$B$2:$B$965,MATCH(DATE(YEAR(N150),MONTH(N150),1),'Additional data'!$A$2:$A$965,0))</f>
        <v>37</v>
      </c>
      <c r="P150" s="232">
        <f t="shared" si="26"/>
        <v>3.6109179126442243</v>
      </c>
      <c r="Q150" s="232">
        <f>Q149+LN(1+INDEX('Additional data'!$H$2:$H$1196,MATCH(N150,'Additional data'!$G$2:$G$1196,1))+INDEX('Additional data'!$I$2:$I$1196,MATCH(N150,'Additional data'!$G$2:$G$1196,1)))</f>
        <v>0.66220065173760789</v>
      </c>
      <c r="R150" s="77"/>
      <c r="S150" s="116">
        <f>INDEX('Additional data'!$E$2:$E$699,MATCH(DATE(YEAR(N150),MONTH(N150),1),'Additional data'!$D$2:$D$699,0))</f>
        <v>10.06</v>
      </c>
      <c r="T150" s="115">
        <f t="shared" si="27"/>
        <v>0.1296778233085325</v>
      </c>
      <c r="U150" s="115">
        <f t="shared" si="28"/>
        <v>-3.4057931348328019E-3</v>
      </c>
      <c r="V150" s="77"/>
      <c r="W150" s="116">
        <f t="shared" si="29"/>
        <v>3.0000000000001137E-2</v>
      </c>
      <c r="X150" s="115">
        <f t="shared" si="30"/>
        <v>0.8477484123209349</v>
      </c>
      <c r="Y150" s="115">
        <f t="shared" si="31"/>
        <v>0.24850266073328636</v>
      </c>
      <c r="Z150" s="77"/>
      <c r="AA150" s="116">
        <f t="shared" si="32"/>
        <v>1.4600000000000009</v>
      </c>
      <c r="AB150" s="115">
        <f t="shared" si="23"/>
        <v>1.1985819556910595</v>
      </c>
      <c r="AC150" s="115">
        <f t="shared" si="24"/>
        <v>0.68798588322237642</v>
      </c>
      <c r="AD150" s="77"/>
      <c r="AE150" s="235">
        <f t="shared" si="25"/>
        <v>1.0600000000000005</v>
      </c>
    </row>
    <row r="151" spans="14:31" x14ac:dyDescent="0.2">
      <c r="N151" s="337">
        <v>29311</v>
      </c>
      <c r="O151" s="116">
        <f>INDEX('Additional data'!$B$2:$B$965,MATCH(DATE(YEAR(N151),MONTH(N151),1),'Additional data'!$A$2:$A$965,0))</f>
        <v>38</v>
      </c>
      <c r="P151" s="232">
        <f t="shared" si="26"/>
        <v>3.6375861597263857</v>
      </c>
      <c r="Q151" s="232">
        <f>Q150+LN(1+INDEX('Additional data'!$H$2:$H$1196,MATCH(N151,'Additional data'!$G$2:$G$1196,1))+INDEX('Additional data'!$I$2:$I$1196,MATCH(N151,'Additional data'!$G$2:$G$1196,1)))</f>
        <v>0.53788381723022738</v>
      </c>
      <c r="R151" s="77"/>
      <c r="S151" s="116">
        <f>INDEX('Additional data'!$E$2:$E$699,MATCH(DATE(YEAR(N151),MONTH(N151),1),'Additional data'!$D$2:$D$699,0))</f>
        <v>11.47</v>
      </c>
      <c r="T151" s="115">
        <f t="shared" si="27"/>
        <v>2.6668247082161312E-2</v>
      </c>
      <c r="U151" s="115">
        <f t="shared" si="28"/>
        <v>-0.12431683450738051</v>
      </c>
      <c r="V151" s="77"/>
      <c r="W151" s="116">
        <f t="shared" si="29"/>
        <v>1.4100000000000001</v>
      </c>
      <c r="X151" s="115">
        <f t="shared" si="30"/>
        <v>0.87441665940309621</v>
      </c>
      <c r="Y151" s="115">
        <f t="shared" si="31"/>
        <v>6.1398838127141087E-2</v>
      </c>
      <c r="Z151" s="77"/>
      <c r="AA151" s="116">
        <f t="shared" si="32"/>
        <v>2.3100000000000005</v>
      </c>
      <c r="AB151" s="115">
        <f t="shared" si="23"/>
        <v>1.2252502027732208</v>
      </c>
      <c r="AC151" s="115">
        <f t="shared" si="24"/>
        <v>0.53343086565438591</v>
      </c>
      <c r="AD151" s="77"/>
      <c r="AE151" s="235">
        <f t="shared" si="25"/>
        <v>2.7200000000000006</v>
      </c>
    </row>
    <row r="152" spans="14:31" x14ac:dyDescent="0.2">
      <c r="N152" s="337">
        <v>29341</v>
      </c>
      <c r="O152" s="116">
        <f>INDEX('Additional data'!$B$2:$B$965,MATCH(DATE(YEAR(N152),MONTH(N152),1),'Additional data'!$A$2:$A$965,0))</f>
        <v>39.5</v>
      </c>
      <c r="P152" s="232">
        <f t="shared" si="26"/>
        <v>3.6763006719070761</v>
      </c>
      <c r="Q152" s="232">
        <f>Q151+LN(1+INDEX('Additional data'!$H$2:$H$1196,MATCH(N152,'Additional data'!$G$2:$G$1196,1))+INDEX('Additional data'!$I$2:$I$1196,MATCH(N152,'Additional data'!$G$2:$G$1196,1)))</f>
        <v>0.58867198406233245</v>
      </c>
      <c r="R152" s="77"/>
      <c r="S152" s="116">
        <f>INDEX('Additional data'!$E$2:$E$699,MATCH(DATE(YEAR(N152),MONTH(N152),1),'Additional data'!$D$2:$D$699,0))</f>
        <v>13.28</v>
      </c>
      <c r="T152" s="115">
        <f t="shared" si="27"/>
        <v>3.8714512180690441E-2</v>
      </c>
      <c r="U152" s="115">
        <f t="shared" si="28"/>
        <v>5.0788166832105075E-2</v>
      </c>
      <c r="V152" s="77"/>
      <c r="W152" s="116">
        <f t="shared" si="29"/>
        <v>1.8099999999999987</v>
      </c>
      <c r="X152" s="115">
        <f t="shared" si="30"/>
        <v>0.91313117158378665</v>
      </c>
      <c r="Y152" s="115">
        <f t="shared" si="31"/>
        <v>0.10491352099274792</v>
      </c>
      <c r="Z152" s="77"/>
      <c r="AA152" s="116">
        <f t="shared" si="32"/>
        <v>2.8599999999999994</v>
      </c>
      <c r="AB152" s="115">
        <f t="shared" si="23"/>
        <v>1.2639647149539113</v>
      </c>
      <c r="AC152" s="115">
        <f t="shared" si="24"/>
        <v>0.53867221753052064</v>
      </c>
      <c r="AD152" s="77"/>
      <c r="AE152" s="235">
        <f t="shared" si="25"/>
        <v>3.4799999999999986</v>
      </c>
    </row>
    <row r="153" spans="14:31" x14ac:dyDescent="0.2">
      <c r="N153" s="337">
        <v>29372</v>
      </c>
      <c r="O153" s="116">
        <f>INDEX('Additional data'!$B$2:$B$965,MATCH(DATE(YEAR(N153),MONTH(N153),1),'Additional data'!$A$2:$A$965,0))</f>
        <v>39.5</v>
      </c>
      <c r="P153" s="232">
        <f t="shared" si="26"/>
        <v>3.6763006719070761</v>
      </c>
      <c r="Q153" s="232">
        <f>Q152+LN(1+INDEX('Additional data'!$H$2:$H$1196,MATCH(N153,'Additional data'!$G$2:$G$1196,1))+INDEX('Additional data'!$I$2:$I$1196,MATCH(N153,'Additional data'!$G$2:$G$1196,1)))</f>
        <v>0.64760105159161996</v>
      </c>
      <c r="R153" s="77"/>
      <c r="S153" s="116">
        <f>INDEX('Additional data'!$E$2:$E$699,MATCH(DATE(YEAR(N153),MONTH(N153),1),'Additional data'!$D$2:$D$699,0))</f>
        <v>13.83</v>
      </c>
      <c r="T153" s="115">
        <f t="shared" si="27"/>
        <v>0</v>
      </c>
      <c r="U153" s="115">
        <f t="shared" si="28"/>
        <v>5.8929067529287504E-2</v>
      </c>
      <c r="V153" s="77"/>
      <c r="W153" s="116">
        <f t="shared" si="29"/>
        <v>0.55000000000000071</v>
      </c>
      <c r="X153" s="115">
        <f t="shared" si="30"/>
        <v>0.78038873363529593</v>
      </c>
      <c r="Y153" s="115">
        <f t="shared" si="31"/>
        <v>0.1777386937141468</v>
      </c>
      <c r="Z153" s="77"/>
      <c r="AA153" s="116">
        <f t="shared" si="32"/>
        <v>3.2900000000000009</v>
      </c>
      <c r="AB153" s="115">
        <f t="shared" si="23"/>
        <v>1.2639647149539113</v>
      </c>
      <c r="AC153" s="115">
        <f t="shared" si="24"/>
        <v>0.54273438361896797</v>
      </c>
      <c r="AD153" s="77"/>
      <c r="AE153" s="235">
        <f t="shared" si="25"/>
        <v>4.93</v>
      </c>
    </row>
    <row r="154" spans="14:31" x14ac:dyDescent="0.2">
      <c r="N154" s="337">
        <v>29402</v>
      </c>
      <c r="O154" s="116">
        <f>INDEX('Additional data'!$B$2:$B$965,MATCH(DATE(YEAR(N154),MONTH(N154),1),'Additional data'!$A$2:$A$965,0))</f>
        <v>39.5</v>
      </c>
      <c r="P154" s="232">
        <f t="shared" si="26"/>
        <v>3.6763006719070761</v>
      </c>
      <c r="Q154" s="232">
        <f>Q153+LN(1+INDEX('Additional data'!$H$2:$H$1196,MATCH(N154,'Additional data'!$G$2:$G$1196,1))+INDEX('Additional data'!$I$2:$I$1196,MATCH(N154,'Additional data'!$G$2:$G$1196,1)))</f>
        <v>0.6828716656735393</v>
      </c>
      <c r="R154" s="77"/>
      <c r="S154" s="116">
        <f>INDEX('Additional data'!$E$2:$E$699,MATCH(DATE(YEAR(N154),MONTH(N154),1),'Additional data'!$D$2:$D$699,0))</f>
        <v>13.83</v>
      </c>
      <c r="T154" s="115">
        <f t="shared" si="27"/>
        <v>0</v>
      </c>
      <c r="U154" s="115">
        <f t="shared" si="28"/>
        <v>3.5270614081919338E-2</v>
      </c>
      <c r="V154" s="77"/>
      <c r="W154" s="116">
        <f t="shared" si="29"/>
        <v>0</v>
      </c>
      <c r="X154" s="115">
        <f t="shared" si="30"/>
        <v>0.72661233685449167</v>
      </c>
      <c r="Y154" s="115">
        <f t="shared" si="31"/>
        <v>0.16755804489214876</v>
      </c>
      <c r="Z154" s="77"/>
      <c r="AA154" s="116">
        <f t="shared" si="32"/>
        <v>3.5700000000000003</v>
      </c>
      <c r="AB154" s="115">
        <f t="shared" si="23"/>
        <v>1.2639647149539113</v>
      </c>
      <c r="AC154" s="115">
        <f t="shared" si="24"/>
        <v>0.52655171611197171</v>
      </c>
      <c r="AD154" s="77"/>
      <c r="AE154" s="235">
        <f t="shared" si="25"/>
        <v>5.0299999999999994</v>
      </c>
    </row>
    <row r="155" spans="14:31" x14ac:dyDescent="0.2">
      <c r="N155" s="337">
        <v>29433</v>
      </c>
      <c r="O155" s="116">
        <f>INDEX('Additional data'!$B$2:$B$965,MATCH(DATE(YEAR(N155),MONTH(N155),1),'Additional data'!$A$2:$A$965,0))</f>
        <v>39.5</v>
      </c>
      <c r="P155" s="232">
        <f t="shared" si="26"/>
        <v>3.6763006719070761</v>
      </c>
      <c r="Q155" s="232">
        <f>Q154+LN(1+INDEX('Additional data'!$H$2:$H$1196,MATCH(N155,'Additional data'!$G$2:$G$1196,1))+INDEX('Additional data'!$I$2:$I$1196,MATCH(N155,'Additional data'!$G$2:$G$1196,1)))</f>
        <v>0.75090407606536624</v>
      </c>
      <c r="R155" s="77"/>
      <c r="S155" s="116">
        <f>INDEX('Additional data'!$E$2:$E$699,MATCH(DATE(YEAR(N155),MONTH(N155),1),'Additional data'!$D$2:$D$699,0))</f>
        <v>12.87</v>
      </c>
      <c r="T155" s="115">
        <f t="shared" si="27"/>
        <v>0</v>
      </c>
      <c r="U155" s="115">
        <f t="shared" si="28"/>
        <v>6.8032410391826947E-2</v>
      </c>
      <c r="V155" s="77"/>
      <c r="W155" s="116">
        <f t="shared" si="29"/>
        <v>-0.96000000000000085</v>
      </c>
      <c r="X155" s="115">
        <f t="shared" si="30"/>
        <v>0.59668691437238319</v>
      </c>
      <c r="Y155" s="115">
        <f t="shared" si="31"/>
        <v>0.21971710612768558</v>
      </c>
      <c r="Z155" s="77"/>
      <c r="AA155" s="116">
        <f t="shared" si="32"/>
        <v>3.01</v>
      </c>
      <c r="AB155" s="115">
        <f t="shared" si="23"/>
        <v>1.2639647149539113</v>
      </c>
      <c r="AC155" s="115">
        <f t="shared" si="24"/>
        <v>0.65773694150906725</v>
      </c>
      <c r="AD155" s="77"/>
      <c r="AE155" s="235">
        <f t="shared" si="25"/>
        <v>4.7199999999999989</v>
      </c>
    </row>
    <row r="156" spans="14:31" x14ac:dyDescent="0.2">
      <c r="N156" s="337">
        <v>29464</v>
      </c>
      <c r="O156" s="116">
        <f>INDEX('Additional data'!$B$2:$B$965,MATCH(DATE(YEAR(N156),MONTH(N156),1),'Additional data'!$A$2:$A$965,0))</f>
        <v>38</v>
      </c>
      <c r="P156" s="232">
        <f t="shared" si="26"/>
        <v>3.6375861597263857</v>
      </c>
      <c r="Q156" s="232">
        <f>Q155+LN(1+INDEX('Additional data'!$H$2:$H$1196,MATCH(N156,'Additional data'!$G$2:$G$1196,1))+INDEX('Additional data'!$I$2:$I$1196,MATCH(N156,'Additional data'!$G$2:$G$1196,1)))</f>
        <v>0.77452294166400026</v>
      </c>
      <c r="R156" s="77"/>
      <c r="S156" s="116">
        <f>INDEX('Additional data'!$E$2:$E$699,MATCH(DATE(YEAR(N156),MONTH(N156),1),'Additional data'!$D$2:$D$699,0))</f>
        <v>12.33</v>
      </c>
      <c r="T156" s="115">
        <f t="shared" si="27"/>
        <v>-3.8714512180690441E-2</v>
      </c>
      <c r="U156" s="115">
        <f t="shared" si="28"/>
        <v>2.361886559863402E-2</v>
      </c>
      <c r="V156" s="77"/>
      <c r="W156" s="116">
        <f t="shared" si="29"/>
        <v>-0.53999999999999915</v>
      </c>
      <c r="X156" s="115">
        <f t="shared" si="30"/>
        <v>0.36044142673420909</v>
      </c>
      <c r="Y156" s="115">
        <f t="shared" si="31"/>
        <v>0.18214680341389722</v>
      </c>
      <c r="Z156" s="77"/>
      <c r="AA156" s="116">
        <f t="shared" si="32"/>
        <v>2.5500000000000007</v>
      </c>
      <c r="AB156" s="115">
        <f t="shared" si="23"/>
        <v>1.2252502027732208</v>
      </c>
      <c r="AC156" s="115">
        <f t="shared" si="24"/>
        <v>0.70523874757103333</v>
      </c>
      <c r="AD156" s="77"/>
      <c r="AE156" s="235">
        <f t="shared" si="25"/>
        <v>4.18</v>
      </c>
    </row>
    <row r="157" spans="14:31" x14ac:dyDescent="0.2">
      <c r="N157" s="337">
        <v>29494</v>
      </c>
      <c r="O157" s="116">
        <f>INDEX('Additional data'!$B$2:$B$965,MATCH(DATE(YEAR(N157),MONTH(N157),1),'Additional data'!$A$2:$A$965,0))</f>
        <v>36</v>
      </c>
      <c r="P157" s="232">
        <f t="shared" si="26"/>
        <v>3.5835189384561099</v>
      </c>
      <c r="Q157" s="232">
        <f>Q156+LN(1+INDEX('Additional data'!$H$2:$H$1196,MATCH(N157,'Additional data'!$G$2:$G$1196,1))+INDEX('Additional data'!$I$2:$I$1196,MATCH(N157,'Additional data'!$G$2:$G$1196,1)))</f>
        <v>0.80349904990051746</v>
      </c>
      <c r="R157" s="77"/>
      <c r="S157" s="116">
        <f>INDEX('Additional data'!$E$2:$E$699,MATCH(DATE(YEAR(N157),MONTH(N157),1),'Additional data'!$D$2:$D$699,0))</f>
        <v>11.69</v>
      </c>
      <c r="T157" s="115">
        <f t="shared" si="27"/>
        <v>-5.4067221270275745E-2</v>
      </c>
      <c r="U157" s="115">
        <f t="shared" si="28"/>
        <v>2.8976108236517195E-2</v>
      </c>
      <c r="V157" s="77"/>
      <c r="W157" s="116">
        <f t="shared" si="29"/>
        <v>-0.64000000000000057</v>
      </c>
      <c r="X157" s="115">
        <f t="shared" si="30"/>
        <v>0.23361485118150505</v>
      </c>
      <c r="Y157" s="115">
        <f t="shared" si="31"/>
        <v>0.21112291165041441</v>
      </c>
      <c r="Z157" s="77"/>
      <c r="AA157" s="116">
        <f t="shared" si="32"/>
        <v>1.8200000000000003</v>
      </c>
      <c r="AB157" s="115">
        <f t="shared" si="23"/>
        <v>1.1711829815029451</v>
      </c>
      <c r="AC157" s="115">
        <f t="shared" si="24"/>
        <v>0.77222829800576664</v>
      </c>
      <c r="AD157" s="77"/>
      <c r="AE157" s="235">
        <f t="shared" si="25"/>
        <v>3.59</v>
      </c>
    </row>
    <row r="158" spans="14:31" x14ac:dyDescent="0.2">
      <c r="N158" s="337">
        <v>29525</v>
      </c>
      <c r="O158" s="116">
        <f>INDEX('Additional data'!$B$2:$B$965,MATCH(DATE(YEAR(N158),MONTH(N158),1),'Additional data'!$A$2:$A$965,0))</f>
        <v>36</v>
      </c>
      <c r="P158" s="232">
        <f t="shared" si="26"/>
        <v>3.5835189384561099</v>
      </c>
      <c r="Q158" s="232">
        <f>Q157+LN(1+INDEX('Additional data'!$H$2:$H$1196,MATCH(N158,'Additional data'!$G$2:$G$1196,1))+INDEX('Additional data'!$I$2:$I$1196,MATCH(N158,'Additional data'!$G$2:$G$1196,1)))</f>
        <v>0.8232036331748529</v>
      </c>
      <c r="R158" s="77"/>
      <c r="S158" s="116">
        <f>INDEX('Additional data'!$E$2:$E$699,MATCH(DATE(YEAR(N158),MONTH(N158),1),'Additional data'!$D$2:$D$699,0))</f>
        <v>11.22</v>
      </c>
      <c r="T158" s="115">
        <f t="shared" si="27"/>
        <v>0</v>
      </c>
      <c r="U158" s="115">
        <f t="shared" si="28"/>
        <v>1.9704583274335441E-2</v>
      </c>
      <c r="V158" s="77"/>
      <c r="W158" s="116">
        <f t="shared" si="29"/>
        <v>-0.46999999999999886</v>
      </c>
      <c r="X158" s="115">
        <f t="shared" si="30"/>
        <v>0.21622310846963577</v>
      </c>
      <c r="Y158" s="115">
        <f t="shared" si="31"/>
        <v>0.30587436924766098</v>
      </c>
      <c r="Z158" s="77"/>
      <c r="AA158" s="116">
        <f t="shared" si="32"/>
        <v>1.1800000000000015</v>
      </c>
      <c r="AB158" s="115">
        <f t="shared" si="23"/>
        <v>1.1711829815029451</v>
      </c>
      <c r="AC158" s="115">
        <f t="shared" si="24"/>
        <v>0.73479668990929303</v>
      </c>
      <c r="AD158" s="77"/>
      <c r="AE158" s="235">
        <f t="shared" si="25"/>
        <v>3.2700000000000005</v>
      </c>
    </row>
    <row r="159" spans="14:31" x14ac:dyDescent="0.2">
      <c r="N159" s="337">
        <v>29555</v>
      </c>
      <c r="O159" s="116">
        <f>INDEX('Additional data'!$B$2:$B$965,MATCH(DATE(YEAR(N159),MONTH(N159),1),'Additional data'!$A$2:$A$965,0))</f>
        <v>36</v>
      </c>
      <c r="P159" s="232">
        <f t="shared" si="26"/>
        <v>3.5835189384561099</v>
      </c>
      <c r="Q159" s="232">
        <f>Q158+LN(1+INDEX('Additional data'!$H$2:$H$1196,MATCH(N159,'Additional data'!$G$2:$G$1196,1))+INDEX('Additional data'!$I$2:$I$1196,MATCH(N159,'Additional data'!$G$2:$G$1196,1)))</f>
        <v>0.92359180720612144</v>
      </c>
      <c r="R159" s="77"/>
      <c r="S159" s="116">
        <f>INDEX('Additional data'!$E$2:$E$699,MATCH(DATE(YEAR(N159),MONTH(N159),1),'Additional data'!$D$2:$D$699,0))</f>
        <v>11.27</v>
      </c>
      <c r="T159" s="115">
        <f t="shared" si="27"/>
        <v>0</v>
      </c>
      <c r="U159" s="115">
        <f t="shared" si="28"/>
        <v>0.10038817403126854</v>
      </c>
      <c r="V159" s="77"/>
      <c r="W159" s="116">
        <f t="shared" si="29"/>
        <v>4.9999999999998934E-2</v>
      </c>
      <c r="X159" s="115">
        <f t="shared" si="30"/>
        <v>0.14953173397096364</v>
      </c>
      <c r="Y159" s="115">
        <f t="shared" si="31"/>
        <v>0.34601446293357263</v>
      </c>
      <c r="Z159" s="77"/>
      <c r="AA159" s="116">
        <f t="shared" si="32"/>
        <v>1.1500000000000004</v>
      </c>
      <c r="AB159" s="115">
        <f t="shared" si="23"/>
        <v>1.1711829815029451</v>
      </c>
      <c r="AC159" s="115">
        <f t="shared" si="24"/>
        <v>0.80504370702857475</v>
      </c>
      <c r="AD159" s="77"/>
      <c r="AE159" s="235">
        <f t="shared" si="25"/>
        <v>3.2199999999999989</v>
      </c>
    </row>
    <row r="160" spans="14:31" x14ac:dyDescent="0.2">
      <c r="N160" s="337">
        <v>29586</v>
      </c>
      <c r="O160" s="116">
        <f>INDEX('Additional data'!$B$2:$B$965,MATCH(DATE(YEAR(N160),MONTH(N160),1),'Additional data'!$A$2:$A$965,0))</f>
        <v>37</v>
      </c>
      <c r="P160" s="232">
        <f t="shared" si="26"/>
        <v>3.6109179126442243</v>
      </c>
      <c r="Q160" s="232">
        <f>Q159+LN(1+INDEX('Additional data'!$H$2:$H$1196,MATCH(N160,'Additional data'!$G$2:$G$1196,1))+INDEX('Additional data'!$I$2:$I$1196,MATCH(N160,'Additional data'!$G$2:$G$1196,1)))</f>
        <v>0.89158501107103494</v>
      </c>
      <c r="R160" s="77"/>
      <c r="S160" s="116">
        <f>INDEX('Additional data'!$E$2:$E$699,MATCH(DATE(YEAR(N160),MONTH(N160),1),'Additional data'!$D$2:$D$699,0))</f>
        <v>12.45</v>
      </c>
      <c r="T160" s="115">
        <f t="shared" si="27"/>
        <v>2.7398974188114433E-2</v>
      </c>
      <c r="U160" s="115">
        <f t="shared" si="28"/>
        <v>-3.2006796135086502E-2</v>
      </c>
      <c r="V160" s="77"/>
      <c r="W160" s="116">
        <f t="shared" si="29"/>
        <v>1.1799999999999997</v>
      </c>
      <c r="X160" s="115">
        <f t="shared" si="30"/>
        <v>0.1296778233085325</v>
      </c>
      <c r="Y160" s="115">
        <f t="shared" si="31"/>
        <v>0.28707366555840508</v>
      </c>
      <c r="Z160" s="77"/>
      <c r="AA160" s="116">
        <f t="shared" si="32"/>
        <v>2.33</v>
      </c>
      <c r="AB160" s="115">
        <f t="shared" si="23"/>
        <v>1.1985819556910595</v>
      </c>
      <c r="AC160" s="115">
        <f t="shared" si="24"/>
        <v>0.784300103172199</v>
      </c>
      <c r="AD160" s="77"/>
      <c r="AE160" s="235">
        <f t="shared" si="25"/>
        <v>4.7499999999999991</v>
      </c>
    </row>
    <row r="161" spans="14:31" x14ac:dyDescent="0.2">
      <c r="N161" s="337">
        <v>29617</v>
      </c>
      <c r="O161" s="116">
        <f>INDEX('Additional data'!$B$2:$B$965,MATCH(DATE(YEAR(N161),MONTH(N161),1),'Additional data'!$A$2:$A$965,0))</f>
        <v>38</v>
      </c>
      <c r="P161" s="232">
        <f t="shared" si="26"/>
        <v>3.6375861597263857</v>
      </c>
      <c r="Q161" s="232">
        <f>Q160+LN(1+INDEX('Additional data'!$H$2:$H$1196,MATCH(N161,'Additional data'!$G$2:$G$1196,1))+INDEX('Additional data'!$I$2:$I$1196,MATCH(N161,'Additional data'!$G$2:$G$1196,1)))</f>
        <v>0.85055466151304304</v>
      </c>
      <c r="R161" s="77"/>
      <c r="S161" s="116">
        <f>INDEX('Additional data'!$E$2:$E$699,MATCH(DATE(YEAR(N161),MONTH(N161),1),'Additional data'!$D$2:$D$699,0))</f>
        <v>12.61</v>
      </c>
      <c r="T161" s="115">
        <f t="shared" si="27"/>
        <v>2.6668247082161312E-2</v>
      </c>
      <c r="U161" s="115">
        <f t="shared" si="28"/>
        <v>-4.1030349557991896E-2</v>
      </c>
      <c r="V161" s="77"/>
      <c r="W161" s="116">
        <f t="shared" si="29"/>
        <v>0.16000000000000014</v>
      </c>
      <c r="X161" s="115">
        <f t="shared" si="30"/>
        <v>0.15634607039069381</v>
      </c>
      <c r="Y161" s="115">
        <f t="shared" si="31"/>
        <v>0.18494821664060235</v>
      </c>
      <c r="Z161" s="77"/>
      <c r="AA161" s="116">
        <f t="shared" si="32"/>
        <v>2.58</v>
      </c>
      <c r="AB161" s="115">
        <f t="shared" si="23"/>
        <v>1.2252502027732208</v>
      </c>
      <c r="AC161" s="115">
        <f t="shared" si="24"/>
        <v>0.62442061977582608</v>
      </c>
      <c r="AD161" s="77"/>
      <c r="AE161" s="235">
        <f t="shared" si="25"/>
        <v>4.9599999999999991</v>
      </c>
    </row>
    <row r="162" spans="14:31" x14ac:dyDescent="0.2">
      <c r="N162" s="337">
        <v>29645</v>
      </c>
      <c r="O162" s="116">
        <f>INDEX('Additional data'!$B$2:$B$965,MATCH(DATE(YEAR(N162),MONTH(N162),1),'Additional data'!$A$2:$A$965,0))</f>
        <v>38</v>
      </c>
      <c r="P162" s="232">
        <f t="shared" si="26"/>
        <v>3.6375861597263857</v>
      </c>
      <c r="Q162" s="232">
        <f>Q161+LN(1+INDEX('Additional data'!$H$2:$H$1196,MATCH(N162,'Additional data'!$G$2:$G$1196,1))+INDEX('Additional data'!$I$2:$I$1196,MATCH(N162,'Additional data'!$G$2:$G$1196,1)))</f>
        <v>0.86721510240615018</v>
      </c>
      <c r="R162" s="77"/>
      <c r="S162" s="116">
        <f>INDEX('Additional data'!$E$2:$E$699,MATCH(DATE(YEAR(N162),MONTH(N162),1),'Additional data'!$D$2:$D$699,0))</f>
        <v>13.36</v>
      </c>
      <c r="T162" s="115">
        <f t="shared" si="27"/>
        <v>0</v>
      </c>
      <c r="U162" s="115">
        <f t="shared" si="28"/>
        <v>1.6660440893107142E-2</v>
      </c>
      <c r="V162" s="77"/>
      <c r="W162" s="116">
        <f t="shared" si="29"/>
        <v>0.75</v>
      </c>
      <c r="X162" s="115">
        <f t="shared" si="30"/>
        <v>2.6668247082161312E-2</v>
      </c>
      <c r="Y162" s="115">
        <f t="shared" si="31"/>
        <v>0.20501445066854229</v>
      </c>
      <c r="Z162" s="77"/>
      <c r="AA162" s="116">
        <f t="shared" si="32"/>
        <v>3.2999999999999989</v>
      </c>
      <c r="AB162" s="115">
        <f t="shared" si="23"/>
        <v>1.1501826297397981</v>
      </c>
      <c r="AC162" s="115">
        <f t="shared" si="24"/>
        <v>0.63460209457122396</v>
      </c>
      <c r="AD162" s="77"/>
      <c r="AE162" s="235">
        <f t="shared" si="25"/>
        <v>5.01</v>
      </c>
    </row>
    <row r="163" spans="14:31" x14ac:dyDescent="0.2">
      <c r="N163" s="337">
        <v>29676</v>
      </c>
      <c r="O163" s="116">
        <f>INDEX('Additional data'!$B$2:$B$965,MATCH(DATE(YEAR(N163),MONTH(N163),1),'Additional data'!$A$2:$A$965,0))</f>
        <v>38</v>
      </c>
      <c r="P163" s="232">
        <f t="shared" si="26"/>
        <v>3.6375861597263857</v>
      </c>
      <c r="Q163" s="232">
        <f>Q162+LN(1+INDEX('Additional data'!$H$2:$H$1196,MATCH(N163,'Additional data'!$G$2:$G$1196,1))+INDEX('Additional data'!$I$2:$I$1196,MATCH(N163,'Additional data'!$G$2:$G$1196,1)))</f>
        <v>0.91486175587350316</v>
      </c>
      <c r="R163" s="77"/>
      <c r="S163" s="116">
        <f>INDEX('Additional data'!$E$2:$E$699,MATCH(DATE(YEAR(N163),MONTH(N163),1),'Additional data'!$D$2:$D$699,0))</f>
        <v>14.63</v>
      </c>
      <c r="T163" s="115">
        <f t="shared" si="27"/>
        <v>0</v>
      </c>
      <c r="U163" s="115">
        <f t="shared" si="28"/>
        <v>4.7646653467352973E-2</v>
      </c>
      <c r="V163" s="77"/>
      <c r="W163" s="116">
        <f t="shared" si="29"/>
        <v>1.2700000000000014</v>
      </c>
      <c r="X163" s="115">
        <f t="shared" si="30"/>
        <v>0</v>
      </c>
      <c r="Y163" s="115">
        <f t="shared" si="31"/>
        <v>0.37697793864327578</v>
      </c>
      <c r="Z163" s="77"/>
      <c r="AA163" s="116">
        <f t="shared" si="32"/>
        <v>3.16</v>
      </c>
      <c r="AB163" s="115">
        <f t="shared" si="23"/>
        <v>1.1443807071236902</v>
      </c>
      <c r="AC163" s="115">
        <f t="shared" si="24"/>
        <v>0.65541209408501711</v>
      </c>
      <c r="AD163" s="77"/>
      <c r="AE163" s="235">
        <f t="shared" si="25"/>
        <v>6.23</v>
      </c>
    </row>
    <row r="164" spans="14:31" x14ac:dyDescent="0.2">
      <c r="N164" s="337">
        <v>29706</v>
      </c>
      <c r="O164" s="116">
        <f>INDEX('Additional data'!$B$2:$B$965,MATCH(DATE(YEAR(N164),MONTH(N164),1),'Additional data'!$A$2:$A$965,0))</f>
        <v>38</v>
      </c>
      <c r="P164" s="232">
        <f t="shared" si="26"/>
        <v>3.6375861597263857</v>
      </c>
      <c r="Q164" s="232">
        <f>Q163+LN(1+INDEX('Additional data'!$H$2:$H$1196,MATCH(N164,'Additional data'!$G$2:$G$1196,1))+INDEX('Additional data'!$I$2:$I$1196,MATCH(N164,'Additional data'!$G$2:$G$1196,1)))</f>
        <v>0.90400301253862736</v>
      </c>
      <c r="R164" s="77"/>
      <c r="S164" s="116">
        <f>INDEX('Additional data'!$E$2:$E$699,MATCH(DATE(YEAR(N164),MONTH(N164),1),'Additional data'!$D$2:$D$699,0))</f>
        <v>16.690000000000001</v>
      </c>
      <c r="T164" s="115">
        <f t="shared" si="27"/>
        <v>0</v>
      </c>
      <c r="U164" s="115">
        <f t="shared" si="28"/>
        <v>-1.0858743334875798E-2</v>
      </c>
      <c r="V164" s="77"/>
      <c r="W164" s="116">
        <f t="shared" si="29"/>
        <v>2.0600000000000005</v>
      </c>
      <c r="X164" s="115">
        <f t="shared" si="30"/>
        <v>-3.8714512180690441E-2</v>
      </c>
      <c r="Y164" s="115">
        <f t="shared" si="31"/>
        <v>0.31533102847629491</v>
      </c>
      <c r="Z164" s="77"/>
      <c r="AA164" s="116">
        <f t="shared" si="32"/>
        <v>3.4100000000000019</v>
      </c>
      <c r="AB164" s="115">
        <f t="shared" si="23"/>
        <v>1.1386122527269498</v>
      </c>
      <c r="AC164" s="115">
        <f t="shared" si="24"/>
        <v>0.65531100740310155</v>
      </c>
      <c r="AD164" s="77"/>
      <c r="AE164" s="235">
        <f t="shared" si="25"/>
        <v>7.0800000000000018</v>
      </c>
    </row>
    <row r="165" spans="14:31" x14ac:dyDescent="0.2">
      <c r="N165" s="337">
        <v>29737</v>
      </c>
      <c r="O165" s="116">
        <f>INDEX('Additional data'!$B$2:$B$965,MATCH(DATE(YEAR(N165),MONTH(N165),1),'Additional data'!$A$2:$A$965,0))</f>
        <v>38</v>
      </c>
      <c r="P165" s="232">
        <f t="shared" si="26"/>
        <v>3.6375861597263857</v>
      </c>
      <c r="Q165" s="232">
        <f>Q164+LN(1+INDEX('Additional data'!$H$2:$H$1196,MATCH(N165,'Additional data'!$G$2:$G$1196,1))+INDEX('Additional data'!$I$2:$I$1196,MATCH(N165,'Additional data'!$G$2:$G$1196,1)))</f>
        <v>0.91672178494640222</v>
      </c>
      <c r="R165" s="77"/>
      <c r="S165" s="116">
        <f>INDEX('Additional data'!$E$2:$E$699,MATCH(DATE(YEAR(N165),MONTH(N165),1),'Additional data'!$D$2:$D$699,0))</f>
        <v>16.28</v>
      </c>
      <c r="T165" s="115">
        <f t="shared" si="27"/>
        <v>0</v>
      </c>
      <c r="U165" s="115">
        <f t="shared" si="28"/>
        <v>1.2718772407774859E-2</v>
      </c>
      <c r="V165" s="77"/>
      <c r="W165" s="116">
        <f t="shared" si="29"/>
        <v>-0.41000000000000014</v>
      </c>
      <c r="X165" s="115">
        <f t="shared" si="30"/>
        <v>-3.8714512180690441E-2</v>
      </c>
      <c r="Y165" s="115">
        <f t="shared" si="31"/>
        <v>0.26912073335478226</v>
      </c>
      <c r="Z165" s="77"/>
      <c r="AA165" s="116">
        <f t="shared" si="32"/>
        <v>2.4500000000000011</v>
      </c>
      <c r="AB165" s="115">
        <f t="shared" si="23"/>
        <v>1.1386122527269498</v>
      </c>
      <c r="AC165" s="115">
        <f t="shared" si="24"/>
        <v>0.67777713126575634</v>
      </c>
      <c r="AD165" s="77"/>
      <c r="AE165" s="235">
        <f t="shared" si="25"/>
        <v>6.0400000000000009</v>
      </c>
    </row>
    <row r="166" spans="14:31" x14ac:dyDescent="0.2">
      <c r="N166" s="337">
        <v>29767</v>
      </c>
      <c r="O166" s="116">
        <f>INDEX('Additional data'!$B$2:$B$965,MATCH(DATE(YEAR(N166),MONTH(N166),1),'Additional data'!$A$2:$A$965,0))</f>
        <v>36</v>
      </c>
      <c r="P166" s="232">
        <f t="shared" si="26"/>
        <v>3.5835189384561099</v>
      </c>
      <c r="Q166" s="232">
        <f>Q165+LN(1+INDEX('Additional data'!$H$2:$H$1196,MATCH(N166,'Additional data'!$G$2:$G$1196,1))+INDEX('Additional data'!$I$2:$I$1196,MATCH(N166,'Additional data'!$G$2:$G$1196,1)))</f>
        <v>0.9067724540927341</v>
      </c>
      <c r="R166" s="77"/>
      <c r="S166" s="116">
        <f>INDEX('Additional data'!$E$2:$E$699,MATCH(DATE(YEAR(N166),MONTH(N166),1),'Additional data'!$D$2:$D$699,0))</f>
        <v>15.58</v>
      </c>
      <c r="T166" s="115">
        <f t="shared" si="27"/>
        <v>-5.4067221270275745E-2</v>
      </c>
      <c r="U166" s="115">
        <f t="shared" si="28"/>
        <v>-9.9493308536681146E-3</v>
      </c>
      <c r="V166" s="77"/>
      <c r="W166" s="116">
        <f t="shared" si="29"/>
        <v>-0.70000000000000107</v>
      </c>
      <c r="X166" s="115">
        <f t="shared" si="30"/>
        <v>-9.2781733450966186E-2</v>
      </c>
      <c r="Y166" s="115">
        <f t="shared" si="31"/>
        <v>0.22390078841919481</v>
      </c>
      <c r="Z166" s="77"/>
      <c r="AA166" s="116">
        <f t="shared" si="32"/>
        <v>1.75</v>
      </c>
      <c r="AB166" s="115">
        <f t="shared" si="23"/>
        <v>1.084545031456674</v>
      </c>
      <c r="AC166" s="115">
        <f t="shared" si="24"/>
        <v>0.6239066133541602</v>
      </c>
      <c r="AD166" s="77"/>
      <c r="AE166" s="235">
        <f t="shared" si="25"/>
        <v>5.3100000000000005</v>
      </c>
    </row>
    <row r="167" spans="14:31" x14ac:dyDescent="0.2">
      <c r="N167" s="337">
        <v>29798</v>
      </c>
      <c r="O167" s="116">
        <f>INDEX('Additional data'!$B$2:$B$965,MATCH(DATE(YEAR(N167),MONTH(N167),1),'Additional data'!$A$2:$A$965,0))</f>
        <v>36</v>
      </c>
      <c r="P167" s="232">
        <f t="shared" si="26"/>
        <v>3.5835189384561099</v>
      </c>
      <c r="Q167" s="232">
        <f>Q166+LN(1+INDEX('Additional data'!$H$2:$H$1196,MATCH(N167,'Additional data'!$G$2:$G$1196,1))+INDEX('Additional data'!$I$2:$I$1196,MATCH(N167,'Additional data'!$G$2:$G$1196,1)))</f>
        <v>0.9036676391392553</v>
      </c>
      <c r="R167" s="77"/>
      <c r="S167" s="116">
        <f>INDEX('Additional data'!$E$2:$E$699,MATCH(DATE(YEAR(N167),MONTH(N167),1),'Additional data'!$D$2:$D$699,0))</f>
        <v>15.39</v>
      </c>
      <c r="T167" s="115">
        <f t="shared" si="27"/>
        <v>0</v>
      </c>
      <c r="U167" s="115">
        <f t="shared" si="28"/>
        <v>-3.1048149534788072E-3</v>
      </c>
      <c r="V167" s="77"/>
      <c r="W167" s="116">
        <f t="shared" si="29"/>
        <v>-0.1899999999999995</v>
      </c>
      <c r="X167" s="115">
        <f t="shared" si="30"/>
        <v>-9.2781733450966186E-2</v>
      </c>
      <c r="Y167" s="115">
        <f t="shared" si="31"/>
        <v>0.15276356307388905</v>
      </c>
      <c r="Z167" s="77"/>
      <c r="AA167" s="116">
        <f t="shared" si="32"/>
        <v>2.5200000000000014</v>
      </c>
      <c r="AB167" s="115">
        <f t="shared" si="23"/>
        <v>1.084545031456674</v>
      </c>
      <c r="AC167" s="115">
        <f t="shared" si="24"/>
        <v>0.62671927216471901</v>
      </c>
      <c r="AD167" s="77"/>
      <c r="AE167" s="235">
        <f t="shared" si="25"/>
        <v>5.7200000000000006</v>
      </c>
    </row>
    <row r="168" spans="14:31" x14ac:dyDescent="0.2">
      <c r="N168" s="337">
        <v>29829</v>
      </c>
      <c r="O168" s="116">
        <f>INDEX('Additional data'!$B$2:$B$965,MATCH(DATE(YEAR(N168),MONTH(N168),1),'Additional data'!$A$2:$A$965,0))</f>
        <v>36</v>
      </c>
      <c r="P168" s="232">
        <f t="shared" si="26"/>
        <v>3.5835189384561099</v>
      </c>
      <c r="Q168" s="232">
        <f>Q167+LN(1+INDEX('Additional data'!$H$2:$H$1196,MATCH(N168,'Additional data'!$G$2:$G$1196,1))+INDEX('Additional data'!$I$2:$I$1196,MATCH(N168,'Additional data'!$G$2:$G$1196,1)))</f>
        <v>0.84455437464674876</v>
      </c>
      <c r="R168" s="77"/>
      <c r="S168" s="116">
        <f>INDEX('Additional data'!$E$2:$E$699,MATCH(DATE(YEAR(N168),MONTH(N168),1),'Additional data'!$D$2:$D$699,0))</f>
        <v>15.72</v>
      </c>
      <c r="T168" s="115">
        <f t="shared" si="27"/>
        <v>0</v>
      </c>
      <c r="U168" s="115">
        <f t="shared" si="28"/>
        <v>-5.9113264492506534E-2</v>
      </c>
      <c r="V168" s="77"/>
      <c r="W168" s="116">
        <f t="shared" si="29"/>
        <v>0.33000000000000007</v>
      </c>
      <c r="X168" s="115">
        <f t="shared" si="30"/>
        <v>-5.4067221270275745E-2</v>
      </c>
      <c r="Y168" s="115">
        <f t="shared" si="31"/>
        <v>7.0031432982748498E-2</v>
      </c>
      <c r="Z168" s="77"/>
      <c r="AA168" s="116">
        <f t="shared" si="32"/>
        <v>3.3900000000000006</v>
      </c>
      <c r="AB168" s="115">
        <f t="shared" si="23"/>
        <v>1.084545031456674</v>
      </c>
      <c r="AC168" s="115">
        <f t="shared" si="24"/>
        <v>0.56910713379847966</v>
      </c>
      <c r="AD168" s="77"/>
      <c r="AE168" s="235">
        <f t="shared" si="25"/>
        <v>6.3600000000000012</v>
      </c>
    </row>
    <row r="169" spans="14:31" x14ac:dyDescent="0.2">
      <c r="N169" s="337">
        <v>29859</v>
      </c>
      <c r="O169" s="116">
        <f>INDEX('Additional data'!$B$2:$B$965,MATCH(DATE(YEAR(N169),MONTH(N169),1),'Additional data'!$A$2:$A$965,0))</f>
        <v>36</v>
      </c>
      <c r="P169" s="232">
        <f t="shared" si="26"/>
        <v>3.5835189384561099</v>
      </c>
      <c r="Q169" s="232">
        <f>Q168+LN(1+INDEX('Additional data'!$H$2:$H$1196,MATCH(N169,'Additional data'!$G$2:$G$1196,1))+INDEX('Additional data'!$I$2:$I$1196,MATCH(N169,'Additional data'!$G$2:$G$1196,1)))</f>
        <v>0.78321074440569682</v>
      </c>
      <c r="R169" s="77"/>
      <c r="S169" s="116">
        <f>INDEX('Additional data'!$E$2:$E$699,MATCH(DATE(YEAR(N169),MONTH(N169),1),'Additional data'!$D$2:$D$699,0))</f>
        <v>15.35</v>
      </c>
      <c r="T169" s="115">
        <f t="shared" si="27"/>
        <v>0</v>
      </c>
      <c r="U169" s="115">
        <f t="shared" si="28"/>
        <v>-6.1343630241051939E-2</v>
      </c>
      <c r="V169" s="77"/>
      <c r="W169" s="116">
        <f t="shared" si="29"/>
        <v>-0.37000000000000099</v>
      </c>
      <c r="X169" s="115">
        <f t="shared" si="30"/>
        <v>0</v>
      </c>
      <c r="Y169" s="115">
        <f t="shared" si="31"/>
        <v>-2.0288305494820635E-2</v>
      </c>
      <c r="Z169" s="77"/>
      <c r="AA169" s="116">
        <f t="shared" si="32"/>
        <v>3.66</v>
      </c>
      <c r="AB169" s="115">
        <f t="shared" si="23"/>
        <v>0.95163009831946388</v>
      </c>
      <c r="AC169" s="115">
        <f t="shared" si="24"/>
        <v>0.48307089096705624</v>
      </c>
      <c r="AD169" s="77"/>
      <c r="AE169" s="235">
        <f t="shared" si="25"/>
        <v>6.0399999999999991</v>
      </c>
    </row>
    <row r="170" spans="14:31" x14ac:dyDescent="0.2">
      <c r="N170" s="337">
        <v>29890</v>
      </c>
      <c r="O170" s="116">
        <f>INDEX('Additional data'!$B$2:$B$965,MATCH(DATE(YEAR(N170),MONTH(N170),1),'Additional data'!$A$2:$A$965,0))</f>
        <v>35</v>
      </c>
      <c r="P170" s="232">
        <f t="shared" si="26"/>
        <v>3.5553480614894135</v>
      </c>
      <c r="Q170" s="232">
        <f>Q169+LN(1+INDEX('Additional data'!$H$2:$H$1196,MATCH(N170,'Additional data'!$G$2:$G$1196,1))+INDEX('Additional data'!$I$2:$I$1196,MATCH(N170,'Additional data'!$G$2:$G$1196,1)))</f>
        <v>0.84270531619133648</v>
      </c>
      <c r="R170" s="77"/>
      <c r="S170" s="116">
        <f>INDEX('Additional data'!$E$2:$E$699,MATCH(DATE(YEAR(N170),MONTH(N170),1),'Additional data'!$D$2:$D$699,0))</f>
        <v>14.69</v>
      </c>
      <c r="T170" s="115">
        <f t="shared" si="27"/>
        <v>-2.8170876966696401E-2</v>
      </c>
      <c r="U170" s="115">
        <f t="shared" si="28"/>
        <v>5.9494571785639661E-2</v>
      </c>
      <c r="V170" s="77"/>
      <c r="W170" s="116">
        <f t="shared" si="29"/>
        <v>-0.66000000000000014</v>
      </c>
      <c r="X170" s="115">
        <f t="shared" si="30"/>
        <v>-2.8170876966696401E-2</v>
      </c>
      <c r="Y170" s="115">
        <f t="shared" si="31"/>
        <v>1.9501683016483584E-2</v>
      </c>
      <c r="Z170" s="77"/>
      <c r="AA170" s="116">
        <f t="shared" si="32"/>
        <v>3.4699999999999989</v>
      </c>
      <c r="AB170" s="115">
        <f t="shared" si="23"/>
        <v>0.92345922135276748</v>
      </c>
      <c r="AC170" s="115">
        <f t="shared" si="24"/>
        <v>0.5628702160930602</v>
      </c>
      <c r="AD170" s="77"/>
      <c r="AE170" s="235">
        <f t="shared" si="25"/>
        <v>5.629999999999999</v>
      </c>
    </row>
    <row r="171" spans="14:31" x14ac:dyDescent="0.2">
      <c r="N171" s="337">
        <v>29920</v>
      </c>
      <c r="O171" s="116">
        <f>INDEX('Additional data'!$B$2:$B$965,MATCH(DATE(YEAR(N171),MONTH(N171),1),'Additional data'!$A$2:$A$965,0))</f>
        <v>36</v>
      </c>
      <c r="P171" s="232">
        <f t="shared" si="26"/>
        <v>3.5835189384561099</v>
      </c>
      <c r="Q171" s="232">
        <f>Q170+LN(1+INDEX('Additional data'!$H$2:$H$1196,MATCH(N171,'Additional data'!$G$2:$G$1196,1))+INDEX('Additional data'!$I$2:$I$1196,MATCH(N171,'Additional data'!$G$2:$G$1196,1)))</f>
        <v>0.88643507905266172</v>
      </c>
      <c r="R171" s="77"/>
      <c r="S171" s="116">
        <f>INDEX('Additional data'!$E$2:$E$699,MATCH(DATE(YEAR(N171),MONTH(N171),1),'Additional data'!$D$2:$D$699,0))</f>
        <v>14.62</v>
      </c>
      <c r="T171" s="115">
        <f t="shared" si="27"/>
        <v>2.8170876966696401E-2</v>
      </c>
      <c r="U171" s="115">
        <f t="shared" si="28"/>
        <v>4.3729762861325239E-2</v>
      </c>
      <c r="V171" s="77"/>
      <c r="W171" s="116">
        <f t="shared" si="29"/>
        <v>-7.0000000000000284E-2</v>
      </c>
      <c r="X171" s="115">
        <f t="shared" si="30"/>
        <v>0</v>
      </c>
      <c r="Y171" s="115">
        <f t="shared" si="31"/>
        <v>-3.7156728153459717E-2</v>
      </c>
      <c r="Z171" s="77"/>
      <c r="AA171" s="116">
        <f t="shared" si="32"/>
        <v>3.3499999999999996</v>
      </c>
      <c r="AB171" s="115">
        <f t="shared" si="23"/>
        <v>0.95163009831946388</v>
      </c>
      <c r="AC171" s="115">
        <f t="shared" si="24"/>
        <v>0.5990287134580673</v>
      </c>
      <c r="AD171" s="77"/>
      <c r="AE171" s="235">
        <f t="shared" si="25"/>
        <v>5.0999999999999996</v>
      </c>
    </row>
    <row r="172" spans="14:31" x14ac:dyDescent="0.2">
      <c r="N172" s="337">
        <v>29951</v>
      </c>
      <c r="O172" s="116">
        <f>INDEX('Additional data'!$B$2:$B$965,MATCH(DATE(YEAR(N172),MONTH(N172),1),'Additional data'!$A$2:$A$965,0))</f>
        <v>35</v>
      </c>
      <c r="P172" s="232">
        <f t="shared" si="26"/>
        <v>3.5553480614894135</v>
      </c>
      <c r="Q172" s="232">
        <f>Q171+LN(1+INDEX('Additional data'!$H$2:$H$1196,MATCH(N172,'Additional data'!$G$2:$G$1196,1))+INDEX('Additional data'!$I$2:$I$1196,MATCH(N172,'Additional data'!$G$2:$G$1196,1)))</f>
        <v>0.85844704251249304</v>
      </c>
      <c r="R172" s="77"/>
      <c r="S172" s="116">
        <f>INDEX('Additional data'!$E$2:$E$699,MATCH(DATE(YEAR(N172),MONTH(N172),1),'Additional data'!$D$2:$D$699,0))</f>
        <v>15.54</v>
      </c>
      <c r="T172" s="115">
        <f t="shared" si="27"/>
        <v>-2.8170876966696401E-2</v>
      </c>
      <c r="U172" s="115">
        <f t="shared" si="28"/>
        <v>-2.7988036540168681E-2</v>
      </c>
      <c r="V172" s="77"/>
      <c r="W172" s="116">
        <f t="shared" si="29"/>
        <v>0.91999999999999993</v>
      </c>
      <c r="X172" s="115">
        <f t="shared" si="30"/>
        <v>-5.5569851154810834E-2</v>
      </c>
      <c r="Y172" s="115">
        <f t="shared" si="31"/>
        <v>-3.3137968558541897E-2</v>
      </c>
      <c r="Z172" s="77"/>
      <c r="AA172" s="116">
        <f t="shared" si="32"/>
        <v>3.09</v>
      </c>
      <c r="AB172" s="115">
        <f t="shared" si="23"/>
        <v>0.92345922135276748</v>
      </c>
      <c r="AC172" s="115">
        <f t="shared" si="24"/>
        <v>0.51230018189529858</v>
      </c>
      <c r="AD172" s="77"/>
      <c r="AE172" s="235">
        <f t="shared" si="25"/>
        <v>6.1</v>
      </c>
    </row>
    <row r="173" spans="14:31" x14ac:dyDescent="0.2">
      <c r="N173" s="337">
        <v>29982</v>
      </c>
      <c r="O173" s="116">
        <f>INDEX('Additional data'!$B$2:$B$965,MATCH(DATE(YEAR(N173),MONTH(N173),1),'Additional data'!$A$2:$A$965,0))</f>
        <v>33.85</v>
      </c>
      <c r="P173" s="232">
        <f t="shared" si="26"/>
        <v>3.5219389993582841</v>
      </c>
      <c r="Q173" s="232">
        <f>Q172+LN(1+INDEX('Additional data'!$H$2:$H$1196,MATCH(N173,'Additional data'!$G$2:$G$1196,1))+INDEX('Additional data'!$I$2:$I$1196,MATCH(N173,'Additional data'!$G$2:$G$1196,1)))</f>
        <v>0.83384692564426033</v>
      </c>
      <c r="R173" s="77"/>
      <c r="S173" s="116">
        <f>INDEX('Additional data'!$E$2:$E$699,MATCH(DATE(YEAR(N173),MONTH(N173),1),'Additional data'!$D$2:$D$699,0))</f>
        <v>16.21</v>
      </c>
      <c r="T173" s="115">
        <f t="shared" si="27"/>
        <v>-3.3409062131129375E-2</v>
      </c>
      <c r="U173" s="115">
        <f t="shared" si="28"/>
        <v>-2.4600116868232713E-2</v>
      </c>
      <c r="V173" s="77"/>
      <c r="W173" s="116">
        <f t="shared" si="29"/>
        <v>0.67000000000000171</v>
      </c>
      <c r="X173" s="115">
        <f t="shared" si="30"/>
        <v>-0.11564716036810152</v>
      </c>
      <c r="Y173" s="115">
        <f t="shared" si="31"/>
        <v>-1.6707735868782714E-2</v>
      </c>
      <c r="Z173" s="77"/>
      <c r="AA173" s="116">
        <f t="shared" si="32"/>
        <v>3.6000000000000014</v>
      </c>
      <c r="AB173" s="115">
        <f t="shared" si="23"/>
        <v>0.8900501592216381</v>
      </c>
      <c r="AC173" s="115">
        <f t="shared" si="24"/>
        <v>0.52509045424562495</v>
      </c>
      <c r="AD173" s="77"/>
      <c r="AE173" s="235">
        <f t="shared" si="25"/>
        <v>7.2800000000000011</v>
      </c>
    </row>
    <row r="174" spans="14:31" x14ac:dyDescent="0.2">
      <c r="N174" s="337">
        <v>30010</v>
      </c>
      <c r="O174" s="116">
        <f>INDEX('Additional data'!$B$2:$B$965,MATCH(DATE(YEAR(N174),MONTH(N174),1),'Additional data'!$A$2:$A$965,0))</f>
        <v>31.56</v>
      </c>
      <c r="P174" s="232">
        <f t="shared" si="26"/>
        <v>3.4518904959776733</v>
      </c>
      <c r="Q174" s="232">
        <f>Q173+LN(1+INDEX('Additional data'!$H$2:$H$1196,MATCH(N174,'Additional data'!$G$2:$G$1196,1))+INDEX('Additional data'!$I$2:$I$1196,MATCH(N174,'Additional data'!$G$2:$G$1196,1)))</f>
        <v>0.78318501084203229</v>
      </c>
      <c r="R174" s="77"/>
      <c r="S174" s="116">
        <f>INDEX('Additional data'!$E$2:$E$699,MATCH(DATE(YEAR(N174),MONTH(N174),1),'Additional data'!$D$2:$D$699,0))</f>
        <v>17.12</v>
      </c>
      <c r="T174" s="115">
        <f t="shared" si="27"/>
        <v>-7.004850338061086E-2</v>
      </c>
      <c r="U174" s="115">
        <f t="shared" si="28"/>
        <v>-5.0661914802228036E-2</v>
      </c>
      <c r="V174" s="77"/>
      <c r="W174" s="116">
        <f t="shared" si="29"/>
        <v>0.91000000000000014</v>
      </c>
      <c r="X174" s="115">
        <f t="shared" si="30"/>
        <v>-0.18569566374871238</v>
      </c>
      <c r="Y174" s="115">
        <f t="shared" si="31"/>
        <v>-8.4030091564117892E-2</v>
      </c>
      <c r="Z174" s="77"/>
      <c r="AA174" s="116">
        <f t="shared" si="32"/>
        <v>3.7600000000000016</v>
      </c>
      <c r="AB174" s="115">
        <f t="shared" si="23"/>
        <v>0.82000165584102724</v>
      </c>
      <c r="AC174" s="115">
        <f t="shared" si="24"/>
        <v>0.49045630052059408</v>
      </c>
      <c r="AD174" s="77"/>
      <c r="AE174" s="235">
        <f t="shared" si="25"/>
        <v>7.8100000000000005</v>
      </c>
    </row>
    <row r="175" spans="14:31" x14ac:dyDescent="0.2">
      <c r="N175" s="337">
        <v>30041</v>
      </c>
      <c r="O175" s="116">
        <f>INDEX('Additional data'!$B$2:$B$965,MATCH(DATE(YEAR(N175),MONTH(N175),1),'Additional data'!$A$2:$A$965,0))</f>
        <v>28.48</v>
      </c>
      <c r="P175" s="232">
        <f t="shared" si="26"/>
        <v>3.3492020865437748</v>
      </c>
      <c r="Q175" s="232">
        <f>Q174+LN(1+INDEX('Additional data'!$H$2:$H$1196,MATCH(N175,'Additional data'!$G$2:$G$1196,1))+INDEX('Additional data'!$I$2:$I$1196,MATCH(N175,'Additional data'!$G$2:$G$1196,1)))</f>
        <v>0.77474953202093066</v>
      </c>
      <c r="R175" s="77"/>
      <c r="S175" s="116">
        <f>INDEX('Additional data'!$E$2:$E$699,MATCH(DATE(YEAR(N175),MONTH(N175),1),'Additional data'!$D$2:$D$699,0))</f>
        <v>18.89</v>
      </c>
      <c r="T175" s="115">
        <f t="shared" si="27"/>
        <v>-0.10268840943389845</v>
      </c>
      <c r="U175" s="115">
        <f t="shared" si="28"/>
        <v>-8.4354788211016274E-3</v>
      </c>
      <c r="V175" s="77"/>
      <c r="W175" s="116">
        <f t="shared" si="29"/>
        <v>1.7699999999999996</v>
      </c>
      <c r="X175" s="115">
        <f t="shared" si="30"/>
        <v>-0.28838407318261083</v>
      </c>
      <c r="Y175" s="115">
        <f t="shared" si="31"/>
        <v>-0.14011222385257249</v>
      </c>
      <c r="Z175" s="77"/>
      <c r="AA175" s="116">
        <f t="shared" si="32"/>
        <v>4.26</v>
      </c>
      <c r="AB175" s="115">
        <f t="shared" si="23"/>
        <v>0.71731324640712879</v>
      </c>
      <c r="AC175" s="115">
        <f t="shared" si="24"/>
        <v>0.49176817315437243</v>
      </c>
      <c r="AD175" s="77"/>
      <c r="AE175" s="235">
        <f t="shared" si="25"/>
        <v>9.16</v>
      </c>
    </row>
    <row r="176" spans="14:31" x14ac:dyDescent="0.2">
      <c r="N176" s="337">
        <v>30071</v>
      </c>
      <c r="O176" s="116">
        <f>INDEX('Additional data'!$B$2:$B$965,MATCH(DATE(YEAR(N176),MONTH(N176),1),'Additional data'!$A$2:$A$965,0))</f>
        <v>33.450000000000003</v>
      </c>
      <c r="P176" s="232">
        <f t="shared" si="26"/>
        <v>3.5100517865742376</v>
      </c>
      <c r="Q176" s="232">
        <f>Q175+LN(1+INDEX('Additional data'!$H$2:$H$1196,MATCH(N176,'Additional data'!$G$2:$G$1196,1))+INDEX('Additional data'!$I$2:$I$1196,MATCH(N176,'Additional data'!$G$2:$G$1196,1)))</f>
        <v>0.81752162386479976</v>
      </c>
      <c r="R176" s="77"/>
      <c r="S176" s="116">
        <f>INDEX('Additional data'!$E$2:$E$699,MATCH(DATE(YEAR(N176),MONTH(N176),1),'Additional data'!$D$2:$D$699,0))</f>
        <v>21.39</v>
      </c>
      <c r="T176" s="115">
        <f t="shared" si="27"/>
        <v>0.16084970003046273</v>
      </c>
      <c r="U176" s="115">
        <f t="shared" si="28"/>
        <v>4.2772091843869098E-2</v>
      </c>
      <c r="V176" s="77"/>
      <c r="W176" s="116">
        <f t="shared" si="29"/>
        <v>2.5</v>
      </c>
      <c r="X176" s="115">
        <f t="shared" si="30"/>
        <v>-0.12753437315214811</v>
      </c>
      <c r="Y176" s="115">
        <f t="shared" si="31"/>
        <v>-8.6481388673827597E-2</v>
      </c>
      <c r="Z176" s="77"/>
      <c r="AA176" s="116">
        <f t="shared" si="32"/>
        <v>4.6999999999999993</v>
      </c>
      <c r="AB176" s="115">
        <f t="shared" si="23"/>
        <v>0.87816294643759152</v>
      </c>
      <c r="AC176" s="115">
        <f t="shared" si="24"/>
        <v>0.52925426056900404</v>
      </c>
      <c r="AD176" s="77"/>
      <c r="AE176" s="235">
        <f t="shared" si="25"/>
        <v>10.530000000000001</v>
      </c>
    </row>
    <row r="177" spans="14:31" x14ac:dyDescent="0.2">
      <c r="N177" s="337">
        <v>30102</v>
      </c>
      <c r="O177" s="116">
        <f>INDEX('Additional data'!$B$2:$B$965,MATCH(DATE(YEAR(N177),MONTH(N177),1),'Additional data'!$A$2:$A$965,0))</f>
        <v>35.93</v>
      </c>
      <c r="P177" s="232">
        <f t="shared" si="26"/>
        <v>3.5815726011254272</v>
      </c>
      <c r="Q177" s="232">
        <f>Q176+LN(1+INDEX('Additional data'!$H$2:$H$1196,MATCH(N177,'Additional data'!$G$2:$G$1196,1))+INDEX('Additional data'!$I$2:$I$1196,MATCH(N177,'Additional data'!$G$2:$G$1196,1)))</f>
        <v>0.78840172529094765</v>
      </c>
      <c r="R177" s="77"/>
      <c r="S177" s="116">
        <f>INDEX('Additional data'!$E$2:$E$699,MATCH(DATE(YEAR(N177),MONTH(N177),1),'Additional data'!$D$2:$D$699,0))</f>
        <v>18.45</v>
      </c>
      <c r="T177" s="115">
        <f t="shared" si="27"/>
        <v>7.1520814551189638E-2</v>
      </c>
      <c r="U177" s="115">
        <f t="shared" si="28"/>
        <v>-2.911989857385211E-2</v>
      </c>
      <c r="V177" s="77"/>
      <c r="W177" s="116">
        <f t="shared" si="29"/>
        <v>-2.9400000000000013</v>
      </c>
      <c r="X177" s="115">
        <f t="shared" si="30"/>
        <v>-5.6013558600958469E-2</v>
      </c>
      <c r="Y177" s="115">
        <f t="shared" si="31"/>
        <v>-0.12832005965545457</v>
      </c>
      <c r="Z177" s="77"/>
      <c r="AA177" s="116">
        <f t="shared" si="32"/>
        <v>2.1699999999999982</v>
      </c>
      <c r="AB177" s="115">
        <f t="shared" si="23"/>
        <v>0.94968376098878116</v>
      </c>
      <c r="AC177" s="115">
        <f t="shared" si="24"/>
        <v>0.51119530935457691</v>
      </c>
      <c r="AD177" s="77"/>
      <c r="AE177" s="235">
        <f t="shared" si="25"/>
        <v>7.51</v>
      </c>
    </row>
    <row r="178" spans="14:31" x14ac:dyDescent="0.2">
      <c r="N178" s="337">
        <v>30132</v>
      </c>
      <c r="O178" s="116">
        <f>INDEX('Additional data'!$B$2:$B$965,MATCH(DATE(YEAR(N178),MONTH(N178),1),'Additional data'!$A$2:$A$965,0))</f>
        <v>35.07</v>
      </c>
      <c r="P178" s="232">
        <f t="shared" si="26"/>
        <v>3.5573460641520867</v>
      </c>
      <c r="Q178" s="232">
        <f>Q177+LN(1+INDEX('Additional data'!$H$2:$H$1196,MATCH(N178,'Additional data'!$G$2:$G$1196,1))+INDEX('Additional data'!$I$2:$I$1196,MATCH(N178,'Additional data'!$G$2:$G$1196,1)))</f>
        <v>0.76697377787732723</v>
      </c>
      <c r="R178" s="77"/>
      <c r="S178" s="116">
        <f>INDEX('Additional data'!$E$2:$E$699,MATCH(DATE(YEAR(N178),MONTH(N178),1),'Additional data'!$D$2:$D$699,0))</f>
        <v>18.57</v>
      </c>
      <c r="T178" s="115">
        <f t="shared" si="27"/>
        <v>-2.422653697334054E-2</v>
      </c>
      <c r="U178" s="115">
        <f t="shared" si="28"/>
        <v>-2.1427947413620418E-2</v>
      </c>
      <c r="V178" s="77"/>
      <c r="W178" s="116">
        <f t="shared" si="29"/>
        <v>0.12000000000000099</v>
      </c>
      <c r="X178" s="115">
        <f t="shared" si="30"/>
        <v>-2.6172874304023264E-2</v>
      </c>
      <c r="Y178" s="115">
        <f t="shared" si="31"/>
        <v>-0.13979867621540687</v>
      </c>
      <c r="Z178" s="77"/>
      <c r="AA178" s="116">
        <f t="shared" si="32"/>
        <v>2.99</v>
      </c>
      <c r="AB178" s="115">
        <f t="shared" si="23"/>
        <v>0.92545722401544062</v>
      </c>
      <c r="AC178" s="115">
        <f t="shared" si="24"/>
        <v>0.43983499319274755</v>
      </c>
      <c r="AD178" s="77"/>
      <c r="AE178" s="235">
        <f t="shared" si="25"/>
        <v>7.620000000000001</v>
      </c>
    </row>
    <row r="179" spans="14:31" x14ac:dyDescent="0.2">
      <c r="N179" s="337">
        <v>30163</v>
      </c>
      <c r="O179" s="116">
        <f>INDEX('Additional data'!$B$2:$B$965,MATCH(DATE(YEAR(N179),MONTH(N179),1),'Additional data'!$A$2:$A$965,0))</f>
        <v>34.159999999999997</v>
      </c>
      <c r="P179" s="232">
        <f t="shared" si="26"/>
        <v>3.5310553689203692</v>
      </c>
      <c r="Q179" s="232">
        <f>Q178+LN(1+INDEX('Additional data'!$H$2:$H$1196,MATCH(N179,'Additional data'!$G$2:$G$1196,1))+INDEX('Additional data'!$I$2:$I$1196,MATCH(N179,'Additional data'!$G$2:$G$1196,1)))</f>
        <v>0.74523928573132103</v>
      </c>
      <c r="R179" s="77"/>
      <c r="S179" s="116">
        <f>INDEX('Additional data'!$E$2:$E$699,MATCH(DATE(YEAR(N179),MONTH(N179),1),'Additional data'!$D$2:$D$699,0))</f>
        <v>17.29</v>
      </c>
      <c r="T179" s="115">
        <f t="shared" si="27"/>
        <v>-2.6290695231717454E-2</v>
      </c>
      <c r="U179" s="115">
        <f t="shared" si="28"/>
        <v>-2.1734492146006201E-2</v>
      </c>
      <c r="V179" s="77"/>
      <c r="W179" s="116">
        <f t="shared" si="29"/>
        <v>-1.2800000000000011</v>
      </c>
      <c r="X179" s="115">
        <f t="shared" si="30"/>
        <v>-5.2463569535740717E-2</v>
      </c>
      <c r="Y179" s="115">
        <f t="shared" si="31"/>
        <v>-0.15842835340793426</v>
      </c>
      <c r="Z179" s="77"/>
      <c r="AA179" s="116">
        <f t="shared" si="32"/>
        <v>1.8999999999999986</v>
      </c>
      <c r="AB179" s="115">
        <f t="shared" si="23"/>
        <v>0.89916652878372316</v>
      </c>
      <c r="AC179" s="115">
        <f t="shared" si="24"/>
        <v>0.43088183541147451</v>
      </c>
      <c r="AD179" s="77"/>
      <c r="AE179" s="235">
        <f t="shared" si="25"/>
        <v>6.5699999999999985</v>
      </c>
    </row>
    <row r="180" spans="14:31" x14ac:dyDescent="0.2">
      <c r="N180" s="337">
        <v>30194</v>
      </c>
      <c r="O180" s="116">
        <f>INDEX('Additional data'!$B$2:$B$965,MATCH(DATE(YEAR(N180),MONTH(N180),1),'Additional data'!$A$2:$A$965,0))</f>
        <v>33.950000000000003</v>
      </c>
      <c r="P180" s="232">
        <f t="shared" si="26"/>
        <v>3.5248888540047054</v>
      </c>
      <c r="Q180" s="232">
        <f>Q179+LN(1+INDEX('Additional data'!$H$2:$H$1196,MATCH(N180,'Additional data'!$G$2:$G$1196,1))+INDEX('Additional data'!$I$2:$I$1196,MATCH(N180,'Additional data'!$G$2:$G$1196,1)))</f>
        <v>0.85847868133783189</v>
      </c>
      <c r="R180" s="77"/>
      <c r="S180" s="116">
        <f>INDEX('Additional data'!$E$2:$E$699,MATCH(DATE(YEAR(N180),MONTH(N180),1),'Additional data'!$D$2:$D$699,0))</f>
        <v>17.170000000000002</v>
      </c>
      <c r="T180" s="115">
        <f t="shared" si="27"/>
        <v>-6.1665149156637789E-3</v>
      </c>
      <c r="U180" s="115">
        <f t="shared" si="28"/>
        <v>0.11323939560651086</v>
      </c>
      <c r="V180" s="77"/>
      <c r="W180" s="116">
        <f t="shared" si="29"/>
        <v>-0.11999999999999744</v>
      </c>
      <c r="X180" s="115">
        <f t="shared" si="30"/>
        <v>-5.8630084451404496E-2</v>
      </c>
      <c r="Y180" s="115">
        <f t="shared" si="31"/>
        <v>1.3924306691083133E-2</v>
      </c>
      <c r="Z180" s="77"/>
      <c r="AA180" s="116">
        <f t="shared" si="32"/>
        <v>1.4500000000000011</v>
      </c>
      <c r="AB180" s="115">
        <f t="shared" si="23"/>
        <v>0.82688898875599692</v>
      </c>
      <c r="AC180" s="115">
        <f t="shared" si="24"/>
        <v>0.55740912534492071</v>
      </c>
      <c r="AD180" s="77"/>
      <c r="AE180" s="235">
        <f t="shared" si="25"/>
        <v>6.2700000000000014</v>
      </c>
    </row>
    <row r="181" spans="14:31" x14ac:dyDescent="0.2">
      <c r="N181" s="337">
        <v>30224</v>
      </c>
      <c r="O181" s="116">
        <f>INDEX('Additional data'!$B$2:$B$965,MATCH(DATE(YEAR(N181),MONTH(N181),1),'Additional data'!$A$2:$A$965,0))</f>
        <v>35.630000000000003</v>
      </c>
      <c r="P181" s="232">
        <f t="shared" si="26"/>
        <v>3.5731879796177446</v>
      </c>
      <c r="Q181" s="232">
        <f>Q180+LN(1+INDEX('Additional data'!$H$2:$H$1196,MATCH(N181,'Additional data'!$G$2:$G$1196,1))+INDEX('Additional data'!$I$2:$I$1196,MATCH(N181,'Additional data'!$G$2:$G$1196,1)))</f>
        <v>0.87651504382393064</v>
      </c>
      <c r="R181" s="77"/>
      <c r="S181" s="116">
        <f>INDEX('Additional data'!$E$2:$E$699,MATCH(DATE(YEAR(N181),MONTH(N181),1),'Additional data'!$D$2:$D$699,0))</f>
        <v>15.46</v>
      </c>
      <c r="T181" s="115">
        <f t="shared" si="27"/>
        <v>4.8299125613039173E-2</v>
      </c>
      <c r="U181" s="115">
        <f t="shared" si="28"/>
        <v>1.8036362486098745E-2</v>
      </c>
      <c r="V181" s="77"/>
      <c r="W181" s="116">
        <f t="shared" si="29"/>
        <v>-1.7100000000000009</v>
      </c>
      <c r="X181" s="115">
        <f t="shared" si="30"/>
        <v>-1.0330958838365323E-2</v>
      </c>
      <c r="Y181" s="115">
        <f t="shared" si="31"/>
        <v>9.3304299418233816E-2</v>
      </c>
      <c r="Z181" s="77"/>
      <c r="AA181" s="116">
        <f t="shared" si="32"/>
        <v>0.11000000000000121</v>
      </c>
      <c r="AB181" s="115">
        <f t="shared" si="23"/>
        <v>0.8751881143690361</v>
      </c>
      <c r="AC181" s="115">
        <f t="shared" si="24"/>
        <v>0.57384676646732236</v>
      </c>
      <c r="AD181" s="77"/>
      <c r="AE181" s="235">
        <f t="shared" si="25"/>
        <v>5.0300000000000011</v>
      </c>
    </row>
    <row r="182" spans="14:31" x14ac:dyDescent="0.2">
      <c r="N182" s="337">
        <v>30255</v>
      </c>
      <c r="O182" s="116">
        <f>INDEX('Additional data'!$B$2:$B$965,MATCH(DATE(YEAR(N182),MONTH(N182),1),'Additional data'!$A$2:$A$965,0))</f>
        <v>35.68</v>
      </c>
      <c r="P182" s="232">
        <f t="shared" si="26"/>
        <v>3.5745903077118086</v>
      </c>
      <c r="Q182" s="232">
        <f>Q181+LN(1+INDEX('Additional data'!$H$2:$H$1196,MATCH(N182,'Additional data'!$G$2:$G$1196,1))+INDEX('Additional data'!$I$2:$I$1196,MATCH(N182,'Additional data'!$G$2:$G$1196,1)))</f>
        <v>0.98886110365546909</v>
      </c>
      <c r="R182" s="77"/>
      <c r="S182" s="116">
        <f>INDEX('Additional data'!$E$2:$E$699,MATCH(DATE(YEAR(N182),MONTH(N182),1),'Additional data'!$D$2:$D$699,0))</f>
        <v>14.57</v>
      </c>
      <c r="T182" s="115">
        <f t="shared" si="27"/>
        <v>1.4023280940640426E-3</v>
      </c>
      <c r="U182" s="115">
        <f t="shared" si="28"/>
        <v>0.11234605983153845</v>
      </c>
      <c r="V182" s="77"/>
      <c r="W182" s="116">
        <f t="shared" si="29"/>
        <v>-0.89000000000000057</v>
      </c>
      <c r="X182" s="115">
        <f t="shared" si="30"/>
        <v>1.9242246222395121E-2</v>
      </c>
      <c r="Y182" s="115">
        <f t="shared" si="31"/>
        <v>0.1461557874641326</v>
      </c>
      <c r="Z182" s="77"/>
      <c r="AA182" s="116">
        <f t="shared" si="32"/>
        <v>-0.11999999999999922</v>
      </c>
      <c r="AB182" s="115">
        <f t="shared" si="23"/>
        <v>0.87659044246310014</v>
      </c>
      <c r="AC182" s="115">
        <f t="shared" si="24"/>
        <v>0.72597369631070552</v>
      </c>
      <c r="AD182" s="77"/>
      <c r="AE182" s="235">
        <f t="shared" si="25"/>
        <v>4.5500000000000007</v>
      </c>
    </row>
    <row r="183" spans="14:31" x14ac:dyDescent="0.2">
      <c r="N183" s="337">
        <v>30285</v>
      </c>
      <c r="O183" s="116">
        <f>INDEX('Additional data'!$B$2:$B$965,MATCH(DATE(YEAR(N183),MONTH(N183),1),'Additional data'!$A$2:$A$965,0))</f>
        <v>34.15</v>
      </c>
      <c r="P183" s="232">
        <f t="shared" si="26"/>
        <v>3.5307625860167988</v>
      </c>
      <c r="Q183" s="232">
        <f>Q182+LN(1+INDEX('Additional data'!$H$2:$H$1196,MATCH(N183,'Additional data'!$G$2:$G$1196,1))+INDEX('Additional data'!$I$2:$I$1196,MATCH(N183,'Additional data'!$G$2:$G$1196,1)))</f>
        <v>1.0405992990598834</v>
      </c>
      <c r="R183" s="77"/>
      <c r="S183" s="116">
        <f>INDEX('Additional data'!$E$2:$E$699,MATCH(DATE(YEAR(N183),MONTH(N183),1),'Additional data'!$D$2:$D$699,0))</f>
        <v>14.76</v>
      </c>
      <c r="T183" s="115">
        <f t="shared" si="27"/>
        <v>-4.3827721695009814E-2</v>
      </c>
      <c r="U183" s="115">
        <f t="shared" si="28"/>
        <v>5.1738195404414267E-2</v>
      </c>
      <c r="V183" s="77"/>
      <c r="W183" s="116">
        <f t="shared" si="29"/>
        <v>0.1899999999999995</v>
      </c>
      <c r="X183" s="115">
        <f t="shared" si="30"/>
        <v>-5.2756352439311094E-2</v>
      </c>
      <c r="Y183" s="115">
        <f t="shared" si="31"/>
        <v>0.15416422000722163</v>
      </c>
      <c r="Z183" s="77"/>
      <c r="AA183" s="116">
        <f t="shared" si="32"/>
        <v>0.14000000000000057</v>
      </c>
      <c r="AB183" s="115">
        <f t="shared" si="23"/>
        <v>0.83276272076809033</v>
      </c>
      <c r="AC183" s="115">
        <f t="shared" si="24"/>
        <v>0.7336950062983455</v>
      </c>
      <c r="AD183" s="77"/>
      <c r="AE183" s="235">
        <f t="shared" si="25"/>
        <v>4.75</v>
      </c>
    </row>
    <row r="184" spans="14:31" x14ac:dyDescent="0.2">
      <c r="N184" s="337">
        <v>30316</v>
      </c>
      <c r="O184" s="116">
        <f>INDEX('Additional data'!$B$2:$B$965,MATCH(DATE(YEAR(N184),MONTH(N184),1),'Additional data'!$A$2:$A$965,0))</f>
        <v>31.72</v>
      </c>
      <c r="P184" s="232">
        <f t="shared" si="26"/>
        <v>3.4569473967666471</v>
      </c>
      <c r="Q184" s="232">
        <f>Q183+LN(1+INDEX('Additional data'!$H$2:$H$1196,MATCH(N184,'Additional data'!$G$2:$G$1196,1))+INDEX('Additional data'!$I$2:$I$1196,MATCH(N184,'Additional data'!$G$2:$G$1196,1)))</f>
        <v>1.0528242686824523</v>
      </c>
      <c r="R184" s="77"/>
      <c r="S184" s="116">
        <f>INDEX('Additional data'!$E$2:$E$699,MATCH(DATE(YEAR(N184),MONTH(N184),1),'Additional data'!$D$2:$D$699,0))</f>
        <v>12.13</v>
      </c>
      <c r="T184" s="115">
        <f t="shared" si="27"/>
        <v>-7.3815189250151736E-2</v>
      </c>
      <c r="U184" s="115">
        <f t="shared" si="28"/>
        <v>1.2224969622568915E-2</v>
      </c>
      <c r="V184" s="77"/>
      <c r="W184" s="116">
        <f t="shared" si="29"/>
        <v>-2.629999999999999</v>
      </c>
      <c r="X184" s="115">
        <f t="shared" si="30"/>
        <v>-9.8400664722766429E-2</v>
      </c>
      <c r="Y184" s="115">
        <f t="shared" si="31"/>
        <v>0.19437722616995923</v>
      </c>
      <c r="Z184" s="77"/>
      <c r="AA184" s="116">
        <f t="shared" si="32"/>
        <v>-3.4099999999999984</v>
      </c>
      <c r="AB184" s="115">
        <f t="shared" si="23"/>
        <v>0.75894753151793859</v>
      </c>
      <c r="AC184" s="115">
        <f t="shared" si="24"/>
        <v>0.73834871042459649</v>
      </c>
      <c r="AD184" s="77"/>
      <c r="AE184" s="235">
        <f t="shared" si="25"/>
        <v>2.3800000000000008</v>
      </c>
    </row>
    <row r="185" spans="14:31" x14ac:dyDescent="0.2">
      <c r="N185" s="337">
        <v>30347</v>
      </c>
      <c r="O185" s="116">
        <f>INDEX('Additional data'!$B$2:$B$965,MATCH(DATE(YEAR(N185),MONTH(N185),1),'Additional data'!$A$2:$A$965,0))</f>
        <v>31.19</v>
      </c>
      <c r="P185" s="232">
        <f t="shared" si="26"/>
        <v>3.4400975306197119</v>
      </c>
      <c r="Q185" s="232">
        <f>Q184+LN(1+INDEX('Additional data'!$H$2:$H$1196,MATCH(N185,'Additional data'!$G$2:$G$1196,1))+INDEX('Additional data'!$I$2:$I$1196,MATCH(N185,'Additional data'!$G$2:$G$1196,1)))</f>
        <v>1.0947336717596619</v>
      </c>
      <c r="R185" s="77"/>
      <c r="S185" s="116">
        <f>INDEX('Additional data'!$E$2:$E$699,MATCH(DATE(YEAR(N185),MONTH(N185),1),'Additional data'!$D$2:$D$699,0))</f>
        <v>10.65</v>
      </c>
      <c r="T185" s="115">
        <f t="shared" si="27"/>
        <v>-1.6849866146935177E-2</v>
      </c>
      <c r="U185" s="115">
        <f t="shared" si="28"/>
        <v>4.1909403077209584E-2</v>
      </c>
      <c r="V185" s="77"/>
      <c r="W185" s="116">
        <f t="shared" si="29"/>
        <v>-1.4800000000000004</v>
      </c>
      <c r="X185" s="115">
        <f t="shared" si="30"/>
        <v>-8.1841468738572232E-2</v>
      </c>
      <c r="Y185" s="115">
        <f t="shared" si="31"/>
        <v>0.26088674611540152</v>
      </c>
      <c r="Z185" s="77"/>
      <c r="AA185" s="116">
        <f t="shared" si="32"/>
        <v>-5.5600000000000005</v>
      </c>
      <c r="AB185" s="115">
        <f t="shared" si="23"/>
        <v>0.74209766537100341</v>
      </c>
      <c r="AC185" s="115">
        <f t="shared" si="24"/>
        <v>0.83693429069536296</v>
      </c>
      <c r="AD185" s="77"/>
      <c r="AE185" s="235">
        <f t="shared" si="25"/>
        <v>1.1600000000000001</v>
      </c>
    </row>
    <row r="186" spans="14:31" x14ac:dyDescent="0.2">
      <c r="N186" s="337">
        <v>30375</v>
      </c>
      <c r="O186" s="116">
        <f>INDEX('Additional data'!$B$2:$B$965,MATCH(DATE(YEAR(N186),MONTH(N186),1),'Additional data'!$A$2:$A$965,0))</f>
        <v>28.95</v>
      </c>
      <c r="P186" s="232">
        <f t="shared" si="26"/>
        <v>3.3655702040190043</v>
      </c>
      <c r="Q186" s="232">
        <f>Q185+LN(1+INDEX('Additional data'!$H$2:$H$1196,MATCH(N186,'Additional data'!$G$2:$G$1196,1))+INDEX('Additional data'!$I$2:$I$1196,MATCH(N186,'Additional data'!$G$2:$G$1196,1)))</f>
        <v>1.1263292333494124</v>
      </c>
      <c r="R186" s="77"/>
      <c r="S186" s="116">
        <f>INDEX('Additional data'!$E$2:$E$699,MATCH(DATE(YEAR(N186),MONTH(N186),1),'Additional data'!$D$2:$D$699,0))</f>
        <v>13.77</v>
      </c>
      <c r="T186" s="115">
        <f t="shared" si="27"/>
        <v>-7.45273266007076E-2</v>
      </c>
      <c r="U186" s="115">
        <f t="shared" si="28"/>
        <v>3.159556158975052E-2</v>
      </c>
      <c r="V186" s="77"/>
      <c r="W186" s="116">
        <f t="shared" si="29"/>
        <v>3.1199999999999992</v>
      </c>
      <c r="X186" s="115">
        <f t="shared" si="30"/>
        <v>-8.6320291958668971E-2</v>
      </c>
      <c r="Y186" s="115">
        <f t="shared" si="31"/>
        <v>0.34314422250738008</v>
      </c>
      <c r="Z186" s="77"/>
      <c r="AA186" s="116">
        <f t="shared" si="32"/>
        <v>-3.3500000000000014</v>
      </c>
      <c r="AB186" s="115">
        <f t="shared" si="23"/>
        <v>0.66757033877029581</v>
      </c>
      <c r="AC186" s="115">
        <f t="shared" si="24"/>
        <v>0.87787336728826593</v>
      </c>
      <c r="AD186" s="77"/>
      <c r="AE186" s="235">
        <f t="shared" si="25"/>
        <v>4.2199999999999989</v>
      </c>
    </row>
    <row r="187" spans="14:31" x14ac:dyDescent="0.2">
      <c r="N187" s="337">
        <v>30406</v>
      </c>
      <c r="O187" s="116">
        <f>INDEX('Additional data'!$B$2:$B$965,MATCH(DATE(YEAR(N187),MONTH(N187),1),'Additional data'!$A$2:$A$965,0))</f>
        <v>28.82</v>
      </c>
      <c r="P187" s="232">
        <f t="shared" si="26"/>
        <v>3.3610695905713759</v>
      </c>
      <c r="Q187" s="232">
        <f>Q186+LN(1+INDEX('Additional data'!$H$2:$H$1196,MATCH(N187,'Additional data'!$G$2:$G$1196,1))+INDEX('Additional data'!$I$2:$I$1196,MATCH(N187,'Additional data'!$G$2:$G$1196,1)))</f>
        <v>1.160150781824923</v>
      </c>
      <c r="R187" s="77"/>
      <c r="S187" s="116">
        <f>INDEX('Additional data'!$E$2:$E$699,MATCH(DATE(YEAR(N187),MONTH(N187),1),'Additional data'!$D$2:$D$699,0))</f>
        <v>15.26</v>
      </c>
      <c r="T187" s="115">
        <f t="shared" si="27"/>
        <v>-4.500613447628421E-3</v>
      </c>
      <c r="U187" s="115">
        <f t="shared" si="28"/>
        <v>3.3821548475510665E-2</v>
      </c>
      <c r="V187" s="77"/>
      <c r="W187" s="116">
        <f t="shared" si="29"/>
        <v>1.4900000000000002</v>
      </c>
      <c r="X187" s="115">
        <f t="shared" si="30"/>
        <v>1.1867504027601061E-2</v>
      </c>
      <c r="Y187" s="115">
        <f t="shared" si="31"/>
        <v>0.38540124980399237</v>
      </c>
      <c r="Z187" s="77"/>
      <c r="AA187" s="116">
        <f t="shared" si="32"/>
        <v>-3.6300000000000008</v>
      </c>
      <c r="AB187" s="115">
        <f t="shared" si="23"/>
        <v>0.66306972532266739</v>
      </c>
      <c r="AC187" s="115">
        <f t="shared" si="24"/>
        <v>0.87845358198397472</v>
      </c>
      <c r="AD187" s="77"/>
      <c r="AE187" s="235">
        <f t="shared" si="25"/>
        <v>5.2200000000000006</v>
      </c>
    </row>
    <row r="188" spans="14:31" x14ac:dyDescent="0.2">
      <c r="N188" s="337">
        <v>30436</v>
      </c>
      <c r="O188" s="116">
        <f>INDEX('Additional data'!$B$2:$B$965,MATCH(DATE(YEAR(N188),MONTH(N188),1),'Additional data'!$A$2:$A$965,0))</f>
        <v>30.61</v>
      </c>
      <c r="P188" s="232">
        <f t="shared" si="26"/>
        <v>3.421326752957321</v>
      </c>
      <c r="Q188" s="232">
        <f>Q187+LN(1+INDEX('Additional data'!$H$2:$H$1196,MATCH(N188,'Additional data'!$G$2:$G$1196,1))+INDEX('Additional data'!$I$2:$I$1196,MATCH(N188,'Additional data'!$G$2:$G$1196,1)))</f>
        <v>1.231261409282876</v>
      </c>
      <c r="R188" s="77"/>
      <c r="S188" s="116">
        <f>INDEX('Additional data'!$E$2:$E$699,MATCH(DATE(YEAR(N188),MONTH(N188),1),'Additional data'!$D$2:$D$699,0))</f>
        <v>13.92</v>
      </c>
      <c r="T188" s="115">
        <f t="shared" si="27"/>
        <v>6.025716238594514E-2</v>
      </c>
      <c r="U188" s="115">
        <f t="shared" si="28"/>
        <v>7.1110627457952935E-2</v>
      </c>
      <c r="V188" s="77"/>
      <c r="W188" s="116">
        <f t="shared" si="29"/>
        <v>-1.3399999999999999</v>
      </c>
      <c r="X188" s="115">
        <f t="shared" si="30"/>
        <v>-8.8725033616916527E-2</v>
      </c>
      <c r="Y188" s="115">
        <f t="shared" si="31"/>
        <v>0.41373978541807621</v>
      </c>
      <c r="Z188" s="77"/>
      <c r="AA188" s="116">
        <f t="shared" si="32"/>
        <v>-7.4700000000000006</v>
      </c>
      <c r="AB188" s="115">
        <f t="shared" si="23"/>
        <v>0.72332688770861253</v>
      </c>
      <c r="AC188" s="115">
        <f t="shared" si="24"/>
        <v>0.86881405975681858</v>
      </c>
      <c r="AD188" s="77"/>
      <c r="AE188" s="235">
        <f t="shared" si="25"/>
        <v>3.0600000000000005</v>
      </c>
    </row>
    <row r="189" spans="14:31" x14ac:dyDescent="0.2">
      <c r="N189" s="337">
        <v>30467</v>
      </c>
      <c r="O189" s="116">
        <f>INDEX('Additional data'!$B$2:$B$965,MATCH(DATE(YEAR(N189),MONTH(N189),1),'Additional data'!$A$2:$A$965,0))</f>
        <v>30</v>
      </c>
      <c r="P189" s="232">
        <f t="shared" si="26"/>
        <v>3.4011973816621555</v>
      </c>
      <c r="Q189" s="232">
        <f>Q188+LN(1+INDEX('Additional data'!$H$2:$H$1196,MATCH(N189,'Additional data'!$G$2:$G$1196,1))+INDEX('Additional data'!$I$2:$I$1196,MATCH(N189,'Additional data'!$G$2:$G$1196,1)))</f>
        <v>1.2431899801481499</v>
      </c>
      <c r="R189" s="77"/>
      <c r="S189" s="116">
        <f>INDEX('Additional data'!$E$2:$E$699,MATCH(DATE(YEAR(N189),MONTH(N189),1),'Additional data'!$D$2:$D$699,0))</f>
        <v>12.15</v>
      </c>
      <c r="T189" s="115">
        <f t="shared" si="27"/>
        <v>-2.0129371295165566E-2</v>
      </c>
      <c r="U189" s="115">
        <f t="shared" si="28"/>
        <v>1.192857086527388E-2</v>
      </c>
      <c r="V189" s="77"/>
      <c r="W189" s="116">
        <f t="shared" si="29"/>
        <v>-1.7699999999999996</v>
      </c>
      <c r="X189" s="115">
        <f t="shared" si="30"/>
        <v>-0.18037521946327173</v>
      </c>
      <c r="Y189" s="115">
        <f t="shared" si="31"/>
        <v>0.4547882548572022</v>
      </c>
      <c r="Z189" s="77"/>
      <c r="AA189" s="116">
        <f t="shared" si="32"/>
        <v>-6.2999999999999989</v>
      </c>
      <c r="AB189" s="115">
        <f t="shared" si="23"/>
        <v>0.70319751641344697</v>
      </c>
      <c r="AC189" s="115">
        <f t="shared" si="24"/>
        <v>0.85829644179226217</v>
      </c>
      <c r="AD189" s="77"/>
      <c r="AE189" s="235">
        <f t="shared" si="25"/>
        <v>1.5500000000000007</v>
      </c>
    </row>
    <row r="190" spans="14:31" x14ac:dyDescent="0.2">
      <c r="N190" s="337">
        <v>30497</v>
      </c>
      <c r="O190" s="116">
        <f>INDEX('Additional data'!$B$2:$B$965,MATCH(DATE(YEAR(N190),MONTH(N190),1),'Additional data'!$A$2:$A$965,0))</f>
        <v>31</v>
      </c>
      <c r="P190" s="232">
        <f t="shared" si="26"/>
        <v>3.4339872044851463</v>
      </c>
      <c r="Q190" s="232">
        <f>Q189+LN(1+INDEX('Additional data'!$H$2:$H$1196,MATCH(N190,'Additional data'!$G$2:$G$1196,1))+INDEX('Additional data'!$I$2:$I$1196,MATCH(N190,'Additional data'!$G$2:$G$1196,1)))</f>
        <v>1.2799075630833125</v>
      </c>
      <c r="R190" s="77"/>
      <c r="S190" s="116">
        <f>INDEX('Additional data'!$E$2:$E$699,MATCH(DATE(YEAR(N190),MONTH(N190),1),'Additional data'!$D$2:$D$699,0))</f>
        <v>14.24</v>
      </c>
      <c r="T190" s="115">
        <f t="shared" si="27"/>
        <v>3.2789822822990811E-2</v>
      </c>
      <c r="U190" s="115">
        <f t="shared" si="28"/>
        <v>3.6717582935162696E-2</v>
      </c>
      <c r="V190" s="77"/>
      <c r="W190" s="116">
        <f t="shared" si="29"/>
        <v>2.09</v>
      </c>
      <c r="X190" s="115">
        <f t="shared" si="30"/>
        <v>-0.12335885966694038</v>
      </c>
      <c r="Y190" s="115">
        <f t="shared" si="31"/>
        <v>0.51293378520598532</v>
      </c>
      <c r="Z190" s="77"/>
      <c r="AA190" s="116">
        <f t="shared" si="32"/>
        <v>-4.33</v>
      </c>
      <c r="AB190" s="115">
        <f t="shared" si="23"/>
        <v>0.73598733923643778</v>
      </c>
      <c r="AC190" s="115">
        <f t="shared" si="24"/>
        <v>0.90658066109889046</v>
      </c>
      <c r="AD190" s="77"/>
      <c r="AE190" s="235">
        <f t="shared" si="25"/>
        <v>3.6099999999999994</v>
      </c>
    </row>
    <row r="191" spans="14:31" x14ac:dyDescent="0.2">
      <c r="N191" s="337">
        <v>30528</v>
      </c>
      <c r="O191" s="116">
        <f>INDEX('Additional data'!$B$2:$B$965,MATCH(DATE(YEAR(N191),MONTH(N191),1),'Additional data'!$A$2:$A$965,0))</f>
        <v>31.66</v>
      </c>
      <c r="P191" s="232">
        <f t="shared" si="26"/>
        <v>3.4550540544528663</v>
      </c>
      <c r="Q191" s="232">
        <f>Q190+LN(1+INDEX('Additional data'!$H$2:$H$1196,MATCH(N191,'Additional data'!$G$2:$G$1196,1))+INDEX('Additional data'!$I$2:$I$1196,MATCH(N191,'Additional data'!$G$2:$G$1196,1)))</f>
        <v>1.2461439329305035</v>
      </c>
      <c r="R191" s="77"/>
      <c r="S191" s="116">
        <f>INDEX('Additional data'!$E$2:$E$699,MATCH(DATE(YEAR(N191),MONTH(N191),1),'Additional data'!$D$2:$D$699,0))</f>
        <v>12.8</v>
      </c>
      <c r="T191" s="115">
        <f t="shared" si="27"/>
        <v>2.1066849967720014E-2</v>
      </c>
      <c r="U191" s="115">
        <f t="shared" si="28"/>
        <v>-3.3763630152809032E-2</v>
      </c>
      <c r="V191" s="77"/>
      <c r="W191" s="116">
        <f t="shared" si="29"/>
        <v>-1.4399999999999995</v>
      </c>
      <c r="X191" s="115">
        <f t="shared" si="30"/>
        <v>-7.6001314467502912E-2</v>
      </c>
      <c r="Y191" s="115">
        <f t="shared" si="31"/>
        <v>0.50090464719918248</v>
      </c>
      <c r="Z191" s="77"/>
      <c r="AA191" s="116">
        <f t="shared" si="32"/>
        <v>-4.4899999999999984</v>
      </c>
      <c r="AB191" s="115">
        <f t="shared" si="23"/>
        <v>0.75705418920415779</v>
      </c>
      <c r="AC191" s="115">
        <f t="shared" si="24"/>
        <v>0.81757155672010295</v>
      </c>
      <c r="AD191" s="77"/>
      <c r="AE191" s="235">
        <f t="shared" si="25"/>
        <v>2.9600000000000009</v>
      </c>
    </row>
    <row r="192" spans="14:31" x14ac:dyDescent="0.2">
      <c r="N192" s="337">
        <v>30559</v>
      </c>
      <c r="O192" s="116">
        <f>INDEX('Additional data'!$B$2:$B$965,MATCH(DATE(YEAR(N192),MONTH(N192),1),'Additional data'!$A$2:$A$965,0))</f>
        <v>31.91</v>
      </c>
      <c r="P192" s="232">
        <f t="shared" si="26"/>
        <v>3.4629194402901522</v>
      </c>
      <c r="Q192" s="232">
        <f>Q191+LN(1+INDEX('Additional data'!$H$2:$H$1196,MATCH(N192,'Additional data'!$G$2:$G$1196,1))+INDEX('Additional data'!$I$2:$I$1196,MATCH(N192,'Additional data'!$G$2:$G$1196,1)))</f>
        <v>1.2487405587777693</v>
      </c>
      <c r="R192" s="77"/>
      <c r="S192" s="116">
        <f>INDEX('Additional data'!$E$2:$E$699,MATCH(DATE(YEAR(N192),MONTH(N192),1),'Additional data'!$D$2:$D$699,0))</f>
        <v>12.16</v>
      </c>
      <c r="T192" s="115">
        <f t="shared" si="27"/>
        <v>7.8653858372859098E-3</v>
      </c>
      <c r="U192" s="115">
        <f t="shared" si="28"/>
        <v>2.5966258472658321E-3</v>
      </c>
      <c r="V192" s="77"/>
      <c r="W192" s="116">
        <f t="shared" si="29"/>
        <v>-0.64000000000000057</v>
      </c>
      <c r="X192" s="115">
        <f t="shared" si="30"/>
        <v>-6.1969413714553223E-2</v>
      </c>
      <c r="Y192" s="115">
        <f t="shared" si="31"/>
        <v>0.39026187743993745</v>
      </c>
      <c r="Z192" s="77"/>
      <c r="AA192" s="116">
        <f t="shared" si="32"/>
        <v>-5.0100000000000016</v>
      </c>
      <c r="AB192" s="115">
        <f t="shared" si="23"/>
        <v>0.7649195750414437</v>
      </c>
      <c r="AC192" s="115">
        <f t="shared" si="24"/>
        <v>0.77768357096121332</v>
      </c>
      <c r="AD192" s="77"/>
      <c r="AE192" s="235">
        <f t="shared" si="25"/>
        <v>2.4600000000000009</v>
      </c>
    </row>
    <row r="193" spans="14:31" x14ac:dyDescent="0.2">
      <c r="N193" s="337">
        <v>30589</v>
      </c>
      <c r="O193" s="116">
        <f>INDEX('Additional data'!$B$2:$B$965,MATCH(DATE(YEAR(N193),MONTH(N193),1),'Additional data'!$A$2:$A$965,0))</f>
        <v>31.11</v>
      </c>
      <c r="P193" s="232">
        <f t="shared" si="26"/>
        <v>3.4375293109095457</v>
      </c>
      <c r="Q193" s="232">
        <f>Q192+LN(1+INDEX('Additional data'!$H$2:$H$1196,MATCH(N193,'Additional data'!$G$2:$G$1196,1))+INDEX('Additional data'!$I$2:$I$1196,MATCH(N193,'Additional data'!$G$2:$G$1196,1)))</f>
        <v>1.2654009996708768</v>
      </c>
      <c r="R193" s="77"/>
      <c r="S193" s="116">
        <f>INDEX('Additional data'!$E$2:$E$699,MATCH(DATE(YEAR(N193),MONTH(N193),1),'Additional data'!$D$2:$D$699,0))</f>
        <v>11.06</v>
      </c>
      <c r="T193" s="115">
        <f t="shared" si="27"/>
        <v>-2.5390129380606474E-2</v>
      </c>
      <c r="U193" s="115">
        <f t="shared" si="28"/>
        <v>1.6660440893107475E-2</v>
      </c>
      <c r="V193" s="77"/>
      <c r="W193" s="116">
        <f t="shared" si="29"/>
        <v>-1.0999999999999996</v>
      </c>
      <c r="X193" s="115">
        <f t="shared" si="30"/>
        <v>-0.13565866870819887</v>
      </c>
      <c r="Y193" s="115">
        <f t="shared" si="31"/>
        <v>0.38888595584694619</v>
      </c>
      <c r="Z193" s="77"/>
      <c r="AA193" s="116">
        <f t="shared" si="32"/>
        <v>-4.4000000000000004</v>
      </c>
      <c r="AB193" s="115">
        <f t="shared" ref="AB193:AB256" si="33">P193-P133</f>
        <v>0.73952944566083723</v>
      </c>
      <c r="AC193" s="115">
        <f t="shared" ref="AC193:AC256" si="34">Q193-Q133</f>
        <v>0.80257781678142437</v>
      </c>
      <c r="AD193" s="77"/>
      <c r="AE193" s="235">
        <f t="shared" ref="AE193:AE256" si="35">S193-S133</f>
        <v>1.3399999999999999</v>
      </c>
    </row>
    <row r="194" spans="14:31" x14ac:dyDescent="0.2">
      <c r="N194" s="337">
        <v>30620</v>
      </c>
      <c r="O194" s="116">
        <f>INDEX('Additional data'!$B$2:$B$965,MATCH(DATE(YEAR(N194),MONTH(N194),1),'Additional data'!$A$2:$A$965,0))</f>
        <v>30.41</v>
      </c>
      <c r="P194" s="232">
        <f t="shared" si="26"/>
        <v>3.4147715016892732</v>
      </c>
      <c r="Q194" s="232">
        <f>Q193+LN(1+INDEX('Additional data'!$H$2:$H$1196,MATCH(N194,'Additional data'!$G$2:$G$1196,1))+INDEX('Additional data'!$I$2:$I$1196,MATCH(N194,'Additional data'!$G$2:$G$1196,1)))</f>
        <v>1.2383380801211878</v>
      </c>
      <c r="R194" s="77"/>
      <c r="S194" s="116">
        <f>INDEX('Additional data'!$E$2:$E$699,MATCH(DATE(YEAR(N194),MONTH(N194),1),'Additional data'!$D$2:$D$699,0))</f>
        <v>10.94</v>
      </c>
      <c r="T194" s="115">
        <f t="shared" si="27"/>
        <v>-2.2757809220272485E-2</v>
      </c>
      <c r="U194" s="115">
        <f t="shared" si="28"/>
        <v>-2.706291954968898E-2</v>
      </c>
      <c r="V194" s="77"/>
      <c r="W194" s="116">
        <f t="shared" si="29"/>
        <v>-0.12000000000000099</v>
      </c>
      <c r="X194" s="115">
        <f t="shared" si="30"/>
        <v>-0.1598188060225354</v>
      </c>
      <c r="Y194" s="115">
        <f t="shared" si="31"/>
        <v>0.24947697646571876</v>
      </c>
      <c r="Z194" s="77"/>
      <c r="AA194" s="116">
        <f t="shared" si="32"/>
        <v>-3.6300000000000008</v>
      </c>
      <c r="AB194" s="115">
        <f t="shared" si="33"/>
        <v>0.71677163644056474</v>
      </c>
      <c r="AC194" s="115">
        <f t="shared" si="34"/>
        <v>0.89452368381393743</v>
      </c>
      <c r="AD194" s="77"/>
      <c r="AE194" s="235">
        <f t="shared" si="35"/>
        <v>1.1999999999999993</v>
      </c>
    </row>
    <row r="195" spans="14:31" x14ac:dyDescent="0.2">
      <c r="N195" s="337">
        <v>30650</v>
      </c>
      <c r="O195" s="116">
        <f>INDEX('Additional data'!$B$2:$B$965,MATCH(DATE(YEAR(N195),MONTH(N195),1),'Additional data'!$A$2:$A$965,0))</f>
        <v>29.84</v>
      </c>
      <c r="P195" s="232">
        <f t="shared" si="26"/>
        <v>3.3958497753355603</v>
      </c>
      <c r="Q195" s="232">
        <f>Q194+LN(1+INDEX('Additional data'!$H$2:$H$1196,MATCH(N195,'Additional data'!$G$2:$G$1196,1))+INDEX('Additional data'!$I$2:$I$1196,MATCH(N195,'Additional data'!$G$2:$G$1196,1)))</f>
        <v>1.266633949276035</v>
      </c>
      <c r="R195" s="77"/>
      <c r="S195" s="116">
        <f>INDEX('Additional data'!$E$2:$E$699,MATCH(DATE(YEAR(N195),MONTH(N195),1),'Additional data'!$D$2:$D$699,0))</f>
        <v>10.55</v>
      </c>
      <c r="T195" s="115">
        <f t="shared" si="27"/>
        <v>-1.892172635371292E-2</v>
      </c>
      <c r="U195" s="115">
        <f t="shared" si="28"/>
        <v>2.8295869154847164E-2</v>
      </c>
      <c r="V195" s="77"/>
      <c r="W195" s="116">
        <f t="shared" si="29"/>
        <v>-0.38999999999999879</v>
      </c>
      <c r="X195" s="115">
        <f t="shared" si="30"/>
        <v>-0.1349128106812385</v>
      </c>
      <c r="Y195" s="115">
        <f t="shared" si="31"/>
        <v>0.22603465021615166</v>
      </c>
      <c r="Z195" s="77"/>
      <c r="AA195" s="116">
        <f t="shared" si="32"/>
        <v>-4.2099999999999991</v>
      </c>
      <c r="AB195" s="115">
        <f t="shared" si="33"/>
        <v>0.69784991008685182</v>
      </c>
      <c r="AC195" s="115">
        <f t="shared" si="34"/>
        <v>0.88928806975999253</v>
      </c>
      <c r="AD195" s="77"/>
      <c r="AE195" s="235">
        <f t="shared" si="35"/>
        <v>1.3600000000000012</v>
      </c>
    </row>
    <row r="196" spans="14:31" x14ac:dyDescent="0.2">
      <c r="N196" s="337">
        <v>30681</v>
      </c>
      <c r="O196" s="116">
        <f>INDEX('Additional data'!$B$2:$B$965,MATCH(DATE(YEAR(N196),MONTH(N196),1),'Additional data'!$A$2:$A$965,0))</f>
        <v>29.24</v>
      </c>
      <c r="P196" s="232">
        <f t="shared" si="26"/>
        <v>3.3755376348815775</v>
      </c>
      <c r="Q196" s="232">
        <f>Q195+LN(1+INDEX('Additional data'!$H$2:$H$1196,MATCH(N196,'Additional data'!$G$2:$G$1196,1))+INDEX('Additional data'!$I$2:$I$1196,MATCH(N196,'Additional data'!$G$2:$G$1196,1)))</f>
        <v>1.256179491372176</v>
      </c>
      <c r="R196" s="77"/>
      <c r="S196" s="116">
        <f>INDEX('Additional data'!$E$2:$E$699,MATCH(DATE(YEAR(N196),MONTH(N196),1),'Additional data'!$D$2:$D$699,0))</f>
        <v>8.89</v>
      </c>
      <c r="T196" s="115">
        <f t="shared" si="27"/>
        <v>-2.0312140453982774E-2</v>
      </c>
      <c r="U196" s="115">
        <f t="shared" si="28"/>
        <v>-1.0454457903859016E-2</v>
      </c>
      <c r="V196" s="77"/>
      <c r="W196" s="116">
        <f t="shared" si="29"/>
        <v>-1.6600000000000001</v>
      </c>
      <c r="X196" s="115">
        <f t="shared" si="30"/>
        <v>-8.1409761885069543E-2</v>
      </c>
      <c r="Y196" s="115">
        <f t="shared" si="31"/>
        <v>0.20335522268972372</v>
      </c>
      <c r="Z196" s="77"/>
      <c r="AA196" s="116">
        <f t="shared" si="32"/>
        <v>-3.24</v>
      </c>
      <c r="AB196" s="115">
        <f t="shared" si="33"/>
        <v>0.67753776963286905</v>
      </c>
      <c r="AC196" s="115">
        <f t="shared" si="34"/>
        <v>0.86246825776986924</v>
      </c>
      <c r="AD196" s="77"/>
      <c r="AE196" s="235">
        <f t="shared" si="35"/>
        <v>0.13000000000000078</v>
      </c>
    </row>
    <row r="197" spans="14:31" x14ac:dyDescent="0.2">
      <c r="N197" s="337">
        <v>30712</v>
      </c>
      <c r="O197" s="116">
        <f>INDEX('Additional data'!$B$2:$B$965,MATCH(DATE(YEAR(N197),MONTH(N197),1),'Additional data'!$A$2:$A$965,0))</f>
        <v>29.69</v>
      </c>
      <c r="P197" s="232">
        <f t="shared" ref="P197:P260" si="36">LN(O197)</f>
        <v>3.3908102887756684</v>
      </c>
      <c r="Q197" s="232">
        <f>Q196+LN(1+INDEX('Additional data'!$H$2:$H$1196,MATCH(N197,'Additional data'!$G$2:$G$1196,1))+INDEX('Additional data'!$I$2:$I$1196,MATCH(N197,'Additional data'!$G$2:$G$1196,1)))</f>
        <v>1.2445116865044941</v>
      </c>
      <c r="R197" s="77"/>
      <c r="S197" s="116">
        <f>INDEX('Additional data'!$E$2:$E$699,MATCH(DATE(YEAR(N197),MONTH(N197),1),'Additional data'!$D$2:$D$699,0))</f>
        <v>9.76</v>
      </c>
      <c r="T197" s="115">
        <f t="shared" si="27"/>
        <v>1.5272653894090826E-2</v>
      </c>
      <c r="U197" s="115">
        <f t="shared" si="28"/>
        <v>-1.166780486768193E-2</v>
      </c>
      <c r="V197" s="77"/>
      <c r="W197" s="116">
        <f t="shared" si="29"/>
        <v>0.86999999999999922</v>
      </c>
      <c r="X197" s="115">
        <f t="shared" si="30"/>
        <v>-4.9287241844043539E-2</v>
      </c>
      <c r="Y197" s="115">
        <f t="shared" si="31"/>
        <v>0.14977801474483221</v>
      </c>
      <c r="Z197" s="77"/>
      <c r="AA197" s="116">
        <f t="shared" si="32"/>
        <v>-0.89000000000000057</v>
      </c>
      <c r="AB197" s="115">
        <f t="shared" si="33"/>
        <v>0.69281042352695987</v>
      </c>
      <c r="AC197" s="115">
        <f t="shared" si="34"/>
        <v>0.80210553136342877</v>
      </c>
      <c r="AD197" s="77"/>
      <c r="AE197" s="235">
        <f t="shared" si="35"/>
        <v>1.25</v>
      </c>
    </row>
    <row r="198" spans="14:31" x14ac:dyDescent="0.2">
      <c r="N198" s="337">
        <v>30741</v>
      </c>
      <c r="O198" s="116">
        <f>INDEX('Additional data'!$B$2:$B$965,MATCH(DATE(YEAR(N198),MONTH(N198),1),'Additional data'!$A$2:$A$965,0))</f>
        <v>30.145</v>
      </c>
      <c r="P198" s="232">
        <f t="shared" si="36"/>
        <v>3.406019071941369</v>
      </c>
      <c r="Q198" s="232">
        <f>Q197+LN(1+INDEX('Additional data'!$H$2:$H$1196,MATCH(N198,'Additional data'!$G$2:$G$1196,1))+INDEX('Additional data'!$I$2:$I$1196,MATCH(N198,'Additional data'!$G$2:$G$1196,1)))</f>
        <v>1.2030644965903206</v>
      </c>
      <c r="R198" s="77"/>
      <c r="S198" s="116">
        <f>INDEX('Additional data'!$E$2:$E$699,MATCH(DATE(YEAR(N198),MONTH(N198),1),'Additional data'!$D$2:$D$699,0))</f>
        <v>12.04</v>
      </c>
      <c r="T198" s="115">
        <f t="shared" ref="T198:T261" si="37">P198-P197</f>
        <v>1.5208783165700623E-2</v>
      </c>
      <c r="U198" s="115">
        <f t="shared" ref="U198:U261" si="38">Q198-Q197</f>
        <v>-4.144718991417351E-2</v>
      </c>
      <c r="V198" s="77"/>
      <c r="W198" s="116">
        <f t="shared" ref="W198:W261" si="39">S198-S197</f>
        <v>2.2799999999999994</v>
      </c>
      <c r="X198" s="115">
        <f t="shared" si="30"/>
        <v>4.0448867922364684E-2</v>
      </c>
      <c r="Y198" s="115">
        <f t="shared" si="31"/>
        <v>7.673526324090818E-2</v>
      </c>
      <c r="Z198" s="77"/>
      <c r="AA198" s="116">
        <f t="shared" si="32"/>
        <v>-1.7300000000000004</v>
      </c>
      <c r="AB198" s="115">
        <f t="shared" si="33"/>
        <v>0.64284957161807954</v>
      </c>
      <c r="AC198" s="115">
        <f t="shared" si="34"/>
        <v>0.78936650558599908</v>
      </c>
      <c r="AD198" s="77"/>
      <c r="AE198" s="235">
        <f t="shared" si="35"/>
        <v>3.4399999999999995</v>
      </c>
    </row>
    <row r="199" spans="14:31" x14ac:dyDescent="0.2">
      <c r="N199" s="337">
        <v>30772</v>
      </c>
      <c r="O199" s="116">
        <f>INDEX('Additional data'!$B$2:$B$965,MATCH(DATE(YEAR(N199),MONTH(N199),1),'Additional data'!$A$2:$A$965,0))</f>
        <v>30.760999999999999</v>
      </c>
      <c r="P199" s="232">
        <f t="shared" si="36"/>
        <v>3.4262476538619384</v>
      </c>
      <c r="Q199" s="232">
        <f>Q198+LN(1+INDEX('Additional data'!$H$2:$H$1196,MATCH(N199,'Additional data'!$G$2:$G$1196,1))+INDEX('Additional data'!$I$2:$I$1196,MATCH(N199,'Additional data'!$G$2:$G$1196,1)))</f>
        <v>1.2167701436464324</v>
      </c>
      <c r="R199" s="77"/>
      <c r="S199" s="116">
        <f>INDEX('Additional data'!$E$2:$E$699,MATCH(DATE(YEAR(N199),MONTH(N199),1),'Additional data'!$D$2:$D$699,0))</f>
        <v>13.77</v>
      </c>
      <c r="T199" s="115">
        <f t="shared" si="37"/>
        <v>2.0228581920569422E-2</v>
      </c>
      <c r="U199" s="115">
        <f t="shared" si="38"/>
        <v>1.370564705611188E-2</v>
      </c>
      <c r="V199" s="77"/>
      <c r="W199" s="116">
        <f t="shared" si="39"/>
        <v>1.7300000000000004</v>
      </c>
      <c r="X199" s="115">
        <f t="shared" si="30"/>
        <v>6.5178063290562527E-2</v>
      </c>
      <c r="Y199" s="115">
        <f t="shared" si="31"/>
        <v>5.6619361821509395E-2</v>
      </c>
      <c r="Z199" s="77"/>
      <c r="AA199" s="116">
        <f t="shared" si="32"/>
        <v>-1.4900000000000002</v>
      </c>
      <c r="AB199" s="115">
        <f t="shared" si="33"/>
        <v>0.66307815353864896</v>
      </c>
      <c r="AC199" s="115">
        <f t="shared" si="34"/>
        <v>0.74028516454334614</v>
      </c>
      <c r="AD199" s="77"/>
      <c r="AE199" s="235">
        <f t="shared" si="35"/>
        <v>4.6099999999999994</v>
      </c>
    </row>
    <row r="200" spans="14:31" x14ac:dyDescent="0.2">
      <c r="N200" s="337">
        <v>30802</v>
      </c>
      <c r="O200" s="116">
        <f>INDEX('Additional data'!$B$2:$B$965,MATCH(DATE(YEAR(N200),MONTH(N200),1),'Additional data'!$A$2:$A$965,0))</f>
        <v>30.617999999999999</v>
      </c>
      <c r="P200" s="232">
        <f t="shared" si="36"/>
        <v>3.4215880713098894</v>
      </c>
      <c r="Q200" s="232">
        <f>Q199+LN(1+INDEX('Additional data'!$H$2:$H$1196,MATCH(N200,'Additional data'!$G$2:$G$1196,1))+INDEX('Additional data'!$I$2:$I$1196,MATCH(N200,'Additional data'!$G$2:$G$1196,1)))</f>
        <v>1.219765652626231</v>
      </c>
      <c r="R200" s="77"/>
      <c r="S200" s="116">
        <f>INDEX('Additional data'!$E$2:$E$699,MATCH(DATE(YEAR(N200),MONTH(N200),1),'Additional data'!$D$2:$D$699,0))</f>
        <v>13.88</v>
      </c>
      <c r="T200" s="115">
        <f t="shared" si="37"/>
        <v>-4.6595825520490131E-3</v>
      </c>
      <c r="U200" s="115">
        <f t="shared" si="38"/>
        <v>2.9955089797986112E-3</v>
      </c>
      <c r="V200" s="77"/>
      <c r="W200" s="116">
        <f t="shared" si="39"/>
        <v>0.11000000000000121</v>
      </c>
      <c r="X200" s="115">
        <f t="shared" si="30"/>
        <v>2.6131835256837377E-4</v>
      </c>
      <c r="Y200" s="115">
        <f t="shared" si="31"/>
        <v>-1.1495756656644929E-2</v>
      </c>
      <c r="Z200" s="77"/>
      <c r="AA200" s="116">
        <f t="shared" si="32"/>
        <v>-3.9999999999999147E-2</v>
      </c>
      <c r="AB200" s="115">
        <f t="shared" si="33"/>
        <v>0.65841857098659995</v>
      </c>
      <c r="AC200" s="115">
        <f t="shared" si="34"/>
        <v>0.73600718955664646</v>
      </c>
      <c r="AD200" s="77"/>
      <c r="AE200" s="235">
        <f t="shared" si="35"/>
        <v>3.4600000000000009</v>
      </c>
    </row>
    <row r="201" spans="14:31" x14ac:dyDescent="0.2">
      <c r="N201" s="337">
        <v>30833</v>
      </c>
      <c r="O201" s="116">
        <f>INDEX('Additional data'!$B$2:$B$965,MATCH(DATE(YEAR(N201),MONTH(N201),1),'Additional data'!$A$2:$A$965,0))</f>
        <v>30.52</v>
      </c>
      <c r="P201" s="232">
        <f t="shared" si="36"/>
        <v>3.4183822064162563</v>
      </c>
      <c r="Q201" s="232">
        <f>Q200+LN(1+INDEX('Additional data'!$H$2:$H$1196,MATCH(N201,'Additional data'!$G$2:$G$1196,1))+INDEX('Additional data'!$I$2:$I$1196,MATCH(N201,'Additional data'!$G$2:$G$1196,1)))</f>
        <v>1.1663648758991159</v>
      </c>
      <c r="R201" s="77"/>
      <c r="S201" s="116">
        <f>INDEX('Additional data'!$E$2:$E$699,MATCH(DATE(YEAR(N201),MONTH(N201),1),'Additional data'!$D$2:$D$699,0))</f>
        <v>13.78</v>
      </c>
      <c r="T201" s="115">
        <f t="shared" si="37"/>
        <v>-3.2058648936330592E-3</v>
      </c>
      <c r="U201" s="115">
        <f t="shared" si="38"/>
        <v>-5.3400776727115185E-2</v>
      </c>
      <c r="V201" s="77"/>
      <c r="W201" s="116">
        <f t="shared" si="39"/>
        <v>-0.10000000000000142</v>
      </c>
      <c r="X201" s="115">
        <f t="shared" si="30"/>
        <v>1.718482475410088E-2</v>
      </c>
      <c r="Y201" s="115">
        <f t="shared" si="31"/>
        <v>-7.6825104249033993E-2</v>
      </c>
      <c r="Z201" s="77"/>
      <c r="AA201" s="116">
        <f t="shared" si="32"/>
        <v>1.629999999999999</v>
      </c>
      <c r="AB201" s="115">
        <f t="shared" si="33"/>
        <v>0.52247026814447617</v>
      </c>
      <c r="AC201" s="115">
        <f t="shared" si="34"/>
        <v>0.69650251802164265</v>
      </c>
      <c r="AD201" s="77"/>
      <c r="AE201" s="235">
        <f t="shared" si="35"/>
        <v>3.24</v>
      </c>
    </row>
    <row r="202" spans="14:31" x14ac:dyDescent="0.2">
      <c r="N202" s="337">
        <v>30863</v>
      </c>
      <c r="O202" s="116">
        <f>INDEX('Additional data'!$B$2:$B$965,MATCH(DATE(YEAR(N202),MONTH(N202),1),'Additional data'!$A$2:$A$965,0))</f>
        <v>29.966999999999999</v>
      </c>
      <c r="P202" s="232">
        <f t="shared" si="36"/>
        <v>3.4000967762181222</v>
      </c>
      <c r="Q202" s="232">
        <f>Q201+LN(1+INDEX('Additional data'!$H$2:$H$1196,MATCH(N202,'Additional data'!$G$2:$G$1196,1))+INDEX('Additional data'!$I$2:$I$1196,MATCH(N202,'Additional data'!$G$2:$G$1196,1)))</f>
        <v>1.1916426830833844</v>
      </c>
      <c r="R202" s="77"/>
      <c r="S202" s="116">
        <f>INDEX('Additional data'!$E$2:$E$699,MATCH(DATE(YEAR(N202),MONTH(N202),1),'Additional data'!$D$2:$D$699,0))</f>
        <v>12.81</v>
      </c>
      <c r="T202" s="115">
        <f t="shared" si="37"/>
        <v>-1.8285430198134112E-2</v>
      </c>
      <c r="U202" s="115">
        <f t="shared" si="38"/>
        <v>2.527780718426853E-2</v>
      </c>
      <c r="V202" s="77"/>
      <c r="W202" s="116">
        <f t="shared" si="39"/>
        <v>-0.96999999999999886</v>
      </c>
      <c r="X202" s="115">
        <f t="shared" si="30"/>
        <v>-3.3890428267024042E-2</v>
      </c>
      <c r="Y202" s="115">
        <f t="shared" si="31"/>
        <v>-8.8264879999928159E-2</v>
      </c>
      <c r="Z202" s="77"/>
      <c r="AA202" s="116">
        <f t="shared" si="32"/>
        <v>-1.4299999999999997</v>
      </c>
      <c r="AB202" s="115">
        <f t="shared" si="33"/>
        <v>0.4504084411655378</v>
      </c>
      <c r="AC202" s="115">
        <f t="shared" si="34"/>
        <v>0.67632906230199386</v>
      </c>
      <c r="AD202" s="77"/>
      <c r="AE202" s="235">
        <f t="shared" si="35"/>
        <v>2.5500000000000007</v>
      </c>
    </row>
    <row r="203" spans="14:31" x14ac:dyDescent="0.2">
      <c r="N203" s="337">
        <v>30894</v>
      </c>
      <c r="O203" s="116">
        <f>INDEX('Additional data'!$B$2:$B$965,MATCH(DATE(YEAR(N203),MONTH(N203),1),'Additional data'!$A$2:$A$965,0))</f>
        <v>28.751999999999999</v>
      </c>
      <c r="P203" s="232">
        <f t="shared" si="36"/>
        <v>3.3587073300412031</v>
      </c>
      <c r="Q203" s="232">
        <f>Q202+LN(1+INDEX('Additional data'!$H$2:$H$1196,MATCH(N203,'Additional data'!$G$2:$G$1196,1))+INDEX('Additional data'!$I$2:$I$1196,MATCH(N203,'Additional data'!$G$2:$G$1196,1)))</f>
        <v>1.1724598636666104</v>
      </c>
      <c r="R203" s="77"/>
      <c r="S203" s="116">
        <f>INDEX('Additional data'!$E$2:$E$699,MATCH(DATE(YEAR(N203),MONTH(N203),1),'Additional data'!$D$2:$D$699,0))</f>
        <v>12.3</v>
      </c>
      <c r="T203" s="115">
        <f t="shared" si="37"/>
        <v>-4.1389446176919087E-2</v>
      </c>
      <c r="U203" s="115">
        <f t="shared" si="38"/>
        <v>-1.9182819416774022E-2</v>
      </c>
      <c r="V203" s="77"/>
      <c r="W203" s="116">
        <f t="shared" si="39"/>
        <v>-0.50999999999999979</v>
      </c>
      <c r="X203" s="115">
        <f t="shared" si="30"/>
        <v>-9.6346724411663143E-2</v>
      </c>
      <c r="Y203" s="115">
        <f t="shared" si="31"/>
        <v>-7.3684069263893148E-2</v>
      </c>
      <c r="Z203" s="77"/>
      <c r="AA203" s="116">
        <f t="shared" si="32"/>
        <v>-0.5</v>
      </c>
      <c r="AB203" s="115">
        <f t="shared" si="33"/>
        <v>0.27909357250651023</v>
      </c>
      <c r="AC203" s="115">
        <f t="shared" si="34"/>
        <v>0.6412728937289297</v>
      </c>
      <c r="AD203" s="77"/>
      <c r="AE203" s="235">
        <f t="shared" si="35"/>
        <v>2.4400000000000013</v>
      </c>
    </row>
    <row r="204" spans="14:31" x14ac:dyDescent="0.2">
      <c r="N204" s="337">
        <v>30925</v>
      </c>
      <c r="O204" s="116">
        <f>INDEX('Additional data'!$B$2:$B$965,MATCH(DATE(YEAR(N204),MONTH(N204),1),'Additional data'!$A$2:$A$965,0))</f>
        <v>29.25</v>
      </c>
      <c r="P204" s="232">
        <f t="shared" si="36"/>
        <v>3.3758795736778655</v>
      </c>
      <c r="Q204" s="232">
        <f>Q203+LN(1+INDEX('Additional data'!$H$2:$H$1196,MATCH(N204,'Additional data'!$G$2:$G$1196,1))+INDEX('Additional data'!$I$2:$I$1196,MATCH(N204,'Additional data'!$G$2:$G$1196,1)))</f>
        <v>1.2777203743241032</v>
      </c>
      <c r="R204" s="77"/>
      <c r="S204" s="116">
        <f>INDEX('Additional data'!$E$2:$E$699,MATCH(DATE(YEAR(N204),MONTH(N204),1),'Additional data'!$D$2:$D$699,0))</f>
        <v>11.56</v>
      </c>
      <c r="T204" s="115">
        <f t="shared" si="37"/>
        <v>1.7172243636662365E-2</v>
      </c>
      <c r="U204" s="115">
        <f t="shared" si="38"/>
        <v>0.10526051065749287</v>
      </c>
      <c r="V204" s="77"/>
      <c r="W204" s="116">
        <f t="shared" si="39"/>
        <v>-0.74000000000000021</v>
      </c>
      <c r="X204" s="115">
        <f t="shared" si="30"/>
        <v>-8.7039866612286687E-2</v>
      </c>
      <c r="Y204" s="115">
        <f t="shared" si="31"/>
        <v>2.8979815546333887E-2</v>
      </c>
      <c r="Z204" s="77"/>
      <c r="AA204" s="116">
        <f t="shared" si="32"/>
        <v>-0.59999999999999964</v>
      </c>
      <c r="AB204" s="115">
        <f t="shared" si="33"/>
        <v>9.873484068568894E-2</v>
      </c>
      <c r="AC204" s="115">
        <f t="shared" si="34"/>
        <v>0.68534423607400019</v>
      </c>
      <c r="AD204" s="77"/>
      <c r="AE204" s="235">
        <f t="shared" si="35"/>
        <v>1.7800000000000011</v>
      </c>
    </row>
    <row r="205" spans="14:31" x14ac:dyDescent="0.2">
      <c r="N205" s="337">
        <v>30955</v>
      </c>
      <c r="O205" s="116">
        <f>INDEX('Additional data'!$B$2:$B$965,MATCH(DATE(YEAR(N205),MONTH(N205),1),'Additional data'!$A$2:$A$965,0))</f>
        <v>29.311</v>
      </c>
      <c r="P205" s="232">
        <f t="shared" si="36"/>
        <v>3.3779628721892414</v>
      </c>
      <c r="Q205" s="232">
        <f>Q204+LN(1+INDEX('Additional data'!$H$2:$H$1196,MATCH(N205,'Additional data'!$G$2:$G$1196,1))+INDEX('Additional data'!$I$2:$I$1196,MATCH(N205,'Additional data'!$G$2:$G$1196,1)))</f>
        <v>1.2783201943960707</v>
      </c>
      <c r="R205" s="77"/>
      <c r="S205" s="116">
        <f>INDEX('Additional data'!$E$2:$E$699,MATCH(DATE(YEAR(N205),MONTH(N205),1),'Additional data'!$D$2:$D$699,0))</f>
        <v>10.53</v>
      </c>
      <c r="T205" s="115">
        <f t="shared" si="37"/>
        <v>2.0832985113758973E-3</v>
      </c>
      <c r="U205" s="115">
        <f t="shared" si="38"/>
        <v>5.9982007196746068E-4</v>
      </c>
      <c r="V205" s="77"/>
      <c r="W205" s="116">
        <f t="shared" si="39"/>
        <v>-1.0300000000000011</v>
      </c>
      <c r="X205" s="115">
        <f t="shared" si="30"/>
        <v>-5.9566438720304316E-2</v>
      </c>
      <c r="Y205" s="115">
        <f t="shared" si="31"/>
        <v>1.2919194725193872E-2</v>
      </c>
      <c r="Z205" s="77"/>
      <c r="AA205" s="116">
        <f t="shared" si="32"/>
        <v>-0.53000000000000114</v>
      </c>
      <c r="AB205" s="115">
        <f t="shared" si="33"/>
        <v>2.8058784914636536E-2</v>
      </c>
      <c r="AC205" s="115">
        <f t="shared" si="34"/>
        <v>0.68594405614596765</v>
      </c>
      <c r="AD205" s="77"/>
      <c r="AE205" s="235">
        <f t="shared" si="35"/>
        <v>0.66000000000000014</v>
      </c>
    </row>
    <row r="206" spans="14:31" x14ac:dyDescent="0.2">
      <c r="N206" s="337">
        <v>30986</v>
      </c>
      <c r="O206" s="116">
        <f>INDEX('Additional data'!$B$2:$B$965,MATCH(DATE(YEAR(N206),MONTH(N206),1),'Additional data'!$A$2:$A$965,0))</f>
        <v>28.765000000000001</v>
      </c>
      <c r="P206" s="232">
        <f t="shared" si="36"/>
        <v>3.3591593703152567</v>
      </c>
      <c r="Q206" s="232">
        <f>Q205+LN(1+INDEX('Additional data'!$H$2:$H$1196,MATCH(N206,'Additional data'!$G$2:$G$1196,1))+INDEX('Additional data'!$I$2:$I$1196,MATCH(N206,'Additional data'!$G$2:$G$1196,1)))</f>
        <v>1.2799189157597677</v>
      </c>
      <c r="R206" s="77"/>
      <c r="S206" s="116">
        <f>INDEX('Additional data'!$E$2:$E$699,MATCH(DATE(YEAR(N206),MONTH(N206),1),'Additional data'!$D$2:$D$699,0))</f>
        <v>11.17</v>
      </c>
      <c r="T206" s="115">
        <f t="shared" si="37"/>
        <v>-1.8803501873984718E-2</v>
      </c>
      <c r="U206" s="115">
        <f t="shared" si="38"/>
        <v>1.5987213636969866E-3</v>
      </c>
      <c r="V206" s="77"/>
      <c r="W206" s="116">
        <f t="shared" si="39"/>
        <v>0.64000000000000057</v>
      </c>
      <c r="X206" s="115">
        <f t="shared" si="30"/>
        <v>-5.5612131374016549E-2</v>
      </c>
      <c r="Y206" s="115">
        <f t="shared" si="31"/>
        <v>4.1580835638579838E-2</v>
      </c>
      <c r="Z206" s="77"/>
      <c r="AA206" s="116">
        <f t="shared" si="32"/>
        <v>0.23000000000000043</v>
      </c>
      <c r="AB206" s="115">
        <f t="shared" si="33"/>
        <v>-8.1364596712174553E-3</v>
      </c>
      <c r="AC206" s="115">
        <f t="shared" si="34"/>
        <v>0.76258965183257577</v>
      </c>
      <c r="AD206" s="77"/>
      <c r="AE206" s="235">
        <f t="shared" si="35"/>
        <v>1.1300000000000008</v>
      </c>
    </row>
    <row r="207" spans="14:31" x14ac:dyDescent="0.2">
      <c r="N207" s="337">
        <v>31016</v>
      </c>
      <c r="O207" s="116">
        <f>INDEX('Additional data'!$B$2:$B$965,MATCH(DATE(YEAR(N207),MONTH(N207),1),'Additional data'!$A$2:$A$965,0))</f>
        <v>28.097999999999999</v>
      </c>
      <c r="P207" s="232">
        <f t="shared" si="36"/>
        <v>3.3356983994294596</v>
      </c>
      <c r="Q207" s="232">
        <f>Q206+LN(1+INDEX('Additional data'!$H$2:$H$1196,MATCH(N207,'Additional data'!$G$2:$G$1196,1))+INDEX('Additional data'!$I$2:$I$1196,MATCH(N207,'Additional data'!$G$2:$G$1196,1)))</f>
        <v>1.2694644578559087</v>
      </c>
      <c r="R207" s="77"/>
      <c r="S207" s="116">
        <f>INDEX('Additional data'!$E$2:$E$699,MATCH(DATE(YEAR(N207),MONTH(N207),1),'Additional data'!$D$2:$D$699,0))</f>
        <v>11.26</v>
      </c>
      <c r="T207" s="115">
        <f t="shared" si="37"/>
        <v>-2.3460970885797128E-2</v>
      </c>
      <c r="U207" s="115">
        <f t="shared" si="38"/>
        <v>-1.0454457903859016E-2</v>
      </c>
      <c r="V207" s="77"/>
      <c r="W207" s="116">
        <f t="shared" si="39"/>
        <v>8.9999999999999858E-2</v>
      </c>
      <c r="X207" s="115">
        <f t="shared" si="30"/>
        <v>-6.0151375906100757E-2</v>
      </c>
      <c r="Y207" s="115">
        <f t="shared" si="31"/>
        <v>2.8305085798736584E-3</v>
      </c>
      <c r="Z207" s="77"/>
      <c r="AA207" s="116">
        <f t="shared" si="32"/>
        <v>0.70999999999999908</v>
      </c>
      <c r="AB207" s="115">
        <f t="shared" si="33"/>
        <v>-9.8288805055686712E-2</v>
      </c>
      <c r="AC207" s="115">
        <f t="shared" si="34"/>
        <v>0.69188711358335986</v>
      </c>
      <c r="AD207" s="77"/>
      <c r="AE207" s="235">
        <f t="shared" si="35"/>
        <v>1.1400000000000006</v>
      </c>
    </row>
    <row r="208" spans="14:31" x14ac:dyDescent="0.2">
      <c r="N208" s="337">
        <v>31047</v>
      </c>
      <c r="O208" s="116">
        <f>INDEX('Additional data'!$B$2:$B$965,MATCH(DATE(YEAR(N208),MONTH(N208),1),'Additional data'!$A$2:$A$965,0))</f>
        <v>25.428999999999998</v>
      </c>
      <c r="P208" s="232">
        <f t="shared" si="36"/>
        <v>3.2358902550273303</v>
      </c>
      <c r="Q208" s="232">
        <f>Q207+LN(1+INDEX('Additional data'!$H$2:$H$1196,MATCH(N208,'Additional data'!$G$2:$G$1196,1))+INDEX('Additional data'!$I$2:$I$1196,MATCH(N208,'Additional data'!$G$2:$G$1196,1)))</f>
        <v>1.2940595047112888</v>
      </c>
      <c r="R208" s="232">
        <f>LN(INDEX(Data!$B$2:$B$497,MATCH(N208,Data!$A$2:$A$497,1)))</f>
        <v>7.506591780070841</v>
      </c>
      <c r="S208" s="116">
        <f>INDEX('Additional data'!$E$2:$E$699,MATCH(DATE(YEAR(N208),MONTH(N208),1),'Additional data'!$D$2:$D$699,0))</f>
        <v>12.34</v>
      </c>
      <c r="T208" s="115">
        <f t="shared" si="37"/>
        <v>-9.9808144402129262E-2</v>
      </c>
      <c r="U208" s="115">
        <f t="shared" si="38"/>
        <v>2.4595046855380165E-2</v>
      </c>
      <c r="V208" s="77"/>
      <c r="W208" s="116">
        <f t="shared" si="39"/>
        <v>1.08</v>
      </c>
      <c r="X208" s="115">
        <f t="shared" si="30"/>
        <v>-0.13964737985424724</v>
      </c>
      <c r="Y208" s="115">
        <f t="shared" si="31"/>
        <v>3.7880013339112839E-2</v>
      </c>
      <c r="Z208" s="77"/>
      <c r="AA208" s="116">
        <f t="shared" si="32"/>
        <v>3.4499999999999993</v>
      </c>
      <c r="AB208" s="115">
        <f t="shared" si="33"/>
        <v>-0.24534983430836155</v>
      </c>
      <c r="AC208" s="115">
        <f t="shared" si="34"/>
        <v>0.68954815919865897</v>
      </c>
      <c r="AD208" s="77"/>
      <c r="AE208" s="235">
        <f t="shared" si="35"/>
        <v>2.2200000000000006</v>
      </c>
    </row>
    <row r="209" spans="14:31" x14ac:dyDescent="0.2">
      <c r="N209" s="337">
        <v>31078</v>
      </c>
      <c r="O209" s="116">
        <f>INDEX('Additional data'!$B$2:$B$965,MATCH(DATE(YEAR(N209),MONTH(N209),1),'Additional data'!$A$2:$A$965,0))</f>
        <v>25.640999999999998</v>
      </c>
      <c r="P209" s="232">
        <f t="shared" si="36"/>
        <v>3.2441926328519908</v>
      </c>
      <c r="Q209" s="232">
        <f>Q208+LN(1+INDEX('Additional data'!$H$2:$H$1196,MATCH(N209,'Additional data'!$G$2:$G$1196,1))+INDEX('Additional data'!$I$2:$I$1196,MATCH(N209,'Additional data'!$G$2:$G$1196,1)))</f>
        <v>1.3767448713298964</v>
      </c>
      <c r="R209" s="232">
        <f>LN(INDEX(Data!$B$2:$B$497,MATCH(N209,Data!$A$2:$A$497,1)))</f>
        <v>7.5725544240265945</v>
      </c>
      <c r="S209" s="116">
        <f>INDEX('Additional data'!$E$2:$E$699,MATCH(DATE(YEAR(N209),MONTH(N209),1),'Additional data'!$D$2:$D$699,0))</f>
        <v>13.35</v>
      </c>
      <c r="T209" s="115">
        <f t="shared" si="37"/>
        <v>8.3023778246604785E-3</v>
      </c>
      <c r="U209" s="115">
        <f t="shared" si="38"/>
        <v>8.2685366618607592E-2</v>
      </c>
      <c r="V209" s="115">
        <f t="shared" ref="V209:V272" si="40">R209-R208</f>
        <v>6.5962643955753464E-2</v>
      </c>
      <c r="W209" s="116">
        <f t="shared" si="39"/>
        <v>1.0099999999999998</v>
      </c>
      <c r="X209" s="115">
        <f t="shared" ref="X209:X272" si="41">P209-P197</f>
        <v>-0.14661765592367759</v>
      </c>
      <c r="Y209" s="115">
        <f t="shared" ref="Y209:Y272" si="42">Q209-Q197</f>
        <v>0.13223318482540236</v>
      </c>
      <c r="Z209" s="77"/>
      <c r="AA209" s="116">
        <f t="shared" ref="AA209:AA272" si="43">S209-S197</f>
        <v>3.59</v>
      </c>
      <c r="AB209" s="115">
        <f t="shared" si="33"/>
        <v>-0.23704745648370107</v>
      </c>
      <c r="AC209" s="115">
        <f t="shared" si="34"/>
        <v>0.71113842645745573</v>
      </c>
      <c r="AD209" s="77"/>
      <c r="AE209" s="235">
        <f t="shared" si="35"/>
        <v>3.3200000000000003</v>
      </c>
    </row>
    <row r="210" spans="14:31" x14ac:dyDescent="0.2">
      <c r="N210" s="337">
        <v>31106</v>
      </c>
      <c r="O210" s="116">
        <f>INDEX('Additional data'!$B$2:$B$965,MATCH(DATE(YEAR(N210),MONTH(N210),1),'Additional data'!$A$2:$A$965,0))</f>
        <v>27.271000000000001</v>
      </c>
      <c r="P210" s="232">
        <f t="shared" si="36"/>
        <v>3.3058238665188568</v>
      </c>
      <c r="Q210" s="232">
        <f>Q209+LN(1+INDEX('Additional data'!$H$2:$H$1196,MATCH(N210,'Additional data'!$G$2:$G$1196,1))+INDEX('Additional data'!$I$2:$I$1196,MATCH(N210,'Additional data'!$G$2:$G$1196,1)))</f>
        <v>1.3945847894582275</v>
      </c>
      <c r="R210" s="232">
        <f>LN(INDEX(Data!$B$2:$B$497,MATCH(N210,Data!$A$2:$A$497,1)))</f>
        <v>7.5986499244887886</v>
      </c>
      <c r="S210" s="116">
        <f>INDEX('Additional data'!$E$2:$E$699,MATCH(DATE(YEAR(N210),MONTH(N210),1),'Additional data'!$D$2:$D$699,0))</f>
        <v>13.81</v>
      </c>
      <c r="T210" s="115">
        <f t="shared" si="37"/>
        <v>6.163123366686607E-2</v>
      </c>
      <c r="U210" s="115">
        <f t="shared" si="38"/>
        <v>1.7839918128331078E-2</v>
      </c>
      <c r="V210" s="115">
        <f t="shared" si="40"/>
        <v>2.609550046219411E-2</v>
      </c>
      <c r="W210" s="116">
        <f t="shared" si="39"/>
        <v>0.46000000000000085</v>
      </c>
      <c r="X210" s="115">
        <f t="shared" si="41"/>
        <v>-0.10019520542251215</v>
      </c>
      <c r="Y210" s="115">
        <f t="shared" si="42"/>
        <v>0.19152029286790695</v>
      </c>
      <c r="Z210" s="77"/>
      <c r="AA210" s="116">
        <f t="shared" si="43"/>
        <v>1.7700000000000014</v>
      </c>
      <c r="AB210" s="115">
        <f t="shared" si="33"/>
        <v>-0.3050940461253675</v>
      </c>
      <c r="AC210" s="115">
        <f t="shared" si="34"/>
        <v>0.73238413772061961</v>
      </c>
      <c r="AD210" s="77"/>
      <c r="AE210" s="235">
        <f t="shared" si="35"/>
        <v>3.75</v>
      </c>
    </row>
    <row r="211" spans="14:31" x14ac:dyDescent="0.2">
      <c r="N211" s="337">
        <v>31137</v>
      </c>
      <c r="O211" s="116">
        <f>INDEX('Additional data'!$B$2:$B$965,MATCH(DATE(YEAR(N211),MONTH(N211),1),'Additional data'!$A$2:$A$965,0))</f>
        <v>28.238</v>
      </c>
      <c r="P211" s="232">
        <f t="shared" si="36"/>
        <v>3.3406685885873335</v>
      </c>
      <c r="Q211" s="232">
        <f>Q210+LN(1+INDEX('Additional data'!$H$2:$H$1196,MATCH(N211,'Additional data'!$G$2:$G$1196,1))+INDEX('Additional data'!$I$2:$I$1196,MATCH(N211,'Additional data'!$G$2:$G$1196,1)))</f>
        <v>1.3924825813663573</v>
      </c>
      <c r="R211" s="232">
        <f>LN(INDEX(Data!$B$2:$B$497,MATCH(N211,Data!$A$2:$A$497,1)))</f>
        <v>7.6504066544451712</v>
      </c>
      <c r="S211" s="116">
        <f>INDEX('Additional data'!$E$2:$E$699,MATCH(DATE(YEAR(N211),MONTH(N211),1),'Additional data'!$D$2:$D$699,0))</f>
        <v>15.29</v>
      </c>
      <c r="T211" s="115">
        <f t="shared" si="37"/>
        <v>3.4844722068476663E-2</v>
      </c>
      <c r="U211" s="115">
        <f t="shared" si="38"/>
        <v>-2.1022080918702279E-3</v>
      </c>
      <c r="V211" s="115">
        <f t="shared" si="40"/>
        <v>5.1756729956382586E-2</v>
      </c>
      <c r="W211" s="116">
        <f t="shared" si="39"/>
        <v>1.4799999999999986</v>
      </c>
      <c r="X211" s="115">
        <f t="shared" si="41"/>
        <v>-8.5579065274604904E-2</v>
      </c>
      <c r="Y211" s="115">
        <f t="shared" si="42"/>
        <v>0.17571243771992484</v>
      </c>
      <c r="Z211" s="77"/>
      <c r="AA211" s="116">
        <f t="shared" si="43"/>
        <v>1.5199999999999996</v>
      </c>
      <c r="AB211" s="115">
        <f t="shared" si="33"/>
        <v>-0.29691757113905215</v>
      </c>
      <c r="AC211" s="115">
        <f t="shared" si="34"/>
        <v>0.8545987641361299</v>
      </c>
      <c r="AD211" s="77"/>
      <c r="AE211" s="235">
        <f t="shared" si="35"/>
        <v>3.8199999999999985</v>
      </c>
    </row>
    <row r="212" spans="14:31" x14ac:dyDescent="0.2">
      <c r="N212" s="337">
        <v>31167</v>
      </c>
      <c r="O212" s="116">
        <f>INDEX('Additional data'!$B$2:$B$965,MATCH(DATE(YEAR(N212),MONTH(N212),1),'Additional data'!$A$2:$A$965,0))</f>
        <v>28.805</v>
      </c>
      <c r="P212" s="232">
        <f t="shared" si="36"/>
        <v>3.3605489831843465</v>
      </c>
      <c r="Q212" s="232">
        <f>Q211+LN(1+INDEX('Additional data'!$H$2:$H$1196,MATCH(N212,'Additional data'!$G$2:$G$1196,1))+INDEX('Additional data'!$I$2:$I$1196,MATCH(N212,'Additional data'!$G$2:$G$1196,1)))</f>
        <v>1.3900796967500468</v>
      </c>
      <c r="R212" s="232">
        <f>LN(INDEX(Data!$B$2:$B$497,MATCH(N212,Data!$A$2:$A$497,1)))</f>
        <v>7.7106085196301395</v>
      </c>
      <c r="S212" s="116">
        <f>INDEX('Additional data'!$E$2:$E$699,MATCH(DATE(YEAR(N212),MONTH(N212),1),'Additional data'!$D$2:$D$699,0))</f>
        <v>15.79</v>
      </c>
      <c r="T212" s="115">
        <f t="shared" si="37"/>
        <v>1.9880394597012963E-2</v>
      </c>
      <c r="U212" s="115">
        <f t="shared" si="38"/>
        <v>-2.4028846163104411E-3</v>
      </c>
      <c r="V212" s="115">
        <f t="shared" si="40"/>
        <v>6.0201865184968284E-2</v>
      </c>
      <c r="W212" s="116">
        <f t="shared" si="39"/>
        <v>0.5</v>
      </c>
      <c r="X212" s="115">
        <f t="shared" si="41"/>
        <v>-6.1039088125542929E-2</v>
      </c>
      <c r="Y212" s="115">
        <f t="shared" si="42"/>
        <v>0.17031404412381579</v>
      </c>
      <c r="Z212" s="77"/>
      <c r="AA212" s="116">
        <f t="shared" si="43"/>
        <v>1.9099999999999984</v>
      </c>
      <c r="AB212" s="115">
        <f t="shared" si="33"/>
        <v>-0.31575168872272963</v>
      </c>
      <c r="AC212" s="115">
        <f t="shared" si="34"/>
        <v>0.80140771268771438</v>
      </c>
      <c r="AD212" s="77"/>
      <c r="AE212" s="235">
        <f t="shared" si="35"/>
        <v>2.5099999999999998</v>
      </c>
    </row>
    <row r="213" spans="14:31" x14ac:dyDescent="0.2">
      <c r="N213" s="337">
        <v>31198</v>
      </c>
      <c r="O213" s="116">
        <f>INDEX('Additional data'!$B$2:$B$965,MATCH(DATE(YEAR(N213),MONTH(N213),1),'Additional data'!$A$2:$A$965,0))</f>
        <v>27.623000000000001</v>
      </c>
      <c r="P213" s="232">
        <f t="shared" si="36"/>
        <v>3.3186487590269964</v>
      </c>
      <c r="Q213" s="232">
        <f>Q212+LN(1+INDEX('Additional data'!$H$2:$H$1196,MATCH(N213,'Additional data'!$G$2:$G$1196,1))+INDEX('Additional data'!$I$2:$I$1196,MATCH(N213,'Additional data'!$G$2:$G$1196,1)))</f>
        <v>1.4457981855063906</v>
      </c>
      <c r="R213" s="232">
        <f>LN(INDEX(Data!$B$2:$B$497,MATCH(N213,Data!$A$2:$A$497,1)))</f>
        <v>7.7103396542404576</v>
      </c>
      <c r="S213" s="116">
        <f>INDEX('Additional data'!$E$2:$E$699,MATCH(DATE(YEAR(N213),MONTH(N213),1),'Additional data'!$D$2:$D$699,0))</f>
        <v>15.53</v>
      </c>
      <c r="T213" s="115">
        <f t="shared" si="37"/>
        <v>-4.1900224157350063E-2</v>
      </c>
      <c r="U213" s="115">
        <f t="shared" si="38"/>
        <v>5.5718488756343776E-2</v>
      </c>
      <c r="V213" s="115">
        <f t="shared" si="40"/>
        <v>-2.6886538968184936E-4</v>
      </c>
      <c r="W213" s="116">
        <f t="shared" si="39"/>
        <v>-0.25999999999999979</v>
      </c>
      <c r="X213" s="115">
        <f t="shared" si="41"/>
        <v>-9.9733447389259933E-2</v>
      </c>
      <c r="Y213" s="115">
        <f t="shared" si="42"/>
        <v>0.27943330960727475</v>
      </c>
      <c r="Z213" s="77"/>
      <c r="AA213" s="116">
        <f t="shared" si="43"/>
        <v>1.75</v>
      </c>
      <c r="AB213" s="115">
        <f t="shared" si="33"/>
        <v>-0.35765191288007969</v>
      </c>
      <c r="AC213" s="115">
        <f t="shared" si="34"/>
        <v>0.79819713391477065</v>
      </c>
      <c r="AD213" s="77"/>
      <c r="AE213" s="235">
        <f t="shared" si="35"/>
        <v>1.6999999999999993</v>
      </c>
    </row>
    <row r="214" spans="14:31" x14ac:dyDescent="0.2">
      <c r="N214" s="337">
        <v>31228</v>
      </c>
      <c r="O214" s="116">
        <f>INDEX('Additional data'!$B$2:$B$965,MATCH(DATE(YEAR(N214),MONTH(N214),1),'Additional data'!$A$2:$A$965,0))</f>
        <v>27.143000000000001</v>
      </c>
      <c r="P214" s="232">
        <f t="shared" si="36"/>
        <v>3.3011191862492173</v>
      </c>
      <c r="Q214" s="232">
        <f>Q213+LN(1+INDEX('Additional data'!$H$2:$H$1196,MATCH(N214,'Additional data'!$G$2:$G$1196,1))+INDEX('Additional data'!$I$2:$I$1196,MATCH(N214,'Additional data'!$G$2:$G$1196,1)))</f>
        <v>1.4638345479924892</v>
      </c>
      <c r="R214" s="232">
        <f>LN(INDEX(Data!$B$2:$B$497,MATCH(N214,Data!$A$2:$A$497,1)))</f>
        <v>7.6988455338720465</v>
      </c>
      <c r="S214" s="116">
        <f>INDEX('Additional data'!$E$2:$E$699,MATCH(DATE(YEAR(N214),MONTH(N214),1),'Additional data'!$D$2:$D$699,0))</f>
        <v>15.75</v>
      </c>
      <c r="T214" s="115">
        <f t="shared" si="37"/>
        <v>-1.7529572777779112E-2</v>
      </c>
      <c r="U214" s="115">
        <f t="shared" si="38"/>
        <v>1.8036362486098634E-2</v>
      </c>
      <c r="V214" s="115">
        <f t="shared" si="40"/>
        <v>-1.1494120368411131E-2</v>
      </c>
      <c r="W214" s="116">
        <f t="shared" si="39"/>
        <v>0.22000000000000064</v>
      </c>
      <c r="X214" s="115">
        <f t="shared" si="41"/>
        <v>-9.8977589968904933E-2</v>
      </c>
      <c r="Y214" s="115">
        <f t="shared" si="42"/>
        <v>0.27219186490910485</v>
      </c>
      <c r="Z214" s="77"/>
      <c r="AA214" s="116">
        <f t="shared" si="43"/>
        <v>2.9399999999999995</v>
      </c>
      <c r="AB214" s="115">
        <f t="shared" si="33"/>
        <v>-0.3751814856578588</v>
      </c>
      <c r="AC214" s="115">
        <f t="shared" si="34"/>
        <v>0.78096288231894995</v>
      </c>
      <c r="AD214" s="77"/>
      <c r="AE214" s="235">
        <f t="shared" si="35"/>
        <v>1.92</v>
      </c>
    </row>
    <row r="215" spans="14:31" x14ac:dyDescent="0.2">
      <c r="N215" s="337">
        <v>31259</v>
      </c>
      <c r="O215" s="116">
        <f>INDEX('Additional data'!$B$2:$B$965,MATCH(DATE(YEAR(N215),MONTH(N215),1),'Additional data'!$A$2:$A$965,0))</f>
        <v>27.329000000000001</v>
      </c>
      <c r="P215" s="232">
        <f t="shared" si="36"/>
        <v>3.3079484094425249</v>
      </c>
      <c r="Q215" s="232">
        <f>Q214+LN(1+INDEX('Additional data'!$H$2:$H$1196,MATCH(N215,'Additional data'!$G$2:$G$1196,1))+INDEX('Additional data'!$I$2:$I$1196,MATCH(N215,'Additional data'!$G$2:$G$1196,1)))</f>
        <v>1.4628340476589057</v>
      </c>
      <c r="R215" s="232">
        <f>LN(INDEX(Data!$B$2:$B$497,MATCH(N215,Data!$A$2:$A$497,1)))</f>
        <v>7.7845148495189598</v>
      </c>
      <c r="S215" s="116">
        <f>INDEX('Additional data'!$E$2:$E$699,MATCH(DATE(YEAR(N215),MONTH(N215),1),'Additional data'!$D$2:$D$699,0))</f>
        <v>15.14</v>
      </c>
      <c r="T215" s="115">
        <f t="shared" si="37"/>
        <v>6.8292231933075875E-3</v>
      </c>
      <c r="U215" s="115">
        <f t="shared" si="38"/>
        <v>-1.0005003335835649E-3</v>
      </c>
      <c r="V215" s="115">
        <f t="shared" si="40"/>
        <v>8.5669315646913269E-2</v>
      </c>
      <c r="W215" s="116">
        <f t="shared" si="39"/>
        <v>-0.60999999999999943</v>
      </c>
      <c r="X215" s="115">
        <f t="shared" si="41"/>
        <v>-5.0758920598678259E-2</v>
      </c>
      <c r="Y215" s="115">
        <f t="shared" si="42"/>
        <v>0.29037418399229531</v>
      </c>
      <c r="Z215" s="77"/>
      <c r="AA215" s="116">
        <f t="shared" si="43"/>
        <v>2.84</v>
      </c>
      <c r="AB215" s="115">
        <f t="shared" si="33"/>
        <v>-0.36835226246455122</v>
      </c>
      <c r="AC215" s="115">
        <f t="shared" si="34"/>
        <v>0.71192997159353943</v>
      </c>
      <c r="AD215" s="77"/>
      <c r="AE215" s="235">
        <f t="shared" si="35"/>
        <v>2.2700000000000014</v>
      </c>
    </row>
    <row r="216" spans="14:31" x14ac:dyDescent="0.2">
      <c r="N216" s="337">
        <v>31290</v>
      </c>
      <c r="O216" s="116">
        <f>INDEX('Additional data'!$B$2:$B$965,MATCH(DATE(YEAR(N216),MONTH(N216),1),'Additional data'!$A$2:$A$965,0))</f>
        <v>27.754999999999999</v>
      </c>
      <c r="P216" s="232">
        <f t="shared" si="36"/>
        <v>3.3234160041421248</v>
      </c>
      <c r="Q216" s="232">
        <f>Q215+LN(1+INDEX('Additional data'!$H$2:$H$1196,MATCH(N216,'Additional data'!$G$2:$G$1196,1))+INDEX('Additional data'!$I$2:$I$1196,MATCH(N216,'Additional data'!$G$2:$G$1196,1)))</f>
        <v>1.4582234351012224</v>
      </c>
      <c r="R216" s="232">
        <f>LN(INDEX(Data!$B$2:$B$497,MATCH(N216,Data!$A$2:$A$497,1)))</f>
        <v>7.7879213001376595</v>
      </c>
      <c r="S216" s="116">
        <f>INDEX('Additional data'!$E$2:$E$699,MATCH(DATE(YEAR(N216),MONTH(N216),1),'Additional data'!$D$2:$D$699,0))</f>
        <v>16.25</v>
      </c>
      <c r="T216" s="115">
        <f t="shared" si="37"/>
        <v>1.5467594699599907E-2</v>
      </c>
      <c r="U216" s="115">
        <f t="shared" si="38"/>
        <v>-4.6106125576832468E-3</v>
      </c>
      <c r="V216" s="115">
        <f t="shared" si="40"/>
        <v>3.4064506186997079E-3</v>
      </c>
      <c r="W216" s="116">
        <f t="shared" si="39"/>
        <v>1.1099999999999994</v>
      </c>
      <c r="X216" s="115">
        <f t="shared" si="41"/>
        <v>-5.2463569535740717E-2</v>
      </c>
      <c r="Y216" s="115">
        <f t="shared" si="42"/>
        <v>0.1805030607771192</v>
      </c>
      <c r="Z216" s="77"/>
      <c r="AA216" s="116">
        <f t="shared" si="43"/>
        <v>4.6899999999999995</v>
      </c>
      <c r="AB216" s="115">
        <f t="shared" si="33"/>
        <v>-0.31417015558426087</v>
      </c>
      <c r="AC216" s="115">
        <f t="shared" si="34"/>
        <v>0.68370049343722217</v>
      </c>
      <c r="AD216" s="77"/>
      <c r="AE216" s="235">
        <f t="shared" si="35"/>
        <v>3.92</v>
      </c>
    </row>
    <row r="217" spans="14:31" x14ac:dyDescent="0.2">
      <c r="N217" s="337">
        <v>31320</v>
      </c>
      <c r="O217" s="116">
        <f>INDEX('Additional data'!$B$2:$B$965,MATCH(DATE(YEAR(N217),MONTH(N217),1),'Additional data'!$A$2:$A$965,0))</f>
        <v>28.289000000000001</v>
      </c>
      <c r="P217" s="232">
        <f t="shared" si="36"/>
        <v>3.3424730365091455</v>
      </c>
      <c r="Q217" s="232">
        <f>Q216+LN(1+INDEX('Additional data'!$H$2:$H$1196,MATCH(N217,'Additional data'!$G$2:$G$1196,1))+INDEX('Additional data'!$I$2:$I$1196,MATCH(N217,'Additional data'!$G$2:$G$1196,1)))</f>
        <v>1.4183385014023075</v>
      </c>
      <c r="R217" s="232">
        <f>LN(INDEX(Data!$B$2:$B$497,MATCH(N217,Data!$A$2:$A$497,1)))</f>
        <v>7.8422395010482564</v>
      </c>
      <c r="S217" s="116">
        <f>INDEX('Additional data'!$E$2:$E$699,MATCH(DATE(YEAR(N217),MONTH(N217),1),'Additional data'!$D$2:$D$699,0))</f>
        <v>16.78</v>
      </c>
      <c r="T217" s="115">
        <f t="shared" si="37"/>
        <v>1.9057032367020721E-2</v>
      </c>
      <c r="U217" s="115">
        <f t="shared" si="38"/>
        <v>-3.9884933698914882E-2</v>
      </c>
      <c r="V217" s="115">
        <f t="shared" si="40"/>
        <v>5.4318200910596914E-2</v>
      </c>
      <c r="W217" s="116">
        <f t="shared" si="39"/>
        <v>0.53000000000000114</v>
      </c>
      <c r="X217" s="115">
        <f t="shared" si="41"/>
        <v>-3.5489835680095894E-2</v>
      </c>
      <c r="Y217" s="115">
        <f t="shared" si="42"/>
        <v>0.14001830700623685</v>
      </c>
      <c r="Z217" s="77"/>
      <c r="AA217" s="116">
        <f t="shared" si="43"/>
        <v>6.2500000000000018</v>
      </c>
      <c r="AB217" s="115">
        <f t="shared" si="33"/>
        <v>-0.2410459019469644</v>
      </c>
      <c r="AC217" s="115">
        <f t="shared" si="34"/>
        <v>0.61483945150179009</v>
      </c>
      <c r="AD217" s="77"/>
      <c r="AE217" s="235">
        <f t="shared" si="35"/>
        <v>5.0900000000000016</v>
      </c>
    </row>
    <row r="218" spans="14:31" x14ac:dyDescent="0.2">
      <c r="N218" s="337">
        <v>31351</v>
      </c>
      <c r="O218" s="116">
        <f>INDEX('Additional data'!$B$2:$B$965,MATCH(DATE(YEAR(N218),MONTH(N218),1),'Additional data'!$A$2:$A$965,0))</f>
        <v>29.538</v>
      </c>
      <c r="P218" s="232">
        <f t="shared" si="36"/>
        <v>3.3856775700041184</v>
      </c>
      <c r="Q218" s="232">
        <f>Q217+LN(1+INDEX('Additional data'!$H$2:$H$1196,MATCH(N218,'Additional data'!$G$2:$G$1196,1))+INDEX('Additional data'!$I$2:$I$1196,MATCH(N218,'Additional data'!$G$2:$G$1196,1)))</f>
        <v>1.463789764306225</v>
      </c>
      <c r="R218" s="232">
        <f>LN(INDEX(Data!$B$2:$B$497,MATCH(N218,Data!$A$2:$A$497,1)))</f>
        <v>7.8898712038764627</v>
      </c>
      <c r="S218" s="116">
        <f>INDEX('Additional data'!$E$2:$E$699,MATCH(DATE(YEAR(N218),MONTH(N218),1),'Additional data'!$D$2:$D$699,0))</f>
        <v>16.36</v>
      </c>
      <c r="T218" s="115">
        <f t="shared" si="37"/>
        <v>4.3204533494972885E-2</v>
      </c>
      <c r="U218" s="115">
        <f t="shared" si="38"/>
        <v>4.5451262903917433E-2</v>
      </c>
      <c r="V218" s="115">
        <f t="shared" si="40"/>
        <v>4.7631702828206279E-2</v>
      </c>
      <c r="W218" s="116">
        <f t="shared" si="39"/>
        <v>-0.42000000000000171</v>
      </c>
      <c r="X218" s="115">
        <f t="shared" si="41"/>
        <v>2.651819968886171E-2</v>
      </c>
      <c r="Y218" s="115">
        <f t="shared" si="42"/>
        <v>0.1838708485464573</v>
      </c>
      <c r="Z218" s="77"/>
      <c r="AA218" s="116">
        <f t="shared" si="43"/>
        <v>5.1899999999999995</v>
      </c>
      <c r="AB218" s="115">
        <f t="shared" si="33"/>
        <v>-0.19784136845199152</v>
      </c>
      <c r="AC218" s="115">
        <f t="shared" si="34"/>
        <v>0.64058613113137208</v>
      </c>
      <c r="AD218" s="77"/>
      <c r="AE218" s="235">
        <f t="shared" si="35"/>
        <v>5.1399999999999988</v>
      </c>
    </row>
    <row r="219" spans="14:31" x14ac:dyDescent="0.2">
      <c r="N219" s="337">
        <v>31381</v>
      </c>
      <c r="O219" s="116">
        <f>INDEX('Additional data'!$B$2:$B$965,MATCH(DATE(YEAR(N219),MONTH(N219),1),'Additional data'!$A$2:$A$965,0))</f>
        <v>30.812999999999999</v>
      </c>
      <c r="P219" s="232">
        <f t="shared" si="36"/>
        <v>3.4279366788517769</v>
      </c>
      <c r="Q219" s="232">
        <f>Q218+LN(1+INDEX('Additional data'!$H$2:$H$1196,MATCH(N219,'Additional data'!$G$2:$G$1196,1))+INDEX('Additional data'!$I$2:$I$1196,MATCH(N219,'Additional data'!$G$2:$G$1196,1)))</f>
        <v>1.5321024044883123</v>
      </c>
      <c r="R219" s="232">
        <f>LN(INDEX(Data!$B$2:$B$497,MATCH(N219,Data!$A$2:$A$497,1)))</f>
        <v>7.8567067930958405</v>
      </c>
      <c r="S219" s="116">
        <f>INDEX('Additional data'!$E$2:$E$699,MATCH(DATE(YEAR(N219),MONTH(N219),1),'Additional data'!$D$2:$D$699,0))</f>
        <v>18.18</v>
      </c>
      <c r="T219" s="115">
        <f t="shared" si="37"/>
        <v>4.2259108847658489E-2</v>
      </c>
      <c r="U219" s="115">
        <f t="shared" si="38"/>
        <v>6.831264018208727E-2</v>
      </c>
      <c r="V219" s="115">
        <f t="shared" si="40"/>
        <v>-3.3164410780622156E-2</v>
      </c>
      <c r="W219" s="116">
        <f t="shared" si="39"/>
        <v>1.8200000000000003</v>
      </c>
      <c r="X219" s="115">
        <f t="shared" si="41"/>
        <v>9.2238279422317326E-2</v>
      </c>
      <c r="Y219" s="115">
        <f t="shared" si="42"/>
        <v>0.26263794663240358</v>
      </c>
      <c r="Z219" s="77"/>
      <c r="AA219" s="116">
        <f t="shared" si="43"/>
        <v>6.92</v>
      </c>
      <c r="AB219" s="115">
        <f t="shared" si="33"/>
        <v>-0.15558225960433303</v>
      </c>
      <c r="AC219" s="115">
        <f t="shared" si="34"/>
        <v>0.60851059728219081</v>
      </c>
      <c r="AD219" s="77"/>
      <c r="AE219" s="235">
        <f t="shared" si="35"/>
        <v>6.91</v>
      </c>
    </row>
    <row r="220" spans="14:31" x14ac:dyDescent="0.2">
      <c r="N220" s="337">
        <v>31412</v>
      </c>
      <c r="O220" s="116">
        <f>INDEX('Additional data'!$B$2:$B$965,MATCH(DATE(YEAR(N220),MONTH(N220),1),'Additional data'!$A$2:$A$965,0))</f>
        <v>27.228000000000002</v>
      </c>
      <c r="P220" s="232">
        <f t="shared" si="36"/>
        <v>3.3042458555857048</v>
      </c>
      <c r="Q220" s="232">
        <f>Q219+LN(1+INDEX('Additional data'!$H$2:$H$1196,MATCH(N220,'Additional data'!$G$2:$G$1196,1))+INDEX('Additional data'!$I$2:$I$1196,MATCH(N220,'Additional data'!$G$2:$G$1196,1)))</f>
        <v>1.5764063300448365</v>
      </c>
      <c r="R220" s="232">
        <f>LN(INDEX(Data!$B$2:$B$497,MATCH(N220,Data!$A$2:$A$497,1)))</f>
        <v>7.8716545247710172</v>
      </c>
      <c r="S220" s="116">
        <f>INDEX('Additional data'!$E$2:$E$699,MATCH(DATE(YEAR(N220),MONTH(N220),1),'Additional data'!$D$2:$D$699,0))</f>
        <v>19.559999999999999</v>
      </c>
      <c r="T220" s="115">
        <f t="shared" si="37"/>
        <v>-0.12369082326607206</v>
      </c>
      <c r="U220" s="115">
        <f t="shared" si="38"/>
        <v>4.4303925556524293E-2</v>
      </c>
      <c r="V220" s="115">
        <f t="shared" si="40"/>
        <v>1.4947731675176712E-2</v>
      </c>
      <c r="W220" s="116">
        <f t="shared" si="39"/>
        <v>1.379999999999999</v>
      </c>
      <c r="X220" s="115">
        <f t="shared" si="41"/>
        <v>6.835560055837453E-2</v>
      </c>
      <c r="Y220" s="115">
        <f t="shared" si="42"/>
        <v>0.28234682533354771</v>
      </c>
      <c r="Z220" s="115">
        <f t="shared" ref="Z220:Z283" si="44">R220-R208</f>
        <v>0.36506274470017619</v>
      </c>
      <c r="AA220" s="116">
        <f t="shared" si="43"/>
        <v>7.2199999999999989</v>
      </c>
      <c r="AB220" s="115">
        <f t="shared" si="33"/>
        <v>-0.30667205705851952</v>
      </c>
      <c r="AC220" s="115">
        <f t="shared" si="34"/>
        <v>0.68482131897380161</v>
      </c>
      <c r="AD220" s="77"/>
      <c r="AE220" s="235">
        <f t="shared" si="35"/>
        <v>7.1099999999999994</v>
      </c>
    </row>
    <row r="221" spans="14:31" x14ac:dyDescent="0.2">
      <c r="N221" s="337">
        <v>31443</v>
      </c>
      <c r="O221" s="116">
        <f>INDEX('Additional data'!$B$2:$B$965,MATCH(DATE(YEAR(N221),MONTH(N221),1),'Additional data'!$A$2:$A$965,0))</f>
        <v>22.945</v>
      </c>
      <c r="P221" s="232">
        <f t="shared" si="36"/>
        <v>3.133100047846797</v>
      </c>
      <c r="Q221" s="232">
        <f>Q220+LN(1+INDEX('Additional data'!$H$2:$H$1196,MATCH(N221,'Additional data'!$G$2:$G$1196,1))+INDEX('Additional data'!$I$2:$I$1196,MATCH(N221,'Additional data'!$G$2:$G$1196,1)))</f>
        <v>1.588433710257555</v>
      </c>
      <c r="R221" s="232">
        <f>LN(INDEX(Data!$B$2:$B$497,MATCH(N221,Data!$A$2:$A$497,1)))</f>
        <v>7.9428951446946732</v>
      </c>
      <c r="S221" s="116">
        <f>INDEX('Additional data'!$E$2:$E$699,MATCH(DATE(YEAR(N221),MONTH(N221),1),'Additional data'!$D$2:$D$699,0))</f>
        <v>18.97</v>
      </c>
      <c r="T221" s="115">
        <f t="shared" si="37"/>
        <v>-0.17114580773890786</v>
      </c>
      <c r="U221" s="115">
        <f t="shared" si="38"/>
        <v>1.202738021271843E-2</v>
      </c>
      <c r="V221" s="115">
        <f t="shared" si="40"/>
        <v>7.1240619923655935E-2</v>
      </c>
      <c r="W221" s="116">
        <f t="shared" si="39"/>
        <v>-0.58999999999999986</v>
      </c>
      <c r="X221" s="115">
        <f t="shared" si="41"/>
        <v>-0.11109258500519381</v>
      </c>
      <c r="Y221" s="115">
        <f t="shared" si="42"/>
        <v>0.21168883892765855</v>
      </c>
      <c r="Z221" s="115">
        <f t="shared" si="44"/>
        <v>0.37034072066807866</v>
      </c>
      <c r="AA221" s="116">
        <f t="shared" si="43"/>
        <v>5.6199999999999992</v>
      </c>
      <c r="AB221" s="115">
        <f t="shared" si="33"/>
        <v>-0.50448611187958869</v>
      </c>
      <c r="AC221" s="115">
        <f t="shared" si="34"/>
        <v>0.73787904874451193</v>
      </c>
      <c r="AD221" s="77"/>
      <c r="AE221" s="235">
        <f t="shared" si="35"/>
        <v>6.3599999999999994</v>
      </c>
    </row>
    <row r="222" spans="14:31" x14ac:dyDescent="0.2">
      <c r="N222" s="337">
        <v>31471</v>
      </c>
      <c r="O222" s="116">
        <f>INDEX('Additional data'!$B$2:$B$965,MATCH(DATE(YEAR(N222),MONTH(N222),1),'Additional data'!$A$2:$A$965,0))</f>
        <v>15.442</v>
      </c>
      <c r="P222" s="232">
        <f t="shared" si="36"/>
        <v>2.737091069886624</v>
      </c>
      <c r="Q222" s="232">
        <f>Q221+LN(1+INDEX('Additional data'!$H$2:$H$1196,MATCH(N222,'Additional data'!$G$2:$G$1196,1))+INDEX('Additional data'!$I$2:$I$1196,MATCH(N222,'Additional data'!$G$2:$G$1196,1)))</f>
        <v>1.6623345180970892</v>
      </c>
      <c r="R222" s="232">
        <f>LN(INDEX(Data!$B$2:$B$497,MATCH(N222,Data!$A$2:$A$497,1)))</f>
        <v>7.9210638227357899</v>
      </c>
      <c r="S222" s="116">
        <f>INDEX('Additional data'!$E$2:$E$699,MATCH(DATE(YEAR(N222),MONTH(N222),1),'Additional data'!$D$2:$D$699,0))</f>
        <v>18.29</v>
      </c>
      <c r="T222" s="115">
        <f t="shared" si="37"/>
        <v>-0.39600897796017298</v>
      </c>
      <c r="U222" s="115">
        <f t="shared" si="38"/>
        <v>7.3900807839534233E-2</v>
      </c>
      <c r="V222" s="115">
        <f t="shared" si="40"/>
        <v>-2.1831321958883265E-2</v>
      </c>
      <c r="W222" s="116">
        <f t="shared" si="39"/>
        <v>-0.67999999999999972</v>
      </c>
      <c r="X222" s="115">
        <f t="shared" si="41"/>
        <v>-0.56873279663223286</v>
      </c>
      <c r="Y222" s="115">
        <f t="shared" si="42"/>
        <v>0.26774972863886171</v>
      </c>
      <c r="Z222" s="115">
        <f t="shared" si="44"/>
        <v>0.32241389824700128</v>
      </c>
      <c r="AA222" s="116">
        <f t="shared" si="43"/>
        <v>4.4799999999999986</v>
      </c>
      <c r="AB222" s="115">
        <f t="shared" si="33"/>
        <v>-0.90049508983976168</v>
      </c>
      <c r="AC222" s="115">
        <f t="shared" si="34"/>
        <v>0.79511941569093902</v>
      </c>
      <c r="AD222" s="77"/>
      <c r="AE222" s="235">
        <f t="shared" si="35"/>
        <v>4.93</v>
      </c>
    </row>
    <row r="223" spans="14:31" x14ac:dyDescent="0.2">
      <c r="N223" s="337">
        <v>31502</v>
      </c>
      <c r="O223" s="116">
        <f>INDEX('Additional data'!$B$2:$B$965,MATCH(DATE(YEAR(N223),MONTH(N223),1),'Additional data'!$A$2:$A$965,0))</f>
        <v>12.618</v>
      </c>
      <c r="P223" s="232">
        <f t="shared" si="36"/>
        <v>2.5351243659486178</v>
      </c>
      <c r="Q223" s="232">
        <f>Q222+LN(1+INDEX('Additional data'!$H$2:$H$1196,MATCH(N223,'Additional data'!$G$2:$G$1196,1))+INDEX('Additional data'!$I$2:$I$1196,MATCH(N223,'Additional data'!$G$2:$G$1196,1)))</f>
        <v>1.7159700672629985</v>
      </c>
      <c r="R223" s="232">
        <f>LN(INDEX(Data!$B$2:$B$497,MATCH(N223,Data!$A$2:$A$497,1)))</f>
        <v>8.0048664415239799</v>
      </c>
      <c r="S223" s="116">
        <f>INDEX('Additional data'!$E$2:$E$699,MATCH(DATE(YEAR(N223),MONTH(N223),1),'Additional data'!$D$2:$D$699,0))</f>
        <v>16.440000000000001</v>
      </c>
      <c r="T223" s="115">
        <f t="shared" si="37"/>
        <v>-0.2019667039380062</v>
      </c>
      <c r="U223" s="115">
        <f t="shared" si="38"/>
        <v>5.3635549165909291E-2</v>
      </c>
      <c r="V223" s="115">
        <f t="shared" si="40"/>
        <v>8.3802618788189953E-2</v>
      </c>
      <c r="W223" s="116">
        <f t="shared" si="39"/>
        <v>-1.8499999999999979</v>
      </c>
      <c r="X223" s="115">
        <f t="shared" si="41"/>
        <v>-0.80554422263871572</v>
      </c>
      <c r="Y223" s="115">
        <f t="shared" si="42"/>
        <v>0.32348748589664122</v>
      </c>
      <c r="Z223" s="115">
        <f t="shared" si="44"/>
        <v>0.35445978707880865</v>
      </c>
      <c r="AA223" s="116">
        <f t="shared" si="43"/>
        <v>1.1500000000000021</v>
      </c>
      <c r="AB223" s="115">
        <f t="shared" si="33"/>
        <v>-1.1024617937777679</v>
      </c>
      <c r="AC223" s="115">
        <f t="shared" si="34"/>
        <v>0.80110831138949534</v>
      </c>
      <c r="AD223" s="77"/>
      <c r="AE223" s="235">
        <f t="shared" si="35"/>
        <v>1.8100000000000005</v>
      </c>
    </row>
    <row r="224" spans="14:31" x14ac:dyDescent="0.2">
      <c r="N224" s="337">
        <v>31532</v>
      </c>
      <c r="O224" s="116">
        <f>INDEX('Additional data'!$B$2:$B$965,MATCH(DATE(YEAR(N224),MONTH(N224),1),'Additional data'!$A$2:$A$965,0))</f>
        <v>12.847</v>
      </c>
      <c r="P224" s="232">
        <f t="shared" si="36"/>
        <v>2.5531103210494726</v>
      </c>
      <c r="Q224" s="232">
        <f>Q223+LN(1+INDEX('Additional data'!$H$2:$H$1196,MATCH(N224,'Additional data'!$G$2:$G$1196,1))+INDEX('Additional data'!$I$2:$I$1196,MATCH(N224,'Additional data'!$G$2:$G$1196,1)))</f>
        <v>1.7083410400985073</v>
      </c>
      <c r="R224" s="232">
        <f>LN(INDEX(Data!$B$2:$B$497,MATCH(N224,Data!$A$2:$A$497,1)))</f>
        <v>8.0747113396287968</v>
      </c>
      <c r="S224" s="116">
        <f>INDEX('Additional data'!$E$2:$E$699,MATCH(DATE(YEAR(N224),MONTH(N224),1),'Additional data'!$D$2:$D$699,0))</f>
        <v>15.76</v>
      </c>
      <c r="T224" s="115">
        <f t="shared" si="37"/>
        <v>1.7985955100854767E-2</v>
      </c>
      <c r="U224" s="115">
        <f t="shared" si="38"/>
        <v>-7.6290271644912089E-3</v>
      </c>
      <c r="V224" s="115">
        <f t="shared" si="40"/>
        <v>6.9844898104816977E-2</v>
      </c>
      <c r="W224" s="116">
        <f t="shared" si="39"/>
        <v>-0.68000000000000149</v>
      </c>
      <c r="X224" s="115">
        <f t="shared" si="41"/>
        <v>-0.80743866213487392</v>
      </c>
      <c r="Y224" s="115">
        <f t="shared" si="42"/>
        <v>0.31826134334846046</v>
      </c>
      <c r="Z224" s="115">
        <f t="shared" si="44"/>
        <v>0.36410281999865735</v>
      </c>
      <c r="AA224" s="116">
        <f t="shared" si="43"/>
        <v>-2.9999999999999361E-2</v>
      </c>
      <c r="AB224" s="115">
        <f t="shared" si="33"/>
        <v>-1.0844758386769131</v>
      </c>
      <c r="AC224" s="115">
        <f t="shared" si="34"/>
        <v>0.80433802755987993</v>
      </c>
      <c r="AD224" s="77"/>
      <c r="AE224" s="235">
        <f t="shared" si="35"/>
        <v>-0.93000000000000149</v>
      </c>
    </row>
    <row r="225" spans="14:31" x14ac:dyDescent="0.2">
      <c r="N225" s="337">
        <v>31563</v>
      </c>
      <c r="O225" s="116">
        <f>INDEX('Additional data'!$B$2:$B$965,MATCH(DATE(YEAR(N225),MONTH(N225),1),'Additional data'!$A$2:$A$965,0))</f>
        <v>15.444000000000001</v>
      </c>
      <c r="P225" s="232">
        <f t="shared" si="36"/>
        <v>2.7372205784019901</v>
      </c>
      <c r="Q225" s="232">
        <f>Q224+LN(1+INDEX('Additional data'!$H$2:$H$1196,MATCH(N225,'Additional data'!$G$2:$G$1196,1))+INDEX('Additional data'!$I$2:$I$1196,MATCH(N225,'Additional data'!$G$2:$G$1196,1)))</f>
        <v>1.7581782749456789</v>
      </c>
      <c r="R225" s="232">
        <f>LN(INDEX(Data!$B$2:$B$497,MATCH(N225,Data!$A$2:$A$497,1)))</f>
        <v>8.1009502101361939</v>
      </c>
      <c r="S225" s="116">
        <f>INDEX('Additional data'!$E$2:$E$699,MATCH(DATE(YEAR(N225),MONTH(N225),1),'Additional data'!$D$2:$D$699,0))</f>
        <v>14.73</v>
      </c>
      <c r="T225" s="115">
        <f t="shared" si="37"/>
        <v>0.18411025735251751</v>
      </c>
      <c r="U225" s="115">
        <f t="shared" si="38"/>
        <v>4.9837234847171619E-2</v>
      </c>
      <c r="V225" s="115">
        <f t="shared" si="40"/>
        <v>2.6238870507397039E-2</v>
      </c>
      <c r="W225" s="116">
        <f t="shared" si="39"/>
        <v>-1.0299999999999994</v>
      </c>
      <c r="X225" s="115">
        <f t="shared" si="41"/>
        <v>-0.58142818062500634</v>
      </c>
      <c r="Y225" s="115">
        <f t="shared" si="42"/>
        <v>0.3123800894392883</v>
      </c>
      <c r="Z225" s="115">
        <f t="shared" si="44"/>
        <v>0.39061055589573623</v>
      </c>
      <c r="AA225" s="116">
        <f t="shared" si="43"/>
        <v>-0.79999999999999893</v>
      </c>
      <c r="AB225" s="115">
        <f t="shared" si="33"/>
        <v>-0.90036558132439559</v>
      </c>
      <c r="AC225" s="115">
        <f t="shared" si="34"/>
        <v>0.84145648999927669</v>
      </c>
      <c r="AD225" s="77"/>
      <c r="AE225" s="235">
        <f t="shared" si="35"/>
        <v>-1.5500000000000007</v>
      </c>
    </row>
    <row r="226" spans="14:31" x14ac:dyDescent="0.2">
      <c r="N226" s="337">
        <v>31593</v>
      </c>
      <c r="O226" s="116">
        <f>INDEX('Additional data'!$B$2:$B$965,MATCH(DATE(YEAR(N226),MONTH(N226),1),'Additional data'!$A$2:$A$965,0))</f>
        <v>13.468999999999999</v>
      </c>
      <c r="P226" s="232">
        <f t="shared" si="36"/>
        <v>2.600390748616678</v>
      </c>
      <c r="Q226" s="232">
        <f>Q225+LN(1+INDEX('Additional data'!$H$2:$H$1196,MATCH(N226,'Additional data'!$G$2:$G$1196,1))+INDEX('Additional data'!$I$2:$I$1196,MATCH(N226,'Additional data'!$G$2:$G$1196,1)))</f>
        <v>1.7738547543306866</v>
      </c>
      <c r="R226" s="232">
        <f>LN(INDEX(Data!$B$2:$B$497,MATCH(N226,Data!$A$2:$A$497,1)))</f>
        <v>8.0529648530270297</v>
      </c>
      <c r="S226" s="116">
        <f>INDEX('Additional data'!$E$2:$E$699,MATCH(DATE(YEAR(N226),MONTH(N226),1),'Additional data'!$D$2:$D$699,0))</f>
        <v>14.68</v>
      </c>
      <c r="T226" s="115">
        <f t="shared" si="37"/>
        <v>-0.13682982978531211</v>
      </c>
      <c r="U226" s="115">
        <f t="shared" si="38"/>
        <v>1.5676479385007713E-2</v>
      </c>
      <c r="V226" s="115">
        <f t="shared" si="40"/>
        <v>-4.7985357109164184E-2</v>
      </c>
      <c r="W226" s="116">
        <f t="shared" si="39"/>
        <v>-5.0000000000000711E-2</v>
      </c>
      <c r="X226" s="115">
        <f t="shared" si="41"/>
        <v>-0.70072843763253934</v>
      </c>
      <c r="Y226" s="115">
        <f t="shared" si="42"/>
        <v>0.31002020633819738</v>
      </c>
      <c r="Z226" s="115">
        <f t="shared" si="44"/>
        <v>0.35411931915498318</v>
      </c>
      <c r="AA226" s="116">
        <f t="shared" si="43"/>
        <v>-1.0700000000000003</v>
      </c>
      <c r="AB226" s="115">
        <f t="shared" si="33"/>
        <v>-0.98312818983943195</v>
      </c>
      <c r="AC226" s="115">
        <f t="shared" si="34"/>
        <v>0.86708230023795252</v>
      </c>
      <c r="AD226" s="77"/>
      <c r="AE226" s="235">
        <f t="shared" si="35"/>
        <v>-0.90000000000000036</v>
      </c>
    </row>
    <row r="227" spans="14:31" x14ac:dyDescent="0.2">
      <c r="N227" s="337">
        <v>31624</v>
      </c>
      <c r="O227" s="116">
        <f>INDEX('Additional data'!$B$2:$B$965,MATCH(DATE(YEAR(N227),MONTH(N227),1),'Additional data'!$A$2:$A$965,0))</f>
        <v>11.574999999999999</v>
      </c>
      <c r="P227" s="232">
        <f t="shared" si="36"/>
        <v>2.4488475999722978</v>
      </c>
      <c r="Q227" s="232">
        <f>Q226+LN(1+INDEX('Additional data'!$H$2:$H$1196,MATCH(N227,'Additional data'!$G$2:$G$1196,1))+INDEX('Additional data'!$I$2:$I$1196,MATCH(N227,'Additional data'!$G$2:$G$1196,1)))</f>
        <v>1.7129363393612695</v>
      </c>
      <c r="R227" s="232">
        <f>LN(INDEX(Data!$B$2:$B$497,MATCH(N227,Data!$A$2:$A$497,1)))</f>
        <v>8.005800740367345</v>
      </c>
      <c r="S227" s="116">
        <f>INDEX('Additional data'!$E$2:$E$699,MATCH(DATE(YEAR(N227),MONTH(N227),1),'Additional data'!$D$2:$D$699,0))</f>
        <v>14.85</v>
      </c>
      <c r="T227" s="115">
        <f t="shared" si="37"/>
        <v>-0.15154314864438012</v>
      </c>
      <c r="U227" s="115">
        <f t="shared" si="38"/>
        <v>-6.0918414969417078E-2</v>
      </c>
      <c r="V227" s="115">
        <f t="shared" si="40"/>
        <v>-4.7164112659684676E-2</v>
      </c>
      <c r="W227" s="116">
        <f t="shared" si="39"/>
        <v>0.16999999999999993</v>
      </c>
      <c r="X227" s="115">
        <f t="shared" si="41"/>
        <v>-0.85910080947022704</v>
      </c>
      <c r="Y227" s="115">
        <f t="shared" si="42"/>
        <v>0.25010229170236387</v>
      </c>
      <c r="Z227" s="115">
        <f t="shared" si="44"/>
        <v>0.22128589084838524</v>
      </c>
      <c r="AA227" s="116">
        <f t="shared" si="43"/>
        <v>-0.29000000000000092</v>
      </c>
      <c r="AB227" s="115">
        <f t="shared" si="33"/>
        <v>-1.1346713384838121</v>
      </c>
      <c r="AC227" s="115">
        <f t="shared" si="34"/>
        <v>0.80926870022201425</v>
      </c>
      <c r="AD227" s="77"/>
      <c r="AE227" s="235">
        <f t="shared" si="35"/>
        <v>-0.54000000000000092</v>
      </c>
    </row>
    <row r="228" spans="14:31" x14ac:dyDescent="0.2">
      <c r="N228" s="337">
        <v>31655</v>
      </c>
      <c r="O228" s="116">
        <f>INDEX('Additional data'!$B$2:$B$965,MATCH(DATE(YEAR(N228),MONTH(N228),1),'Additional data'!$A$2:$A$965,0))</f>
        <v>15.092000000000001</v>
      </c>
      <c r="P228" s="232">
        <f t="shared" si="36"/>
        <v>2.7141648021020641</v>
      </c>
      <c r="Q228" s="232">
        <f>Q227+LN(1+INDEX('Additional data'!$H$2:$H$1196,MATCH(N228,'Additional data'!$G$2:$G$1196,1))+INDEX('Additional data'!$I$2:$I$1196,MATCH(N228,'Additional data'!$G$2:$G$1196,1)))</f>
        <v>1.7761927889962843</v>
      </c>
      <c r="R228" s="232">
        <f>LN(INDEX(Data!$B$2:$B$497,MATCH(N228,Data!$A$2:$A$497,1)))</f>
        <v>8.0668980673902784</v>
      </c>
      <c r="S228" s="116">
        <f>INDEX('Additional data'!$E$2:$E$699,MATCH(DATE(YEAR(N228),MONTH(N228),1),'Additional data'!$D$2:$D$699,0))</f>
        <v>17.37</v>
      </c>
      <c r="T228" s="115">
        <f t="shared" si="37"/>
        <v>0.26531720212976628</v>
      </c>
      <c r="U228" s="115">
        <f t="shared" si="38"/>
        <v>6.3256449635014755E-2</v>
      </c>
      <c r="V228" s="115">
        <f t="shared" si="40"/>
        <v>6.1097327022933356E-2</v>
      </c>
      <c r="W228" s="116">
        <f t="shared" si="39"/>
        <v>2.5200000000000014</v>
      </c>
      <c r="X228" s="115">
        <f t="shared" si="41"/>
        <v>-0.60925120204006067</v>
      </c>
      <c r="Y228" s="115">
        <f t="shared" si="42"/>
        <v>0.31796935389506187</v>
      </c>
      <c r="Z228" s="115">
        <f t="shared" si="44"/>
        <v>0.27897676725261888</v>
      </c>
      <c r="AA228" s="116">
        <f t="shared" si="43"/>
        <v>1.120000000000001</v>
      </c>
      <c r="AB228" s="115">
        <f t="shared" si="33"/>
        <v>-0.86935413635404579</v>
      </c>
      <c r="AC228" s="115">
        <f t="shared" si="34"/>
        <v>0.93163841434953554</v>
      </c>
      <c r="AD228" s="77"/>
      <c r="AE228" s="235">
        <f t="shared" si="35"/>
        <v>1.6500000000000004</v>
      </c>
    </row>
    <row r="229" spans="14:31" x14ac:dyDescent="0.2">
      <c r="N229" s="337">
        <v>31685</v>
      </c>
      <c r="O229" s="116">
        <f>INDEX('Additional data'!$B$2:$B$965,MATCH(DATE(YEAR(N229),MONTH(N229),1),'Additional data'!$A$2:$A$965,0))</f>
        <v>14.913</v>
      </c>
      <c r="P229" s="232">
        <f t="shared" si="36"/>
        <v>2.7022333157806453</v>
      </c>
      <c r="Q229" s="232">
        <f>Q228+LN(1+INDEX('Additional data'!$H$2:$H$1196,MATCH(N229,'Additional data'!$G$2:$G$1196,1))+INDEX('Additional data'!$I$2:$I$1196,MATCH(N229,'Additional data'!$G$2:$G$1196,1)))</f>
        <v>1.6912882819058404</v>
      </c>
      <c r="R229" s="232">
        <f>LN(INDEX(Data!$B$2:$B$497,MATCH(N229,Data!$A$2:$A$497,1)))</f>
        <v>8.1142947865053863</v>
      </c>
      <c r="S229" s="116">
        <f>INDEX('Additional data'!$E$2:$E$699,MATCH(DATE(YEAR(N229),MONTH(N229),1),'Additional data'!$D$2:$D$699,0))</f>
        <v>18.079999999999998</v>
      </c>
      <c r="T229" s="115">
        <f t="shared" si="37"/>
        <v>-1.1931486321418827E-2</v>
      </c>
      <c r="U229" s="115">
        <f t="shared" si="38"/>
        <v>-8.4904507090443948E-2</v>
      </c>
      <c r="V229" s="115">
        <f t="shared" si="40"/>
        <v>4.7396719115107899E-2</v>
      </c>
      <c r="W229" s="116">
        <f t="shared" si="39"/>
        <v>0.7099999999999973</v>
      </c>
      <c r="X229" s="115">
        <f t="shared" si="41"/>
        <v>-0.64023972072850022</v>
      </c>
      <c r="Y229" s="115">
        <f t="shared" si="42"/>
        <v>0.2729497805035328</v>
      </c>
      <c r="Z229" s="115">
        <f t="shared" si="44"/>
        <v>0.27205528545712987</v>
      </c>
      <c r="AA229" s="116">
        <f t="shared" si="43"/>
        <v>1.2999999999999972</v>
      </c>
      <c r="AB229" s="115">
        <f t="shared" si="33"/>
        <v>-0.88128562267546462</v>
      </c>
      <c r="AC229" s="115">
        <f t="shared" si="34"/>
        <v>0.90807753750014353</v>
      </c>
      <c r="AD229" s="77"/>
      <c r="AE229" s="235">
        <f t="shared" si="35"/>
        <v>2.7299999999999986</v>
      </c>
    </row>
    <row r="230" spans="14:31" x14ac:dyDescent="0.2">
      <c r="N230" s="337">
        <v>31716</v>
      </c>
      <c r="O230" s="116">
        <f>INDEX('Additional data'!$B$2:$B$965,MATCH(DATE(YEAR(N230),MONTH(N230),1),'Additional data'!$A$2:$A$965,0))</f>
        <v>14.852</v>
      </c>
      <c r="P230" s="232">
        <f t="shared" si="36"/>
        <v>2.6981345363148335</v>
      </c>
      <c r="Q230" s="232">
        <f>Q229+LN(1+INDEX('Additional data'!$H$2:$H$1196,MATCH(N230,'Additional data'!$G$2:$G$1196,1))+INDEX('Additional data'!$I$2:$I$1196,MATCH(N230,'Additional data'!$G$2:$G$1196,1)))</f>
        <v>1.7410303738006543</v>
      </c>
      <c r="R230" s="232">
        <f>LN(INDEX(Data!$B$2:$B$497,MATCH(N230,Data!$A$2:$A$497,1)))</f>
        <v>8.2203492771720708</v>
      </c>
      <c r="S230" s="116">
        <f>INDEX('Additional data'!$E$2:$E$699,MATCH(DATE(YEAR(N230),MONTH(N230),1),'Additional data'!$D$2:$D$699,0))</f>
        <v>16.82</v>
      </c>
      <c r="T230" s="115">
        <f t="shared" si="37"/>
        <v>-4.0987794658118304E-3</v>
      </c>
      <c r="U230" s="115">
        <f t="shared" si="38"/>
        <v>4.9742091894813933E-2</v>
      </c>
      <c r="V230" s="115">
        <f t="shared" si="40"/>
        <v>0.10605449066668449</v>
      </c>
      <c r="W230" s="116">
        <f t="shared" si="39"/>
        <v>-1.259999999999998</v>
      </c>
      <c r="X230" s="115">
        <f t="shared" si="41"/>
        <v>-0.68754303368928493</v>
      </c>
      <c r="Y230" s="115">
        <f t="shared" si="42"/>
        <v>0.2772406094944293</v>
      </c>
      <c r="Z230" s="115">
        <f t="shared" si="44"/>
        <v>0.33047807329560808</v>
      </c>
      <c r="AA230" s="116">
        <f t="shared" si="43"/>
        <v>0.46000000000000085</v>
      </c>
      <c r="AB230" s="115">
        <f t="shared" si="33"/>
        <v>-0.85721352517458005</v>
      </c>
      <c r="AC230" s="115">
        <f t="shared" si="34"/>
        <v>0.8983250576093178</v>
      </c>
      <c r="AD230" s="77"/>
      <c r="AE230" s="235">
        <f t="shared" si="35"/>
        <v>2.1300000000000008</v>
      </c>
    </row>
    <row r="231" spans="14:31" x14ac:dyDescent="0.2">
      <c r="N231" s="337">
        <v>31746</v>
      </c>
      <c r="O231" s="116">
        <f>INDEX('Additional data'!$B$2:$B$965,MATCH(DATE(YEAR(N231),MONTH(N231),1),'Additional data'!$A$2:$A$965,0))</f>
        <v>15.207000000000001</v>
      </c>
      <c r="P231" s="232">
        <f t="shared" si="36"/>
        <v>2.7217558481583222</v>
      </c>
      <c r="Q231" s="232">
        <f>Q230+LN(1+INDEX('Additional data'!$H$2:$H$1196,MATCH(N231,'Additional data'!$G$2:$G$1196,1))+INDEX('Additional data'!$I$2:$I$1196,MATCH(N231,'Additional data'!$G$2:$G$1196,1)))</f>
        <v>1.7565099446490406</v>
      </c>
      <c r="R231" s="232">
        <f>LN(INDEX(Data!$B$2:$B$497,MATCH(N231,Data!$A$2:$A$497,1)))</f>
        <v>8.2247799445885548</v>
      </c>
      <c r="S231" s="116">
        <f>INDEX('Additional data'!$E$2:$E$699,MATCH(DATE(YEAR(N231),MONTH(N231),1),'Additional data'!$D$2:$D$699,0))</f>
        <v>15.9</v>
      </c>
      <c r="T231" s="115">
        <f t="shared" si="37"/>
        <v>2.3621311843488701E-2</v>
      </c>
      <c r="U231" s="115">
        <f t="shared" si="38"/>
        <v>1.5479570848386359E-2</v>
      </c>
      <c r="V231" s="115">
        <f t="shared" si="40"/>
        <v>4.4306674164840132E-3</v>
      </c>
      <c r="W231" s="116">
        <f t="shared" si="39"/>
        <v>-0.91999999999999993</v>
      </c>
      <c r="X231" s="115">
        <f t="shared" si="41"/>
        <v>-0.70618083069345472</v>
      </c>
      <c r="Y231" s="115">
        <f t="shared" si="42"/>
        <v>0.22440754016072839</v>
      </c>
      <c r="Z231" s="115">
        <f t="shared" si="44"/>
        <v>0.36807315149271425</v>
      </c>
      <c r="AA231" s="116">
        <f t="shared" si="43"/>
        <v>-2.2799999999999994</v>
      </c>
      <c r="AB231" s="115">
        <f t="shared" si="33"/>
        <v>-0.86176309029778775</v>
      </c>
      <c r="AC231" s="115">
        <f t="shared" si="34"/>
        <v>0.87007486559637892</v>
      </c>
      <c r="AD231" s="77"/>
      <c r="AE231" s="235">
        <f t="shared" si="35"/>
        <v>1.2800000000000011</v>
      </c>
    </row>
    <row r="232" spans="14:31" x14ac:dyDescent="0.2">
      <c r="N232" s="337">
        <v>31777</v>
      </c>
      <c r="O232" s="116">
        <f>INDEX('Additional data'!$B$2:$B$965,MATCH(DATE(YEAR(N232),MONTH(N232),1),'Additional data'!$A$2:$A$965,0))</f>
        <v>16.076000000000001</v>
      </c>
      <c r="P232" s="232">
        <f t="shared" si="36"/>
        <v>2.7773274765869549</v>
      </c>
      <c r="Q232" s="232">
        <f>Q231+LN(1+INDEX('Additional data'!$H$2:$H$1196,MATCH(N232,'Additional data'!$G$2:$G$1196,1))+INDEX('Additional data'!$I$2:$I$1196,MATCH(N232,'Additional data'!$G$2:$G$1196,1)))</f>
        <v>1.728419064482515</v>
      </c>
      <c r="R232" s="232">
        <f>LN(INDEX(Data!$B$2:$B$497,MATCH(N232,Data!$A$2:$A$497,1)))</f>
        <v>8.2917971050487331</v>
      </c>
      <c r="S232" s="116">
        <f>INDEX('Additional data'!$E$2:$E$699,MATCH(DATE(YEAR(N232),MONTH(N232),1),'Additional data'!$D$2:$D$699,0))</f>
        <v>15.53</v>
      </c>
      <c r="T232" s="115">
        <f t="shared" si="37"/>
        <v>5.5571628428632724E-2</v>
      </c>
      <c r="U232" s="115">
        <f t="shared" si="38"/>
        <v>-2.8090880166525611E-2</v>
      </c>
      <c r="V232" s="115">
        <f t="shared" si="40"/>
        <v>6.701716046017836E-2</v>
      </c>
      <c r="W232" s="116">
        <f t="shared" si="39"/>
        <v>-0.37000000000000099</v>
      </c>
      <c r="X232" s="115">
        <f t="shared" si="41"/>
        <v>-0.52691837899874994</v>
      </c>
      <c r="Y232" s="115">
        <f t="shared" si="42"/>
        <v>0.15201273443767849</v>
      </c>
      <c r="Z232" s="115">
        <f t="shared" si="44"/>
        <v>0.42014258027771589</v>
      </c>
      <c r="AA232" s="116">
        <f t="shared" si="43"/>
        <v>-4.0299999999999994</v>
      </c>
      <c r="AB232" s="115">
        <f t="shared" si="33"/>
        <v>-0.77802058490245862</v>
      </c>
      <c r="AC232" s="115">
        <f t="shared" si="34"/>
        <v>0.86997202197002199</v>
      </c>
      <c r="AD232" s="77"/>
      <c r="AE232" s="235">
        <f t="shared" si="35"/>
        <v>-9.9999999999997868E-3</v>
      </c>
    </row>
    <row r="233" spans="14:31" x14ac:dyDescent="0.2">
      <c r="N233" s="337">
        <v>31808</v>
      </c>
      <c r="O233" s="116">
        <f>INDEX('Additional data'!$B$2:$B$965,MATCH(DATE(YEAR(N233),MONTH(N233),1),'Additional data'!$A$2:$A$965,0))</f>
        <v>18.655999999999999</v>
      </c>
      <c r="P233" s="232">
        <f t="shared" si="36"/>
        <v>2.9261678101680819</v>
      </c>
      <c r="Q233" s="232">
        <f>Q232+LN(1+INDEX('Additional data'!$H$2:$H$1196,MATCH(N233,'Additional data'!$G$2:$G$1196,1))+INDEX('Additional data'!$I$2:$I$1196,MATCH(N233,'Additional data'!$G$2:$G$1196,1)))</f>
        <v>1.8494855924619586</v>
      </c>
      <c r="R233" s="232">
        <f>LN(INDEX(Data!$B$2:$B$497,MATCH(N233,Data!$A$2:$A$497,1)))</f>
        <v>8.3089875124662349</v>
      </c>
      <c r="S233" s="116">
        <f>INDEX('Additional data'!$E$2:$E$699,MATCH(DATE(YEAR(N233),MONTH(N233),1),'Additional data'!$D$2:$D$699,0))</f>
        <v>15.86</v>
      </c>
      <c r="T233" s="115">
        <f t="shared" si="37"/>
        <v>0.14884033358112703</v>
      </c>
      <c r="U233" s="115">
        <f t="shared" si="38"/>
        <v>0.12106652797944362</v>
      </c>
      <c r="V233" s="115">
        <f t="shared" si="40"/>
        <v>1.7190407417501774E-2</v>
      </c>
      <c r="W233" s="116">
        <f t="shared" si="39"/>
        <v>0.33000000000000007</v>
      </c>
      <c r="X233" s="115">
        <f t="shared" si="41"/>
        <v>-0.20693223767871505</v>
      </c>
      <c r="Y233" s="115">
        <f t="shared" si="42"/>
        <v>0.26105188220440367</v>
      </c>
      <c r="Z233" s="115">
        <f t="shared" si="44"/>
        <v>0.36609236777156173</v>
      </c>
      <c r="AA233" s="116">
        <f t="shared" si="43"/>
        <v>-3.1099999999999994</v>
      </c>
      <c r="AB233" s="115">
        <f t="shared" si="33"/>
        <v>-0.59577118919020222</v>
      </c>
      <c r="AC233" s="115">
        <f t="shared" si="34"/>
        <v>1.0156386668176984</v>
      </c>
      <c r="AD233" s="77"/>
      <c r="AE233" s="235">
        <f t="shared" si="35"/>
        <v>-0.35000000000000142</v>
      </c>
    </row>
    <row r="234" spans="14:31" x14ac:dyDescent="0.2">
      <c r="N234" s="337">
        <v>31836</v>
      </c>
      <c r="O234" s="116">
        <f>INDEX('Additional data'!$B$2:$B$965,MATCH(DATE(YEAR(N234),MONTH(N234),1),'Additional data'!$A$2:$A$965,0))</f>
        <v>17.725999999999999</v>
      </c>
      <c r="P234" s="232">
        <f t="shared" si="36"/>
        <v>2.8750324883162062</v>
      </c>
      <c r="Q234" s="232">
        <f>Q233+LN(1+INDEX('Additional data'!$H$2:$H$1196,MATCH(N234,'Additional data'!$G$2:$G$1196,1))+INDEX('Additional data'!$I$2:$I$1196,MATCH(N234,'Additional data'!$G$2:$G$1196,1)))</f>
        <v>1.8964645936559532</v>
      </c>
      <c r="R234" s="232">
        <f>LN(INDEX(Data!$B$2:$B$497,MATCH(N234,Data!$A$2:$A$497,1)))</f>
        <v>8.3859677095633565</v>
      </c>
      <c r="S234" s="116">
        <f>INDEX('Additional data'!$E$2:$E$699,MATCH(DATE(YEAR(N234),MONTH(N234),1),'Additional data'!$D$2:$D$699,0))</f>
        <v>16.7</v>
      </c>
      <c r="T234" s="115">
        <f t="shared" si="37"/>
        <v>-5.1135321851875748E-2</v>
      </c>
      <c r="U234" s="115">
        <f t="shared" si="38"/>
        <v>4.6979001193994563E-2</v>
      </c>
      <c r="V234" s="115">
        <f t="shared" si="40"/>
        <v>7.6980197097121561E-2</v>
      </c>
      <c r="W234" s="116">
        <f t="shared" si="39"/>
        <v>0.83999999999999986</v>
      </c>
      <c r="X234" s="115">
        <f t="shared" si="41"/>
        <v>0.13794141842958219</v>
      </c>
      <c r="Y234" s="115">
        <f t="shared" si="42"/>
        <v>0.234130075558864</v>
      </c>
      <c r="Z234" s="115">
        <f t="shared" si="44"/>
        <v>0.46490388682756656</v>
      </c>
      <c r="AA234" s="116">
        <f t="shared" si="43"/>
        <v>-1.5899999999999999</v>
      </c>
      <c r="AB234" s="115">
        <f t="shared" si="33"/>
        <v>-0.57685800766146711</v>
      </c>
      <c r="AC234" s="115">
        <f t="shared" si="34"/>
        <v>1.113279582813921</v>
      </c>
      <c r="AD234" s="77"/>
      <c r="AE234" s="235">
        <f t="shared" si="35"/>
        <v>-0.42000000000000171</v>
      </c>
    </row>
    <row r="235" spans="14:31" x14ac:dyDescent="0.2">
      <c r="N235" s="337">
        <v>31867</v>
      </c>
      <c r="O235" s="116">
        <f>INDEX('Additional data'!$B$2:$B$965,MATCH(DATE(YEAR(N235),MONTH(N235),1),'Additional data'!$A$2:$A$965,0))</f>
        <v>18.305</v>
      </c>
      <c r="P235" s="232">
        <f t="shared" si="36"/>
        <v>2.9071742465721995</v>
      </c>
      <c r="Q235" s="232">
        <f>Q234+LN(1+INDEX('Additional data'!$H$2:$H$1196,MATCH(N235,'Additional data'!$G$2:$G$1196,1))+INDEX('Additional data'!$I$2:$I$1196,MATCH(N235,'Additional data'!$G$2:$G$1196,1)))</f>
        <v>1.9172471328384817</v>
      </c>
      <c r="R235" s="232">
        <f>LN(INDEX(Data!$B$2:$B$497,MATCH(N235,Data!$A$2:$A$497,1)))</f>
        <v>8.4341593480866734</v>
      </c>
      <c r="S235" s="116">
        <f>INDEX('Additional data'!$E$2:$E$699,MATCH(DATE(YEAR(N235),MONTH(N235),1),'Additional data'!$D$2:$D$699,0))</f>
        <v>16.41</v>
      </c>
      <c r="T235" s="115">
        <f t="shared" si="37"/>
        <v>3.2141758255993302E-2</v>
      </c>
      <c r="U235" s="115">
        <f t="shared" si="38"/>
        <v>2.0782539182528481E-2</v>
      </c>
      <c r="V235" s="115">
        <f t="shared" si="40"/>
        <v>4.8191638523316982E-2</v>
      </c>
      <c r="W235" s="116">
        <f t="shared" si="39"/>
        <v>-0.28999999999999915</v>
      </c>
      <c r="X235" s="115">
        <f t="shared" si="41"/>
        <v>0.37204988062358169</v>
      </c>
      <c r="Y235" s="115">
        <f t="shared" si="42"/>
        <v>0.20127706557548319</v>
      </c>
      <c r="Z235" s="115">
        <f t="shared" si="44"/>
        <v>0.42929290656269359</v>
      </c>
      <c r="AA235" s="116">
        <f t="shared" si="43"/>
        <v>-3.0000000000001137E-2</v>
      </c>
      <c r="AB235" s="115">
        <f t="shared" si="33"/>
        <v>-0.44202783997157535</v>
      </c>
      <c r="AC235" s="115">
        <f t="shared" si="34"/>
        <v>1.1424976008175509</v>
      </c>
      <c r="AD235" s="77"/>
      <c r="AE235" s="235">
        <f t="shared" si="35"/>
        <v>-2.4800000000000004</v>
      </c>
    </row>
    <row r="236" spans="14:31" x14ac:dyDescent="0.2">
      <c r="N236" s="337">
        <v>31897</v>
      </c>
      <c r="O236" s="116">
        <f>INDEX('Additional data'!$B$2:$B$965,MATCH(DATE(YEAR(N236),MONTH(N236),1),'Additional data'!$A$2:$A$965,0))</f>
        <v>18.643000000000001</v>
      </c>
      <c r="P236" s="232">
        <f t="shared" si="36"/>
        <v>2.9254707405133247</v>
      </c>
      <c r="Q236" s="232">
        <f>Q235+LN(1+INDEX('Additional data'!$H$2:$H$1196,MATCH(N236,'Additional data'!$G$2:$G$1196,1))+INDEX('Additional data'!$I$2:$I$1196,MATCH(N236,'Additional data'!$G$2:$G$1196,1)))</f>
        <v>1.9006094916854583</v>
      </c>
      <c r="R236" s="232">
        <f>LN(INDEX(Data!$B$2:$B$497,MATCH(N236,Data!$A$2:$A$497,1)))</f>
        <v>8.4731159041753088</v>
      </c>
      <c r="S236" s="116">
        <f>INDEX('Additional data'!$E$2:$E$699,MATCH(DATE(YEAR(N236),MONTH(N236),1),'Additional data'!$D$2:$D$699,0))</f>
        <v>15.08</v>
      </c>
      <c r="T236" s="115">
        <f t="shared" si="37"/>
        <v>1.8296493941125203E-2</v>
      </c>
      <c r="U236" s="115">
        <f t="shared" si="38"/>
        <v>-1.6637641153023353E-2</v>
      </c>
      <c r="V236" s="115">
        <f t="shared" si="40"/>
        <v>3.8956556088635352E-2</v>
      </c>
      <c r="W236" s="116">
        <f t="shared" si="39"/>
        <v>-1.33</v>
      </c>
      <c r="X236" s="115">
        <f t="shared" si="41"/>
        <v>0.37236041946385212</v>
      </c>
      <c r="Y236" s="115">
        <f t="shared" si="42"/>
        <v>0.19226845158695105</v>
      </c>
      <c r="Z236" s="115">
        <f t="shared" si="44"/>
        <v>0.39840456454651196</v>
      </c>
      <c r="AA236" s="116">
        <f t="shared" si="43"/>
        <v>-0.67999999999999972</v>
      </c>
      <c r="AB236" s="115">
        <f t="shared" si="33"/>
        <v>-0.58458104606091288</v>
      </c>
      <c r="AC236" s="115">
        <f t="shared" si="34"/>
        <v>1.0830878678206586</v>
      </c>
      <c r="AD236" s="77"/>
      <c r="AE236" s="235">
        <f t="shared" si="35"/>
        <v>-6.3100000000000005</v>
      </c>
    </row>
    <row r="237" spans="14:31" x14ac:dyDescent="0.2">
      <c r="N237" s="337">
        <v>31928</v>
      </c>
      <c r="O237" s="116">
        <f>INDEX('Additional data'!$B$2:$B$965,MATCH(DATE(YEAR(N237),MONTH(N237),1),'Additional data'!$A$2:$A$965,0))</f>
        <v>19.414999999999999</v>
      </c>
      <c r="P237" s="232">
        <f t="shared" si="36"/>
        <v>2.9660459631836305</v>
      </c>
      <c r="Q237" s="232">
        <f>Q236+LN(1+INDEX('Additional data'!$H$2:$H$1196,MATCH(N237,'Additional data'!$G$2:$G$1196,1))+INDEX('Additional data'!$I$2:$I$1196,MATCH(N237,'Additional data'!$G$2:$G$1196,1)))</f>
        <v>1.9054975257582345</v>
      </c>
      <c r="R237" s="232">
        <f>LN(INDEX(Data!$B$2:$B$497,MATCH(N237,Data!$A$2:$A$497,1)))</f>
        <v>8.4867752201947049</v>
      </c>
      <c r="S237" s="116">
        <f>INDEX('Additional data'!$E$2:$E$699,MATCH(DATE(YEAR(N237),MONTH(N237),1),'Additional data'!$D$2:$D$699,0))</f>
        <v>14.14</v>
      </c>
      <c r="T237" s="115">
        <f t="shared" si="37"/>
        <v>4.0575222670305777E-2</v>
      </c>
      <c r="U237" s="115">
        <f t="shared" si="38"/>
        <v>4.8880340727761595E-3</v>
      </c>
      <c r="V237" s="115">
        <f t="shared" si="40"/>
        <v>1.3659316019396073E-2</v>
      </c>
      <c r="W237" s="116">
        <f t="shared" si="39"/>
        <v>-0.9399999999999995</v>
      </c>
      <c r="X237" s="115">
        <f t="shared" si="41"/>
        <v>0.22882538478164038</v>
      </c>
      <c r="Y237" s="115">
        <f t="shared" si="42"/>
        <v>0.14731925081255559</v>
      </c>
      <c r="Z237" s="115">
        <f t="shared" si="44"/>
        <v>0.385825010058511</v>
      </c>
      <c r="AA237" s="116">
        <f t="shared" si="43"/>
        <v>-0.58999999999999986</v>
      </c>
      <c r="AB237" s="115">
        <f t="shared" si="33"/>
        <v>-0.61552663794179674</v>
      </c>
      <c r="AC237" s="115">
        <f t="shared" si="34"/>
        <v>1.1170958004672868</v>
      </c>
      <c r="AD237" s="77"/>
      <c r="AE237" s="235">
        <f t="shared" si="35"/>
        <v>-4.3099999999999987</v>
      </c>
    </row>
    <row r="238" spans="14:31" x14ac:dyDescent="0.2">
      <c r="N238" s="337">
        <v>31958</v>
      </c>
      <c r="O238" s="116">
        <f>INDEX('Additional data'!$B$2:$B$965,MATCH(DATE(YEAR(N238),MONTH(N238),1),'Additional data'!$A$2:$A$965,0))</f>
        <v>20.033999999999999</v>
      </c>
      <c r="P238" s="232">
        <f t="shared" si="36"/>
        <v>2.9974308301895722</v>
      </c>
      <c r="Q238" s="232">
        <f>Q237+LN(1+INDEX('Additional data'!$H$2:$H$1196,MATCH(N238,'Additional data'!$G$2:$G$1196,1))+INDEX('Additional data'!$I$2:$I$1196,MATCH(N238,'Additional data'!$G$2:$G$1196,1)))</f>
        <v>1.9484612251903499</v>
      </c>
      <c r="R238" s="232">
        <f>LN(INDEX(Data!$B$2:$B$497,MATCH(N238,Data!$A$2:$A$497,1)))</f>
        <v>8.4848352753081109</v>
      </c>
      <c r="S238" s="116">
        <f>INDEX('Additional data'!$E$2:$E$699,MATCH(DATE(YEAR(N238),MONTH(N238),1),'Additional data'!$D$2:$D$699,0))</f>
        <v>13.68</v>
      </c>
      <c r="T238" s="115">
        <f t="shared" si="37"/>
        <v>3.1384867005941786E-2</v>
      </c>
      <c r="U238" s="115">
        <f t="shared" si="38"/>
        <v>4.2963699432115421E-2</v>
      </c>
      <c r="V238" s="115">
        <f t="shared" si="40"/>
        <v>-1.9399448865939917E-3</v>
      </c>
      <c r="W238" s="116">
        <f t="shared" si="39"/>
        <v>-0.46000000000000085</v>
      </c>
      <c r="X238" s="115">
        <f t="shared" si="41"/>
        <v>0.39704008157289428</v>
      </c>
      <c r="Y238" s="115">
        <f t="shared" si="42"/>
        <v>0.1746064708596633</v>
      </c>
      <c r="Z238" s="115">
        <f t="shared" si="44"/>
        <v>0.43187042228108119</v>
      </c>
      <c r="AA238" s="116">
        <f t="shared" si="43"/>
        <v>-1</v>
      </c>
      <c r="AB238" s="115">
        <f t="shared" si="33"/>
        <v>-0.55991523396251441</v>
      </c>
      <c r="AC238" s="115">
        <f t="shared" si="34"/>
        <v>1.1814874473130228</v>
      </c>
      <c r="AD238" s="77"/>
      <c r="AE238" s="235">
        <f t="shared" si="35"/>
        <v>-4.8900000000000006</v>
      </c>
    </row>
    <row r="239" spans="14:31" x14ac:dyDescent="0.2">
      <c r="N239" s="337">
        <v>31989</v>
      </c>
      <c r="O239" s="116">
        <f>INDEX('Additional data'!$B$2:$B$965,MATCH(DATE(YEAR(N239),MONTH(N239),1),'Additional data'!$A$2:$A$965,0))</f>
        <v>21.355</v>
      </c>
      <c r="P239" s="232">
        <f t="shared" si="36"/>
        <v>3.0612859042934297</v>
      </c>
      <c r="Q239" s="232">
        <f>Q238+LN(1+INDEX('Additional data'!$H$2:$H$1196,MATCH(N239,'Additional data'!$G$2:$G$1196,1))+INDEX('Additional data'!$I$2:$I$1196,MATCH(N239,'Additional data'!$G$2:$G$1196,1)))</f>
        <v>1.9905624012089853</v>
      </c>
      <c r="R239" s="232">
        <f>LN(INDEX(Data!$B$2:$B$497,MATCH(N239,Data!$A$2:$A$497,1)))</f>
        <v>8.627051576476477</v>
      </c>
      <c r="S239" s="116">
        <f>INDEX('Additional data'!$E$2:$E$699,MATCH(DATE(YEAR(N239),MONTH(N239),1),'Additional data'!$D$2:$D$699,0))</f>
        <v>12.99</v>
      </c>
      <c r="T239" s="115">
        <f t="shared" si="37"/>
        <v>6.385507410385749E-2</v>
      </c>
      <c r="U239" s="115">
        <f t="shared" si="38"/>
        <v>4.2101176018635389E-2</v>
      </c>
      <c r="V239" s="115">
        <f t="shared" si="40"/>
        <v>0.14221630116836614</v>
      </c>
      <c r="W239" s="116">
        <f t="shared" si="39"/>
        <v>-0.6899999999999995</v>
      </c>
      <c r="X239" s="115">
        <f t="shared" si="41"/>
        <v>0.61243830432113189</v>
      </c>
      <c r="Y239" s="115">
        <f t="shared" si="42"/>
        <v>0.27762606184771577</v>
      </c>
      <c r="Z239" s="115">
        <f t="shared" si="44"/>
        <v>0.62125083610913201</v>
      </c>
      <c r="AA239" s="116">
        <f t="shared" si="43"/>
        <v>-1.8599999999999994</v>
      </c>
      <c r="AB239" s="115">
        <f t="shared" si="33"/>
        <v>-0.46976946462693947</v>
      </c>
      <c r="AC239" s="115">
        <f t="shared" si="34"/>
        <v>1.2453231154776643</v>
      </c>
      <c r="AD239" s="77"/>
      <c r="AE239" s="235">
        <f t="shared" si="35"/>
        <v>-4.2999999999999989</v>
      </c>
    </row>
    <row r="240" spans="14:31" x14ac:dyDescent="0.2">
      <c r="N240" s="337">
        <v>32020</v>
      </c>
      <c r="O240" s="116">
        <f>INDEX('Additional data'!$B$2:$B$965,MATCH(DATE(YEAR(N240),MONTH(N240),1),'Additional data'!$A$2:$A$965,0))</f>
        <v>20.274000000000001</v>
      </c>
      <c r="P240" s="232">
        <f t="shared" si="36"/>
        <v>3.0093392769602079</v>
      </c>
      <c r="Q240" s="232">
        <f>Q239+LN(1+INDEX('Additional data'!$H$2:$H$1196,MATCH(N240,'Additional data'!$G$2:$G$1196,1))+INDEX('Additional data'!$I$2:$I$1196,MATCH(N240,'Additional data'!$G$2:$G$1196,1)))</f>
        <v>2.0296869558930353</v>
      </c>
      <c r="R240" s="232">
        <f>LN(INDEX(Data!$B$2:$B$497,MATCH(N240,Data!$A$2:$A$497,1)))</f>
        <v>8.6851960566140036</v>
      </c>
      <c r="S240" s="116">
        <f>INDEX('Additional data'!$E$2:$E$699,MATCH(DATE(YEAR(N240),MONTH(N240),1),'Additional data'!$D$2:$D$699,0))</f>
        <v>12.54</v>
      </c>
      <c r="T240" s="115">
        <f t="shared" si="37"/>
        <v>-5.1946627333221862E-2</v>
      </c>
      <c r="U240" s="115">
        <f t="shared" si="38"/>
        <v>3.9124554684049961E-2</v>
      </c>
      <c r="V240" s="115">
        <f t="shared" si="40"/>
        <v>5.81444801375266E-2</v>
      </c>
      <c r="W240" s="116">
        <f t="shared" si="39"/>
        <v>-0.45000000000000107</v>
      </c>
      <c r="X240" s="115">
        <f t="shared" si="41"/>
        <v>0.29517447485814374</v>
      </c>
      <c r="Y240" s="115">
        <f t="shared" si="42"/>
        <v>0.25349416689675097</v>
      </c>
      <c r="Z240" s="115">
        <f t="shared" si="44"/>
        <v>0.61829798922372525</v>
      </c>
      <c r="AA240" s="116">
        <f t="shared" si="43"/>
        <v>-4.8300000000000018</v>
      </c>
      <c r="AB240" s="115">
        <f t="shared" si="33"/>
        <v>-0.51554957704449755</v>
      </c>
      <c r="AC240" s="115">
        <f t="shared" si="34"/>
        <v>1.1712082745552035</v>
      </c>
      <c r="AD240" s="77"/>
      <c r="AE240" s="235">
        <f t="shared" si="35"/>
        <v>-4.6300000000000026</v>
      </c>
    </row>
    <row r="241" spans="14:31" x14ac:dyDescent="0.2">
      <c r="N241" s="337">
        <v>32050</v>
      </c>
      <c r="O241" s="116">
        <f>INDEX('Additional data'!$B$2:$B$965,MATCH(DATE(YEAR(N241),MONTH(N241),1),'Additional data'!$A$2:$A$965,0))</f>
        <v>19.526</v>
      </c>
      <c r="P241" s="232">
        <f t="shared" si="36"/>
        <v>2.9717469108034797</v>
      </c>
      <c r="Q241" s="232">
        <f>Q240+LN(1+INDEX('Additional data'!$H$2:$H$1196,MATCH(N241,'Additional data'!$G$2:$G$1196,1))+INDEX('Additional data'!$I$2:$I$1196,MATCH(N241,'Additional data'!$G$2:$G$1196,1)))</f>
        <v>2.0081568373426721</v>
      </c>
      <c r="R241" s="232">
        <f>LN(INDEX(Data!$B$2:$B$497,MATCH(N241,Data!$A$2:$A$497,1)))</f>
        <v>8.7318528561221367</v>
      </c>
      <c r="S241" s="116">
        <f>INDEX('Additional data'!$E$2:$E$699,MATCH(DATE(YEAR(N241),MONTH(N241),1),'Additional data'!$D$2:$D$699,0))</f>
        <v>11.7</v>
      </c>
      <c r="T241" s="115">
        <f t="shared" si="37"/>
        <v>-3.7592366156728119E-2</v>
      </c>
      <c r="U241" s="115">
        <f t="shared" si="38"/>
        <v>-2.1530118550363131E-2</v>
      </c>
      <c r="V241" s="115">
        <f t="shared" si="40"/>
        <v>4.6656799508133062E-2</v>
      </c>
      <c r="W241" s="116">
        <f t="shared" si="39"/>
        <v>-0.83999999999999986</v>
      </c>
      <c r="X241" s="115">
        <f t="shared" si="41"/>
        <v>0.26951359502283445</v>
      </c>
      <c r="Y241" s="115">
        <f t="shared" si="42"/>
        <v>0.31686855543683179</v>
      </c>
      <c r="Z241" s="115">
        <f t="shared" si="44"/>
        <v>0.61755806961675042</v>
      </c>
      <c r="AA241" s="116">
        <f t="shared" si="43"/>
        <v>-6.379999999999999</v>
      </c>
      <c r="AB241" s="115">
        <f t="shared" si="33"/>
        <v>-0.60144106881426485</v>
      </c>
      <c r="AC241" s="115">
        <f t="shared" si="34"/>
        <v>1.1316417935187415</v>
      </c>
      <c r="AD241" s="77"/>
      <c r="AE241" s="235">
        <f t="shared" si="35"/>
        <v>-3.7600000000000016</v>
      </c>
    </row>
    <row r="242" spans="14:31" x14ac:dyDescent="0.2">
      <c r="N242" s="337">
        <v>32081</v>
      </c>
      <c r="O242" s="116">
        <f>INDEX('Additional data'!$B$2:$B$965,MATCH(DATE(YEAR(N242),MONTH(N242),1),'Additional data'!$A$2:$A$965,0))</f>
        <v>19.847999999999999</v>
      </c>
      <c r="P242" s="232">
        <f t="shared" si="36"/>
        <v>2.9881032463894996</v>
      </c>
      <c r="Q242" s="232">
        <f>Q241+LN(1+INDEX('Additional data'!$H$2:$H$1196,MATCH(N242,'Additional data'!$G$2:$G$1196,1))+INDEX('Additional data'!$I$2:$I$1196,MATCH(N242,'Additional data'!$G$2:$G$1196,1)))</f>
        <v>1.7521026225712029</v>
      </c>
      <c r="R242" s="232">
        <f>LN(INDEX(Data!$B$2:$B$497,MATCH(N242,Data!$A$2:$A$497,1)))</f>
        <v>8.1848205400004694</v>
      </c>
      <c r="S242" s="116">
        <f>INDEX('Additional data'!$E$2:$E$699,MATCH(DATE(YEAR(N242),MONTH(N242),1),'Additional data'!$D$2:$D$699,0))</f>
        <v>11.99</v>
      </c>
      <c r="T242" s="115">
        <f t="shared" si="37"/>
        <v>1.6356335586019899E-2</v>
      </c>
      <c r="U242" s="115">
        <f t="shared" si="38"/>
        <v>-0.25605421477146928</v>
      </c>
      <c r="V242" s="115">
        <f t="shared" si="40"/>
        <v>-0.54703231612166725</v>
      </c>
      <c r="W242" s="116">
        <f t="shared" si="39"/>
        <v>0.29000000000000092</v>
      </c>
      <c r="X242" s="115">
        <f t="shared" si="41"/>
        <v>0.28996871007466618</v>
      </c>
      <c r="Y242" s="115">
        <f t="shared" si="42"/>
        <v>1.1072248770548576E-2</v>
      </c>
      <c r="Z242" s="115">
        <f t="shared" si="44"/>
        <v>-3.5528737171601321E-2</v>
      </c>
      <c r="AA242" s="116">
        <f t="shared" si="43"/>
        <v>-4.83</v>
      </c>
      <c r="AB242" s="115">
        <f t="shared" si="33"/>
        <v>-0.58648706132230899</v>
      </c>
      <c r="AC242" s="115">
        <f t="shared" si="34"/>
        <v>0.76324151891573377</v>
      </c>
      <c r="AD242" s="77"/>
      <c r="AE242" s="235">
        <f t="shared" si="35"/>
        <v>-2.58</v>
      </c>
    </row>
    <row r="243" spans="14:31" x14ac:dyDescent="0.2">
      <c r="N243" s="337">
        <v>32111</v>
      </c>
      <c r="O243" s="116">
        <f>INDEX('Additional data'!$B$2:$B$965,MATCH(DATE(YEAR(N243),MONTH(N243),1),'Additional data'!$A$2:$A$965,0))</f>
        <v>18.920000000000002</v>
      </c>
      <c r="P243" s="232">
        <f t="shared" si="36"/>
        <v>2.9402195636237325</v>
      </c>
      <c r="Q243" s="232">
        <f>Q242+LN(1+INDEX('Additional data'!$H$2:$H$1196,MATCH(N243,'Additional data'!$G$2:$G$1196,1))+INDEX('Additional data'!$I$2:$I$1196,MATCH(N243,'Additional data'!$G$2:$G$1196,1)))</f>
        <v>1.6751135810430671</v>
      </c>
      <c r="R243" s="232">
        <f>LN(INDEX(Data!$B$2:$B$497,MATCH(N243,Data!$A$2:$A$497,1)))</f>
        <v>8.2151146520138862</v>
      </c>
      <c r="S243" s="116">
        <f>INDEX('Additional data'!$E$2:$E$699,MATCH(DATE(YEAR(N243),MONTH(N243),1),'Additional data'!$D$2:$D$699,0))</f>
        <v>12.45</v>
      </c>
      <c r="T243" s="115">
        <f t="shared" si="37"/>
        <v>-4.7883682765767155E-2</v>
      </c>
      <c r="U243" s="115">
        <f t="shared" si="38"/>
        <v>-7.6989041528135793E-2</v>
      </c>
      <c r="V243" s="115">
        <f t="shared" si="40"/>
        <v>3.0294112013416807E-2</v>
      </c>
      <c r="W243" s="116">
        <f t="shared" si="39"/>
        <v>0.45999999999999908</v>
      </c>
      <c r="X243" s="115">
        <f t="shared" si="41"/>
        <v>0.21846371546541032</v>
      </c>
      <c r="Y243" s="115">
        <f t="shared" si="42"/>
        <v>-8.1396363605973576E-2</v>
      </c>
      <c r="Z243" s="115">
        <f t="shared" si="44"/>
        <v>-9.665292574668527E-3</v>
      </c>
      <c r="AA243" s="116">
        <f t="shared" si="43"/>
        <v>-3.4500000000000011</v>
      </c>
      <c r="AB243" s="115">
        <f t="shared" si="33"/>
        <v>-0.59054302239306633</v>
      </c>
      <c r="AC243" s="115">
        <f t="shared" si="34"/>
        <v>0.63451428198318371</v>
      </c>
      <c r="AD243" s="77"/>
      <c r="AE243" s="235">
        <f t="shared" si="35"/>
        <v>-2.3100000000000005</v>
      </c>
    </row>
    <row r="244" spans="14:31" x14ac:dyDescent="0.2">
      <c r="N244" s="337">
        <v>32142</v>
      </c>
      <c r="O244" s="116">
        <f>INDEX('Additional data'!$B$2:$B$965,MATCH(DATE(YEAR(N244),MONTH(N244),1),'Additional data'!$A$2:$A$965,0))</f>
        <v>17.241</v>
      </c>
      <c r="P244" s="232">
        <f t="shared" si="36"/>
        <v>2.847290268193714</v>
      </c>
      <c r="Q244" s="232">
        <f>Q243+LN(1+INDEX('Additional data'!$H$2:$H$1196,MATCH(N244,'Additional data'!$G$2:$G$1196,1))+INDEX('Additional data'!$I$2:$I$1196,MATCH(N244,'Additional data'!$G$2:$G$1196,1)))</f>
        <v>1.7447329229231241</v>
      </c>
      <c r="R244" s="232">
        <f>LN(INDEX(Data!$B$2:$B$497,MATCH(N244,Data!$A$2:$A$497,1)))</f>
        <v>8.2099884524755922</v>
      </c>
      <c r="S244" s="116">
        <f>INDEX('Additional data'!$E$2:$E$699,MATCH(DATE(YEAR(N244),MONTH(N244),1),'Additional data'!$D$2:$D$699,0))</f>
        <v>11.46</v>
      </c>
      <c r="T244" s="115">
        <f t="shared" si="37"/>
        <v>-9.2929295430018488E-2</v>
      </c>
      <c r="U244" s="115">
        <f t="shared" si="38"/>
        <v>6.9619341880057029E-2</v>
      </c>
      <c r="V244" s="115">
        <f t="shared" si="40"/>
        <v>-5.1261995382940739E-3</v>
      </c>
      <c r="W244" s="116">
        <f t="shared" si="39"/>
        <v>-0.98999999999999844</v>
      </c>
      <c r="X244" s="115">
        <f t="shared" si="41"/>
        <v>6.9962791606759112E-2</v>
      </c>
      <c r="Y244" s="115">
        <f t="shared" si="42"/>
        <v>1.6313858440609064E-2</v>
      </c>
      <c r="Z244" s="115">
        <f t="shared" si="44"/>
        <v>-8.1808652573140961E-2</v>
      </c>
      <c r="AA244" s="116">
        <f t="shared" si="43"/>
        <v>-4.0699999999999985</v>
      </c>
      <c r="AB244" s="115">
        <f t="shared" si="33"/>
        <v>-0.60965712857293308</v>
      </c>
      <c r="AC244" s="115">
        <f t="shared" si="34"/>
        <v>0.69190865424067183</v>
      </c>
      <c r="AD244" s="77"/>
      <c r="AE244" s="235">
        <f t="shared" si="35"/>
        <v>-0.66999999999999993</v>
      </c>
    </row>
    <row r="245" spans="14:31" x14ac:dyDescent="0.2">
      <c r="N245" s="337">
        <v>32173</v>
      </c>
      <c r="O245" s="116">
        <f>INDEX('Additional data'!$B$2:$B$965,MATCH(DATE(YEAR(N245),MONTH(N245),1),'Additional data'!$A$2:$A$965,0))</f>
        <v>17.16</v>
      </c>
      <c r="P245" s="232">
        <f t="shared" si="36"/>
        <v>2.8425810940598164</v>
      </c>
      <c r="Q245" s="232">
        <f>Q244+LN(1+INDEX('Additional data'!$H$2:$H$1196,MATCH(N245,'Additional data'!$G$2:$G$1196,1))+INDEX('Additional data'!$I$2:$I$1196,MATCH(N245,'Additional data'!$G$2:$G$1196,1)))</f>
        <v>1.7887498083398983</v>
      </c>
      <c r="R245" s="232">
        <f>LN(INDEX(Data!$B$2:$B$497,MATCH(N245,Data!$A$2:$A$497,1)))</f>
        <v>8.1635137564573039</v>
      </c>
      <c r="S245" s="116">
        <f>INDEX('Additional data'!$E$2:$E$699,MATCH(DATE(YEAR(N245),MONTH(N245),1),'Additional data'!$D$2:$D$699,0))</f>
        <v>11.05</v>
      </c>
      <c r="T245" s="115">
        <f t="shared" si="37"/>
        <v>-4.7091741338975979E-3</v>
      </c>
      <c r="U245" s="115">
        <f t="shared" si="38"/>
        <v>4.4016885416774176E-2</v>
      </c>
      <c r="V245" s="115">
        <f t="shared" si="40"/>
        <v>-4.6474696018288242E-2</v>
      </c>
      <c r="W245" s="116">
        <f t="shared" si="39"/>
        <v>-0.41000000000000014</v>
      </c>
      <c r="X245" s="115">
        <f t="shared" si="41"/>
        <v>-8.3586716108265513E-2</v>
      </c>
      <c r="Y245" s="115">
        <f t="shared" si="42"/>
        <v>-6.0735784122060377E-2</v>
      </c>
      <c r="Z245" s="115">
        <f t="shared" si="44"/>
        <v>-0.14547375600893098</v>
      </c>
      <c r="AA245" s="116">
        <f t="shared" si="43"/>
        <v>-4.8099999999999987</v>
      </c>
      <c r="AB245" s="115">
        <f t="shared" si="33"/>
        <v>-0.5975164365598955</v>
      </c>
      <c r="AC245" s="115">
        <f t="shared" si="34"/>
        <v>0.69401613658023642</v>
      </c>
      <c r="AD245" s="77"/>
      <c r="AE245" s="235">
        <f t="shared" si="35"/>
        <v>0.40000000000000036</v>
      </c>
    </row>
    <row r="246" spans="14:31" x14ac:dyDescent="0.2">
      <c r="N246" s="337">
        <v>32202</v>
      </c>
      <c r="O246" s="116">
        <f>INDEX('Additional data'!$B$2:$B$965,MATCH(DATE(YEAR(N246),MONTH(N246),1),'Additional data'!$A$2:$A$965,0))</f>
        <v>16.765000000000001</v>
      </c>
      <c r="P246" s="232">
        <f t="shared" si="36"/>
        <v>2.8192933799181921</v>
      </c>
      <c r="Q246" s="232">
        <f>Q245+LN(1+INDEX('Additional data'!$H$2:$H$1196,MATCH(N246,'Additional data'!$G$2:$G$1196,1))+INDEX('Additional data'!$I$2:$I$1196,MATCH(N246,'Additional data'!$G$2:$G$1196,1)))</f>
        <v>1.8397280531045277</v>
      </c>
      <c r="R246" s="232">
        <f>LN(INDEX(Data!$B$2:$B$497,MATCH(N246,Data!$A$2:$A$497,1)))</f>
        <v>8.160489675640763</v>
      </c>
      <c r="S246" s="116">
        <f>INDEX('Additional data'!$E$2:$E$699,MATCH(DATE(YEAR(N246),MONTH(N246),1),'Additional data'!$D$2:$D$699,0))</f>
        <v>10.95</v>
      </c>
      <c r="T246" s="115">
        <f t="shared" si="37"/>
        <v>-2.3287714141624338E-2</v>
      </c>
      <c r="U246" s="115">
        <f t="shared" si="38"/>
        <v>5.0978244764629421E-2</v>
      </c>
      <c r="V246" s="115">
        <f t="shared" si="40"/>
        <v>-3.0240808165409305E-3</v>
      </c>
      <c r="W246" s="116">
        <f t="shared" si="39"/>
        <v>-0.10000000000000142</v>
      </c>
      <c r="X246" s="115">
        <f t="shared" si="41"/>
        <v>-5.5739108398014103E-2</v>
      </c>
      <c r="Y246" s="115">
        <f t="shared" si="42"/>
        <v>-5.6736540551425518E-2</v>
      </c>
      <c r="Z246" s="115">
        <f t="shared" si="44"/>
        <v>-0.22547803392259347</v>
      </c>
      <c r="AA246" s="116">
        <f t="shared" si="43"/>
        <v>-5.75</v>
      </c>
      <c r="AB246" s="115">
        <f t="shared" si="33"/>
        <v>-0.54627682410081224</v>
      </c>
      <c r="AC246" s="115">
        <f t="shared" si="34"/>
        <v>0.71339881975511532</v>
      </c>
      <c r="AD246" s="77"/>
      <c r="AE246" s="235">
        <f t="shared" si="35"/>
        <v>-2.8200000000000003</v>
      </c>
    </row>
    <row r="247" spans="14:31" x14ac:dyDescent="0.2">
      <c r="N247" s="337">
        <v>32233</v>
      </c>
      <c r="O247" s="116">
        <f>INDEX('Additional data'!$B$2:$B$965,MATCH(DATE(YEAR(N247),MONTH(N247),1),'Additional data'!$A$2:$A$965,0))</f>
        <v>16.216999999999999</v>
      </c>
      <c r="P247" s="232">
        <f t="shared" si="36"/>
        <v>2.7860600747372373</v>
      </c>
      <c r="Q247" s="232">
        <f>Q246+LN(1+INDEX('Additional data'!$H$2:$H$1196,MATCH(N247,'Additional data'!$G$2:$G$1196,1))+INDEX('Additional data'!$I$2:$I$1196,MATCH(N247,'Additional data'!$G$2:$G$1196,1)))</f>
        <v>1.8213603957463427</v>
      </c>
      <c r="R247" s="232">
        <f>LN(INDEX(Data!$B$2:$B$497,MATCH(N247,Data!$A$2:$A$497,1)))</f>
        <v>8.2878554959387003</v>
      </c>
      <c r="S247" s="116">
        <f>INDEX('Additional data'!$E$2:$E$699,MATCH(DATE(YEAR(N247),MONTH(N247),1),'Additional data'!$D$2:$D$699,0))</f>
        <v>10.95</v>
      </c>
      <c r="T247" s="115">
        <f t="shared" si="37"/>
        <v>-3.3233305180954797E-2</v>
      </c>
      <c r="U247" s="115">
        <f t="shared" si="38"/>
        <v>-1.8367657358185019E-2</v>
      </c>
      <c r="V247" s="115">
        <f t="shared" si="40"/>
        <v>0.1273658202979373</v>
      </c>
      <c r="W247" s="116">
        <f t="shared" si="39"/>
        <v>0</v>
      </c>
      <c r="X247" s="115">
        <f t="shared" si="41"/>
        <v>-0.1211141718349622</v>
      </c>
      <c r="Y247" s="115">
        <f t="shared" si="42"/>
        <v>-9.5886737092139018E-2</v>
      </c>
      <c r="Z247" s="115">
        <f t="shared" si="44"/>
        <v>-0.14630385214797315</v>
      </c>
      <c r="AA247" s="116">
        <f t="shared" si="43"/>
        <v>-5.4600000000000009</v>
      </c>
      <c r="AB247" s="115">
        <f t="shared" si="33"/>
        <v>-0.57500951583413862</v>
      </c>
      <c r="AC247" s="115">
        <f t="shared" si="34"/>
        <v>0.66120961392141964</v>
      </c>
      <c r="AD247" s="77"/>
      <c r="AE247" s="235">
        <f t="shared" si="35"/>
        <v>-4.3100000000000005</v>
      </c>
    </row>
    <row r="248" spans="14:31" x14ac:dyDescent="0.2">
      <c r="N248" s="337">
        <v>32263</v>
      </c>
      <c r="O248" s="116">
        <f>INDEX('Additional data'!$B$2:$B$965,MATCH(DATE(YEAR(N248),MONTH(N248),1),'Additional data'!$A$2:$A$965,0))</f>
        <v>17.875</v>
      </c>
      <c r="P248" s="232">
        <f t="shared" si="36"/>
        <v>2.8834030885800712</v>
      </c>
      <c r="Q248" s="232">
        <f>Q247+LN(1+INDEX('Additional data'!$H$2:$H$1196,MATCH(N248,'Additional data'!$G$2:$G$1196,1))+INDEX('Additional data'!$I$2:$I$1196,MATCH(N248,'Additional data'!$G$2:$G$1196,1)))</f>
        <v>1.8316077121978922</v>
      </c>
      <c r="R248" s="232">
        <f>LN(INDEX(Data!$B$2:$B$497,MATCH(N248,Data!$A$2:$A$497,1)))</f>
        <v>8.3237297942034374</v>
      </c>
      <c r="S248" s="116">
        <f>INDEX('Additional data'!$E$2:$E$699,MATCH(DATE(YEAR(N248),MONTH(N248),1),'Additional data'!$D$2:$D$699,0))</f>
        <v>11.39</v>
      </c>
      <c r="T248" s="115">
        <f t="shared" si="37"/>
        <v>9.7343013842833948E-2</v>
      </c>
      <c r="U248" s="115">
        <f t="shared" si="38"/>
        <v>1.0247316451549526E-2</v>
      </c>
      <c r="V248" s="115">
        <f t="shared" si="40"/>
        <v>3.5874298264737092E-2</v>
      </c>
      <c r="W248" s="116">
        <f t="shared" si="39"/>
        <v>0.44000000000000128</v>
      </c>
      <c r="X248" s="115">
        <f t="shared" si="41"/>
        <v>-4.2067651933253458E-2</v>
      </c>
      <c r="Y248" s="115">
        <f t="shared" si="42"/>
        <v>-6.9001779487566139E-2</v>
      </c>
      <c r="Z248" s="115">
        <f t="shared" si="44"/>
        <v>-0.14938610997187141</v>
      </c>
      <c r="AA248" s="116">
        <f t="shared" si="43"/>
        <v>-3.6899999999999995</v>
      </c>
      <c r="AB248" s="115">
        <f t="shared" si="33"/>
        <v>-0.53792366437724981</v>
      </c>
      <c r="AC248" s="115">
        <f t="shared" si="34"/>
        <v>0.60034630291501623</v>
      </c>
      <c r="AD248" s="77"/>
      <c r="AE248" s="235">
        <f t="shared" si="35"/>
        <v>-2.5299999999999994</v>
      </c>
    </row>
    <row r="249" spans="14:31" x14ac:dyDescent="0.2">
      <c r="N249" s="337">
        <v>32294</v>
      </c>
      <c r="O249" s="116">
        <f>INDEX('Additional data'!$B$2:$B$965,MATCH(DATE(YEAR(N249),MONTH(N249),1),'Additional data'!$A$2:$A$965,0))</f>
        <v>17.437999999999999</v>
      </c>
      <c r="P249" s="232">
        <f t="shared" si="36"/>
        <v>2.8586517330056234</v>
      </c>
      <c r="Q249" s="232">
        <f>Q248+LN(1+INDEX('Additional data'!$H$2:$H$1196,MATCH(N249,'Additional data'!$G$2:$G$1196,1))+INDEX('Additional data'!$I$2:$I$1196,MATCH(N249,'Additional data'!$G$2:$G$1196,1)))</f>
        <v>1.8340048367976136</v>
      </c>
      <c r="R249" s="232">
        <f>LN(INDEX(Data!$B$2:$B$497,MATCH(N249,Data!$A$2:$A$497,1)))</f>
        <v>8.3998950381853685</v>
      </c>
      <c r="S249" s="116">
        <f>INDEX('Additional data'!$E$2:$E$699,MATCH(DATE(YEAR(N249),MONTH(N249),1),'Additional data'!$D$2:$D$699,0))</f>
        <v>12.28</v>
      </c>
      <c r="T249" s="115">
        <f t="shared" si="37"/>
        <v>-2.4751355574447853E-2</v>
      </c>
      <c r="U249" s="115">
        <f t="shared" si="38"/>
        <v>2.3971245997214119E-3</v>
      </c>
      <c r="V249" s="115">
        <f t="shared" si="40"/>
        <v>7.6165243981931141E-2</v>
      </c>
      <c r="W249" s="116">
        <f t="shared" si="39"/>
        <v>0.88999999999999879</v>
      </c>
      <c r="X249" s="115">
        <f t="shared" si="41"/>
        <v>-0.10739423017800709</v>
      </c>
      <c r="Y249" s="115">
        <f t="shared" si="42"/>
        <v>-7.1492688960620887E-2</v>
      </c>
      <c r="Z249" s="115">
        <f t="shared" si="44"/>
        <v>-8.6880182009336338E-2</v>
      </c>
      <c r="AA249" s="116">
        <f t="shared" si="43"/>
        <v>-1.8600000000000012</v>
      </c>
      <c r="AB249" s="115">
        <f t="shared" si="33"/>
        <v>-0.5425456486565321</v>
      </c>
      <c r="AC249" s="115">
        <f t="shared" si="34"/>
        <v>0.59081485664946376</v>
      </c>
      <c r="AD249" s="77"/>
      <c r="AE249" s="235">
        <f t="shared" si="35"/>
        <v>0.12999999999999901</v>
      </c>
    </row>
    <row r="250" spans="14:31" x14ac:dyDescent="0.2">
      <c r="N250" s="337">
        <v>32324</v>
      </c>
      <c r="O250" s="116">
        <f>INDEX('Additional data'!$B$2:$B$965,MATCH(DATE(YEAR(N250),MONTH(N250),1),'Additional data'!$A$2:$A$965,0))</f>
        <v>16.53</v>
      </c>
      <c r="P250" s="232">
        <f t="shared" si="36"/>
        <v>2.8051769118329331</v>
      </c>
      <c r="Q250" s="232">
        <f>Q249+LN(1+INDEX('Additional data'!$H$2:$H$1196,MATCH(N250,'Additional data'!$G$2:$G$1196,1))+INDEX('Additional data'!$I$2:$I$1196,MATCH(N250,'Additional data'!$G$2:$G$1196,1)))</f>
        <v>1.8853631290727557</v>
      </c>
      <c r="R250" s="232">
        <f>LN(INDEX(Data!$B$2:$B$497,MATCH(N250,Data!$A$2:$A$497,1)))</f>
        <v>8.3947543342236592</v>
      </c>
      <c r="S250" s="116">
        <f>INDEX('Additional data'!$E$2:$E$699,MATCH(DATE(YEAR(N250),MONTH(N250),1),'Additional data'!$D$2:$D$699,0))</f>
        <v>13.1</v>
      </c>
      <c r="T250" s="115">
        <f t="shared" si="37"/>
        <v>-5.3474821172690312E-2</v>
      </c>
      <c r="U250" s="115">
        <f t="shared" si="38"/>
        <v>5.1358292275142103E-2</v>
      </c>
      <c r="V250" s="115">
        <f t="shared" si="40"/>
        <v>-5.140703961709292E-3</v>
      </c>
      <c r="W250" s="116">
        <f t="shared" si="39"/>
        <v>0.82000000000000028</v>
      </c>
      <c r="X250" s="115">
        <f t="shared" si="41"/>
        <v>-0.19225391835663919</v>
      </c>
      <c r="Y250" s="115">
        <f t="shared" si="42"/>
        <v>-6.3098096117594205E-2</v>
      </c>
      <c r="Z250" s="115">
        <f t="shared" si="44"/>
        <v>-9.0080941084451638E-2</v>
      </c>
      <c r="AA250" s="116">
        <f t="shared" si="43"/>
        <v>-0.58000000000000007</v>
      </c>
      <c r="AB250" s="115">
        <f t="shared" si="33"/>
        <v>-0.62881029265221322</v>
      </c>
      <c r="AC250" s="115">
        <f t="shared" si="34"/>
        <v>0.60545556598944317</v>
      </c>
      <c r="AD250" s="77"/>
      <c r="AE250" s="235">
        <f t="shared" si="35"/>
        <v>-1.1400000000000006</v>
      </c>
    </row>
    <row r="251" spans="14:31" x14ac:dyDescent="0.2">
      <c r="N251" s="337">
        <v>32355</v>
      </c>
      <c r="O251" s="116">
        <f>INDEX('Additional data'!$B$2:$B$965,MATCH(DATE(YEAR(N251),MONTH(N251),1),'Additional data'!$A$2:$A$965,0))</f>
        <v>15.497999999999999</v>
      </c>
      <c r="P251" s="232">
        <f t="shared" si="36"/>
        <v>2.7407109833417582</v>
      </c>
      <c r="Q251" s="232">
        <f>Q250+LN(1+INDEX('Additional data'!$H$2:$H$1196,MATCH(N251,'Additional data'!$G$2:$G$1196,1))+INDEX('Additional data'!$I$2:$I$1196,MATCH(N251,'Additional data'!$G$2:$G$1196,1)))</f>
        <v>1.8779356132439591</v>
      </c>
      <c r="R251" s="232">
        <f>LN(INDEX(Data!$B$2:$B$497,MATCH(N251,Data!$A$2:$A$497,1)))</f>
        <v>8.4318749257588994</v>
      </c>
      <c r="S251" s="116">
        <f>INDEX('Additional data'!$E$2:$E$699,MATCH(DATE(YEAR(N251),MONTH(N251),1),'Additional data'!$D$2:$D$699,0))</f>
        <v>13.08</v>
      </c>
      <c r="T251" s="115">
        <f t="shared" si="37"/>
        <v>-6.4465928491174829E-2</v>
      </c>
      <c r="U251" s="115">
        <f t="shared" si="38"/>
        <v>-7.4275158287966381E-3</v>
      </c>
      <c r="V251" s="115">
        <f t="shared" si="40"/>
        <v>3.7120591535240166E-2</v>
      </c>
      <c r="W251" s="116">
        <f t="shared" si="39"/>
        <v>-1.9999999999999574E-2</v>
      </c>
      <c r="X251" s="115">
        <f t="shared" si="41"/>
        <v>-0.3205749209516715</v>
      </c>
      <c r="Y251" s="115">
        <f t="shared" si="42"/>
        <v>-0.11262678796502623</v>
      </c>
      <c r="Z251" s="115">
        <f t="shared" si="44"/>
        <v>-0.19517665071757762</v>
      </c>
      <c r="AA251" s="116">
        <f t="shared" si="43"/>
        <v>8.9999999999999858E-2</v>
      </c>
      <c r="AB251" s="115">
        <f t="shared" si="33"/>
        <v>-0.71434307111110806</v>
      </c>
      <c r="AC251" s="115">
        <f t="shared" si="34"/>
        <v>0.63179168031345556</v>
      </c>
      <c r="AD251" s="77"/>
      <c r="AE251" s="235">
        <f t="shared" si="35"/>
        <v>0.27999999999999936</v>
      </c>
    </row>
    <row r="252" spans="14:31" x14ac:dyDescent="0.2">
      <c r="N252" s="337">
        <v>32386</v>
      </c>
      <c r="O252" s="116">
        <f>INDEX('Additional data'!$B$2:$B$965,MATCH(DATE(YEAR(N252),MONTH(N252),1),'Additional data'!$A$2:$A$965,0))</f>
        <v>15.523999999999999</v>
      </c>
      <c r="P252" s="232">
        <f t="shared" si="36"/>
        <v>2.7423872135066598</v>
      </c>
      <c r="Q252" s="232">
        <f>Q251+LN(1+INDEX('Additional data'!$H$2:$H$1196,MATCH(N252,'Additional data'!$G$2:$G$1196,1))+INDEX('Additional data'!$I$2:$I$1196,MATCH(N252,'Additional data'!$G$2:$G$1196,1)))</f>
        <v>1.8503588454737245</v>
      </c>
      <c r="R252" s="232">
        <f>LN(INDEX(Data!$B$2:$B$497,MATCH(N252,Data!$A$2:$A$497,1)))</f>
        <v>8.4078246543608728</v>
      </c>
      <c r="S252" s="116">
        <f>INDEX('Additional data'!$E$2:$E$699,MATCH(DATE(YEAR(N252),MONTH(N252),1),'Additional data'!$D$2:$D$699,0))</f>
        <v>13.32</v>
      </c>
      <c r="T252" s="115">
        <f t="shared" si="37"/>
        <v>1.6762301649015932E-3</v>
      </c>
      <c r="U252" s="115">
        <f t="shared" si="38"/>
        <v>-2.7576767770234545E-2</v>
      </c>
      <c r="V252" s="115">
        <f t="shared" si="40"/>
        <v>-2.4050271398026624E-2</v>
      </c>
      <c r="W252" s="116">
        <f t="shared" si="39"/>
        <v>0.24000000000000021</v>
      </c>
      <c r="X252" s="115">
        <f t="shared" si="41"/>
        <v>-0.26695206345354805</v>
      </c>
      <c r="Y252" s="115">
        <f t="shared" si="42"/>
        <v>-0.17932811041931074</v>
      </c>
      <c r="Z252" s="115">
        <f t="shared" si="44"/>
        <v>-0.27737140225313084</v>
      </c>
      <c r="AA252" s="116">
        <f t="shared" si="43"/>
        <v>0.78000000000000114</v>
      </c>
      <c r="AB252" s="115">
        <f t="shared" si="33"/>
        <v>-0.72053222678349238</v>
      </c>
      <c r="AC252" s="115">
        <f t="shared" si="34"/>
        <v>0.60161828669595518</v>
      </c>
      <c r="AD252" s="77"/>
      <c r="AE252" s="235">
        <f t="shared" si="35"/>
        <v>1.1600000000000001</v>
      </c>
    </row>
    <row r="253" spans="14:31" x14ac:dyDescent="0.2">
      <c r="N253" s="337">
        <v>32416</v>
      </c>
      <c r="O253" s="116">
        <f>INDEX('Additional data'!$B$2:$B$965,MATCH(DATE(YEAR(N253),MONTH(N253),1),'Additional data'!$A$2:$A$965,0))</f>
        <v>14.467000000000001</v>
      </c>
      <c r="P253" s="232">
        <f t="shared" si="36"/>
        <v>2.6718701936474534</v>
      </c>
      <c r="Q253" s="232">
        <f>Q252+LN(1+INDEX('Additional data'!$H$2:$H$1196,MATCH(N253,'Additional data'!$G$2:$G$1196,1))+INDEX('Additional data'!$I$2:$I$1196,MATCH(N253,'Additional data'!$G$2:$G$1196,1)))</f>
        <v>1.8889062550859634</v>
      </c>
      <c r="R253" s="232">
        <f>LN(INDEX(Data!$B$2:$B$497,MATCH(N253,Data!$A$2:$A$497,1)))</f>
        <v>8.398319561277825</v>
      </c>
      <c r="S253" s="116">
        <f>INDEX('Additional data'!$E$2:$E$699,MATCH(DATE(YEAR(N253),MONTH(N253),1),'Additional data'!$D$2:$D$699,0))</f>
        <v>13.64</v>
      </c>
      <c r="T253" s="115">
        <f t="shared" si="37"/>
        <v>-7.0517019859206442E-2</v>
      </c>
      <c r="U253" s="115">
        <f t="shared" si="38"/>
        <v>3.8547409612238903E-2</v>
      </c>
      <c r="V253" s="115">
        <f t="shared" si="40"/>
        <v>-9.5050930830478109E-3</v>
      </c>
      <c r="W253" s="116">
        <f t="shared" si="39"/>
        <v>0.32000000000000028</v>
      </c>
      <c r="X253" s="115">
        <f t="shared" si="41"/>
        <v>-0.29987671715602637</v>
      </c>
      <c r="Y253" s="115">
        <f t="shared" si="42"/>
        <v>-0.1192505822567087</v>
      </c>
      <c r="Z253" s="115">
        <f t="shared" si="44"/>
        <v>-0.33353329484431171</v>
      </c>
      <c r="AA253" s="116">
        <f t="shared" si="43"/>
        <v>1.9400000000000013</v>
      </c>
      <c r="AB253" s="115">
        <f t="shared" si="33"/>
        <v>-0.76565911726209235</v>
      </c>
      <c r="AC253" s="115">
        <f t="shared" si="34"/>
        <v>0.62350525541508661</v>
      </c>
      <c r="AD253" s="77"/>
      <c r="AE253" s="235">
        <f t="shared" si="35"/>
        <v>2.58</v>
      </c>
    </row>
    <row r="254" spans="14:31" x14ac:dyDescent="0.2">
      <c r="N254" s="337">
        <v>32447</v>
      </c>
      <c r="O254" s="116">
        <f>INDEX('Additional data'!$B$2:$B$965,MATCH(DATE(YEAR(N254),MONTH(N254),1),'Additional data'!$A$2:$A$965,0))</f>
        <v>13.798</v>
      </c>
      <c r="P254" s="232">
        <f t="shared" si="36"/>
        <v>2.6245236541239167</v>
      </c>
      <c r="Q254" s="232">
        <f>Q253+LN(1+INDEX('Additional data'!$H$2:$H$1196,MATCH(N254,'Additional data'!$G$2:$G$1196,1))+INDEX('Additional data'!$I$2:$I$1196,MATCH(N254,'Additional data'!$G$2:$G$1196,1)))</f>
        <v>1.9064514343017123</v>
      </c>
      <c r="R254" s="232">
        <f>LN(INDEX(Data!$B$2:$B$497,MATCH(N254,Data!$A$2:$A$497,1)))</f>
        <v>8.4293232641595974</v>
      </c>
      <c r="S254" s="116">
        <f>INDEX('Additional data'!$E$2:$E$699,MATCH(DATE(YEAR(N254),MONTH(N254),1),'Additional data'!$D$2:$D$699,0))</f>
        <v>14</v>
      </c>
      <c r="T254" s="115">
        <f t="shared" si="37"/>
        <v>-4.7346539523536624E-2</v>
      </c>
      <c r="U254" s="115">
        <f t="shared" si="38"/>
        <v>1.754517921574883E-2</v>
      </c>
      <c r="V254" s="115">
        <f t="shared" si="40"/>
        <v>3.1003702881772455E-2</v>
      </c>
      <c r="W254" s="116">
        <f t="shared" si="39"/>
        <v>0.35999999999999943</v>
      </c>
      <c r="X254" s="115">
        <f t="shared" si="41"/>
        <v>-0.3635795922655829</v>
      </c>
      <c r="Y254" s="115">
        <f t="shared" si="42"/>
        <v>0.15434881173050941</v>
      </c>
      <c r="Z254" s="115">
        <f t="shared" si="44"/>
        <v>0.24450272415912799</v>
      </c>
      <c r="AA254" s="116">
        <f t="shared" si="43"/>
        <v>2.0099999999999998</v>
      </c>
      <c r="AB254" s="115">
        <f t="shared" si="33"/>
        <v>-0.79024784756535649</v>
      </c>
      <c r="AC254" s="115">
        <f t="shared" si="34"/>
        <v>0.66811335418052442</v>
      </c>
      <c r="AD254" s="77"/>
      <c r="AE254" s="235">
        <f t="shared" si="35"/>
        <v>3.0600000000000005</v>
      </c>
    </row>
    <row r="255" spans="14:31" x14ac:dyDescent="0.2">
      <c r="N255" s="337">
        <v>32477</v>
      </c>
      <c r="O255" s="116">
        <f>INDEX('Additional data'!$B$2:$B$965,MATCH(DATE(YEAR(N255),MONTH(N255),1),'Additional data'!$A$2:$A$965,0))</f>
        <v>13.977</v>
      </c>
      <c r="P255" s="232">
        <f t="shared" si="36"/>
        <v>2.6374131215027696</v>
      </c>
      <c r="Q255" s="232">
        <f>Q254+LN(1+INDEX('Additional data'!$H$2:$H$1196,MATCH(N255,'Additional data'!$G$2:$G$1196,1))+INDEX('Additional data'!$I$2:$I$1196,MATCH(N255,'Additional data'!$G$2:$G$1196,1)))</f>
        <v>1.8893052754667417</v>
      </c>
      <c r="R255" s="232">
        <f>LN(INDEX(Data!$B$2:$B$497,MATCH(N255,Data!$A$2:$A$497,1)))</f>
        <v>8.3576580413121384</v>
      </c>
      <c r="S255" s="116">
        <f>INDEX('Additional data'!$E$2:$E$699,MATCH(DATE(YEAR(N255),MONTH(N255),1),'Additional data'!$D$2:$D$699,0))</f>
        <v>14.73</v>
      </c>
      <c r="T255" s="115">
        <f t="shared" si="37"/>
        <v>1.2889467378852881E-2</v>
      </c>
      <c r="U255" s="115">
        <f t="shared" si="38"/>
        <v>-1.7146158834970615E-2</v>
      </c>
      <c r="V255" s="115">
        <f t="shared" si="40"/>
        <v>-7.166522284745902E-2</v>
      </c>
      <c r="W255" s="116">
        <f t="shared" si="39"/>
        <v>0.73000000000000043</v>
      </c>
      <c r="X255" s="115">
        <f t="shared" si="41"/>
        <v>-0.30280644212096286</v>
      </c>
      <c r="Y255" s="115">
        <f t="shared" si="42"/>
        <v>0.21419169442367458</v>
      </c>
      <c r="Z255" s="115">
        <f t="shared" si="44"/>
        <v>0.14254338929825217</v>
      </c>
      <c r="AA255" s="116">
        <f t="shared" si="43"/>
        <v>2.2800000000000011</v>
      </c>
      <c r="AB255" s="115">
        <f t="shared" si="33"/>
        <v>-0.75843665383279069</v>
      </c>
      <c r="AC255" s="115">
        <f t="shared" si="34"/>
        <v>0.62267132619070664</v>
      </c>
      <c r="AD255" s="77"/>
      <c r="AE255" s="235">
        <f t="shared" si="35"/>
        <v>4.18</v>
      </c>
    </row>
    <row r="256" spans="14:31" x14ac:dyDescent="0.2">
      <c r="N256" s="337">
        <v>32508</v>
      </c>
      <c r="O256" s="116">
        <f>INDEX('Additional data'!$B$2:$B$965,MATCH(DATE(YEAR(N256),MONTH(N256),1),'Additional data'!$A$2:$A$965,0))</f>
        <v>16.265999999999998</v>
      </c>
      <c r="P256" s="232">
        <f t="shared" si="36"/>
        <v>2.7890770397445834</v>
      </c>
      <c r="Q256" s="232">
        <f>Q255+LN(1+INDEX('Additional data'!$H$2:$H$1196,MATCH(N256,'Additional data'!$G$2:$G$1196,1))+INDEX('Additional data'!$I$2:$I$1196,MATCH(N256,'Additional data'!$G$2:$G$1196,1)))</f>
        <v>1.9101857530460968</v>
      </c>
      <c r="R256" s="232">
        <f>LN(INDEX(Data!$B$2:$B$497,MATCH(N256,Data!$A$2:$A$497,1)))</f>
        <v>8.3744538208978216</v>
      </c>
      <c r="S256" s="116">
        <f>INDEX('Additional data'!$E$2:$E$699,MATCH(DATE(YEAR(N256),MONTH(N256),1),'Additional data'!$D$2:$D$699,0))</f>
        <v>15.11</v>
      </c>
      <c r="T256" s="115">
        <f t="shared" si="37"/>
        <v>0.1516639182418138</v>
      </c>
      <c r="U256" s="115">
        <f t="shared" si="38"/>
        <v>2.0880477579355183E-2</v>
      </c>
      <c r="V256" s="115">
        <f t="shared" si="40"/>
        <v>1.6795779585683235E-2</v>
      </c>
      <c r="W256" s="116">
        <f t="shared" si="39"/>
        <v>0.37999999999999901</v>
      </c>
      <c r="X256" s="115">
        <f t="shared" si="41"/>
        <v>-5.8213228449130572E-2</v>
      </c>
      <c r="Y256" s="115">
        <f t="shared" si="42"/>
        <v>0.16545283012297274</v>
      </c>
      <c r="Z256" s="115">
        <f t="shared" si="44"/>
        <v>0.16446536842222947</v>
      </c>
      <c r="AA256" s="116">
        <f t="shared" si="43"/>
        <v>3.6499999999999986</v>
      </c>
      <c r="AB256" s="115">
        <f t="shared" si="33"/>
        <v>-0.58646059513699411</v>
      </c>
      <c r="AC256" s="115">
        <f t="shared" si="34"/>
        <v>0.65400626167392084</v>
      </c>
      <c r="AD256" s="77"/>
      <c r="AE256" s="235">
        <f t="shared" si="35"/>
        <v>6.2199999999999989</v>
      </c>
    </row>
    <row r="257" spans="14:31" x14ac:dyDescent="0.2">
      <c r="N257" s="337">
        <v>32539</v>
      </c>
      <c r="O257" s="116">
        <f>INDEX('Additional data'!$B$2:$B$965,MATCH(DATE(YEAR(N257),MONTH(N257),1),'Additional data'!$A$2:$A$965,0))</f>
        <v>17.983000000000001</v>
      </c>
      <c r="P257" s="232">
        <f t="shared" si="36"/>
        <v>2.8894268671830599</v>
      </c>
      <c r="Q257" s="232">
        <f>Q256+LN(1+INDEX('Additional data'!$H$2:$H$1196,MATCH(N257,'Additional data'!$G$2:$G$1196,1))+INDEX('Additional data'!$I$2:$I$1196,MATCH(N257,'Additional data'!$G$2:$G$1196,1)))</f>
        <v>1.9742866784526205</v>
      </c>
      <c r="R257" s="232">
        <f>LN(INDEX(Data!$B$2:$B$497,MATCH(N257,Data!$A$2:$A$497,1)))</f>
        <v>8.4180797885188774</v>
      </c>
      <c r="S257" s="116">
        <f>INDEX('Additional data'!$E$2:$E$699,MATCH(DATE(YEAR(N257),MONTH(N257),1),'Additional data'!$D$2:$D$699,0))</f>
        <v>15.56</v>
      </c>
      <c r="T257" s="115">
        <f t="shared" si="37"/>
        <v>0.10034982743847642</v>
      </c>
      <c r="U257" s="115">
        <f t="shared" si="38"/>
        <v>6.4100925406523679E-2</v>
      </c>
      <c r="V257" s="115">
        <f t="shared" si="40"/>
        <v>4.362596762105575E-2</v>
      </c>
      <c r="W257" s="116">
        <f t="shared" si="39"/>
        <v>0.45000000000000107</v>
      </c>
      <c r="X257" s="115">
        <f t="shared" si="41"/>
        <v>4.684577312324345E-2</v>
      </c>
      <c r="Y257" s="115">
        <f t="shared" si="42"/>
        <v>0.18553687011272224</v>
      </c>
      <c r="Z257" s="115">
        <f t="shared" si="44"/>
        <v>0.25456603206157347</v>
      </c>
      <c r="AA257" s="116">
        <f t="shared" si="43"/>
        <v>4.51</v>
      </c>
      <c r="AB257" s="115">
        <f t="shared" ref="AB257:AB320" si="45">P257-P197</f>
        <v>-0.50138342159260851</v>
      </c>
      <c r="AC257" s="115">
        <f t="shared" ref="AC257:AC320" si="46">Q257-Q197</f>
        <v>0.72977499194812645</v>
      </c>
      <c r="AD257" s="77"/>
      <c r="AE257" s="235">
        <f t="shared" ref="AE257:AE320" si="47">S257-S197</f>
        <v>5.8000000000000007</v>
      </c>
    </row>
    <row r="258" spans="14:31" x14ac:dyDescent="0.2">
      <c r="N258" s="337">
        <v>32567</v>
      </c>
      <c r="O258" s="116">
        <f>INDEX('Additional data'!$B$2:$B$965,MATCH(DATE(YEAR(N258),MONTH(N258),1),'Additional data'!$A$2:$A$965,0))</f>
        <v>17.826000000000001</v>
      </c>
      <c r="P258" s="232">
        <f t="shared" si="36"/>
        <v>2.8806580657085257</v>
      </c>
      <c r="Q258" s="232">
        <f>Q257+LN(1+INDEX('Additional data'!$H$2:$H$1196,MATCH(N258,'Additional data'!$G$2:$G$1196,1))+INDEX('Additional data'!$I$2:$I$1196,MATCH(N258,'Additional data'!$G$2:$G$1196,1)))</f>
        <v>1.957954023831723</v>
      </c>
      <c r="R258" s="232">
        <f>LN(INDEX(Data!$B$2:$B$497,MATCH(N258,Data!$A$2:$A$497,1)))</f>
        <v>8.3775632403298452</v>
      </c>
      <c r="S258" s="116">
        <f>INDEX('Additional data'!$E$2:$E$699,MATCH(DATE(YEAR(N258),MONTH(N258),1),'Additional data'!$D$2:$D$699,0))</f>
        <v>16.54</v>
      </c>
      <c r="T258" s="115">
        <f t="shared" si="37"/>
        <v>-8.7688014745341825E-3</v>
      </c>
      <c r="U258" s="115">
        <f t="shared" si="38"/>
        <v>-1.6332654620897502E-2</v>
      </c>
      <c r="V258" s="115">
        <f t="shared" si="40"/>
        <v>-4.0516548189032164E-2</v>
      </c>
      <c r="W258" s="116">
        <f t="shared" si="39"/>
        <v>0.97999999999999865</v>
      </c>
      <c r="X258" s="115">
        <f t="shared" si="41"/>
        <v>6.1364685790333606E-2</v>
      </c>
      <c r="Y258" s="115">
        <f t="shared" si="42"/>
        <v>0.11822597072719532</v>
      </c>
      <c r="Z258" s="115">
        <f t="shared" si="44"/>
        <v>0.21707356468908223</v>
      </c>
      <c r="AA258" s="116">
        <f t="shared" si="43"/>
        <v>5.59</v>
      </c>
      <c r="AB258" s="115">
        <f t="shared" si="45"/>
        <v>-0.52536100623284332</v>
      </c>
      <c r="AC258" s="115">
        <f t="shared" si="46"/>
        <v>0.75488952724140246</v>
      </c>
      <c r="AD258" s="77"/>
      <c r="AE258" s="235">
        <f t="shared" si="47"/>
        <v>4.5</v>
      </c>
    </row>
    <row r="259" spans="14:31" x14ac:dyDescent="0.2">
      <c r="N259" s="337">
        <v>32598</v>
      </c>
      <c r="O259" s="116">
        <f>INDEX('Additional data'!$B$2:$B$965,MATCH(DATE(YEAR(N259),MONTH(N259),1),'Additional data'!$A$2:$A$965,0))</f>
        <v>19.445</v>
      </c>
      <c r="P259" s="232">
        <f t="shared" si="36"/>
        <v>2.9675899676077107</v>
      </c>
      <c r="Q259" s="232">
        <f>Q258+LN(1+INDEX('Additional data'!$H$2:$H$1196,MATCH(N259,'Additional data'!$G$2:$G$1196,1))+INDEX('Additional data'!$I$2:$I$1196,MATCH(N259,'Additional data'!$G$2:$G$1196,1)))</f>
        <v>1.9801068284728562</v>
      </c>
      <c r="R259" s="232">
        <f>LN(INDEX(Data!$B$2:$B$497,MATCH(N259,Data!$A$2:$A$497,1)))</f>
        <v>8.3657189267923879</v>
      </c>
      <c r="S259" s="116">
        <f>INDEX('Additional data'!$E$2:$E$699,MATCH(DATE(YEAR(N259),MONTH(N259),1),'Additional data'!$D$2:$D$699,0))</f>
        <v>17.25</v>
      </c>
      <c r="T259" s="115">
        <f t="shared" si="37"/>
        <v>8.6931901899184982E-2</v>
      </c>
      <c r="U259" s="115">
        <f t="shared" si="38"/>
        <v>2.2152804641133228E-2</v>
      </c>
      <c r="V259" s="115">
        <f t="shared" si="40"/>
        <v>-1.1844313537457296E-2</v>
      </c>
      <c r="W259" s="116">
        <f t="shared" si="39"/>
        <v>0.71000000000000085</v>
      </c>
      <c r="X259" s="115">
        <f t="shared" si="41"/>
        <v>0.18152989287047339</v>
      </c>
      <c r="Y259" s="115">
        <f t="shared" si="42"/>
        <v>0.15874643272651356</v>
      </c>
      <c r="Z259" s="115">
        <f t="shared" si="44"/>
        <v>7.7863430853687632E-2</v>
      </c>
      <c r="AA259" s="116">
        <f t="shared" si="43"/>
        <v>6.3000000000000007</v>
      </c>
      <c r="AB259" s="115">
        <f t="shared" si="45"/>
        <v>-0.45865768625422776</v>
      </c>
      <c r="AC259" s="115">
        <f t="shared" si="46"/>
        <v>0.76333668482642381</v>
      </c>
      <c r="AD259" s="77"/>
      <c r="AE259" s="235">
        <f t="shared" si="47"/>
        <v>3.4800000000000004</v>
      </c>
    </row>
    <row r="260" spans="14:31" x14ac:dyDescent="0.2">
      <c r="N260" s="337">
        <v>32628</v>
      </c>
      <c r="O260" s="116">
        <f>INDEX('Additional data'!$B$2:$B$965,MATCH(DATE(YEAR(N260),MONTH(N260),1),'Additional data'!$A$2:$A$965,0))</f>
        <v>21.04</v>
      </c>
      <c r="P260" s="232">
        <f t="shared" si="36"/>
        <v>3.0464253878695091</v>
      </c>
      <c r="Q260" s="232">
        <f>Q259+LN(1+INDEX('Additional data'!$H$2:$H$1196,MATCH(N260,'Additional data'!$G$2:$G$1196,1))+INDEX('Additional data'!$I$2:$I$1196,MATCH(N260,'Additional data'!$G$2:$G$1196,1)))</f>
        <v>2.0290874506944783</v>
      </c>
      <c r="R260" s="232">
        <f>LN(INDEX(Data!$B$2:$B$497,MATCH(N260,Data!$A$2:$A$497,1)))</f>
        <v>8.4028816232380805</v>
      </c>
      <c r="S260" s="116">
        <f>INDEX('Additional data'!$E$2:$E$699,MATCH(DATE(YEAR(N260),MONTH(N260),1),'Additional data'!$D$2:$D$699,0))</f>
        <v>17.46</v>
      </c>
      <c r="T260" s="115">
        <f t="shared" si="37"/>
        <v>7.8835420261798461E-2</v>
      </c>
      <c r="U260" s="115">
        <f t="shared" si="38"/>
        <v>4.8980622221622028E-2</v>
      </c>
      <c r="V260" s="115">
        <f t="shared" si="40"/>
        <v>3.7162696445692589E-2</v>
      </c>
      <c r="W260" s="116">
        <f t="shared" si="39"/>
        <v>0.21000000000000085</v>
      </c>
      <c r="X260" s="115">
        <f t="shared" si="41"/>
        <v>0.1630222992894379</v>
      </c>
      <c r="Y260" s="115">
        <f t="shared" si="42"/>
        <v>0.19747973849658607</v>
      </c>
      <c r="Z260" s="115">
        <f t="shared" si="44"/>
        <v>7.9151829034643129E-2</v>
      </c>
      <c r="AA260" s="116">
        <f t="shared" si="43"/>
        <v>6.07</v>
      </c>
      <c r="AB260" s="115">
        <f t="shared" si="45"/>
        <v>-0.37516268344038028</v>
      </c>
      <c r="AC260" s="115">
        <f t="shared" si="46"/>
        <v>0.80932179806824722</v>
      </c>
      <c r="AD260" s="77"/>
      <c r="AE260" s="235">
        <f t="shared" si="47"/>
        <v>3.58</v>
      </c>
    </row>
    <row r="261" spans="14:31" x14ac:dyDescent="0.2">
      <c r="N261" s="337">
        <v>32659</v>
      </c>
      <c r="O261" s="116">
        <f>INDEX('Additional data'!$B$2:$B$965,MATCH(DATE(YEAR(N261),MONTH(N261),1),'Additional data'!$A$2:$A$965,0))</f>
        <v>20.032</v>
      </c>
      <c r="P261" s="232">
        <f t="shared" ref="P261:P324" si="48">LN(O261)</f>
        <v>2.9973309949176881</v>
      </c>
      <c r="Q261" s="232">
        <f>Q260+LN(1+INDEX('Additional data'!$H$2:$H$1196,MATCH(N261,'Additional data'!$G$2:$G$1196,1))+INDEX('Additional data'!$I$2:$I$1196,MATCH(N261,'Additional data'!$G$2:$G$1196,1)))</f>
        <v>2.0689810143561549</v>
      </c>
      <c r="R261" s="232">
        <f>LN(INDEX(Data!$B$2:$B$497,MATCH(N261,Data!$A$2:$A$497,1)))</f>
        <v>8.4270934138597919</v>
      </c>
      <c r="S261" s="116">
        <f>INDEX('Additional data'!$E$2:$E$699,MATCH(DATE(YEAR(N261),MONTH(N261),1),'Additional data'!$D$2:$D$699,0))</f>
        <v>17.52</v>
      </c>
      <c r="T261" s="115">
        <f t="shared" si="37"/>
        <v>-4.9094392951821053E-2</v>
      </c>
      <c r="U261" s="115">
        <f t="shared" si="38"/>
        <v>3.9893563661676623E-2</v>
      </c>
      <c r="V261" s="115">
        <f t="shared" si="40"/>
        <v>2.4211790621711415E-2</v>
      </c>
      <c r="W261" s="116">
        <f t="shared" si="39"/>
        <v>5.9999999999998721E-2</v>
      </c>
      <c r="X261" s="115">
        <f t="shared" si="41"/>
        <v>0.1386792619120647</v>
      </c>
      <c r="Y261" s="115">
        <f t="shared" si="42"/>
        <v>0.23497617755854128</v>
      </c>
      <c r="Z261" s="115">
        <f t="shared" si="44"/>
        <v>2.7198375674423403E-2</v>
      </c>
      <c r="AA261" s="116">
        <f t="shared" si="43"/>
        <v>5.24</v>
      </c>
      <c r="AB261" s="115">
        <f t="shared" si="45"/>
        <v>-0.42105121149856828</v>
      </c>
      <c r="AC261" s="115">
        <f t="shared" si="46"/>
        <v>0.90261613845703903</v>
      </c>
      <c r="AD261" s="77"/>
      <c r="AE261" s="235">
        <f t="shared" si="47"/>
        <v>3.74</v>
      </c>
    </row>
    <row r="262" spans="14:31" x14ac:dyDescent="0.2">
      <c r="N262" s="337">
        <v>32689</v>
      </c>
      <c r="O262" s="116">
        <f>INDEX('Additional data'!$B$2:$B$965,MATCH(DATE(YEAR(N262),MONTH(N262),1),'Additional data'!$A$2:$A$965,0))</f>
        <v>20.004999999999999</v>
      </c>
      <c r="P262" s="232">
        <f t="shared" si="48"/>
        <v>2.9959822423091982</v>
      </c>
      <c r="Q262" s="232">
        <f>Q261+LN(1+INDEX('Additional data'!$H$2:$H$1196,MATCH(N262,'Additional data'!$G$2:$G$1196,1))+INDEX('Additional data'!$I$2:$I$1196,MATCH(N262,'Additional data'!$G$2:$G$1196,1)))</f>
        <v>2.0627617145422379</v>
      </c>
      <c r="R262" s="232">
        <f>LN(INDEX(Data!$B$2:$B$497,MATCH(N262,Data!$A$2:$A$497,1)))</f>
        <v>8.4294106080324802</v>
      </c>
      <c r="S262" s="116">
        <f>INDEX('Additional data'!$E$2:$E$699,MATCH(DATE(YEAR(N262),MONTH(N262),1),'Additional data'!$D$2:$D$699,0))</f>
        <v>18.37</v>
      </c>
      <c r="T262" s="115">
        <f t="shared" ref="T262:T325" si="49">P262-P261</f>
        <v>-1.3487526084898782E-3</v>
      </c>
      <c r="U262" s="115">
        <f t="shared" ref="U262:U325" si="50">Q262-Q261</f>
        <v>-6.2192998139170008E-3</v>
      </c>
      <c r="V262" s="115">
        <f t="shared" si="40"/>
        <v>2.317194172688275E-3</v>
      </c>
      <c r="W262" s="116">
        <f t="shared" ref="W262:W325" si="51">S262-S261</f>
        <v>0.85000000000000142</v>
      </c>
      <c r="X262" s="115">
        <f t="shared" si="41"/>
        <v>0.19080533047626513</v>
      </c>
      <c r="Y262" s="115">
        <f t="shared" si="42"/>
        <v>0.17739858546948217</v>
      </c>
      <c r="Z262" s="115">
        <f t="shared" si="44"/>
        <v>3.465627380882097E-2</v>
      </c>
      <c r="AA262" s="116">
        <f t="shared" si="43"/>
        <v>5.2700000000000014</v>
      </c>
      <c r="AB262" s="115">
        <f t="shared" si="45"/>
        <v>-0.40411453390892405</v>
      </c>
      <c r="AC262" s="115">
        <f t="shared" si="46"/>
        <v>0.8711190314588535</v>
      </c>
      <c r="AD262" s="77"/>
      <c r="AE262" s="235">
        <f t="shared" si="47"/>
        <v>5.5600000000000005</v>
      </c>
    </row>
    <row r="263" spans="14:31" x14ac:dyDescent="0.2">
      <c r="N263" s="337">
        <v>32720</v>
      </c>
      <c r="O263" s="116">
        <f>INDEX('Additional data'!$B$2:$B$965,MATCH(DATE(YEAR(N263),MONTH(N263),1),'Additional data'!$A$2:$A$965,0))</f>
        <v>19.643999999999998</v>
      </c>
      <c r="P263" s="232">
        <f t="shared" si="48"/>
        <v>2.977771948176998</v>
      </c>
      <c r="Q263" s="232">
        <f>Q262+LN(1+INDEX('Additional data'!$H$2:$H$1196,MATCH(N263,'Additional data'!$G$2:$G$1196,1))+INDEX('Additional data'!$I$2:$I$1196,MATCH(N263,'Additional data'!$G$2:$G$1196,1)))</f>
        <v>2.1386110268256759</v>
      </c>
      <c r="R263" s="232">
        <f>LN(INDEX(Data!$B$2:$B$497,MATCH(N263,Data!$A$2:$A$497,1)))</f>
        <v>8.5027493799838254</v>
      </c>
      <c r="S263" s="116">
        <f>INDEX('Additional data'!$E$2:$E$699,MATCH(DATE(YEAR(N263),MONTH(N263),1),'Additional data'!$D$2:$D$699,0))</f>
        <v>18.059999999999999</v>
      </c>
      <c r="T263" s="115">
        <f t="shared" si="49"/>
        <v>-1.8210294132200211E-2</v>
      </c>
      <c r="U263" s="115">
        <f t="shared" si="50"/>
        <v>7.5849312283438053E-2</v>
      </c>
      <c r="V263" s="115">
        <f t="shared" si="40"/>
        <v>7.3338771951345194E-2</v>
      </c>
      <c r="W263" s="116">
        <f t="shared" si="51"/>
        <v>-0.31000000000000227</v>
      </c>
      <c r="X263" s="115">
        <f t="shared" si="41"/>
        <v>0.23706096483523975</v>
      </c>
      <c r="Y263" s="115">
        <f t="shared" si="42"/>
        <v>0.26067541358171686</v>
      </c>
      <c r="Z263" s="115">
        <f t="shared" si="44"/>
        <v>7.0874454224925998E-2</v>
      </c>
      <c r="AA263" s="116">
        <f t="shared" si="43"/>
        <v>4.9799999999999986</v>
      </c>
      <c r="AB263" s="115">
        <f t="shared" si="45"/>
        <v>-0.38093538186420517</v>
      </c>
      <c r="AC263" s="115">
        <f t="shared" si="46"/>
        <v>0.96615116315906557</v>
      </c>
      <c r="AD263" s="77"/>
      <c r="AE263" s="235">
        <f t="shared" si="47"/>
        <v>5.759999999999998</v>
      </c>
    </row>
    <row r="264" spans="14:31" x14ac:dyDescent="0.2">
      <c r="N264" s="337">
        <v>32751</v>
      </c>
      <c r="O264" s="116">
        <f>INDEX('Additional data'!$B$2:$B$965,MATCH(DATE(YEAR(N264),MONTH(N264),1),'Additional data'!$A$2:$A$965,0))</f>
        <v>18.521999999999998</v>
      </c>
      <c r="P264" s="232">
        <f t="shared" si="48"/>
        <v>2.9189592147480772</v>
      </c>
      <c r="Q264" s="232">
        <f>Q263+LN(1+INDEX('Additional data'!$H$2:$H$1196,MATCH(N264,'Additional data'!$G$2:$G$1196,1))+INDEX('Additional data'!$I$2:$I$1196,MATCH(N264,'Additional data'!$G$2:$G$1196,1)))</f>
        <v>2.1600789334409169</v>
      </c>
      <c r="R264" s="232">
        <f>LN(INDEX(Data!$B$2:$B$497,MATCH(N264,Data!$A$2:$A$497,1)))</f>
        <v>8.5799801795150028</v>
      </c>
      <c r="S264" s="116">
        <f>INDEX('Additional data'!$E$2:$E$699,MATCH(DATE(YEAR(N264),MONTH(N264),1),'Additional data'!$D$2:$D$699,0))</f>
        <v>17.96</v>
      </c>
      <c r="T264" s="115">
        <f t="shared" si="49"/>
        <v>-5.8812733428920794E-2</v>
      </c>
      <c r="U264" s="115">
        <f t="shared" si="50"/>
        <v>2.1467906615241006E-2</v>
      </c>
      <c r="V264" s="115">
        <f t="shared" si="40"/>
        <v>7.7230799531177396E-2</v>
      </c>
      <c r="W264" s="116">
        <f t="shared" si="51"/>
        <v>-9.9999999999997868E-2</v>
      </c>
      <c r="X264" s="115">
        <f t="shared" si="41"/>
        <v>0.17657200124141736</v>
      </c>
      <c r="Y264" s="115">
        <f t="shared" si="42"/>
        <v>0.30972008796719241</v>
      </c>
      <c r="Z264" s="115">
        <f t="shared" si="44"/>
        <v>0.17215552515413002</v>
      </c>
      <c r="AA264" s="116">
        <f t="shared" si="43"/>
        <v>4.6400000000000006</v>
      </c>
      <c r="AB264" s="115">
        <f t="shared" si="45"/>
        <v>-0.45692035892978833</v>
      </c>
      <c r="AC264" s="115">
        <f t="shared" si="46"/>
        <v>0.88235855911681371</v>
      </c>
      <c r="AD264" s="77"/>
      <c r="AE264" s="235">
        <f t="shared" si="47"/>
        <v>6.4</v>
      </c>
    </row>
    <row r="265" spans="14:31" x14ac:dyDescent="0.2">
      <c r="N265" s="337">
        <v>32781</v>
      </c>
      <c r="O265" s="116">
        <f>INDEX('Additional data'!$B$2:$B$965,MATCH(DATE(YEAR(N265),MONTH(N265),1),'Additional data'!$A$2:$A$965,0))</f>
        <v>19.594000000000001</v>
      </c>
      <c r="P265" s="232">
        <f t="shared" si="48"/>
        <v>2.9752233969224506</v>
      </c>
      <c r="Q265" s="232">
        <f>Q264+LN(1+INDEX('Additional data'!$H$2:$H$1196,MATCH(N265,'Additional data'!$G$2:$G$1196,1))+INDEX('Additional data'!$I$2:$I$1196,MATCH(N265,'Additional data'!$G$2:$G$1196,1)))</f>
        <v>2.1589783279968837</v>
      </c>
      <c r="R265" s="232">
        <f>LN(INDEX(Data!$B$2:$B$497,MATCH(N265,Data!$A$2:$A$497,1)))</f>
        <v>8.5670113983970975</v>
      </c>
      <c r="S265" s="116">
        <f>INDEX('Additional data'!$E$2:$E$699,MATCH(DATE(YEAR(N265),MONTH(N265),1),'Additional data'!$D$2:$D$699,0))</f>
        <v>18.12</v>
      </c>
      <c r="T265" s="115">
        <f t="shared" si="49"/>
        <v>5.6264182174373456E-2</v>
      </c>
      <c r="U265" s="115">
        <f t="shared" si="50"/>
        <v>-1.1006054440332314E-3</v>
      </c>
      <c r="V265" s="115">
        <f t="shared" si="40"/>
        <v>-1.2968781117905337E-2</v>
      </c>
      <c r="W265" s="116">
        <f t="shared" si="51"/>
        <v>0.16000000000000014</v>
      </c>
      <c r="X265" s="115">
        <f t="shared" si="41"/>
        <v>0.30335320327499726</v>
      </c>
      <c r="Y265" s="115">
        <f t="shared" si="42"/>
        <v>0.27007207291092028</v>
      </c>
      <c r="Z265" s="115">
        <f t="shared" si="44"/>
        <v>0.16869183711927249</v>
      </c>
      <c r="AA265" s="116">
        <f t="shared" si="43"/>
        <v>4.4800000000000004</v>
      </c>
      <c r="AB265" s="115">
        <f t="shared" si="45"/>
        <v>-0.40273947526679077</v>
      </c>
      <c r="AC265" s="115">
        <f t="shared" si="46"/>
        <v>0.88065813360081302</v>
      </c>
      <c r="AD265" s="77"/>
      <c r="AE265" s="235">
        <f t="shared" si="47"/>
        <v>7.5900000000000016</v>
      </c>
    </row>
    <row r="266" spans="14:31" x14ac:dyDescent="0.2">
      <c r="N266" s="337">
        <v>32812</v>
      </c>
      <c r="O266" s="116">
        <f>INDEX('Additional data'!$B$2:$B$965,MATCH(DATE(YEAR(N266),MONTH(N266),1),'Additional data'!$A$2:$A$965,0))</f>
        <v>20.091000000000001</v>
      </c>
      <c r="P266" s="232">
        <f t="shared" si="48"/>
        <v>3.0002719535960227</v>
      </c>
      <c r="Q266" s="232">
        <f>Q265+LN(1+INDEX('Additional data'!$H$2:$H$1196,MATCH(N266,'Additional data'!$G$2:$G$1196,1))+INDEX('Additional data'!$I$2:$I$1196,MATCH(N266,'Additional data'!$G$2:$G$1196,1)))</f>
        <v>2.1288283510460007</v>
      </c>
      <c r="R266" s="232">
        <f>LN(INDEX(Data!$B$2:$B$497,MATCH(N266,Data!$A$2:$A$497,1)))</f>
        <v>8.5225388777409901</v>
      </c>
      <c r="S266" s="116">
        <f>INDEX('Additional data'!$E$2:$E$699,MATCH(DATE(YEAR(N266),MONTH(N266),1),'Additional data'!$D$2:$D$699,0))</f>
        <v>18.36</v>
      </c>
      <c r="T266" s="115">
        <f t="shared" si="49"/>
        <v>2.5048556673572087E-2</v>
      </c>
      <c r="U266" s="115">
        <f t="shared" si="50"/>
        <v>-3.0149976950883062E-2</v>
      </c>
      <c r="V266" s="115">
        <f t="shared" si="40"/>
        <v>-4.4472520656107406E-2</v>
      </c>
      <c r="W266" s="116">
        <f t="shared" si="51"/>
        <v>0.23999999999999844</v>
      </c>
      <c r="X266" s="115">
        <f t="shared" si="41"/>
        <v>0.37574829947210597</v>
      </c>
      <c r="Y266" s="115">
        <f t="shared" si="42"/>
        <v>0.22237691674428839</v>
      </c>
      <c r="Z266" s="115">
        <f t="shared" si="44"/>
        <v>9.3215613581392631E-2</v>
      </c>
      <c r="AA266" s="116">
        <f t="shared" si="43"/>
        <v>4.3599999999999994</v>
      </c>
      <c r="AB266" s="115">
        <f t="shared" si="45"/>
        <v>-0.35888741671923396</v>
      </c>
      <c r="AC266" s="115">
        <f t="shared" si="46"/>
        <v>0.84890943528623297</v>
      </c>
      <c r="AD266" s="77"/>
      <c r="AE266" s="235">
        <f t="shared" si="47"/>
        <v>7.1899999999999995</v>
      </c>
    </row>
    <row r="267" spans="14:31" x14ac:dyDescent="0.2">
      <c r="N267" s="337">
        <v>32842</v>
      </c>
      <c r="O267" s="116">
        <f>INDEX('Additional data'!$B$2:$B$965,MATCH(DATE(YEAR(N267),MONTH(N267),1),'Additional data'!$A$2:$A$965,0))</f>
        <v>19.82</v>
      </c>
      <c r="P267" s="232">
        <f t="shared" si="48"/>
        <v>2.9866915289018419</v>
      </c>
      <c r="Q267" s="232">
        <f>Q266+LN(1+INDEX('Additional data'!$H$2:$H$1196,MATCH(N267,'Additional data'!$G$2:$G$1196,1))+INDEX('Additional data'!$I$2:$I$1196,MATCH(N267,'Additional data'!$G$2:$G$1196,1)))</f>
        <v>2.145980409863566</v>
      </c>
      <c r="R267" s="232">
        <f>LN(INDEX(Data!$B$2:$B$497,MATCH(N267,Data!$A$2:$A$497,1)))</f>
        <v>8.5080515334989535</v>
      </c>
      <c r="S267" s="116">
        <f>INDEX('Additional data'!$E$2:$E$699,MATCH(DATE(YEAR(N267),MONTH(N267),1),'Additional data'!$D$2:$D$699,0))</f>
        <v>18.25</v>
      </c>
      <c r="T267" s="115">
        <f t="shared" si="49"/>
        <v>-1.3580424694180859E-2</v>
      </c>
      <c r="U267" s="115">
        <f t="shared" si="50"/>
        <v>1.7152058817565319E-2</v>
      </c>
      <c r="V267" s="115">
        <f t="shared" si="40"/>
        <v>-1.4487344242036571E-2</v>
      </c>
      <c r="W267" s="116">
        <f t="shared" si="51"/>
        <v>-0.10999999999999943</v>
      </c>
      <c r="X267" s="115">
        <f t="shared" si="41"/>
        <v>0.34927840739907223</v>
      </c>
      <c r="Y267" s="115">
        <f t="shared" si="42"/>
        <v>0.25667513439682432</v>
      </c>
      <c r="Z267" s="115">
        <f t="shared" si="44"/>
        <v>0.15039349218681508</v>
      </c>
      <c r="AA267" s="116">
        <f t="shared" si="43"/>
        <v>3.5199999999999996</v>
      </c>
      <c r="AB267" s="115">
        <f t="shared" si="45"/>
        <v>-0.3490068705276177</v>
      </c>
      <c r="AC267" s="115">
        <f t="shared" si="46"/>
        <v>0.87651595200765731</v>
      </c>
      <c r="AD267" s="77"/>
      <c r="AE267" s="235">
        <f t="shared" si="47"/>
        <v>6.99</v>
      </c>
    </row>
    <row r="268" spans="14:31" x14ac:dyDescent="0.2">
      <c r="N268" s="337">
        <v>32873</v>
      </c>
      <c r="O268" s="116">
        <f>INDEX('Additional data'!$B$2:$B$965,MATCH(DATE(YEAR(N268),MONTH(N268),1),'Additional data'!$A$2:$A$965,0))</f>
        <v>21.088000000000001</v>
      </c>
      <c r="P268" s="232">
        <f t="shared" si="48"/>
        <v>3.0487041583200969</v>
      </c>
      <c r="Q268" s="232">
        <f>Q267+LN(1+INDEX('Additional data'!$H$2:$H$1196,MATCH(N268,'Additional data'!$G$2:$G$1196,1))+INDEX('Additional data'!$I$2:$I$1196,MATCH(N268,'Additional data'!$G$2:$G$1196,1)))</f>
        <v>2.1637220913397233</v>
      </c>
      <c r="R268" s="232">
        <f>LN(INDEX(Data!$B$2:$B$497,MATCH(N268,Data!$A$2:$A$497,1)))</f>
        <v>8.5348759262685459</v>
      </c>
      <c r="S268" s="116">
        <f>INDEX('Additional data'!$E$2:$E$699,MATCH(DATE(YEAR(N268),MONTH(N268),1),'Additional data'!$D$2:$D$699,0))</f>
        <v>17.89</v>
      </c>
      <c r="T268" s="115">
        <f t="shared" si="49"/>
        <v>6.2012629418255028E-2</v>
      </c>
      <c r="U268" s="115">
        <f t="shared" si="50"/>
        <v>1.7741681476157289E-2</v>
      </c>
      <c r="V268" s="115">
        <f t="shared" si="40"/>
        <v>2.6824392769592365E-2</v>
      </c>
      <c r="W268" s="116">
        <f t="shared" si="51"/>
        <v>-0.35999999999999943</v>
      </c>
      <c r="X268" s="115">
        <f t="shared" si="41"/>
        <v>0.25962711857551346</v>
      </c>
      <c r="Y268" s="115">
        <f t="shared" si="42"/>
        <v>0.25353633829362643</v>
      </c>
      <c r="Z268" s="115">
        <f t="shared" si="44"/>
        <v>0.16042210537072421</v>
      </c>
      <c r="AA268" s="116">
        <f t="shared" si="43"/>
        <v>2.7800000000000011</v>
      </c>
      <c r="AB268" s="115">
        <f t="shared" si="45"/>
        <v>-0.18718609670723341</v>
      </c>
      <c r="AC268" s="115">
        <f t="shared" si="46"/>
        <v>0.86966258662843443</v>
      </c>
      <c r="AD268" s="115">
        <f t="shared" ref="AD268:AD331" si="52">R268-R208</f>
        <v>1.0282841461977048</v>
      </c>
      <c r="AE268" s="235">
        <f t="shared" si="47"/>
        <v>5.5500000000000007</v>
      </c>
    </row>
    <row r="269" spans="14:31" x14ac:dyDescent="0.2">
      <c r="N269" s="337">
        <v>32904</v>
      </c>
      <c r="O269" s="116">
        <f>INDEX('Additional data'!$B$2:$B$965,MATCH(DATE(YEAR(N269),MONTH(N269),1),'Additional data'!$A$2:$A$965,0))</f>
        <v>22.640999999999998</v>
      </c>
      <c r="P269" s="232">
        <f t="shared" si="48"/>
        <v>3.1197624219708411</v>
      </c>
      <c r="Q269" s="232">
        <f>Q268+LN(1+INDEX('Additional data'!$H$2:$H$1196,MATCH(N269,'Additional data'!$G$2:$G$1196,1))+INDEX('Additional data'!$I$2:$I$1196,MATCH(N269,'Additional data'!$G$2:$G$1196,1)))</f>
        <v>2.0886752170168119</v>
      </c>
      <c r="R269" s="232">
        <f>LN(INDEX(Data!$B$2:$B$497,MATCH(N269,Data!$A$2:$A$497,1)))</f>
        <v>8.5530235484170642</v>
      </c>
      <c r="S269" s="116">
        <f>INDEX('Additional data'!$E$2:$E$699,MATCH(DATE(YEAR(N269),MONTH(N269),1),'Additional data'!$D$2:$D$699,0))</f>
        <v>17.329999999999998</v>
      </c>
      <c r="T269" s="115">
        <f t="shared" si="49"/>
        <v>7.1058263650744191E-2</v>
      </c>
      <c r="U269" s="115">
        <f t="shared" si="50"/>
        <v>-7.504687432291135E-2</v>
      </c>
      <c r="V269" s="115">
        <f t="shared" si="40"/>
        <v>1.8147622148518394E-2</v>
      </c>
      <c r="W269" s="116">
        <f t="shared" si="51"/>
        <v>-0.56000000000000227</v>
      </c>
      <c r="X269" s="115">
        <f t="shared" si="41"/>
        <v>0.23033555478778123</v>
      </c>
      <c r="Y269" s="115">
        <f t="shared" si="42"/>
        <v>0.1143885385641914</v>
      </c>
      <c r="Z269" s="115">
        <f t="shared" si="44"/>
        <v>0.13494375989818685</v>
      </c>
      <c r="AA269" s="116">
        <f t="shared" si="43"/>
        <v>1.7699999999999978</v>
      </c>
      <c r="AB269" s="115">
        <f t="shared" si="45"/>
        <v>-0.12443021088114969</v>
      </c>
      <c r="AC269" s="115">
        <f t="shared" si="46"/>
        <v>0.71193034568691549</v>
      </c>
      <c r="AD269" s="115">
        <f t="shared" si="52"/>
        <v>0.98046912439046974</v>
      </c>
      <c r="AE269" s="235">
        <f t="shared" si="47"/>
        <v>3.9799999999999986</v>
      </c>
    </row>
    <row r="270" spans="14:31" x14ac:dyDescent="0.2">
      <c r="N270" s="337">
        <v>32932</v>
      </c>
      <c r="O270" s="116">
        <f>INDEX('Additional data'!$B$2:$B$965,MATCH(DATE(YEAR(N270),MONTH(N270),1),'Additional data'!$A$2:$A$965,0))</f>
        <v>22.108000000000001</v>
      </c>
      <c r="P270" s="232">
        <f t="shared" si="48"/>
        <v>3.0959395339710167</v>
      </c>
      <c r="Q270" s="232">
        <f>Q269+LN(1+INDEX('Additional data'!$H$2:$H$1196,MATCH(N270,'Additional data'!$G$2:$G$1196,1))+INDEX('Additional data'!$I$2:$I$1196,MATCH(N270,'Additional data'!$G$2:$G$1196,1)))</f>
        <v>2.1054340008317669</v>
      </c>
      <c r="R270" s="232">
        <f>LN(INDEX(Data!$B$2:$B$497,MATCH(N270,Data!$A$2:$A$497,1)))</f>
        <v>8.490253556160285</v>
      </c>
      <c r="S270" s="116">
        <f>INDEX('Additional data'!$E$2:$E$699,MATCH(DATE(YEAR(N270),MONTH(N270),1),'Additional data'!$D$2:$D$699,0))</f>
        <v>16.2</v>
      </c>
      <c r="T270" s="115">
        <f t="shared" si="49"/>
        <v>-2.3822887999824349E-2</v>
      </c>
      <c r="U270" s="115">
        <f t="shared" si="50"/>
        <v>1.6758783814954992E-2</v>
      </c>
      <c r="V270" s="115">
        <f t="shared" si="40"/>
        <v>-6.2769992256779261E-2</v>
      </c>
      <c r="W270" s="116">
        <f t="shared" si="51"/>
        <v>-1.129999999999999</v>
      </c>
      <c r="X270" s="115">
        <f t="shared" si="41"/>
        <v>0.21528146826249106</v>
      </c>
      <c r="Y270" s="115">
        <f t="shared" si="42"/>
        <v>0.14747997700004389</v>
      </c>
      <c r="Z270" s="115">
        <f t="shared" si="44"/>
        <v>0.11269031583043976</v>
      </c>
      <c r="AA270" s="116">
        <f t="shared" si="43"/>
        <v>-0.33999999999999986</v>
      </c>
      <c r="AB270" s="115">
        <f t="shared" si="45"/>
        <v>-0.20988433254784011</v>
      </c>
      <c r="AC270" s="115">
        <f t="shared" si="46"/>
        <v>0.7108492113735394</v>
      </c>
      <c r="AD270" s="115">
        <f t="shared" si="52"/>
        <v>0.89160363167149637</v>
      </c>
      <c r="AE270" s="235">
        <f t="shared" si="47"/>
        <v>2.3899999999999988</v>
      </c>
    </row>
    <row r="271" spans="14:31" x14ac:dyDescent="0.2">
      <c r="N271" s="337">
        <v>32963</v>
      </c>
      <c r="O271" s="116">
        <f>INDEX('Additional data'!$B$2:$B$965,MATCH(DATE(YEAR(N271),MONTH(N271),1),'Additional data'!$A$2:$A$965,0))</f>
        <v>20.417999999999999</v>
      </c>
      <c r="P271" s="232">
        <f t="shared" si="48"/>
        <v>3.0164168647468235</v>
      </c>
      <c r="Q271" s="232">
        <f>Q270+LN(1+INDEX('Additional data'!$H$2:$H$1196,MATCH(N271,'Additional data'!$G$2:$G$1196,1))+INDEX('Additional data'!$I$2:$I$1196,MATCH(N271,'Additional data'!$G$2:$G$1196,1)))</f>
        <v>2.1298338876553022</v>
      </c>
      <c r="R271" s="232">
        <f>LN(INDEX(Data!$B$2:$B$497,MATCH(N271,Data!$A$2:$A$497,1)))</f>
        <v>8.473471162525005</v>
      </c>
      <c r="S271" s="116">
        <f>INDEX('Additional data'!$E$2:$E$699,MATCH(DATE(YEAR(N271),MONTH(N271),1),'Additional data'!$D$2:$D$699,0))</f>
        <v>15.84</v>
      </c>
      <c r="T271" s="115">
        <f t="shared" si="49"/>
        <v>-7.9522669224193265E-2</v>
      </c>
      <c r="U271" s="115">
        <f t="shared" si="50"/>
        <v>2.4399886823535333E-2</v>
      </c>
      <c r="V271" s="115">
        <f t="shared" si="40"/>
        <v>-1.6782393635280002E-2</v>
      </c>
      <c r="W271" s="116">
        <f t="shared" si="51"/>
        <v>-0.35999999999999943</v>
      </c>
      <c r="X271" s="115">
        <f t="shared" si="41"/>
        <v>4.8826897139112813E-2</v>
      </c>
      <c r="Y271" s="115">
        <f t="shared" si="42"/>
        <v>0.149727059182446</v>
      </c>
      <c r="Z271" s="115">
        <f t="shared" si="44"/>
        <v>0.10775223573261705</v>
      </c>
      <c r="AA271" s="116">
        <f t="shared" si="43"/>
        <v>-1.4100000000000001</v>
      </c>
      <c r="AB271" s="115">
        <f t="shared" si="45"/>
        <v>-0.32425172384051004</v>
      </c>
      <c r="AC271" s="115">
        <f t="shared" si="46"/>
        <v>0.73735130628894496</v>
      </c>
      <c r="AD271" s="115">
        <f t="shared" si="52"/>
        <v>0.82306450807983378</v>
      </c>
      <c r="AE271" s="235">
        <f t="shared" si="47"/>
        <v>0.55000000000000071</v>
      </c>
    </row>
    <row r="272" spans="14:31" x14ac:dyDescent="0.2">
      <c r="N272" s="337">
        <v>32993</v>
      </c>
      <c r="O272" s="116">
        <f>INDEX('Additional data'!$B$2:$B$965,MATCH(DATE(YEAR(N272),MONTH(N272),1),'Additional data'!$A$2:$A$965,0))</f>
        <v>18.582000000000001</v>
      </c>
      <c r="P272" s="232">
        <f t="shared" si="48"/>
        <v>2.9221933702191207</v>
      </c>
      <c r="Q272" s="232">
        <f>Q271+LN(1+INDEX('Additional data'!$H$2:$H$1196,MATCH(N272,'Additional data'!$G$2:$G$1196,1))+INDEX('Additional data'!$I$2:$I$1196,MATCH(N272,'Additional data'!$G$2:$G$1196,1)))</f>
        <v>2.102770968105613</v>
      </c>
      <c r="R272" s="232">
        <f>LN(INDEX(Data!$B$2:$B$497,MATCH(N272,Data!$A$2:$A$497,1)))</f>
        <v>8.4135423245867536</v>
      </c>
      <c r="S272" s="116">
        <f>INDEX('Additional data'!$E$2:$E$699,MATCH(DATE(YEAR(N272),MONTH(N272),1),'Additional data'!$D$2:$D$699,0))</f>
        <v>15.14</v>
      </c>
      <c r="T272" s="115">
        <f t="shared" si="49"/>
        <v>-9.4223494527702734E-2</v>
      </c>
      <c r="U272" s="115">
        <f t="shared" si="50"/>
        <v>-2.7062919549689202E-2</v>
      </c>
      <c r="V272" s="115">
        <f t="shared" si="40"/>
        <v>-5.9928837938251434E-2</v>
      </c>
      <c r="W272" s="116">
        <f t="shared" si="51"/>
        <v>-0.69999999999999929</v>
      </c>
      <c r="X272" s="115">
        <f t="shared" si="41"/>
        <v>-0.12423201765038838</v>
      </c>
      <c r="Y272" s="115">
        <f t="shared" si="42"/>
        <v>7.3683517411134769E-2</v>
      </c>
      <c r="Z272" s="115">
        <f t="shared" si="44"/>
        <v>1.066070134867303E-2</v>
      </c>
      <c r="AA272" s="116">
        <f t="shared" si="43"/>
        <v>-2.3200000000000003</v>
      </c>
      <c r="AB272" s="115">
        <f t="shared" si="45"/>
        <v>-0.43835561296522574</v>
      </c>
      <c r="AC272" s="115">
        <f t="shared" si="46"/>
        <v>0.7126912713555662</v>
      </c>
      <c r="AD272" s="115">
        <f t="shared" si="52"/>
        <v>0.70293380495661406</v>
      </c>
      <c r="AE272" s="235">
        <f t="shared" si="47"/>
        <v>-0.64999999999999858</v>
      </c>
    </row>
    <row r="273" spans="14:31" x14ac:dyDescent="0.2">
      <c r="N273" s="337">
        <v>33024</v>
      </c>
      <c r="O273" s="116">
        <f>INDEX('Additional data'!$B$2:$B$965,MATCH(DATE(YEAR(N273),MONTH(N273),1),'Additional data'!$A$2:$A$965,0))</f>
        <v>18.236999999999998</v>
      </c>
      <c r="P273" s="232">
        <f t="shared" si="48"/>
        <v>2.9034524974346949</v>
      </c>
      <c r="Q273" s="232">
        <f>Q272+LN(1+INDEX('Additional data'!$H$2:$H$1196,MATCH(N273,'Additional data'!$G$2:$G$1196,1))+INDEX('Additional data'!$I$2:$I$1196,MATCH(N273,'Additional data'!$G$2:$G$1196,1)))</f>
        <v>2.1899573297845292</v>
      </c>
      <c r="R273" s="232">
        <f>LN(INDEX(Data!$B$2:$B$497,MATCH(N273,Data!$A$2:$A$497,1)))</f>
        <v>8.4706884137604845</v>
      </c>
      <c r="S273" s="116">
        <f>INDEX('Additional data'!$E$2:$E$699,MATCH(DATE(YEAR(N273),MONTH(N273),1),'Additional data'!$D$2:$D$699,0))</f>
        <v>15.05</v>
      </c>
      <c r="T273" s="115">
        <f t="shared" si="49"/>
        <v>-1.8740872784425822E-2</v>
      </c>
      <c r="U273" s="115">
        <f t="shared" si="50"/>
        <v>8.7186361678916136E-2</v>
      </c>
      <c r="V273" s="115">
        <f t="shared" ref="V273:V336" si="53">R273-R272</f>
        <v>5.7146089173730985E-2</v>
      </c>
      <c r="W273" s="116">
        <f t="shared" si="51"/>
        <v>-8.9999999999999858E-2</v>
      </c>
      <c r="X273" s="115">
        <f t="shared" ref="X273:X336" si="54">P273-P261</f>
        <v>-9.3878497482993151E-2</v>
      </c>
      <c r="Y273" s="115">
        <f t="shared" ref="Y273:Y336" si="55">Q273-Q261</f>
        <v>0.12097631542837428</v>
      </c>
      <c r="Z273" s="115">
        <f t="shared" si="44"/>
        <v>4.3594999900692599E-2</v>
      </c>
      <c r="AA273" s="116">
        <f t="shared" ref="AA273:AA336" si="56">S273-S261</f>
        <v>-2.4699999999999989</v>
      </c>
      <c r="AB273" s="115">
        <f t="shared" si="45"/>
        <v>-0.4151962615923015</v>
      </c>
      <c r="AC273" s="115">
        <f t="shared" si="46"/>
        <v>0.74415914427813856</v>
      </c>
      <c r="AD273" s="115">
        <f t="shared" si="52"/>
        <v>0.7603487595200269</v>
      </c>
      <c r="AE273" s="235">
        <f t="shared" si="47"/>
        <v>-0.47999999999999865</v>
      </c>
    </row>
    <row r="274" spans="14:31" x14ac:dyDescent="0.2">
      <c r="N274" s="337">
        <v>33054</v>
      </c>
      <c r="O274" s="116">
        <f>INDEX('Additional data'!$B$2:$B$965,MATCH(DATE(YEAR(N274),MONTH(N274),1),'Additional data'!$A$2:$A$965,0))</f>
        <v>16.870999999999999</v>
      </c>
      <c r="P274" s="232">
        <f t="shared" si="48"/>
        <v>2.8255961716238378</v>
      </c>
      <c r="Q274" s="232">
        <f>Q273+LN(1+INDEX('Additional data'!$H$2:$H$1196,MATCH(N274,'Additional data'!$G$2:$G$1196,1))+INDEX('Additional data'!$I$2:$I$1196,MATCH(N274,'Additional data'!$G$2:$G$1196,1)))</f>
        <v>2.1853467172268459</v>
      </c>
      <c r="R274" s="232">
        <f>LN(INDEX(Data!$B$2:$B$497,MATCH(N274,Data!$A$2:$A$497,1)))</f>
        <v>8.4694934325388171</v>
      </c>
      <c r="S274" s="116">
        <f>INDEX('Additional data'!$E$2:$E$699,MATCH(DATE(YEAR(N274),MONTH(N274),1),'Additional data'!$D$2:$D$699,0))</f>
        <v>15.02</v>
      </c>
      <c r="T274" s="115">
        <f t="shared" si="49"/>
        <v>-7.7856325810857108E-2</v>
      </c>
      <c r="U274" s="115">
        <f t="shared" si="50"/>
        <v>-4.6106125576832468E-3</v>
      </c>
      <c r="V274" s="115">
        <f t="shared" si="53"/>
        <v>-1.1949812216673905E-3</v>
      </c>
      <c r="W274" s="116">
        <f t="shared" si="51"/>
        <v>-3.0000000000001137E-2</v>
      </c>
      <c r="X274" s="115">
        <f t="shared" si="54"/>
        <v>-0.17038607068536038</v>
      </c>
      <c r="Y274" s="115">
        <f t="shared" si="55"/>
        <v>0.12258500268460804</v>
      </c>
      <c r="Z274" s="115">
        <f t="shared" si="44"/>
        <v>4.0082824506336934E-2</v>
      </c>
      <c r="AA274" s="116">
        <f t="shared" si="56"/>
        <v>-3.3500000000000014</v>
      </c>
      <c r="AB274" s="115">
        <f t="shared" si="45"/>
        <v>-0.47552301462537949</v>
      </c>
      <c r="AC274" s="115">
        <f t="shared" si="46"/>
        <v>0.72151216923435668</v>
      </c>
      <c r="AD274" s="115">
        <f t="shared" si="52"/>
        <v>0.77064789866677064</v>
      </c>
      <c r="AE274" s="235">
        <f t="shared" si="47"/>
        <v>-0.73000000000000043</v>
      </c>
    </row>
    <row r="275" spans="14:31" x14ac:dyDescent="0.2">
      <c r="N275" s="337">
        <v>33085</v>
      </c>
      <c r="O275" s="116">
        <f>INDEX('Additional data'!$B$2:$B$965,MATCH(DATE(YEAR(N275),MONTH(N275),1),'Additional data'!$A$2:$A$965,0))</f>
        <v>18.638000000000002</v>
      </c>
      <c r="P275" s="232">
        <f t="shared" si="48"/>
        <v>2.9252025073634638</v>
      </c>
      <c r="Q275" s="232">
        <f>Q274+LN(1+INDEX('Additional data'!$H$2:$H$1196,MATCH(N275,'Additional data'!$G$2:$G$1196,1))+INDEX('Additional data'!$I$2:$I$1196,MATCH(N275,'Additional data'!$G$2:$G$1196,1)))</f>
        <v>2.1730716863512334</v>
      </c>
      <c r="R275" s="232">
        <f>LN(INDEX(Data!$B$2:$B$497,MATCH(N275,Data!$A$2:$A$497,1)))</f>
        <v>8.5188717817947932</v>
      </c>
      <c r="S275" s="116">
        <f>INDEX('Additional data'!$E$2:$E$699,MATCH(DATE(YEAR(N275),MONTH(N275),1),'Additional data'!$D$2:$D$699,0))</f>
        <v>14.83</v>
      </c>
      <c r="T275" s="115">
        <f t="shared" si="49"/>
        <v>9.9606335739625962E-2</v>
      </c>
      <c r="U275" s="115">
        <f t="shared" si="50"/>
        <v>-1.2275030875612547E-2</v>
      </c>
      <c r="V275" s="115">
        <f t="shared" si="53"/>
        <v>4.9378349255976062E-2</v>
      </c>
      <c r="W275" s="116">
        <f t="shared" si="51"/>
        <v>-0.1899999999999995</v>
      </c>
      <c r="X275" s="115">
        <f t="shared" si="54"/>
        <v>-5.2569440813534207E-2</v>
      </c>
      <c r="Y275" s="115">
        <f t="shared" si="55"/>
        <v>3.4460659525557436E-2</v>
      </c>
      <c r="Z275" s="115">
        <f t="shared" si="44"/>
        <v>1.6122401810967801E-2</v>
      </c>
      <c r="AA275" s="116">
        <f t="shared" si="56"/>
        <v>-3.2299999999999986</v>
      </c>
      <c r="AB275" s="115">
        <f t="shared" si="45"/>
        <v>-0.38274590207906112</v>
      </c>
      <c r="AC275" s="115">
        <f t="shared" si="46"/>
        <v>0.7102376386923277</v>
      </c>
      <c r="AD275" s="115">
        <f t="shared" si="52"/>
        <v>0.73435693227583343</v>
      </c>
      <c r="AE275" s="235">
        <f t="shared" si="47"/>
        <v>-0.3100000000000005</v>
      </c>
    </row>
    <row r="276" spans="14:31" x14ac:dyDescent="0.2">
      <c r="N276" s="337">
        <v>33116</v>
      </c>
      <c r="O276" s="116">
        <f>INDEX('Additional data'!$B$2:$B$965,MATCH(DATE(YEAR(N276),MONTH(N276),1),'Additional data'!$A$2:$A$965,0))</f>
        <v>27.173999999999999</v>
      </c>
      <c r="P276" s="232">
        <f t="shared" si="48"/>
        <v>3.3022606338021316</v>
      </c>
      <c r="Q276" s="232">
        <f>Q275+LN(1+INDEX('Additional data'!$H$2:$H$1196,MATCH(N276,'Additional data'!$G$2:$G$1196,1))+INDEX('Additional data'!$I$2:$I$1196,MATCH(N276,'Additional data'!$G$2:$G$1196,1)))</f>
        <v>2.0736932423709549</v>
      </c>
      <c r="R276" s="232">
        <f>LN(INDEX(Data!$B$2:$B$497,MATCH(N276,Data!$A$2:$A$497,1)))</f>
        <v>8.4773706972290661</v>
      </c>
      <c r="S276" s="116">
        <f>INDEX('Additional data'!$E$2:$E$699,MATCH(DATE(YEAR(N276),MONTH(N276),1),'Additional data'!$D$2:$D$699,0))</f>
        <v>13.92</v>
      </c>
      <c r="T276" s="115">
        <f t="shared" si="49"/>
        <v>0.37705812643866787</v>
      </c>
      <c r="U276" s="115">
        <f t="shared" si="50"/>
        <v>-9.9378443980278508E-2</v>
      </c>
      <c r="V276" s="115">
        <f t="shared" si="53"/>
        <v>-4.1501084565727098E-2</v>
      </c>
      <c r="W276" s="116">
        <f t="shared" si="51"/>
        <v>-0.91000000000000014</v>
      </c>
      <c r="X276" s="115">
        <f t="shared" si="54"/>
        <v>0.38330141905405446</v>
      </c>
      <c r="Y276" s="115">
        <f t="shared" si="55"/>
        <v>-8.6385691069962078E-2</v>
      </c>
      <c r="Z276" s="115">
        <f t="shared" si="44"/>
        <v>-0.10260948228593669</v>
      </c>
      <c r="AA276" s="116">
        <f t="shared" si="56"/>
        <v>-4.0400000000000009</v>
      </c>
      <c r="AB276" s="115">
        <f t="shared" si="45"/>
        <v>-2.1155370339993151E-2</v>
      </c>
      <c r="AC276" s="115">
        <f t="shared" si="46"/>
        <v>0.61546980726973244</v>
      </c>
      <c r="AD276" s="115">
        <f t="shared" si="52"/>
        <v>0.68944939709140662</v>
      </c>
      <c r="AE276" s="235">
        <f t="shared" si="47"/>
        <v>-2.33</v>
      </c>
    </row>
    <row r="277" spans="14:31" x14ac:dyDescent="0.2">
      <c r="N277" s="337">
        <v>33146</v>
      </c>
      <c r="O277" s="116">
        <f>INDEX('Additional data'!$B$2:$B$965,MATCH(DATE(YEAR(N277),MONTH(N277),1),'Additional data'!$A$2:$A$965,0))</f>
        <v>33.686999999999998</v>
      </c>
      <c r="P277" s="232">
        <f t="shared" si="48"/>
        <v>3.5171120062585111</v>
      </c>
      <c r="Q277" s="232">
        <f>Q276+LN(1+INDEX('Additional data'!$H$2:$H$1196,MATCH(N277,'Additional data'!$G$2:$G$1196,1))+INDEX('Additional data'!$I$2:$I$1196,MATCH(N277,'Additional data'!$G$2:$G$1196,1)))</f>
        <v>2.0170170651773982</v>
      </c>
      <c r="R277" s="232">
        <f>LN(INDEX(Data!$B$2:$B$497,MATCH(N277,Data!$A$2:$A$497,1)))</f>
        <v>8.4038453059249125</v>
      </c>
      <c r="S277" s="116">
        <f>INDEX('Additional data'!$E$2:$E$699,MATCH(DATE(YEAR(N277),MONTH(N277),1),'Additional data'!$D$2:$D$699,0))</f>
        <v>13.52</v>
      </c>
      <c r="T277" s="115">
        <f t="shared" si="49"/>
        <v>0.21485137245637942</v>
      </c>
      <c r="U277" s="115">
        <f t="shared" si="50"/>
        <v>-5.6676177193556665E-2</v>
      </c>
      <c r="V277" s="115">
        <f t="shared" si="53"/>
        <v>-7.3525391304153587E-2</v>
      </c>
      <c r="W277" s="116">
        <f t="shared" si="51"/>
        <v>-0.40000000000000036</v>
      </c>
      <c r="X277" s="115">
        <f t="shared" si="54"/>
        <v>0.54188860933606042</v>
      </c>
      <c r="Y277" s="115">
        <f t="shared" si="55"/>
        <v>-0.14196126281948551</v>
      </c>
      <c r="Z277" s="115">
        <f t="shared" si="44"/>
        <v>-0.16316609247218494</v>
      </c>
      <c r="AA277" s="116">
        <f t="shared" si="56"/>
        <v>-4.6000000000000014</v>
      </c>
      <c r="AB277" s="115">
        <f t="shared" si="45"/>
        <v>0.17463896974936555</v>
      </c>
      <c r="AC277" s="115">
        <f t="shared" si="46"/>
        <v>0.59867856377509066</v>
      </c>
      <c r="AD277" s="115">
        <f t="shared" si="52"/>
        <v>0.56160580487665612</v>
      </c>
      <c r="AE277" s="235">
        <f t="shared" si="47"/>
        <v>-3.2600000000000016</v>
      </c>
    </row>
    <row r="278" spans="14:31" x14ac:dyDescent="0.2">
      <c r="N278" s="337">
        <v>33177</v>
      </c>
      <c r="O278" s="116">
        <f>INDEX('Additional data'!$B$2:$B$965,MATCH(DATE(YEAR(N278),MONTH(N278),1),'Additional data'!$A$2:$A$965,0))</f>
        <v>35.921999999999997</v>
      </c>
      <c r="P278" s="232">
        <f t="shared" si="48"/>
        <v>3.5813499211712698</v>
      </c>
      <c r="Q278" s="232">
        <f>Q277+LN(1+INDEX('Additional data'!$H$2:$H$1196,MATCH(N278,'Additional data'!$G$2:$G$1196,1))+INDEX('Additional data'!$I$2:$I$1196,MATCH(N278,'Additional data'!$G$2:$G$1196,1)))</f>
        <v>2.0045395436662856</v>
      </c>
      <c r="R278" s="232">
        <f>LN(INDEX(Data!$B$2:$B$497,MATCH(N278,Data!$A$2:$A$497,1)))</f>
        <v>8.3631558385005746</v>
      </c>
      <c r="S278" s="116">
        <f>INDEX('Additional data'!$E$2:$E$699,MATCH(DATE(YEAR(N278),MONTH(N278),1),'Additional data'!$D$2:$D$699,0))</f>
        <v>13.07</v>
      </c>
      <c r="T278" s="115">
        <f t="shared" si="49"/>
        <v>6.4237914912758765E-2</v>
      </c>
      <c r="U278" s="115">
        <f t="shared" si="50"/>
        <v>-1.2477521511112588E-2</v>
      </c>
      <c r="V278" s="115">
        <f t="shared" si="53"/>
        <v>-4.0689467424337877E-2</v>
      </c>
      <c r="W278" s="116">
        <f t="shared" si="51"/>
        <v>-0.44999999999999929</v>
      </c>
      <c r="X278" s="115">
        <f t="shared" si="54"/>
        <v>0.5810779675752471</v>
      </c>
      <c r="Y278" s="115">
        <f t="shared" si="55"/>
        <v>-0.12428880737971504</v>
      </c>
      <c r="Z278" s="115">
        <f t="shared" si="44"/>
        <v>-0.15938303924041541</v>
      </c>
      <c r="AA278" s="116">
        <f t="shared" si="56"/>
        <v>-5.2899999999999991</v>
      </c>
      <c r="AB278" s="115">
        <f t="shared" si="45"/>
        <v>0.19567235116715143</v>
      </c>
      <c r="AC278" s="115">
        <f t="shared" si="46"/>
        <v>0.54074977936006063</v>
      </c>
      <c r="AD278" s="115">
        <f t="shared" si="52"/>
        <v>0.47328463462411197</v>
      </c>
      <c r="AE278" s="235">
        <f t="shared" si="47"/>
        <v>-3.2899999999999991</v>
      </c>
    </row>
    <row r="279" spans="14:31" x14ac:dyDescent="0.2">
      <c r="N279" s="337">
        <v>33207</v>
      </c>
      <c r="O279" s="116">
        <f>INDEX('Additional data'!$B$2:$B$965,MATCH(DATE(YEAR(N279),MONTH(N279),1),'Additional data'!$A$2:$A$965,0))</f>
        <v>32.299999999999997</v>
      </c>
      <c r="P279" s="232">
        <f t="shared" si="48"/>
        <v>3.475067230228611</v>
      </c>
      <c r="Q279" s="232">
        <f>Q278+LN(1+INDEX('Additional data'!$H$2:$H$1196,MATCH(N279,'Additional data'!$G$2:$G$1196,1))+INDEX('Additional data'!$I$2:$I$1196,MATCH(N279,'Additional data'!$G$2:$G$1196,1)))</f>
        <v>2.0714502489489126</v>
      </c>
      <c r="R279" s="232">
        <f>LN(INDEX(Data!$B$2:$B$497,MATCH(N279,Data!$A$2:$A$497,1)))</f>
        <v>8.3666028327837356</v>
      </c>
      <c r="S279" s="116">
        <f>INDEX('Additional data'!$E$2:$E$699,MATCH(DATE(YEAR(N279),MONTH(N279),1),'Additional data'!$D$2:$D$699,0))</f>
        <v>12.41</v>
      </c>
      <c r="T279" s="115">
        <f t="shared" si="49"/>
        <v>-0.10628269094265885</v>
      </c>
      <c r="U279" s="115">
        <f t="shared" si="50"/>
        <v>6.6910705282626992E-2</v>
      </c>
      <c r="V279" s="115">
        <f t="shared" si="53"/>
        <v>3.4469942831609757E-3</v>
      </c>
      <c r="W279" s="116">
        <f t="shared" si="51"/>
        <v>-0.66000000000000014</v>
      </c>
      <c r="X279" s="115">
        <f t="shared" si="54"/>
        <v>0.48837570132676911</v>
      </c>
      <c r="Y279" s="115">
        <f t="shared" si="55"/>
        <v>-7.4530160914653365E-2</v>
      </c>
      <c r="Z279" s="115">
        <f t="shared" si="44"/>
        <v>-0.14144870071521787</v>
      </c>
      <c r="AA279" s="116">
        <f t="shared" si="56"/>
        <v>-5.84</v>
      </c>
      <c r="AB279" s="115">
        <f t="shared" si="45"/>
        <v>4.7130551376834084E-2</v>
      </c>
      <c r="AC279" s="115">
        <f t="shared" si="46"/>
        <v>0.53934784446060036</v>
      </c>
      <c r="AD279" s="115">
        <f t="shared" si="52"/>
        <v>0.5098960396878951</v>
      </c>
      <c r="AE279" s="235">
        <f t="shared" si="47"/>
        <v>-5.77</v>
      </c>
    </row>
    <row r="280" spans="14:31" x14ac:dyDescent="0.2">
      <c r="N280" s="337">
        <v>33238</v>
      </c>
      <c r="O280" s="116">
        <f>INDEX('Additional data'!$B$2:$B$965,MATCH(DATE(YEAR(N280),MONTH(N280),1),'Additional data'!$A$2:$A$965,0))</f>
        <v>27.337</v>
      </c>
      <c r="P280" s="232">
        <f t="shared" si="48"/>
        <v>3.3082410959407911</v>
      </c>
      <c r="Q280" s="232">
        <f>Q279+LN(1+INDEX('Additional data'!$H$2:$H$1196,MATCH(N280,'Additional data'!$G$2:$G$1196,1))+INDEX('Additional data'!$I$2:$I$1196,MATCH(N280,'Additional data'!$G$2:$G$1196,1)))</f>
        <v>2.1015914058608995</v>
      </c>
      <c r="R280" s="232">
        <f>LN(INDEX(Data!$B$2:$B$497,MATCH(N280,Data!$A$2:$A$497,1)))</f>
        <v>8.3422920352257659</v>
      </c>
      <c r="S280" s="116">
        <f>INDEX('Additional data'!$E$2:$E$699,MATCH(DATE(YEAR(N280),MONTH(N280),1),'Additional data'!$D$2:$D$699,0))</f>
        <v>12.19</v>
      </c>
      <c r="T280" s="115">
        <f t="shared" si="49"/>
        <v>-0.16682613428781989</v>
      </c>
      <c r="U280" s="115">
        <f t="shared" si="50"/>
        <v>3.0141156911986933E-2</v>
      </c>
      <c r="V280" s="115">
        <f t="shared" si="53"/>
        <v>-2.4310797557969721E-2</v>
      </c>
      <c r="W280" s="116">
        <f t="shared" si="51"/>
        <v>-0.22000000000000064</v>
      </c>
      <c r="X280" s="115">
        <f t="shared" si="54"/>
        <v>0.25953693762069419</v>
      </c>
      <c r="Y280" s="115">
        <f t="shared" si="55"/>
        <v>-6.2130685478823722E-2</v>
      </c>
      <c r="Z280" s="115">
        <f t="shared" si="44"/>
        <v>-0.19258389104277995</v>
      </c>
      <c r="AA280" s="116">
        <f t="shared" si="56"/>
        <v>-5.7000000000000011</v>
      </c>
      <c r="AB280" s="115">
        <f t="shared" si="45"/>
        <v>3.9952403550862492E-3</v>
      </c>
      <c r="AC280" s="115">
        <f t="shared" si="46"/>
        <v>0.525185075816063</v>
      </c>
      <c r="AD280" s="115">
        <f t="shared" si="52"/>
        <v>0.47063751045474866</v>
      </c>
      <c r="AE280" s="235">
        <f t="shared" si="47"/>
        <v>-7.3699999999999992</v>
      </c>
    </row>
    <row r="281" spans="14:31" x14ac:dyDescent="0.2">
      <c r="N281" s="337">
        <v>33269</v>
      </c>
      <c r="O281" s="116">
        <f>INDEX('Additional data'!$B$2:$B$965,MATCH(DATE(YEAR(N281),MONTH(N281),1),'Additional data'!$A$2:$A$965,0))</f>
        <v>24.959</v>
      </c>
      <c r="P281" s="232">
        <f t="shared" si="48"/>
        <v>3.2172344785960751</v>
      </c>
      <c r="Q281" s="232">
        <f>Q280+LN(1+INDEX('Additional data'!$H$2:$H$1196,MATCH(N281,'Additional data'!$G$2:$G$1196,1))+INDEX('Additional data'!$I$2:$I$1196,MATCH(N281,'Additional data'!$G$2:$G$1196,1)))</f>
        <v>2.1523795726930048</v>
      </c>
      <c r="R281" s="232">
        <f>LN(INDEX(Data!$B$2:$B$497,MATCH(N281,Data!$A$2:$A$497,1)))</f>
        <v>8.3746152879415945</v>
      </c>
      <c r="S281" s="116">
        <f>INDEX('Additional data'!$E$2:$E$699,MATCH(DATE(YEAR(N281),MONTH(N281),1),'Additional data'!$D$2:$D$699,0))</f>
        <v>11.93</v>
      </c>
      <c r="T281" s="115">
        <f t="shared" si="49"/>
        <v>-9.1006617344715934E-2</v>
      </c>
      <c r="U281" s="115">
        <f t="shared" si="50"/>
        <v>5.0788166832105297E-2</v>
      </c>
      <c r="V281" s="115">
        <f t="shared" si="53"/>
        <v>3.2323252715828588E-2</v>
      </c>
      <c r="W281" s="116">
        <f t="shared" si="51"/>
        <v>-0.25999999999999979</v>
      </c>
      <c r="X281" s="115">
        <f t="shared" si="54"/>
        <v>9.747205662523406E-2</v>
      </c>
      <c r="Y281" s="115">
        <f t="shared" si="55"/>
        <v>6.3704355676192925E-2</v>
      </c>
      <c r="Z281" s="115">
        <f t="shared" si="44"/>
        <v>-0.17840826047546976</v>
      </c>
      <c r="AA281" s="116">
        <f t="shared" si="56"/>
        <v>-5.3999999999999986</v>
      </c>
      <c r="AB281" s="115">
        <f t="shared" si="45"/>
        <v>8.4134430749278177E-2</v>
      </c>
      <c r="AC281" s="115">
        <f t="shared" si="46"/>
        <v>0.56394586243544986</v>
      </c>
      <c r="AD281" s="115">
        <f t="shared" si="52"/>
        <v>0.43172014324692132</v>
      </c>
      <c r="AE281" s="235">
        <f t="shared" si="47"/>
        <v>-7.0399999999999991</v>
      </c>
    </row>
    <row r="282" spans="14:31" x14ac:dyDescent="0.2">
      <c r="N282" s="337">
        <v>33297</v>
      </c>
      <c r="O282" s="116">
        <f>INDEX('Additional data'!$B$2:$B$965,MATCH(DATE(YEAR(N282),MONTH(N282),1),'Additional data'!$A$2:$A$965,0))</f>
        <v>20.523</v>
      </c>
      <c r="P282" s="232">
        <f t="shared" si="48"/>
        <v>3.0215462084469706</v>
      </c>
      <c r="Q282" s="232">
        <f>Q281+LN(1+INDEX('Additional data'!$H$2:$H$1196,MATCH(N282,'Additional data'!$G$2:$G$1196,1))+INDEX('Additional data'!$I$2:$I$1196,MATCH(N282,'Additional data'!$G$2:$G$1196,1)))</f>
        <v>2.2262803805325388</v>
      </c>
      <c r="R282" s="232">
        <f>LN(INDEX(Data!$B$2:$B$497,MATCH(N282,Data!$A$2:$A$497,1)))</f>
        <v>8.4386044262558393</v>
      </c>
      <c r="S282" s="116">
        <f>INDEX('Additional data'!$E$2:$E$699,MATCH(DATE(YEAR(N282),MONTH(N282),1),'Additional data'!$D$2:$D$699,0))</f>
        <v>11.62</v>
      </c>
      <c r="T282" s="115">
        <f t="shared" si="49"/>
        <v>-0.1956882701491045</v>
      </c>
      <c r="U282" s="115">
        <f t="shared" si="50"/>
        <v>7.3900807839534011E-2</v>
      </c>
      <c r="V282" s="115">
        <f t="shared" si="53"/>
        <v>6.3989138314244798E-2</v>
      </c>
      <c r="W282" s="116">
        <f t="shared" si="51"/>
        <v>-0.3100000000000005</v>
      </c>
      <c r="X282" s="115">
        <f t="shared" si="54"/>
        <v>-7.4393325524046094E-2</v>
      </c>
      <c r="Y282" s="115">
        <f t="shared" si="55"/>
        <v>0.12084637970077194</v>
      </c>
      <c r="Z282" s="115">
        <f t="shared" si="44"/>
        <v>-5.1649129904445701E-2</v>
      </c>
      <c r="AA282" s="116">
        <f t="shared" si="56"/>
        <v>-4.58</v>
      </c>
      <c r="AB282" s="115">
        <f t="shared" si="45"/>
        <v>0.28445513856034665</v>
      </c>
      <c r="AC282" s="115">
        <f t="shared" si="46"/>
        <v>0.56394586243544964</v>
      </c>
      <c r="AD282" s="115">
        <f t="shared" si="52"/>
        <v>0.51754060352004938</v>
      </c>
      <c r="AE282" s="235">
        <f t="shared" si="47"/>
        <v>-6.67</v>
      </c>
    </row>
    <row r="283" spans="14:31" x14ac:dyDescent="0.2">
      <c r="N283" s="337">
        <v>33328</v>
      </c>
      <c r="O283" s="116">
        <f>INDEX('Additional data'!$B$2:$B$965,MATCH(DATE(YEAR(N283),MONTH(N283),1),'Additional data'!$A$2:$A$965,0))</f>
        <v>19.86</v>
      </c>
      <c r="P283" s="232">
        <f t="shared" si="48"/>
        <v>2.9887076586170265</v>
      </c>
      <c r="Q283" s="232">
        <f>Q282+LN(1+INDEX('Additional data'!$H$2:$H$1196,MATCH(N283,'Additional data'!$G$2:$G$1196,1))+INDEX('Additional data'!$I$2:$I$1196,MATCH(N283,'Additional data'!$G$2:$G$1196,1)))</f>
        <v>2.2568095855673618</v>
      </c>
      <c r="R283" s="232">
        <f>LN(INDEX(Data!$B$2:$B$497,MATCH(N283,Data!$A$2:$A$497,1)))</f>
        <v>8.4713167781487115</v>
      </c>
      <c r="S283" s="116">
        <f>INDEX('Additional data'!$E$2:$E$699,MATCH(DATE(YEAR(N283),MONTH(N283),1),'Additional data'!$D$2:$D$699,0))</f>
        <v>11.49</v>
      </c>
      <c r="T283" s="115">
        <f t="shared" si="49"/>
        <v>-3.2838549829944164E-2</v>
      </c>
      <c r="U283" s="115">
        <f t="shared" si="50"/>
        <v>3.0529205034822926E-2</v>
      </c>
      <c r="V283" s="115">
        <f t="shared" si="53"/>
        <v>3.2712351892872249E-2</v>
      </c>
      <c r="W283" s="116">
        <f t="shared" si="51"/>
        <v>-0.12999999999999901</v>
      </c>
      <c r="X283" s="115">
        <f t="shared" si="54"/>
        <v>-2.7709206129796993E-2</v>
      </c>
      <c r="Y283" s="115">
        <f t="shared" si="55"/>
        <v>0.12697569791205954</v>
      </c>
      <c r="Z283" s="115">
        <f t="shared" si="44"/>
        <v>-2.15438437629345E-3</v>
      </c>
      <c r="AA283" s="116">
        <f t="shared" si="56"/>
        <v>-4.3499999999999996</v>
      </c>
      <c r="AB283" s="115">
        <f t="shared" si="45"/>
        <v>0.45358329266840869</v>
      </c>
      <c r="AC283" s="115">
        <f t="shared" si="46"/>
        <v>0.54083951830436328</v>
      </c>
      <c r="AD283" s="115">
        <f t="shared" si="52"/>
        <v>0.46645033662473168</v>
      </c>
      <c r="AE283" s="235">
        <f t="shared" si="47"/>
        <v>-4.9500000000000011</v>
      </c>
    </row>
    <row r="284" spans="14:31" x14ac:dyDescent="0.2">
      <c r="N284" s="337">
        <v>33358</v>
      </c>
      <c r="O284" s="116">
        <f>INDEX('Additional data'!$B$2:$B$965,MATCH(DATE(YEAR(N284),MONTH(N284),1),'Additional data'!$A$2:$A$965,0))</f>
        <v>20.823</v>
      </c>
      <c r="P284" s="232">
        <f t="shared" si="48"/>
        <v>3.0360581450255562</v>
      </c>
      <c r="Q284" s="232">
        <f>Q283+LN(1+INDEX('Additional data'!$H$2:$H$1196,MATCH(N284,'Additional data'!$G$2:$G$1196,1))+INDEX('Additional data'!$I$2:$I$1196,MATCH(N284,'Additional data'!$G$2:$G$1196,1)))</f>
        <v>2.259306465765949</v>
      </c>
      <c r="R284" s="232">
        <f>LN(INDEX(Data!$B$2:$B$497,MATCH(N284,Data!$A$2:$A$497,1)))</f>
        <v>8.5355634207711155</v>
      </c>
      <c r="S284" s="116">
        <f>INDEX('Additional data'!$E$2:$E$699,MATCH(DATE(YEAR(N284),MONTH(N284),1),'Additional data'!$D$2:$D$699,0))</f>
        <v>11.36</v>
      </c>
      <c r="T284" s="115">
        <f t="shared" si="49"/>
        <v>4.7350486408529679E-2</v>
      </c>
      <c r="U284" s="115">
        <f t="shared" si="50"/>
        <v>2.4968801985871814E-3</v>
      </c>
      <c r="V284" s="115">
        <f t="shared" si="53"/>
        <v>6.4246642622403982E-2</v>
      </c>
      <c r="W284" s="116">
        <f t="shared" si="51"/>
        <v>-0.13000000000000078</v>
      </c>
      <c r="X284" s="115">
        <f t="shared" si="54"/>
        <v>0.11386477480643542</v>
      </c>
      <c r="Y284" s="115">
        <f t="shared" si="55"/>
        <v>0.15653549766033592</v>
      </c>
      <c r="Z284" s="115">
        <f t="shared" ref="Z284:Z347" si="57">R284-R272</f>
        <v>0.12202109618436197</v>
      </c>
      <c r="AA284" s="116">
        <f t="shared" si="56"/>
        <v>-3.7800000000000011</v>
      </c>
      <c r="AB284" s="115">
        <f t="shared" si="45"/>
        <v>0.4829478239760836</v>
      </c>
      <c r="AC284" s="115">
        <f t="shared" si="46"/>
        <v>0.55096542566744167</v>
      </c>
      <c r="AD284" s="115">
        <f t="shared" si="52"/>
        <v>0.46085208114231868</v>
      </c>
      <c r="AE284" s="235">
        <f t="shared" si="47"/>
        <v>-4.4000000000000004</v>
      </c>
    </row>
    <row r="285" spans="14:31" x14ac:dyDescent="0.2">
      <c r="N285" s="337">
        <v>33389</v>
      </c>
      <c r="O285" s="116">
        <f>INDEX('Additional data'!$B$2:$B$965,MATCH(DATE(YEAR(N285),MONTH(N285),1),'Additional data'!$A$2:$A$965,0))</f>
        <v>21.24</v>
      </c>
      <c r="P285" s="232">
        <f t="shared" si="48"/>
        <v>3.0558861963737378</v>
      </c>
      <c r="Q285" s="232">
        <f>Q284+LN(1+INDEX('Additional data'!$H$2:$H$1196,MATCH(N285,'Additional data'!$G$2:$G$1196,1))+INDEX('Additional data'!$I$2:$I$1196,MATCH(N285,'Additional data'!$G$2:$G$1196,1)))</f>
        <v>2.2997763983196622</v>
      </c>
      <c r="R285" s="232">
        <f>LN(INDEX(Data!$B$2:$B$497,MATCH(N285,Data!$A$2:$A$497,1)))</f>
        <v>8.5248240025791375</v>
      </c>
      <c r="S285" s="116">
        <f>INDEX('Additional data'!$E$2:$E$699,MATCH(DATE(YEAR(N285),MONTH(N285),1),'Additional data'!$D$2:$D$699,0))</f>
        <v>10.72</v>
      </c>
      <c r="T285" s="115">
        <f t="shared" si="49"/>
        <v>1.9828051348181663E-2</v>
      </c>
      <c r="U285" s="115">
        <f t="shared" si="50"/>
        <v>4.0469932553713228E-2</v>
      </c>
      <c r="V285" s="115">
        <f t="shared" si="53"/>
        <v>-1.073941819197799E-2</v>
      </c>
      <c r="W285" s="116">
        <f t="shared" si="51"/>
        <v>-0.63999999999999879</v>
      </c>
      <c r="X285" s="115">
        <f t="shared" si="54"/>
        <v>0.15243369893904291</v>
      </c>
      <c r="Y285" s="115">
        <f t="shared" si="55"/>
        <v>0.10981906853513301</v>
      </c>
      <c r="Z285" s="115">
        <f t="shared" si="57"/>
        <v>5.4135588818652991E-2</v>
      </c>
      <c r="AA285" s="116">
        <f t="shared" si="56"/>
        <v>-4.33</v>
      </c>
      <c r="AB285" s="115">
        <f t="shared" si="45"/>
        <v>0.31866561797174775</v>
      </c>
      <c r="AC285" s="115">
        <f t="shared" si="46"/>
        <v>0.54159812337398328</v>
      </c>
      <c r="AD285" s="115">
        <f t="shared" si="52"/>
        <v>0.42387379244294365</v>
      </c>
      <c r="AE285" s="235">
        <f t="shared" si="47"/>
        <v>-4.01</v>
      </c>
    </row>
    <row r="286" spans="14:31" x14ac:dyDescent="0.2">
      <c r="N286" s="337">
        <v>33419</v>
      </c>
      <c r="O286" s="116">
        <f>INDEX('Additional data'!$B$2:$B$965,MATCH(DATE(YEAR(N286),MONTH(N286),1),'Additional data'!$A$2:$A$965,0))</f>
        <v>20.195</v>
      </c>
      <c r="P286" s="232">
        <f t="shared" si="48"/>
        <v>3.0054350490153761</v>
      </c>
      <c r="Q286" s="232">
        <f>Q285+LN(1+INDEX('Additional data'!$H$2:$H$1196,MATCH(N286,'Additional data'!$G$2:$G$1196,1))+INDEX('Additional data'!$I$2:$I$1196,MATCH(N286,'Additional data'!$G$2:$G$1196,1)))</f>
        <v>2.2535230138022002</v>
      </c>
      <c r="R286" s="232">
        <f>LN(INDEX(Data!$B$2:$B$497,MATCH(N286,Data!$A$2:$A$497,1)))</f>
        <v>8.5264700281964458</v>
      </c>
      <c r="S286" s="116">
        <f>INDEX('Additional data'!$E$2:$E$699,MATCH(DATE(YEAR(N286),MONTH(N286),1),'Additional data'!$D$2:$D$699,0))</f>
        <v>10.39</v>
      </c>
      <c r="T286" s="115">
        <f t="shared" si="49"/>
        <v>-5.0451147358361759E-2</v>
      </c>
      <c r="U286" s="115">
        <f t="shared" si="50"/>
        <v>-4.6253384517461971E-2</v>
      </c>
      <c r="V286" s="115">
        <f t="shared" si="53"/>
        <v>1.646025617308311E-3</v>
      </c>
      <c r="W286" s="116">
        <f t="shared" si="51"/>
        <v>-0.33000000000000007</v>
      </c>
      <c r="X286" s="115">
        <f t="shared" si="54"/>
        <v>0.17983887739153825</v>
      </c>
      <c r="Y286" s="115">
        <f t="shared" si="55"/>
        <v>6.8176296575354289E-2</v>
      </c>
      <c r="Z286" s="115">
        <f t="shared" si="57"/>
        <v>5.6976595657628692E-2</v>
      </c>
      <c r="AA286" s="116">
        <f t="shared" si="56"/>
        <v>-4.629999999999999</v>
      </c>
      <c r="AB286" s="115">
        <f t="shared" si="45"/>
        <v>0.4050443003986981</v>
      </c>
      <c r="AC286" s="115">
        <f t="shared" si="46"/>
        <v>0.47966825947151359</v>
      </c>
      <c r="AD286" s="115">
        <f t="shared" si="52"/>
        <v>0.47350517516941615</v>
      </c>
      <c r="AE286" s="235">
        <f t="shared" si="47"/>
        <v>-4.2899999999999991</v>
      </c>
    </row>
    <row r="287" spans="14:31" x14ac:dyDescent="0.2">
      <c r="N287" s="337">
        <v>33450</v>
      </c>
      <c r="O287" s="116">
        <f>INDEX('Additional data'!$B$2:$B$965,MATCH(DATE(YEAR(N287),MONTH(N287),1),'Additional data'!$A$2:$A$965,0))</f>
        <v>21.42</v>
      </c>
      <c r="P287" s="232">
        <f t="shared" si="48"/>
        <v>3.0643250650196028</v>
      </c>
      <c r="Q287" s="232">
        <f>Q286+LN(1+INDEX('Additional data'!$H$2:$H$1196,MATCH(N287,'Additional data'!$G$2:$G$1196,1))+INDEX('Additional data'!$I$2:$I$1196,MATCH(N287,'Additional data'!$G$2:$G$1196,1)))</f>
        <v>2.2997384375991632</v>
      </c>
      <c r="R287" s="232">
        <f>LN(INDEX(Data!$B$2:$B$497,MATCH(N287,Data!$A$2:$A$497,1)))</f>
        <v>8.570525405793008</v>
      </c>
      <c r="S287" s="116">
        <f>INDEX('Additional data'!$E$2:$E$699,MATCH(DATE(YEAR(N287),MONTH(N287),1),'Additional data'!$D$2:$D$699,0))</f>
        <v>10.34</v>
      </c>
      <c r="T287" s="115">
        <f t="shared" si="49"/>
        <v>5.889001600422672E-2</v>
      </c>
      <c r="U287" s="115">
        <f t="shared" si="50"/>
        <v>4.6215423796962973E-2</v>
      </c>
      <c r="V287" s="115">
        <f t="shared" si="53"/>
        <v>4.4055377596562195E-2</v>
      </c>
      <c r="W287" s="116">
        <f t="shared" si="51"/>
        <v>-5.0000000000000711E-2</v>
      </c>
      <c r="X287" s="115">
        <f t="shared" si="54"/>
        <v>0.13912255765613901</v>
      </c>
      <c r="Y287" s="115">
        <f t="shared" si="55"/>
        <v>0.12666675124792981</v>
      </c>
      <c r="Z287" s="115">
        <f t="shared" si="57"/>
        <v>5.1653623998214826E-2</v>
      </c>
      <c r="AA287" s="116">
        <f t="shared" si="56"/>
        <v>-4.49</v>
      </c>
      <c r="AB287" s="115">
        <f t="shared" si="45"/>
        <v>0.61547746504730494</v>
      </c>
      <c r="AC287" s="115">
        <f t="shared" si="46"/>
        <v>0.58680209823789364</v>
      </c>
      <c r="AD287" s="115">
        <f t="shared" si="52"/>
        <v>0.56472466542566302</v>
      </c>
      <c r="AE287" s="235">
        <f t="shared" si="47"/>
        <v>-4.51</v>
      </c>
    </row>
    <row r="288" spans="14:31" x14ac:dyDescent="0.2">
      <c r="N288" s="337">
        <v>33481</v>
      </c>
      <c r="O288" s="116">
        <f>INDEX('Additional data'!$B$2:$B$965,MATCH(DATE(YEAR(N288),MONTH(N288),1),'Additional data'!$A$2:$A$965,0))</f>
        <v>21.687999999999999</v>
      </c>
      <c r="P288" s="232">
        <f t="shared" si="48"/>
        <v>3.0767591121963642</v>
      </c>
      <c r="Q288" s="232">
        <f>Q287+LN(1+INDEX('Additional data'!$H$2:$H$1196,MATCH(N288,'Additional data'!$G$2:$G$1196,1))+INDEX('Additional data'!$I$2:$I$1196,MATCH(N288,'Additional data'!$G$2:$G$1196,1)))</f>
        <v>2.3271590331751555</v>
      </c>
      <c r="R288" s="232">
        <f>LN(INDEX(Data!$B$2:$B$497,MATCH(N288,Data!$A$2:$A$497,1)))</f>
        <v>8.5513047210450051</v>
      </c>
      <c r="S288" s="116">
        <f>INDEX('Additional data'!$E$2:$E$699,MATCH(DATE(YEAR(N288),MONTH(N288),1),'Additional data'!$D$2:$D$699,0))</f>
        <v>10.130000000000001</v>
      </c>
      <c r="T288" s="115">
        <f t="shared" si="49"/>
        <v>1.2434047176761442E-2</v>
      </c>
      <c r="U288" s="115">
        <f t="shared" si="50"/>
        <v>2.7420595575992301E-2</v>
      </c>
      <c r="V288" s="115">
        <f t="shared" si="53"/>
        <v>-1.9220684748002981E-2</v>
      </c>
      <c r="W288" s="116">
        <f t="shared" si="51"/>
        <v>-0.20999999999999908</v>
      </c>
      <c r="X288" s="115">
        <f t="shared" si="54"/>
        <v>-0.22550152160576742</v>
      </c>
      <c r="Y288" s="115">
        <f t="shared" si="55"/>
        <v>0.25346579080420062</v>
      </c>
      <c r="Z288" s="115">
        <f t="shared" si="57"/>
        <v>7.3934023815938943E-2</v>
      </c>
      <c r="AA288" s="116">
        <f t="shared" si="56"/>
        <v>-3.7899999999999991</v>
      </c>
      <c r="AB288" s="115">
        <f t="shared" si="45"/>
        <v>0.3625943100943001</v>
      </c>
      <c r="AC288" s="115">
        <f t="shared" si="46"/>
        <v>0.55096624417887119</v>
      </c>
      <c r="AD288" s="115">
        <f t="shared" si="52"/>
        <v>0.48440665365472668</v>
      </c>
      <c r="AE288" s="235">
        <f t="shared" si="47"/>
        <v>-7.24</v>
      </c>
    </row>
    <row r="289" spans="14:31" x14ac:dyDescent="0.2">
      <c r="N289" s="337">
        <v>33511</v>
      </c>
      <c r="O289" s="116">
        <f>INDEX('Additional data'!$B$2:$B$965,MATCH(DATE(YEAR(N289),MONTH(N289),1),'Additional data'!$A$2:$A$965,0))</f>
        <v>21.856999999999999</v>
      </c>
      <c r="P289" s="232">
        <f t="shared" si="48"/>
        <v>3.0845212363680501</v>
      </c>
      <c r="Q289" s="232">
        <f>Q288+LN(1+INDEX('Additional data'!$H$2:$H$1196,MATCH(N289,'Additional data'!$G$2:$G$1196,1))+INDEX('Additional data'!$I$2:$I$1196,MATCH(N289,'Additional data'!$G$2:$G$1196,1)))</f>
        <v>2.3157947030961057</v>
      </c>
      <c r="R289" s="232">
        <f>LN(INDEX(Data!$B$2:$B$497,MATCH(N289,Data!$A$2:$A$497,1)))</f>
        <v>8.5673918869489825</v>
      </c>
      <c r="S289" s="116">
        <f>INDEX('Additional data'!$E$2:$E$699,MATCH(DATE(YEAR(N289),MONTH(N289),1),'Additional data'!$D$2:$D$699,0))</f>
        <v>9.58</v>
      </c>
      <c r="T289" s="115">
        <f t="shared" si="49"/>
        <v>7.7621241716858691E-3</v>
      </c>
      <c r="U289" s="115">
        <f t="shared" si="50"/>
        <v>-1.13643300790498E-2</v>
      </c>
      <c r="V289" s="115">
        <f t="shared" si="53"/>
        <v>1.6087165903977407E-2</v>
      </c>
      <c r="W289" s="116">
        <f t="shared" si="51"/>
        <v>-0.55000000000000071</v>
      </c>
      <c r="X289" s="115">
        <f t="shared" si="54"/>
        <v>-0.43259076989046097</v>
      </c>
      <c r="Y289" s="115">
        <f t="shared" si="55"/>
        <v>0.29877763791870748</v>
      </c>
      <c r="Z289" s="115">
        <f t="shared" si="57"/>
        <v>0.16354658102406994</v>
      </c>
      <c r="AA289" s="116">
        <f t="shared" si="56"/>
        <v>-3.9399999999999995</v>
      </c>
      <c r="AB289" s="115">
        <f t="shared" si="45"/>
        <v>0.38228792058740479</v>
      </c>
      <c r="AC289" s="115">
        <f t="shared" si="46"/>
        <v>0.62450642119026534</v>
      </c>
      <c r="AD289" s="115">
        <f t="shared" si="52"/>
        <v>0.45309710044359619</v>
      </c>
      <c r="AE289" s="235">
        <f t="shared" si="47"/>
        <v>-8.4999999999999982</v>
      </c>
    </row>
    <row r="290" spans="14:31" x14ac:dyDescent="0.2">
      <c r="N290" s="337">
        <v>33542</v>
      </c>
      <c r="O290" s="116">
        <f>INDEX('Additional data'!$B$2:$B$965,MATCH(DATE(YEAR(N290),MONTH(N290),1),'Additional data'!$A$2:$A$965,0))</f>
        <v>23.228000000000002</v>
      </c>
      <c r="P290" s="232">
        <f t="shared" si="48"/>
        <v>3.1453584475098033</v>
      </c>
      <c r="Q290" s="232">
        <f>Q289+LN(1+INDEX('Additional data'!$H$2:$H$1196,MATCH(N290,'Additional data'!$G$2:$G$1196,1))+INDEX('Additional data'!$I$2:$I$1196,MATCH(N290,'Additional data'!$G$2:$G$1196,1)))</f>
        <v>2.3327501437455189</v>
      </c>
      <c r="R290" s="232">
        <f>LN(INDEX(Data!$B$2:$B$497,MATCH(N290,Data!$A$2:$A$497,1)))</f>
        <v>8.6482389975283986</v>
      </c>
      <c r="S290" s="116">
        <f>INDEX('Additional data'!$E$2:$E$699,MATCH(DATE(YEAR(N290),MONTH(N290),1),'Additional data'!$D$2:$D$699,0))</f>
        <v>8.9700000000000006</v>
      </c>
      <c r="T290" s="115">
        <f t="shared" si="49"/>
        <v>6.0837211141753222E-2</v>
      </c>
      <c r="U290" s="115">
        <f t="shared" si="50"/>
        <v>1.6955440649413234E-2</v>
      </c>
      <c r="V290" s="115">
        <f t="shared" si="53"/>
        <v>8.0847110579416182E-2</v>
      </c>
      <c r="W290" s="116">
        <f t="shared" si="51"/>
        <v>-0.60999999999999943</v>
      </c>
      <c r="X290" s="115">
        <f t="shared" si="54"/>
        <v>-0.43599147366146651</v>
      </c>
      <c r="Y290" s="115">
        <f t="shared" si="55"/>
        <v>0.32821060007923331</v>
      </c>
      <c r="Z290" s="115">
        <f t="shared" si="57"/>
        <v>0.285083159027824</v>
      </c>
      <c r="AA290" s="116">
        <f t="shared" si="56"/>
        <v>-4.0999999999999996</v>
      </c>
      <c r="AB290" s="115">
        <f t="shared" si="45"/>
        <v>0.44722391119496985</v>
      </c>
      <c r="AC290" s="115">
        <f t="shared" si="46"/>
        <v>0.59171976994486464</v>
      </c>
      <c r="AD290" s="115">
        <f t="shared" si="52"/>
        <v>0.42788972035632789</v>
      </c>
      <c r="AE290" s="235">
        <f t="shared" si="47"/>
        <v>-7.85</v>
      </c>
    </row>
    <row r="291" spans="14:31" x14ac:dyDescent="0.2">
      <c r="N291" s="337">
        <v>33572</v>
      </c>
      <c r="O291" s="116">
        <f>INDEX('Additional data'!$B$2:$B$965,MATCH(DATE(YEAR(N291),MONTH(N291),1),'Additional data'!$A$2:$A$965,0))</f>
        <v>22.465</v>
      </c>
      <c r="P291" s="232">
        <f t="shared" si="48"/>
        <v>3.1119585425221232</v>
      </c>
      <c r="Q291" s="232">
        <f>Q290+LN(1+INDEX('Additional data'!$H$2:$H$1196,MATCH(N291,'Additional data'!$G$2:$G$1196,1))+INDEX('Additional data'!$I$2:$I$1196,MATCH(N291,'Additional data'!$G$2:$G$1196,1)))</f>
        <v>2.2939053599219519</v>
      </c>
      <c r="R291" s="232">
        <f>LN(INDEX(Data!$B$2:$B$497,MATCH(N291,Data!$A$2:$A$497,1)))</f>
        <v>8.6068693480580123</v>
      </c>
      <c r="S291" s="116">
        <f>INDEX('Additional data'!$E$2:$E$699,MATCH(DATE(YEAR(N291),MONTH(N291),1),'Additional data'!$D$2:$D$699,0))</f>
        <v>8.34</v>
      </c>
      <c r="T291" s="115">
        <f t="shared" si="49"/>
        <v>-3.3399904987680085E-2</v>
      </c>
      <c r="U291" s="115">
        <f t="shared" si="50"/>
        <v>-3.8844783823567042E-2</v>
      </c>
      <c r="V291" s="115">
        <f t="shared" si="53"/>
        <v>-4.1369649470386349E-2</v>
      </c>
      <c r="W291" s="116">
        <f t="shared" si="51"/>
        <v>-0.63000000000000078</v>
      </c>
      <c r="X291" s="115">
        <f t="shared" si="54"/>
        <v>-0.36310868770648774</v>
      </c>
      <c r="Y291" s="115">
        <f t="shared" si="55"/>
        <v>0.22245511097303927</v>
      </c>
      <c r="Z291" s="115">
        <f t="shared" si="57"/>
        <v>0.24026651527427667</v>
      </c>
      <c r="AA291" s="116">
        <f t="shared" si="56"/>
        <v>-4.07</v>
      </c>
      <c r="AB291" s="115">
        <f t="shared" si="45"/>
        <v>0.39020269436380106</v>
      </c>
      <c r="AC291" s="115">
        <f t="shared" si="46"/>
        <v>0.53739541527291124</v>
      </c>
      <c r="AD291" s="115">
        <f t="shared" si="52"/>
        <v>0.38208940346945752</v>
      </c>
      <c r="AE291" s="235">
        <f t="shared" si="47"/>
        <v>-7.5600000000000005</v>
      </c>
    </row>
    <row r="292" spans="14:31" x14ac:dyDescent="0.2">
      <c r="N292" s="337">
        <v>33603</v>
      </c>
      <c r="O292" s="116">
        <f>INDEX('Additional data'!$B$2:$B$965,MATCH(DATE(YEAR(N292),MONTH(N292),1),'Additional data'!$A$2:$A$965,0))</f>
        <v>19.516999999999999</v>
      </c>
      <c r="P292" s="232">
        <f t="shared" si="48"/>
        <v>2.9712858806490647</v>
      </c>
      <c r="Q292" s="232">
        <f>Q291+LN(1+INDEX('Additional data'!$H$2:$H$1196,MATCH(N292,'Additional data'!$G$2:$G$1196,1))+INDEX('Additional data'!$I$2:$I$1196,MATCH(N292,'Additional data'!$G$2:$G$1196,1)))</f>
        <v>2.4003353035377986</v>
      </c>
      <c r="R292" s="232">
        <f>LN(INDEX(Data!$B$2:$B$497,MATCH(N292,Data!$A$2:$A$497,1)))</f>
        <v>8.6367346800874838</v>
      </c>
      <c r="S292" s="116">
        <f>INDEX('Additional data'!$E$2:$E$699,MATCH(DATE(YEAR(N292),MONTH(N292),1),'Additional data'!$D$2:$D$699,0))</f>
        <v>7.84</v>
      </c>
      <c r="T292" s="115">
        <f t="shared" si="49"/>
        <v>-0.14067266187305849</v>
      </c>
      <c r="U292" s="115">
        <f t="shared" si="50"/>
        <v>0.10642994361584668</v>
      </c>
      <c r="V292" s="115">
        <f t="shared" si="53"/>
        <v>2.9865332029471503E-2</v>
      </c>
      <c r="W292" s="116">
        <f t="shared" si="51"/>
        <v>-0.5</v>
      </c>
      <c r="X292" s="115">
        <f t="shared" si="54"/>
        <v>-0.33695521529172634</v>
      </c>
      <c r="Y292" s="115">
        <f t="shared" si="55"/>
        <v>0.29874389767689902</v>
      </c>
      <c r="Z292" s="115">
        <f t="shared" si="57"/>
        <v>0.29444264486171789</v>
      </c>
      <c r="AA292" s="116">
        <f t="shared" si="56"/>
        <v>-4.3499999999999996</v>
      </c>
      <c r="AB292" s="115">
        <f t="shared" si="45"/>
        <v>0.19395840406210985</v>
      </c>
      <c r="AC292" s="115">
        <f t="shared" si="46"/>
        <v>0.67191623905528353</v>
      </c>
      <c r="AD292" s="115">
        <f t="shared" si="52"/>
        <v>0.34493757503875067</v>
      </c>
      <c r="AE292" s="235">
        <f t="shared" si="47"/>
        <v>-7.6899999999999995</v>
      </c>
    </row>
    <row r="293" spans="14:31" x14ac:dyDescent="0.2">
      <c r="N293" s="337">
        <v>33634</v>
      </c>
      <c r="O293" s="116">
        <f>INDEX('Additional data'!$B$2:$B$965,MATCH(DATE(YEAR(N293),MONTH(N293),1),'Additional data'!$A$2:$A$965,0))</f>
        <v>18.82</v>
      </c>
      <c r="P293" s="232">
        <f t="shared" si="48"/>
        <v>2.9349201341572337</v>
      </c>
      <c r="Q293" s="232">
        <f>Q292+LN(1+INDEX('Additional data'!$H$2:$H$1196,MATCH(N293,'Additional data'!$G$2:$G$1196,1))+INDEX('Additional data'!$I$2:$I$1196,MATCH(N293,'Additional data'!$G$2:$G$1196,1)))</f>
        <v>2.3978321733196801</v>
      </c>
      <c r="R293" s="232">
        <f>LN(INDEX(Data!$B$2:$B$497,MATCH(N293,Data!$A$2:$A$497,1)))</f>
        <v>8.620507615255125</v>
      </c>
      <c r="S293" s="116">
        <f>INDEX('Additional data'!$E$2:$E$699,MATCH(DATE(YEAR(N293),MONTH(N293),1),'Additional data'!$D$2:$D$699,0))</f>
        <v>7.45</v>
      </c>
      <c r="T293" s="115">
        <f t="shared" si="49"/>
        <v>-3.6365746491830997E-2</v>
      </c>
      <c r="U293" s="115">
        <f t="shared" si="50"/>
        <v>-2.5031302181184323E-3</v>
      </c>
      <c r="V293" s="115">
        <f t="shared" si="53"/>
        <v>-1.6227064832358806E-2</v>
      </c>
      <c r="W293" s="116">
        <f t="shared" si="51"/>
        <v>-0.38999999999999968</v>
      </c>
      <c r="X293" s="115">
        <f t="shared" si="54"/>
        <v>-0.2823143444388414</v>
      </c>
      <c r="Y293" s="115">
        <f t="shared" si="55"/>
        <v>0.24545260062667529</v>
      </c>
      <c r="Z293" s="115">
        <f t="shared" si="57"/>
        <v>0.2458923273135305</v>
      </c>
      <c r="AA293" s="116">
        <f t="shared" si="56"/>
        <v>-4.4799999999999995</v>
      </c>
      <c r="AB293" s="115">
        <f t="shared" si="45"/>
        <v>8.7523239891518223E-3</v>
      </c>
      <c r="AC293" s="115">
        <f t="shared" si="46"/>
        <v>0.54834658085772148</v>
      </c>
      <c r="AD293" s="115">
        <f t="shared" si="52"/>
        <v>0.31152010278889009</v>
      </c>
      <c r="AE293" s="235">
        <f t="shared" si="47"/>
        <v>-8.41</v>
      </c>
    </row>
    <row r="294" spans="14:31" x14ac:dyDescent="0.2">
      <c r="N294" s="337">
        <v>33663</v>
      </c>
      <c r="O294" s="116">
        <f>INDEX('Additional data'!$B$2:$B$965,MATCH(DATE(YEAR(N294),MONTH(N294),1),'Additional data'!$A$2:$A$965,0))</f>
        <v>18.995000000000001</v>
      </c>
      <c r="P294" s="232">
        <f t="shared" si="48"/>
        <v>2.944175786639589</v>
      </c>
      <c r="Q294" s="232">
        <f>Q293+LN(1+INDEX('Additional data'!$H$2:$H$1196,MATCH(N294,'Additional data'!$G$2:$G$1196,1))+INDEX('Additional data'!$I$2:$I$1196,MATCH(N294,'Additional data'!$G$2:$G$1196,1)))</f>
        <v>2.4113405233444722</v>
      </c>
      <c r="R294" s="232">
        <f>LN(INDEX(Data!$B$2:$B$497,MATCH(N294,Data!$A$2:$A$497,1)))</f>
        <v>8.6171652151931664</v>
      </c>
      <c r="S294" s="116">
        <f>INDEX('Additional data'!$E$2:$E$699,MATCH(DATE(YEAR(N294),MONTH(N294),1),'Additional data'!$D$2:$D$699,0))</f>
        <v>7.52</v>
      </c>
      <c r="T294" s="115">
        <f t="shared" si="49"/>
        <v>9.2556524823552699E-3</v>
      </c>
      <c r="U294" s="115">
        <f t="shared" si="50"/>
        <v>1.3508350024792115E-2</v>
      </c>
      <c r="V294" s="115">
        <f t="shared" si="53"/>
        <v>-3.342400061958628E-3</v>
      </c>
      <c r="W294" s="116">
        <f t="shared" si="51"/>
        <v>6.9999999999999396E-2</v>
      </c>
      <c r="X294" s="115">
        <f t="shared" si="54"/>
        <v>-7.7370421807381629E-2</v>
      </c>
      <c r="Y294" s="115">
        <f t="shared" si="55"/>
        <v>0.18506014281193339</v>
      </c>
      <c r="Z294" s="115">
        <f t="shared" si="57"/>
        <v>0.17856078893732708</v>
      </c>
      <c r="AA294" s="116">
        <f t="shared" si="56"/>
        <v>-4.0999999999999996</v>
      </c>
      <c r="AB294" s="115">
        <f t="shared" si="45"/>
        <v>6.914329832338284E-2</v>
      </c>
      <c r="AC294" s="115">
        <f t="shared" si="46"/>
        <v>0.51487592968851903</v>
      </c>
      <c r="AD294" s="115">
        <f t="shared" si="52"/>
        <v>0.2311975056298099</v>
      </c>
      <c r="AE294" s="235">
        <f t="shared" si="47"/>
        <v>-9.18</v>
      </c>
    </row>
    <row r="295" spans="14:31" x14ac:dyDescent="0.2">
      <c r="N295" s="337">
        <v>33694</v>
      </c>
      <c r="O295" s="116">
        <f>INDEX('Additional data'!$B$2:$B$965,MATCH(DATE(YEAR(N295),MONTH(N295),1),'Additional data'!$A$2:$A$965,0))</f>
        <v>18.916</v>
      </c>
      <c r="P295" s="232">
        <f t="shared" si="48"/>
        <v>2.9400081247816292</v>
      </c>
      <c r="Q295" s="232">
        <f>Q294+LN(1+INDEX('Additional data'!$H$2:$H$1196,MATCH(N295,'Additional data'!$G$2:$G$1196,1))+INDEX('Additional data'!$I$2:$I$1196,MATCH(N295,'Additional data'!$G$2:$G$1196,1)))</f>
        <v>2.3879695370212319</v>
      </c>
      <c r="R295" s="232">
        <f>LN(INDEX(Data!$B$2:$B$497,MATCH(N295,Data!$A$2:$A$497,1)))</f>
        <v>8.6007803792225044</v>
      </c>
      <c r="S295" s="116">
        <f>INDEX('Additional data'!$E$2:$E$699,MATCH(DATE(YEAR(N295),MONTH(N295),1),'Additional data'!$D$2:$D$699,0))</f>
        <v>7.51</v>
      </c>
      <c r="T295" s="115">
        <f t="shared" si="49"/>
        <v>-4.1676618579598035E-3</v>
      </c>
      <c r="U295" s="115">
        <f t="shared" si="50"/>
        <v>-2.3370986323240306E-2</v>
      </c>
      <c r="V295" s="115">
        <f t="shared" si="53"/>
        <v>-1.6384835970661982E-2</v>
      </c>
      <c r="W295" s="116">
        <f t="shared" si="51"/>
        <v>-9.9999999999997868E-3</v>
      </c>
      <c r="X295" s="115">
        <f t="shared" si="54"/>
        <v>-4.8699533835397268E-2</v>
      </c>
      <c r="Y295" s="115">
        <f t="shared" si="55"/>
        <v>0.13115995145387016</v>
      </c>
      <c r="Z295" s="115">
        <f t="shared" si="57"/>
        <v>0.12946360107379284</v>
      </c>
      <c r="AA295" s="116">
        <f t="shared" si="56"/>
        <v>-3.9800000000000004</v>
      </c>
      <c r="AB295" s="115">
        <f t="shared" si="45"/>
        <v>3.2833878209429734E-2</v>
      </c>
      <c r="AC295" s="115">
        <f t="shared" si="46"/>
        <v>0.47072240418275024</v>
      </c>
      <c r="AD295" s="115">
        <f t="shared" si="52"/>
        <v>0.16662103113583093</v>
      </c>
      <c r="AE295" s="235">
        <f t="shared" si="47"/>
        <v>-8.9</v>
      </c>
    </row>
    <row r="296" spans="14:31" x14ac:dyDescent="0.2">
      <c r="N296" s="337">
        <v>33724</v>
      </c>
      <c r="O296" s="116">
        <f>INDEX('Additional data'!$B$2:$B$965,MATCH(DATE(YEAR(N296),MONTH(N296),1),'Additional data'!$A$2:$A$965,0))</f>
        <v>20.242999999999999</v>
      </c>
      <c r="P296" s="232">
        <f t="shared" si="48"/>
        <v>3.00780905477944</v>
      </c>
      <c r="Q296" s="232">
        <f>Q295+LN(1+INDEX('Additional data'!$H$2:$H$1196,MATCH(N296,'Additional data'!$G$2:$G$1196,1))+INDEX('Additional data'!$I$2:$I$1196,MATCH(N296,'Additional data'!$G$2:$G$1196,1)))</f>
        <v>2.4019710566570454</v>
      </c>
      <c r="R296" s="232">
        <f>LN(INDEX(Data!$B$2:$B$497,MATCH(N296,Data!$A$2:$A$497,1)))</f>
        <v>8.6510070441451479</v>
      </c>
      <c r="S296" s="116">
        <f>INDEX('Additional data'!$E$2:$E$699,MATCH(DATE(YEAR(N296),MONTH(N296),1),'Additional data'!$D$2:$D$699,0))</f>
        <v>7.18</v>
      </c>
      <c r="T296" s="115">
        <f t="shared" si="49"/>
        <v>6.7800929997810844E-2</v>
      </c>
      <c r="U296" s="115">
        <f t="shared" si="50"/>
        <v>1.400151963581342E-2</v>
      </c>
      <c r="V296" s="115">
        <f t="shared" si="53"/>
        <v>5.0226664922643494E-2</v>
      </c>
      <c r="W296" s="116">
        <f t="shared" si="51"/>
        <v>-0.33000000000000007</v>
      </c>
      <c r="X296" s="115">
        <f t="shared" si="54"/>
        <v>-2.8249090246116104E-2</v>
      </c>
      <c r="Y296" s="115">
        <f t="shared" si="55"/>
        <v>0.1426645908910964</v>
      </c>
      <c r="Z296" s="115">
        <f t="shared" si="57"/>
        <v>0.11544362337403236</v>
      </c>
      <c r="AA296" s="116">
        <f t="shared" si="56"/>
        <v>-4.18</v>
      </c>
      <c r="AB296" s="115">
        <f t="shared" si="45"/>
        <v>8.2338314266115376E-2</v>
      </c>
      <c r="AC296" s="115">
        <f t="shared" si="46"/>
        <v>0.50136156497158701</v>
      </c>
      <c r="AD296" s="115">
        <f t="shared" si="52"/>
        <v>0.17789113996983907</v>
      </c>
      <c r="AE296" s="235">
        <f t="shared" si="47"/>
        <v>-7.9</v>
      </c>
    </row>
    <row r="297" spans="14:31" x14ac:dyDescent="0.2">
      <c r="N297" s="337">
        <v>33755</v>
      </c>
      <c r="O297" s="116">
        <f>INDEX('Additional data'!$B$2:$B$965,MATCH(DATE(YEAR(N297),MONTH(N297),1),'Additional data'!$A$2:$A$965,0))</f>
        <v>20.94</v>
      </c>
      <c r="P297" s="232">
        <f t="shared" si="48"/>
        <v>3.041661205442391</v>
      </c>
      <c r="Q297" s="232">
        <f>Q296+LN(1+INDEX('Additional data'!$H$2:$H$1196,MATCH(N297,'Additional data'!$G$2:$G$1196,1))+INDEX('Additional data'!$I$2:$I$1196,MATCH(N297,'Additional data'!$G$2:$G$1196,1)))</f>
        <v>2.4077543014127727</v>
      </c>
      <c r="R297" s="232">
        <f>LN(INDEX(Data!$B$2:$B$497,MATCH(N297,Data!$A$2:$A$497,1)))</f>
        <v>8.702294215243775</v>
      </c>
      <c r="S297" s="116">
        <f>INDEX('Additional data'!$E$2:$E$699,MATCH(DATE(YEAR(N297),MONTH(N297),1),'Additional data'!$D$2:$D$699,0))</f>
        <v>6.56</v>
      </c>
      <c r="T297" s="115">
        <f t="shared" si="49"/>
        <v>3.3852150662950997E-2</v>
      </c>
      <c r="U297" s="115">
        <f t="shared" si="50"/>
        <v>5.7832447557273348E-3</v>
      </c>
      <c r="V297" s="115">
        <f t="shared" si="53"/>
        <v>5.1287171098627127E-2</v>
      </c>
      <c r="W297" s="116">
        <f t="shared" si="51"/>
        <v>-0.62000000000000011</v>
      </c>
      <c r="X297" s="115">
        <f t="shared" si="54"/>
        <v>-1.422499093134677E-2</v>
      </c>
      <c r="Y297" s="115">
        <f t="shared" si="55"/>
        <v>0.10797790309311051</v>
      </c>
      <c r="Z297" s="115">
        <f t="shared" si="57"/>
        <v>0.17747021266463747</v>
      </c>
      <c r="AA297" s="116">
        <f t="shared" si="56"/>
        <v>-4.160000000000001</v>
      </c>
      <c r="AB297" s="115">
        <f t="shared" si="45"/>
        <v>7.5615242258760595E-2</v>
      </c>
      <c r="AC297" s="115">
        <f t="shared" si="46"/>
        <v>0.50225677565453819</v>
      </c>
      <c r="AD297" s="115">
        <f t="shared" si="52"/>
        <v>0.21551899504907013</v>
      </c>
      <c r="AE297" s="235">
        <f t="shared" si="47"/>
        <v>-7.580000000000001</v>
      </c>
    </row>
    <row r="298" spans="14:31" x14ac:dyDescent="0.2">
      <c r="N298" s="337">
        <v>33785</v>
      </c>
      <c r="O298" s="116">
        <f>INDEX('Additional data'!$B$2:$B$965,MATCH(DATE(YEAR(N298),MONTH(N298),1),'Additional data'!$A$2:$A$965,0))</f>
        <v>22.375</v>
      </c>
      <c r="P298" s="232">
        <f t="shared" si="48"/>
        <v>3.1079442641609192</v>
      </c>
      <c r="Q298" s="232">
        <f>Q297+LN(1+INDEX('Additional data'!$H$2:$H$1196,MATCH(N298,'Additional data'!$G$2:$G$1196,1))+INDEX('Additional data'!$I$2:$I$1196,MATCH(N298,'Additional data'!$G$2:$G$1196,1)))</f>
        <v>2.3874495480724085</v>
      </c>
      <c r="R298" s="232">
        <f>LN(INDEX(Data!$B$2:$B$497,MATCH(N298,Data!$A$2:$A$497,1)))</f>
        <v>8.6829279446057939</v>
      </c>
      <c r="S298" s="116">
        <f>INDEX('Additional data'!$E$2:$E$699,MATCH(DATE(YEAR(N298),MONTH(N298),1),'Additional data'!$D$2:$D$699,0))</f>
        <v>6.42</v>
      </c>
      <c r="T298" s="115">
        <f t="shared" si="49"/>
        <v>6.6283058718528132E-2</v>
      </c>
      <c r="U298" s="115">
        <f t="shared" si="50"/>
        <v>-2.030475334036419E-2</v>
      </c>
      <c r="V298" s="115">
        <f t="shared" si="53"/>
        <v>-1.9366270637981131E-2</v>
      </c>
      <c r="W298" s="116">
        <f t="shared" si="51"/>
        <v>-0.13999999999999968</v>
      </c>
      <c r="X298" s="115">
        <f t="shared" si="54"/>
        <v>0.10250921514554312</v>
      </c>
      <c r="Y298" s="115">
        <f t="shared" si="55"/>
        <v>0.13392653427020829</v>
      </c>
      <c r="Z298" s="115">
        <f t="shared" si="57"/>
        <v>0.15645791640934803</v>
      </c>
      <c r="AA298" s="116">
        <f t="shared" si="56"/>
        <v>-3.9700000000000006</v>
      </c>
      <c r="AB298" s="115">
        <f t="shared" si="45"/>
        <v>0.11051343397134694</v>
      </c>
      <c r="AC298" s="115">
        <f t="shared" si="46"/>
        <v>0.43898832288205858</v>
      </c>
      <c r="AD298" s="115">
        <f t="shared" si="52"/>
        <v>0.19809266929768299</v>
      </c>
      <c r="AE298" s="235">
        <f t="shared" si="47"/>
        <v>-7.26</v>
      </c>
    </row>
    <row r="299" spans="14:31" x14ac:dyDescent="0.2">
      <c r="N299" s="337">
        <v>33816</v>
      </c>
      <c r="O299" s="116">
        <f>INDEX('Additional data'!$B$2:$B$965,MATCH(DATE(YEAR(N299),MONTH(N299),1),'Additional data'!$A$2:$A$965,0))</f>
        <v>21.759</v>
      </c>
      <c r="P299" s="232">
        <f t="shared" si="48"/>
        <v>3.0800274650493851</v>
      </c>
      <c r="Q299" s="232">
        <f>Q298+LN(1+INDEX('Additional data'!$H$2:$H$1196,MATCH(N299,'Additional data'!$G$2:$G$1196,1))+INDEX('Additional data'!$I$2:$I$1196,MATCH(N299,'Additional data'!$G$2:$G$1196,1)))</f>
        <v>2.4275352716116942</v>
      </c>
      <c r="R299" s="232">
        <f>LN(INDEX(Data!$B$2:$B$497,MATCH(N299,Data!$A$2:$A$497,1)))</f>
        <v>8.6643192563065305</v>
      </c>
      <c r="S299" s="116">
        <f>INDEX('Additional data'!$E$2:$E$699,MATCH(DATE(YEAR(N299),MONTH(N299),1),'Additional data'!$D$2:$D$699,0))</f>
        <v>5.64</v>
      </c>
      <c r="T299" s="115">
        <f t="shared" si="49"/>
        <v>-2.7916799111534107E-2</v>
      </c>
      <c r="U299" s="115">
        <f t="shared" si="50"/>
        <v>4.0085723539285745E-2</v>
      </c>
      <c r="V299" s="115">
        <f t="shared" si="53"/>
        <v>-1.8608688299263321E-2</v>
      </c>
      <c r="W299" s="116">
        <f t="shared" si="51"/>
        <v>-0.78000000000000025</v>
      </c>
      <c r="X299" s="115">
        <f t="shared" si="54"/>
        <v>1.5702400029782293E-2</v>
      </c>
      <c r="Y299" s="115">
        <f t="shared" si="55"/>
        <v>0.12779683401253106</v>
      </c>
      <c r="Z299" s="115">
        <f t="shared" si="57"/>
        <v>9.3793850513522514E-2</v>
      </c>
      <c r="AA299" s="116">
        <f t="shared" si="56"/>
        <v>-4.7</v>
      </c>
      <c r="AB299" s="115">
        <f t="shared" si="45"/>
        <v>1.8741560755955344E-2</v>
      </c>
      <c r="AC299" s="115">
        <f t="shared" si="46"/>
        <v>0.43697287040270893</v>
      </c>
      <c r="AD299" s="115">
        <f t="shared" si="52"/>
        <v>3.7267679830053524E-2</v>
      </c>
      <c r="AE299" s="235">
        <f t="shared" si="47"/>
        <v>-7.3500000000000005</v>
      </c>
    </row>
    <row r="300" spans="14:31" x14ac:dyDescent="0.2">
      <c r="N300" s="337">
        <v>33847</v>
      </c>
      <c r="O300" s="116">
        <f>INDEX('Additional data'!$B$2:$B$965,MATCH(DATE(YEAR(N300),MONTH(N300),1),'Additional data'!$A$2:$A$965,0))</f>
        <v>21.35</v>
      </c>
      <c r="P300" s="232">
        <f t="shared" si="48"/>
        <v>3.0610517396746335</v>
      </c>
      <c r="Q300" s="232">
        <f>Q299+LN(1+INDEX('Additional data'!$H$2:$H$1196,MATCH(N300,'Additional data'!$G$2:$G$1196,1))+INDEX('Additional data'!$I$2:$I$1196,MATCH(N300,'Additional data'!$G$2:$G$1196,1)))</f>
        <v>2.4061073241980737</v>
      </c>
      <c r="R300" s="232">
        <f>LN(INDEX(Data!$B$2:$B$497,MATCH(N300,Data!$A$2:$A$497,1)))</f>
        <v>8.6182866159762899</v>
      </c>
      <c r="S300" s="116">
        <f>INDEX('Additional data'!$E$2:$E$699,MATCH(DATE(YEAR(N300),MONTH(N300),1),'Additional data'!$D$2:$D$699,0))</f>
        <v>5.73</v>
      </c>
      <c r="T300" s="115">
        <f t="shared" si="49"/>
        <v>-1.8975725374751562E-2</v>
      </c>
      <c r="U300" s="115">
        <f t="shared" si="50"/>
        <v>-2.1427947413620529E-2</v>
      </c>
      <c r="V300" s="115">
        <f t="shared" si="53"/>
        <v>-4.6032640330240682E-2</v>
      </c>
      <c r="W300" s="116">
        <f t="shared" si="51"/>
        <v>9.0000000000000746E-2</v>
      </c>
      <c r="X300" s="115">
        <f t="shared" si="54"/>
        <v>-1.5707372521730711E-2</v>
      </c>
      <c r="Y300" s="115">
        <f t="shared" si="55"/>
        <v>7.8948291022918227E-2</v>
      </c>
      <c r="Z300" s="115">
        <f t="shared" si="57"/>
        <v>6.6981894931284813E-2</v>
      </c>
      <c r="AA300" s="116">
        <f t="shared" si="56"/>
        <v>-4.4000000000000004</v>
      </c>
      <c r="AB300" s="115">
        <f t="shared" si="45"/>
        <v>5.1712462714425644E-2</v>
      </c>
      <c r="AC300" s="115">
        <f t="shared" si="46"/>
        <v>0.37642036830503844</v>
      </c>
      <c r="AD300" s="115">
        <f t="shared" si="52"/>
        <v>-6.6909440637713757E-2</v>
      </c>
      <c r="AE300" s="235">
        <f t="shared" si="47"/>
        <v>-6.8099999999999987</v>
      </c>
    </row>
    <row r="301" spans="14:31" x14ac:dyDescent="0.2">
      <c r="N301" s="337">
        <v>33877</v>
      </c>
      <c r="O301" s="116">
        <f>INDEX('Additional data'!$B$2:$B$965,MATCH(DATE(YEAR(N301),MONTH(N301),1),'Additional data'!$A$2:$A$965,0))</f>
        <v>21.902000000000001</v>
      </c>
      <c r="P301" s="232">
        <f t="shared" si="48"/>
        <v>3.0865779568535676</v>
      </c>
      <c r="Q301" s="232">
        <f>Q300+LN(1+INDEX('Additional data'!$H$2:$H$1196,MATCH(N301,'Additional data'!$G$2:$G$1196,1))+INDEX('Additional data'!$I$2:$I$1196,MATCH(N301,'Additional data'!$G$2:$G$1196,1)))</f>
        <v>2.4205032044818062</v>
      </c>
      <c r="R301" s="232">
        <f>LN(INDEX(Data!$B$2:$B$497,MATCH(N301,Data!$A$2:$A$497,1)))</f>
        <v>8.5762919438034437</v>
      </c>
      <c r="S301" s="116">
        <f>INDEX('Additional data'!$E$2:$E$699,MATCH(DATE(YEAR(N301),MONTH(N301),1),'Additional data'!$D$2:$D$699,0))</f>
        <v>5.94</v>
      </c>
      <c r="T301" s="115">
        <f t="shared" si="49"/>
        <v>2.5526217178934107E-2</v>
      </c>
      <c r="U301" s="115">
        <f t="shared" si="50"/>
        <v>1.4395880283732509E-2</v>
      </c>
      <c r="V301" s="115">
        <f t="shared" si="53"/>
        <v>-4.1994672172846137E-2</v>
      </c>
      <c r="W301" s="116">
        <f t="shared" si="51"/>
        <v>0.20999999999999996</v>
      </c>
      <c r="X301" s="115">
        <f t="shared" si="54"/>
        <v>2.056720485517527E-3</v>
      </c>
      <c r="Y301" s="115">
        <f t="shared" si="55"/>
        <v>0.10470850138570054</v>
      </c>
      <c r="Z301" s="115">
        <f t="shared" si="57"/>
        <v>8.900056854461269E-3</v>
      </c>
      <c r="AA301" s="116">
        <f t="shared" si="56"/>
        <v>-3.6399999999999997</v>
      </c>
      <c r="AB301" s="115">
        <f t="shared" si="45"/>
        <v>0.11483104605008787</v>
      </c>
      <c r="AC301" s="115">
        <f t="shared" si="46"/>
        <v>0.41234636713913408</v>
      </c>
      <c r="AD301" s="115">
        <f t="shared" si="52"/>
        <v>-0.15556091231869296</v>
      </c>
      <c r="AE301" s="235">
        <f t="shared" si="47"/>
        <v>-5.7599999999999989</v>
      </c>
    </row>
    <row r="302" spans="14:31" x14ac:dyDescent="0.2">
      <c r="N302" s="337">
        <v>33908</v>
      </c>
      <c r="O302" s="116">
        <f>INDEX('Additional data'!$B$2:$B$965,MATCH(DATE(YEAR(N302),MONTH(N302),1),'Additional data'!$A$2:$A$965,0))</f>
        <v>21.687999999999999</v>
      </c>
      <c r="P302" s="232">
        <f t="shared" si="48"/>
        <v>3.0767591121963642</v>
      </c>
      <c r="Q302" s="232">
        <f>Q301+LN(1+INDEX('Additional data'!$H$2:$H$1196,MATCH(N302,'Additional data'!$G$2:$G$1196,1))+INDEX('Additional data'!$I$2:$I$1196,MATCH(N302,'Additional data'!$G$2:$G$1196,1)))</f>
        <v>2.4329257244803633</v>
      </c>
      <c r="R302" s="232">
        <f>LN(INDEX(Data!$B$2:$B$497,MATCH(N302,Data!$A$2:$A$497,1)))</f>
        <v>8.5442439968925523</v>
      </c>
      <c r="S302" s="116">
        <f>INDEX('Additional data'!$E$2:$E$699,MATCH(DATE(YEAR(N302),MONTH(N302),1),'Additional data'!$D$2:$D$699,0))</f>
        <v>5.86</v>
      </c>
      <c r="T302" s="115">
        <f t="shared" si="49"/>
        <v>-9.8188446572033961E-3</v>
      </c>
      <c r="U302" s="115">
        <f t="shared" si="50"/>
        <v>1.2422519998557036E-2</v>
      </c>
      <c r="V302" s="115">
        <f t="shared" si="53"/>
        <v>-3.2047946910891412E-2</v>
      </c>
      <c r="W302" s="116">
        <f t="shared" si="51"/>
        <v>-8.0000000000000071E-2</v>
      </c>
      <c r="X302" s="115">
        <f t="shared" si="54"/>
        <v>-6.8599335313439092E-2</v>
      </c>
      <c r="Y302" s="115">
        <f t="shared" si="55"/>
        <v>0.10017558073484434</v>
      </c>
      <c r="Z302" s="115">
        <f t="shared" si="57"/>
        <v>-0.10399500063584632</v>
      </c>
      <c r="AA302" s="116">
        <f t="shared" si="56"/>
        <v>-3.1100000000000003</v>
      </c>
      <c r="AB302" s="115">
        <f t="shared" si="45"/>
        <v>8.8655865806864576E-2</v>
      </c>
      <c r="AC302" s="115">
        <f t="shared" si="46"/>
        <v>0.6808231019091604</v>
      </c>
      <c r="AD302" s="115">
        <f t="shared" si="52"/>
        <v>0.35942345689208288</v>
      </c>
      <c r="AE302" s="235">
        <f t="shared" si="47"/>
        <v>-6.13</v>
      </c>
    </row>
    <row r="303" spans="14:31" x14ac:dyDescent="0.2">
      <c r="N303" s="337">
        <v>33938</v>
      </c>
      <c r="O303" s="116">
        <f>INDEX('Additional data'!$B$2:$B$965,MATCH(DATE(YEAR(N303),MONTH(N303),1),'Additional data'!$A$2:$A$965,0))</f>
        <v>20.341999999999999</v>
      </c>
      <c r="P303" s="232">
        <f t="shared" si="48"/>
        <v>3.0126877142034045</v>
      </c>
      <c r="Q303" s="232">
        <f>Q302+LN(1+INDEX('Additional data'!$H$2:$H$1196,MATCH(N303,'Additional data'!$G$2:$G$1196,1))+INDEX('Additional data'!$I$2:$I$1196,MATCH(N303,'Additional data'!$G$2:$G$1196,1)))</f>
        <v>2.4756978163242325</v>
      </c>
      <c r="R303" s="232">
        <f>LN(INDEX(Data!$B$2:$B$497,MATCH(N303,Data!$A$2:$A$497,1)))</f>
        <v>8.5656213853204317</v>
      </c>
      <c r="S303" s="116">
        <f>INDEX('Additional data'!$E$2:$E$699,MATCH(DATE(YEAR(N303),MONTH(N303),1),'Additional data'!$D$2:$D$699,0))</f>
        <v>5.88</v>
      </c>
      <c r="T303" s="115">
        <f t="shared" si="49"/>
        <v>-6.4071397992959689E-2</v>
      </c>
      <c r="U303" s="115">
        <f t="shared" si="50"/>
        <v>4.2772091843869209E-2</v>
      </c>
      <c r="V303" s="115">
        <f t="shared" si="53"/>
        <v>2.1377388427879396E-2</v>
      </c>
      <c r="W303" s="116">
        <f t="shared" si="51"/>
        <v>1.9999999999999574E-2</v>
      </c>
      <c r="X303" s="115">
        <f t="shared" si="54"/>
        <v>-9.9270828318718696E-2</v>
      </c>
      <c r="Y303" s="115">
        <f t="shared" si="55"/>
        <v>0.18179245640228059</v>
      </c>
      <c r="Z303" s="115">
        <f t="shared" si="57"/>
        <v>-4.1247962737580579E-2</v>
      </c>
      <c r="AA303" s="116">
        <f t="shared" si="56"/>
        <v>-2.46</v>
      </c>
      <c r="AB303" s="115">
        <f t="shared" si="45"/>
        <v>7.2468150579672042E-2</v>
      </c>
      <c r="AC303" s="115">
        <f t="shared" si="46"/>
        <v>0.8005842352811654</v>
      </c>
      <c r="AD303" s="115">
        <f t="shared" si="52"/>
        <v>0.35050673330654547</v>
      </c>
      <c r="AE303" s="235">
        <f t="shared" si="47"/>
        <v>-6.5699999999999994</v>
      </c>
    </row>
    <row r="304" spans="14:31" x14ac:dyDescent="0.2">
      <c r="N304" s="337">
        <v>33969</v>
      </c>
      <c r="O304" s="116">
        <f>INDEX('Additional data'!$B$2:$B$965,MATCH(DATE(YEAR(N304),MONTH(N304),1),'Additional data'!$A$2:$A$965,0))</f>
        <v>19.407</v>
      </c>
      <c r="P304" s="232">
        <f t="shared" si="48"/>
        <v>2.9656338257299582</v>
      </c>
      <c r="Q304" s="232">
        <f>Q303+LN(1+INDEX('Additional data'!$H$2:$H$1196,MATCH(N304,'Additional data'!$G$2:$G$1196,1))+INDEX('Additional data'!$I$2:$I$1196,MATCH(N304,'Additional data'!$G$2:$G$1196,1)))</f>
        <v>2.4936359614552455</v>
      </c>
      <c r="R304" s="232">
        <f>LN(INDEX(Data!$B$2:$B$497,MATCH(N304,Data!$A$2:$A$497,1)))</f>
        <v>8.6420445210556416</v>
      </c>
      <c r="S304" s="116">
        <f>INDEX('Additional data'!$E$2:$E$699,MATCH(DATE(YEAR(N304),MONTH(N304),1),'Additional data'!$D$2:$D$699,0))</f>
        <v>5.9</v>
      </c>
      <c r="T304" s="115">
        <f t="shared" si="49"/>
        <v>-4.7053888473446381E-2</v>
      </c>
      <c r="U304" s="115">
        <f t="shared" si="50"/>
        <v>1.7938145131012995E-2</v>
      </c>
      <c r="V304" s="115">
        <f t="shared" si="53"/>
        <v>7.6423135735209868E-2</v>
      </c>
      <c r="W304" s="116">
        <f t="shared" si="51"/>
        <v>2.0000000000000462E-2</v>
      </c>
      <c r="X304" s="115">
        <f t="shared" si="54"/>
        <v>-5.6520549191065861E-3</v>
      </c>
      <c r="Y304" s="115">
        <f t="shared" si="55"/>
        <v>9.3300657917446905E-2</v>
      </c>
      <c r="Z304" s="115">
        <f t="shared" si="57"/>
        <v>5.3098409681577863E-3</v>
      </c>
      <c r="AA304" s="116">
        <f t="shared" si="56"/>
        <v>-1.9399999999999995</v>
      </c>
      <c r="AB304" s="115">
        <f t="shared" si="45"/>
        <v>0.11834355753624415</v>
      </c>
      <c r="AC304" s="115">
        <f t="shared" si="46"/>
        <v>0.74890303853212137</v>
      </c>
      <c r="AD304" s="115">
        <f t="shared" si="52"/>
        <v>0.43205606858004941</v>
      </c>
      <c r="AE304" s="235">
        <f t="shared" si="47"/>
        <v>-5.5600000000000005</v>
      </c>
    </row>
    <row r="305" spans="14:31" x14ac:dyDescent="0.2">
      <c r="N305" s="337">
        <v>34000</v>
      </c>
      <c r="O305" s="116">
        <f>INDEX('Additional data'!$B$2:$B$965,MATCH(DATE(YEAR(N305),MONTH(N305),1),'Additional data'!$A$2:$A$965,0))</f>
        <v>19.074999999999999</v>
      </c>
      <c r="P305" s="232">
        <f t="shared" si="48"/>
        <v>2.9483785771705207</v>
      </c>
      <c r="Q305" s="232">
        <f>Q304+LN(1+INDEX('Additional data'!$H$2:$H$1196,MATCH(N305,'Additional data'!$G$2:$G$1196,1))+INDEX('Additional data'!$I$2:$I$1196,MATCH(N305,'Additional data'!$G$2:$G$1196,1)))</f>
        <v>2.5051691972689185</v>
      </c>
      <c r="R305" s="232">
        <f>LN(INDEX(Data!$B$2:$B$497,MATCH(N305,Data!$A$2:$A$497,1)))</f>
        <v>8.6241084977603624</v>
      </c>
      <c r="S305" s="116">
        <f>INDEX('Additional data'!$E$2:$E$699,MATCH(DATE(YEAR(N305),MONTH(N305),1),'Additional data'!$D$2:$D$699,0))</f>
        <v>5.88</v>
      </c>
      <c r="T305" s="115">
        <f t="shared" si="49"/>
        <v>-1.7255248559437497E-2</v>
      </c>
      <c r="U305" s="115">
        <f t="shared" si="50"/>
        <v>1.1533235813673048E-2</v>
      </c>
      <c r="V305" s="115">
        <f t="shared" si="53"/>
        <v>-1.7936023295279213E-2</v>
      </c>
      <c r="W305" s="116">
        <f t="shared" si="51"/>
        <v>-2.0000000000000462E-2</v>
      </c>
      <c r="X305" s="115">
        <f t="shared" si="54"/>
        <v>1.3458443013286914E-2</v>
      </c>
      <c r="Y305" s="115">
        <f t="shared" si="55"/>
        <v>0.10733702394923839</v>
      </c>
      <c r="Z305" s="115">
        <f t="shared" si="57"/>
        <v>3.6008825052373794E-3</v>
      </c>
      <c r="AA305" s="116">
        <f t="shared" si="56"/>
        <v>-1.5700000000000003</v>
      </c>
      <c r="AB305" s="115">
        <f t="shared" si="45"/>
        <v>0.10579748311070425</v>
      </c>
      <c r="AC305" s="115">
        <f t="shared" si="46"/>
        <v>0.71641938892902024</v>
      </c>
      <c r="AD305" s="115">
        <f t="shared" si="52"/>
        <v>0.46059474130305844</v>
      </c>
      <c r="AE305" s="235">
        <f t="shared" si="47"/>
        <v>-5.1700000000000008</v>
      </c>
    </row>
    <row r="306" spans="14:31" x14ac:dyDescent="0.2">
      <c r="N306" s="337">
        <v>34028</v>
      </c>
      <c r="O306" s="116">
        <f>INDEX('Additional data'!$B$2:$B$965,MATCH(DATE(YEAR(N306),MONTH(N306),1),'Additional data'!$A$2:$A$965,0))</f>
        <v>20.053000000000001</v>
      </c>
      <c r="P306" s="232">
        <f t="shared" si="48"/>
        <v>2.9983787684948964</v>
      </c>
      <c r="Q306" s="232">
        <f>Q305+LN(1+INDEX('Additional data'!$H$2:$H$1196,MATCH(N306,'Additional data'!$G$2:$G$1196,1))+INDEX('Additional data'!$I$2:$I$1196,MATCH(N306,'Additional data'!$G$2:$G$1196,1)))</f>
        <v>2.5085634303369342</v>
      </c>
      <c r="R306" s="232">
        <f>LN(INDEX(Data!$B$2:$B$497,MATCH(N306,Data!$A$2:$A$497,1)))</f>
        <v>8.6788867804142242</v>
      </c>
      <c r="S306" s="116">
        <f>INDEX('Additional data'!$E$2:$E$699,MATCH(DATE(YEAR(N306),MONTH(N306),1),'Additional data'!$D$2:$D$699,0))</f>
        <v>5.82</v>
      </c>
      <c r="T306" s="115">
        <f t="shared" si="49"/>
        <v>5.000019132437572E-2</v>
      </c>
      <c r="U306" s="115">
        <f t="shared" si="50"/>
        <v>3.3942330680156729E-3</v>
      </c>
      <c r="V306" s="115">
        <f t="shared" si="53"/>
        <v>5.4778282653861865E-2</v>
      </c>
      <c r="W306" s="116">
        <f t="shared" si="51"/>
        <v>-5.9999999999999609E-2</v>
      </c>
      <c r="X306" s="115">
        <f t="shared" si="54"/>
        <v>5.4202981855307364E-2</v>
      </c>
      <c r="Y306" s="115">
        <f t="shared" si="55"/>
        <v>9.7222906992461944E-2</v>
      </c>
      <c r="Z306" s="115">
        <f t="shared" si="57"/>
        <v>6.1721565221057872E-2</v>
      </c>
      <c r="AA306" s="116">
        <f t="shared" si="56"/>
        <v>-1.6999999999999993</v>
      </c>
      <c r="AB306" s="115">
        <f t="shared" si="45"/>
        <v>0.17908538857670431</v>
      </c>
      <c r="AC306" s="115">
        <f t="shared" si="46"/>
        <v>0.66883537723240649</v>
      </c>
      <c r="AD306" s="115">
        <f t="shared" si="52"/>
        <v>0.51839710477346124</v>
      </c>
      <c r="AE306" s="235">
        <f t="shared" si="47"/>
        <v>-5.129999999999999</v>
      </c>
    </row>
    <row r="307" spans="14:31" x14ac:dyDescent="0.2">
      <c r="N307" s="337">
        <v>34059</v>
      </c>
      <c r="O307" s="116">
        <f>INDEX('Additional data'!$B$2:$B$965,MATCH(DATE(YEAR(N307),MONTH(N307),1),'Additional data'!$A$2:$A$965,0))</f>
        <v>20.347000000000001</v>
      </c>
      <c r="P307" s="232">
        <f t="shared" si="48"/>
        <v>3.012933480873766</v>
      </c>
      <c r="Q307" s="232">
        <f>Q306+LN(1+INDEX('Additional data'!$H$2:$H$1196,MATCH(N307,'Additional data'!$G$2:$G$1196,1))+INDEX('Additional data'!$I$2:$I$1196,MATCH(N307,'Additional data'!$G$2:$G$1196,1)))</f>
        <v>2.5339387366681625</v>
      </c>
      <c r="R307" s="232">
        <f>LN(INDEX(Data!$B$2:$B$497,MATCH(N307,Data!$A$2:$A$497,1)))</f>
        <v>8.7180256919690571</v>
      </c>
      <c r="S307" s="116">
        <f>INDEX('Additional data'!$E$2:$E$699,MATCH(DATE(YEAR(N307),MONTH(N307),1),'Additional data'!$D$2:$D$699,0))</f>
        <v>5.38</v>
      </c>
      <c r="T307" s="115">
        <f t="shared" si="49"/>
        <v>1.4554712378869628E-2</v>
      </c>
      <c r="U307" s="115">
        <f t="shared" si="50"/>
        <v>2.5375306331228309E-2</v>
      </c>
      <c r="V307" s="115">
        <f t="shared" si="53"/>
        <v>3.9138911554832845E-2</v>
      </c>
      <c r="W307" s="116">
        <f t="shared" si="51"/>
        <v>-0.44000000000000039</v>
      </c>
      <c r="X307" s="115">
        <f t="shared" si="54"/>
        <v>7.2925356092136795E-2</v>
      </c>
      <c r="Y307" s="115">
        <f t="shared" si="55"/>
        <v>0.14596919964693056</v>
      </c>
      <c r="Z307" s="115">
        <f t="shared" si="57"/>
        <v>0.1172453127465527</v>
      </c>
      <c r="AA307" s="116">
        <f t="shared" si="56"/>
        <v>-2.13</v>
      </c>
      <c r="AB307" s="115">
        <f t="shared" si="45"/>
        <v>0.22687340613652873</v>
      </c>
      <c r="AC307" s="115">
        <f t="shared" si="46"/>
        <v>0.71257834092181982</v>
      </c>
      <c r="AD307" s="115">
        <f t="shared" si="52"/>
        <v>0.43017019603035678</v>
      </c>
      <c r="AE307" s="235">
        <f t="shared" si="47"/>
        <v>-5.5699999999999994</v>
      </c>
    </row>
    <row r="308" spans="14:31" x14ac:dyDescent="0.2">
      <c r="N308" s="337">
        <v>34089</v>
      </c>
      <c r="O308" s="116">
        <f>INDEX('Additional data'!$B$2:$B$965,MATCH(DATE(YEAR(N308),MONTH(N308),1),'Additional data'!$A$2:$A$965,0))</f>
        <v>20.27</v>
      </c>
      <c r="P308" s="232">
        <f t="shared" si="48"/>
        <v>3.0091419604639085</v>
      </c>
      <c r="Q308" s="232">
        <f>Q307+LN(1+INDEX('Additional data'!$H$2:$H$1196,MATCH(N308,'Additional data'!$G$2:$G$1196,1))+INDEX('Additional data'!$I$2:$I$1196,MATCH(N308,'Additional data'!$G$2:$G$1196,1)))</f>
        <v>2.5054363761954503</v>
      </c>
      <c r="R308" s="232">
        <f>LN(INDEX(Data!$B$2:$B$497,MATCH(N308,Data!$A$2:$A$497,1)))</f>
        <v>8.7279726210266766</v>
      </c>
      <c r="S308" s="116">
        <f>INDEX('Additional data'!$E$2:$E$699,MATCH(DATE(YEAR(N308),MONTH(N308),1),'Additional data'!$D$2:$D$699,0))</f>
        <v>5.27</v>
      </c>
      <c r="T308" s="115">
        <f t="shared" si="49"/>
        <v>-3.7915204098575295E-3</v>
      </c>
      <c r="U308" s="115">
        <f t="shared" si="50"/>
        <v>-2.8502360472712152E-2</v>
      </c>
      <c r="V308" s="115">
        <f t="shared" si="53"/>
        <v>9.9469290576195135E-3</v>
      </c>
      <c r="W308" s="116">
        <f t="shared" si="51"/>
        <v>-0.11000000000000032</v>
      </c>
      <c r="X308" s="115">
        <f t="shared" si="54"/>
        <v>1.3329056844684217E-3</v>
      </c>
      <c r="Y308" s="115">
        <f t="shared" si="55"/>
        <v>0.10346531953840499</v>
      </c>
      <c r="Z308" s="115">
        <f t="shared" si="57"/>
        <v>7.6965576881528719E-2</v>
      </c>
      <c r="AA308" s="116">
        <f t="shared" si="56"/>
        <v>-1.9100000000000001</v>
      </c>
      <c r="AB308" s="115">
        <f t="shared" si="45"/>
        <v>0.12573887188383726</v>
      </c>
      <c r="AC308" s="115">
        <f t="shared" si="46"/>
        <v>0.67382866399755814</v>
      </c>
      <c r="AD308" s="115">
        <f t="shared" si="52"/>
        <v>0.4042428268232392</v>
      </c>
      <c r="AE308" s="235">
        <f t="shared" si="47"/>
        <v>-6.120000000000001</v>
      </c>
    </row>
    <row r="309" spans="14:31" x14ac:dyDescent="0.2">
      <c r="N309" s="337">
        <v>34120</v>
      </c>
      <c r="O309" s="116">
        <f>INDEX('Additional data'!$B$2:$B$965,MATCH(DATE(YEAR(N309),MONTH(N309),1),'Additional data'!$A$2:$A$965,0))</f>
        <v>19.940000000000001</v>
      </c>
      <c r="P309" s="232">
        <f t="shared" si="48"/>
        <v>2.9927277645336923</v>
      </c>
      <c r="Q309" s="232">
        <f>Q308+LN(1+INDEX('Additional data'!$H$2:$H$1196,MATCH(N309,'Additional data'!$G$2:$G$1196,1))+INDEX('Additional data'!$I$2:$I$1196,MATCH(N309,'Additional data'!$G$2:$G$1196,1)))</f>
        <v>2.536062569737211</v>
      </c>
      <c r="R309" s="232">
        <f>LN(INDEX(Data!$B$2:$B$497,MATCH(N309,Data!$A$2:$A$497,1)))</f>
        <v>8.762160854860463</v>
      </c>
      <c r="S309" s="116">
        <f>INDEX('Additional data'!$E$2:$E$699,MATCH(DATE(YEAR(N309),MONTH(N309),1),'Additional data'!$D$2:$D$699,0))</f>
        <v>5.15</v>
      </c>
      <c r="T309" s="115">
        <f t="shared" si="49"/>
        <v>-1.6414195930216202E-2</v>
      </c>
      <c r="U309" s="115">
        <f t="shared" si="50"/>
        <v>3.062619354176066E-2</v>
      </c>
      <c r="V309" s="115">
        <f t="shared" si="53"/>
        <v>3.4188233833786441E-2</v>
      </c>
      <c r="W309" s="116">
        <f t="shared" si="51"/>
        <v>-0.11999999999999922</v>
      </c>
      <c r="X309" s="115">
        <f t="shared" si="54"/>
        <v>-4.8933440908698778E-2</v>
      </c>
      <c r="Y309" s="115">
        <f t="shared" si="55"/>
        <v>0.12830826832443831</v>
      </c>
      <c r="Z309" s="115">
        <f t="shared" si="57"/>
        <v>5.9866639616688033E-2</v>
      </c>
      <c r="AA309" s="116">
        <f t="shared" si="56"/>
        <v>-1.4099999999999993</v>
      </c>
      <c r="AB309" s="115">
        <f t="shared" si="45"/>
        <v>0.13407603152806891</v>
      </c>
      <c r="AC309" s="115">
        <f t="shared" si="46"/>
        <v>0.70205773293959739</v>
      </c>
      <c r="AD309" s="115">
        <f t="shared" si="52"/>
        <v>0.3622658166750945</v>
      </c>
      <c r="AE309" s="235">
        <f t="shared" si="47"/>
        <v>-7.129999999999999</v>
      </c>
    </row>
    <row r="310" spans="14:31" x14ac:dyDescent="0.2">
      <c r="N310" s="337">
        <v>34150</v>
      </c>
      <c r="O310" s="116">
        <f>INDEX('Additional data'!$B$2:$B$965,MATCH(DATE(YEAR(N310),MONTH(N310),1),'Additional data'!$A$2:$A$965,0))</f>
        <v>19.07</v>
      </c>
      <c r="P310" s="232">
        <f t="shared" si="48"/>
        <v>2.9481164196123277</v>
      </c>
      <c r="Q310" s="232">
        <f>Q309+LN(1+INDEX('Additional data'!$H$2:$H$1196,MATCH(N310,'Additional data'!$G$2:$G$1196,1))+INDEX('Additional data'!$I$2:$I$1196,MATCH(N310,'Additional data'!$G$2:$G$1196,1)))</f>
        <v>2.5415474999677805</v>
      </c>
      <c r="R310" s="232">
        <f>LN(INDEX(Data!$B$2:$B$497,MATCH(N310,Data!$A$2:$A$497,1)))</f>
        <v>8.766004489479025</v>
      </c>
      <c r="S310" s="116">
        <f>INDEX('Additional data'!$E$2:$E$699,MATCH(DATE(YEAR(N310),MONTH(N310),1),'Additional data'!$D$2:$D$699,0))</f>
        <v>5.22</v>
      </c>
      <c r="T310" s="115">
        <f t="shared" si="49"/>
        <v>-4.4611344921364537E-2</v>
      </c>
      <c r="U310" s="115">
        <f t="shared" si="50"/>
        <v>5.4849302305695069E-3</v>
      </c>
      <c r="V310" s="115">
        <f t="shared" si="53"/>
        <v>3.8436346185619641E-3</v>
      </c>
      <c r="W310" s="116">
        <f t="shared" si="51"/>
        <v>6.9999999999999396E-2</v>
      </c>
      <c r="X310" s="115">
        <f t="shared" si="54"/>
        <v>-0.15982784454859145</v>
      </c>
      <c r="Y310" s="115">
        <f t="shared" si="55"/>
        <v>0.15409795189537201</v>
      </c>
      <c r="Z310" s="115">
        <f t="shared" si="57"/>
        <v>8.3076544873231128E-2</v>
      </c>
      <c r="AA310" s="116">
        <f t="shared" si="56"/>
        <v>-1.2000000000000002</v>
      </c>
      <c r="AB310" s="115">
        <f t="shared" si="45"/>
        <v>0.14293950777939468</v>
      </c>
      <c r="AC310" s="115">
        <f t="shared" si="46"/>
        <v>0.65618437089502479</v>
      </c>
      <c r="AD310" s="115">
        <f t="shared" si="52"/>
        <v>0.37125015525536575</v>
      </c>
      <c r="AE310" s="235">
        <f t="shared" si="47"/>
        <v>-7.88</v>
      </c>
    </row>
    <row r="311" spans="14:31" x14ac:dyDescent="0.2">
      <c r="N311" s="337">
        <v>34181</v>
      </c>
      <c r="O311" s="116">
        <f>INDEX('Additional data'!$B$2:$B$965,MATCH(DATE(YEAR(N311),MONTH(N311),1),'Additional data'!$A$2:$A$965,0))</f>
        <v>17.866</v>
      </c>
      <c r="P311" s="232">
        <f t="shared" si="48"/>
        <v>2.8828994652796474</v>
      </c>
      <c r="Q311" s="232">
        <f>Q310+LN(1+INDEX('Additional data'!$H$2:$H$1196,MATCH(N311,'Additional data'!$G$2:$G$1196,1))+INDEX('Additional data'!$I$2:$I$1196,MATCH(N311,'Additional data'!$G$2:$G$1196,1)))</f>
        <v>2.5405469996341972</v>
      </c>
      <c r="R311" s="232">
        <f>LN(INDEX(Data!$B$2:$B$497,MATCH(N311,Data!$A$2:$A$497,1)))</f>
        <v>8.8242807534919407</v>
      </c>
      <c r="S311" s="116">
        <f>INDEX('Additional data'!$E$2:$E$699,MATCH(DATE(YEAR(N311),MONTH(N311),1),'Additional data'!$D$2:$D$699,0))</f>
        <v>5.05</v>
      </c>
      <c r="T311" s="115">
        <f t="shared" si="49"/>
        <v>-6.5216954332680377E-2</v>
      </c>
      <c r="U311" s="115">
        <f t="shared" si="50"/>
        <v>-1.0005003335833429E-3</v>
      </c>
      <c r="V311" s="115">
        <f t="shared" si="53"/>
        <v>5.8276264012915746E-2</v>
      </c>
      <c r="W311" s="116">
        <f t="shared" si="51"/>
        <v>-0.16999999999999993</v>
      </c>
      <c r="X311" s="115">
        <f t="shared" si="54"/>
        <v>-0.19712799976973772</v>
      </c>
      <c r="Y311" s="115">
        <f t="shared" si="55"/>
        <v>0.11301172802250292</v>
      </c>
      <c r="Z311" s="115">
        <f t="shared" si="57"/>
        <v>0.1599614971854102</v>
      </c>
      <c r="AA311" s="116">
        <f t="shared" si="56"/>
        <v>-0.58999999999999986</v>
      </c>
      <c r="AB311" s="115">
        <f t="shared" si="45"/>
        <v>0.14218848193788913</v>
      </c>
      <c r="AC311" s="115">
        <f t="shared" si="46"/>
        <v>0.66261138639023809</v>
      </c>
      <c r="AD311" s="115">
        <f t="shared" si="52"/>
        <v>0.39240582773304133</v>
      </c>
      <c r="AE311" s="235">
        <f t="shared" si="47"/>
        <v>-8.0300000000000011</v>
      </c>
    </row>
    <row r="312" spans="14:31" x14ac:dyDescent="0.2">
      <c r="N312" s="337">
        <v>34212</v>
      </c>
      <c r="O312" s="116">
        <f>INDEX('Additional data'!$B$2:$B$965,MATCH(DATE(YEAR(N312),MONTH(N312),1),'Additional data'!$A$2:$A$965,0))</f>
        <v>18.009</v>
      </c>
      <c r="P312" s="232">
        <f t="shared" si="48"/>
        <v>2.8908716329378157</v>
      </c>
      <c r="Q312" s="232">
        <f>Q311+LN(1+INDEX('Additional data'!$H$2:$H$1196,MATCH(N312,'Additional data'!$G$2:$G$1196,1))+INDEX('Additional data'!$I$2:$I$1196,MATCH(N312,'Additional data'!$G$2:$G$1196,1)))</f>
        <v>2.5794792096359846</v>
      </c>
      <c r="R312" s="232">
        <f>LN(INDEX(Data!$B$2:$B$497,MATCH(N312,Data!$A$2:$A$497,1)))</f>
        <v>8.8915115705275642</v>
      </c>
      <c r="S312" s="116">
        <f>INDEX('Additional data'!$E$2:$E$699,MATCH(DATE(YEAR(N312),MONTH(N312),1),'Additional data'!$D$2:$D$699,0))</f>
        <v>4.78</v>
      </c>
      <c r="T312" s="115">
        <f t="shared" si="49"/>
        <v>7.9721676581683276E-3</v>
      </c>
      <c r="U312" s="115">
        <f t="shared" si="50"/>
        <v>3.8932210001787482E-2</v>
      </c>
      <c r="V312" s="115">
        <f t="shared" si="53"/>
        <v>6.7230817035623502E-2</v>
      </c>
      <c r="W312" s="116">
        <f t="shared" si="51"/>
        <v>-0.26999999999999957</v>
      </c>
      <c r="X312" s="115">
        <f t="shared" si="54"/>
        <v>-0.17018010673681783</v>
      </c>
      <c r="Y312" s="115">
        <f t="shared" si="55"/>
        <v>0.17337188543791093</v>
      </c>
      <c r="Z312" s="115">
        <f t="shared" si="57"/>
        <v>0.27322495455127438</v>
      </c>
      <c r="AA312" s="116">
        <f t="shared" si="56"/>
        <v>-0.95000000000000018</v>
      </c>
      <c r="AB312" s="115">
        <f t="shared" si="45"/>
        <v>0.14848441943115587</v>
      </c>
      <c r="AC312" s="115">
        <f t="shared" si="46"/>
        <v>0.72912036416226012</v>
      </c>
      <c r="AD312" s="115">
        <f t="shared" si="52"/>
        <v>0.48368691616669146</v>
      </c>
      <c r="AE312" s="235">
        <f t="shared" si="47"/>
        <v>-8.5399999999999991</v>
      </c>
    </row>
    <row r="313" spans="14:31" x14ac:dyDescent="0.2">
      <c r="N313" s="337">
        <v>34242</v>
      </c>
      <c r="O313" s="116">
        <f>INDEX('Additional data'!$B$2:$B$965,MATCH(DATE(YEAR(N313),MONTH(N313),1),'Additional data'!$A$2:$A$965,0))</f>
        <v>17.513999999999999</v>
      </c>
      <c r="P313" s="232">
        <f t="shared" si="48"/>
        <v>2.8630005611000326</v>
      </c>
      <c r="Q313" s="232">
        <f>Q312+LN(1+INDEX('Additional data'!$H$2:$H$1196,MATCH(N313,'Additional data'!$G$2:$G$1196,1))+INDEX('Additional data'!$I$2:$I$1196,MATCH(N313,'Additional data'!$G$2:$G$1196,1)))</f>
        <v>2.580878230549692</v>
      </c>
      <c r="R313" s="232">
        <f>LN(INDEX(Data!$B$2:$B$497,MATCH(N313,Data!$A$2:$A$497,1)))</f>
        <v>8.873580093875006</v>
      </c>
      <c r="S313" s="116">
        <f>INDEX('Additional data'!$E$2:$E$699,MATCH(DATE(YEAR(N313),MONTH(N313),1),'Additional data'!$D$2:$D$699,0))</f>
        <v>4.8600000000000003</v>
      </c>
      <c r="T313" s="115">
        <f t="shared" si="49"/>
        <v>-2.7871071837783035E-2</v>
      </c>
      <c r="U313" s="115">
        <f t="shared" si="50"/>
        <v>1.3990209137073606E-3</v>
      </c>
      <c r="V313" s="115">
        <f t="shared" si="53"/>
        <v>-1.7931476652558231E-2</v>
      </c>
      <c r="W313" s="116">
        <f t="shared" si="51"/>
        <v>8.0000000000000071E-2</v>
      </c>
      <c r="X313" s="115">
        <f t="shared" si="54"/>
        <v>-0.22357739575353497</v>
      </c>
      <c r="Y313" s="115">
        <f t="shared" si="55"/>
        <v>0.16037502606788578</v>
      </c>
      <c r="Z313" s="115">
        <f t="shared" si="57"/>
        <v>0.29728815007156228</v>
      </c>
      <c r="AA313" s="116">
        <f t="shared" si="56"/>
        <v>-1.08</v>
      </c>
      <c r="AB313" s="115">
        <f t="shared" si="45"/>
        <v>0.19113036745257928</v>
      </c>
      <c r="AC313" s="115">
        <f t="shared" si="46"/>
        <v>0.69197197546372857</v>
      </c>
      <c r="AD313" s="115">
        <f t="shared" si="52"/>
        <v>0.47526053259718104</v>
      </c>
      <c r="AE313" s="235">
        <f t="shared" si="47"/>
        <v>-8.7800000000000011</v>
      </c>
    </row>
    <row r="314" spans="14:31" x14ac:dyDescent="0.2">
      <c r="N314" s="337">
        <v>34273</v>
      </c>
      <c r="O314" s="116">
        <f>INDEX('Additional data'!$B$2:$B$965,MATCH(DATE(YEAR(N314),MONTH(N314),1),'Additional data'!$A$2:$A$965,0))</f>
        <v>18.145</v>
      </c>
      <c r="P314" s="232">
        <f t="shared" si="48"/>
        <v>2.8983950406650338</v>
      </c>
      <c r="Q314" s="232">
        <f>Q313+LN(1+INDEX('Additional data'!$H$2:$H$1196,MATCH(N314,'Additional data'!$G$2:$G$1196,1))+INDEX('Additional data'!$I$2:$I$1196,MATCH(N314,'Additional data'!$G$2:$G$1196,1)))</f>
        <v>2.597145203013564</v>
      </c>
      <c r="R314" s="232">
        <f>LN(INDEX(Data!$B$2:$B$497,MATCH(N314,Data!$A$2:$A$497,1)))</f>
        <v>8.955306176789728</v>
      </c>
      <c r="S314" s="116">
        <f>INDEX('Additional data'!$E$2:$E$699,MATCH(DATE(YEAR(N314),MONTH(N314),1),'Additional data'!$D$2:$D$699,0))</f>
        <v>4.8099999999999996</v>
      </c>
      <c r="T314" s="115">
        <f t="shared" si="49"/>
        <v>3.5394479565001191E-2</v>
      </c>
      <c r="U314" s="115">
        <f t="shared" si="50"/>
        <v>1.6266972463871987E-2</v>
      </c>
      <c r="V314" s="115">
        <f t="shared" si="53"/>
        <v>8.1726082914721943E-2</v>
      </c>
      <c r="W314" s="116">
        <f t="shared" si="51"/>
        <v>-5.0000000000000711E-2</v>
      </c>
      <c r="X314" s="115">
        <f t="shared" si="54"/>
        <v>-0.17836407153133038</v>
      </c>
      <c r="Y314" s="115">
        <f t="shared" si="55"/>
        <v>0.16421947853320074</v>
      </c>
      <c r="Z314" s="115">
        <f t="shared" si="57"/>
        <v>0.41106217989717564</v>
      </c>
      <c r="AA314" s="116">
        <f t="shared" si="56"/>
        <v>-1.0500000000000007</v>
      </c>
      <c r="AB314" s="115">
        <f t="shared" si="45"/>
        <v>0.27387138654111709</v>
      </c>
      <c r="AC314" s="115">
        <f t="shared" si="46"/>
        <v>0.69069376871185173</v>
      </c>
      <c r="AD314" s="115">
        <f t="shared" si="52"/>
        <v>0.52598291263013053</v>
      </c>
      <c r="AE314" s="235">
        <f t="shared" si="47"/>
        <v>-9.1900000000000013</v>
      </c>
    </row>
    <row r="315" spans="14:31" x14ac:dyDescent="0.2">
      <c r="N315" s="337">
        <v>34303</v>
      </c>
      <c r="O315" s="116">
        <f>INDEX('Additional data'!$B$2:$B$965,MATCH(DATE(YEAR(N315),MONTH(N315),1),'Additional data'!$A$2:$A$965,0))</f>
        <v>16.699000000000002</v>
      </c>
      <c r="P315" s="232">
        <f t="shared" si="48"/>
        <v>2.8153488373902955</v>
      </c>
      <c r="Q315" s="232">
        <f>Q314+LN(1+INDEX('Additional data'!$H$2:$H$1196,MATCH(N315,'Additional data'!$G$2:$G$1196,1))+INDEX('Additional data'!$I$2:$I$1196,MATCH(N315,'Additional data'!$G$2:$G$1196,1)))</f>
        <v>2.5808125483926663</v>
      </c>
      <c r="R315" s="232">
        <f>LN(INDEX(Data!$B$2:$B$497,MATCH(N315,Data!$A$2:$A$497,1)))</f>
        <v>8.8991030399028652</v>
      </c>
      <c r="S315" s="116">
        <f>INDEX('Additional data'!$E$2:$E$699,MATCH(DATE(YEAR(N315),MONTH(N315),1),'Additional data'!$D$2:$D$699,0))</f>
        <v>4.78</v>
      </c>
      <c r="T315" s="115">
        <f t="shared" si="49"/>
        <v>-8.3046203274738328E-2</v>
      </c>
      <c r="U315" s="115">
        <f t="shared" si="50"/>
        <v>-1.6332654620897724E-2</v>
      </c>
      <c r="V315" s="115">
        <f t="shared" si="53"/>
        <v>-5.6203136886862737E-2</v>
      </c>
      <c r="W315" s="116">
        <f t="shared" si="51"/>
        <v>-2.9999999999999361E-2</v>
      </c>
      <c r="X315" s="115">
        <f t="shared" si="54"/>
        <v>-0.19733887681310902</v>
      </c>
      <c r="Y315" s="115">
        <f t="shared" si="55"/>
        <v>0.1051147320684338</v>
      </c>
      <c r="Z315" s="115">
        <f t="shared" si="57"/>
        <v>0.33348165458243351</v>
      </c>
      <c r="AA315" s="116">
        <f t="shared" si="56"/>
        <v>-1.0999999999999996</v>
      </c>
      <c r="AB315" s="115">
        <f t="shared" si="45"/>
        <v>0.17793571588752588</v>
      </c>
      <c r="AC315" s="115">
        <f t="shared" si="46"/>
        <v>0.69150727292592462</v>
      </c>
      <c r="AD315" s="115">
        <f t="shared" si="52"/>
        <v>0.54144499859072681</v>
      </c>
      <c r="AE315" s="235">
        <f t="shared" si="47"/>
        <v>-9.9499999999999993</v>
      </c>
    </row>
    <row r="316" spans="14:31" x14ac:dyDescent="0.2">
      <c r="N316" s="337">
        <v>34334</v>
      </c>
      <c r="O316" s="116">
        <f>INDEX('Additional data'!$B$2:$B$965,MATCH(DATE(YEAR(N316),MONTH(N316),1),'Additional data'!$A$2:$A$965,0))</f>
        <v>14.51</v>
      </c>
      <c r="P316" s="232">
        <f t="shared" si="48"/>
        <v>2.6748380668960965</v>
      </c>
      <c r="Q316" s="232">
        <f>Q315+LN(1+INDEX('Additional data'!$H$2:$H$1196,MATCH(N316,'Additional data'!$G$2:$G$1196,1))+INDEX('Additional data'!$I$2:$I$1196,MATCH(N316,'Additional data'!$G$2:$G$1196,1)))</f>
        <v>2.5994380125158312</v>
      </c>
      <c r="R316" s="232">
        <f>LN(INDEX(Data!$B$2:$B$497,MATCH(N316,Data!$A$2:$A$497,1)))</f>
        <v>8.9817696200150188</v>
      </c>
      <c r="S316" s="116">
        <f>INDEX('Additional data'!$E$2:$E$699,MATCH(DATE(YEAR(N316),MONTH(N316),1),'Additional data'!$D$2:$D$699,0))</f>
        <v>4.82</v>
      </c>
      <c r="T316" s="115">
        <f t="shared" si="49"/>
        <v>-0.14051077049419902</v>
      </c>
      <c r="U316" s="115">
        <f t="shared" si="50"/>
        <v>1.8625464123164903E-2</v>
      </c>
      <c r="V316" s="115">
        <f t="shared" si="53"/>
        <v>8.2666580112153554E-2</v>
      </c>
      <c r="W316" s="116">
        <f t="shared" si="51"/>
        <v>4.0000000000000036E-2</v>
      </c>
      <c r="X316" s="115">
        <f t="shared" si="54"/>
        <v>-0.29079575883386166</v>
      </c>
      <c r="Y316" s="115">
        <f t="shared" si="55"/>
        <v>0.10580205106058571</v>
      </c>
      <c r="Z316" s="115">
        <f t="shared" si="57"/>
        <v>0.33972509895937719</v>
      </c>
      <c r="AA316" s="116">
        <f t="shared" si="56"/>
        <v>-1.08</v>
      </c>
      <c r="AB316" s="115">
        <f t="shared" si="45"/>
        <v>-0.11423897284848694</v>
      </c>
      <c r="AC316" s="115">
        <f t="shared" si="46"/>
        <v>0.68925225946973434</v>
      </c>
      <c r="AD316" s="115">
        <f t="shared" si="52"/>
        <v>0.60731579911719713</v>
      </c>
      <c r="AE316" s="235">
        <f t="shared" si="47"/>
        <v>-10.29</v>
      </c>
    </row>
    <row r="317" spans="14:31" x14ac:dyDescent="0.2">
      <c r="N317" s="337">
        <v>34365</v>
      </c>
      <c r="O317" s="116">
        <f>INDEX('Additional data'!$B$2:$B$965,MATCH(DATE(YEAR(N317),MONTH(N317),1),'Additional data'!$A$2:$A$965,0))</f>
        <v>15</v>
      </c>
      <c r="P317" s="232">
        <f t="shared" si="48"/>
        <v>2.7080502011022101</v>
      </c>
      <c r="Q317" s="232">
        <f>Q316+LN(1+INDEX('Additional data'!$H$2:$H$1196,MATCH(N317,'Additional data'!$G$2:$G$1196,1))+INDEX('Additional data'!$I$2:$I$1196,MATCH(N317,'Additional data'!$G$2:$G$1196,1)))</f>
        <v>2.6301611851586717</v>
      </c>
      <c r="R317" s="232">
        <f>LN(INDEX(Data!$B$2:$B$497,MATCH(N317,Data!$A$2:$A$497,1)))</f>
        <v>9.0427616042363752</v>
      </c>
      <c r="S317" s="116">
        <f>INDEX('Additional data'!$E$2:$E$699,MATCH(DATE(YEAR(N317),MONTH(N317),1),'Additional data'!$D$2:$D$699,0))</f>
        <v>4.8099999999999996</v>
      </c>
      <c r="T317" s="115">
        <f t="shared" si="49"/>
        <v>3.3212134206113575E-2</v>
      </c>
      <c r="U317" s="115">
        <f t="shared" si="50"/>
        <v>3.0723172642840524E-2</v>
      </c>
      <c r="V317" s="115">
        <f t="shared" si="53"/>
        <v>6.0991984221356432E-2</v>
      </c>
      <c r="W317" s="116">
        <f t="shared" si="51"/>
        <v>-1.0000000000000675E-2</v>
      </c>
      <c r="X317" s="115">
        <f t="shared" si="54"/>
        <v>-0.24032837606831059</v>
      </c>
      <c r="Y317" s="115">
        <f t="shared" si="55"/>
        <v>0.12499198788975319</v>
      </c>
      <c r="Z317" s="115">
        <f t="shared" si="57"/>
        <v>0.41865310647601284</v>
      </c>
      <c r="AA317" s="116">
        <f t="shared" si="56"/>
        <v>-1.0700000000000003</v>
      </c>
      <c r="AB317" s="115">
        <f t="shared" si="45"/>
        <v>-0.18137666608084979</v>
      </c>
      <c r="AC317" s="115">
        <f t="shared" si="46"/>
        <v>0.65587450670605119</v>
      </c>
      <c r="AD317" s="115">
        <f t="shared" si="52"/>
        <v>0.62468181571749781</v>
      </c>
      <c r="AE317" s="235">
        <f t="shared" si="47"/>
        <v>-10.75</v>
      </c>
    </row>
    <row r="318" spans="14:31" x14ac:dyDescent="0.2">
      <c r="N318" s="337">
        <v>34393</v>
      </c>
      <c r="O318" s="116">
        <f>INDEX('Additional data'!$B$2:$B$965,MATCH(DATE(YEAR(N318),MONTH(N318),1),'Additional data'!$A$2:$A$965,0))</f>
        <v>14.78</v>
      </c>
      <c r="P318" s="232">
        <f t="shared" si="48"/>
        <v>2.6932749155200555</v>
      </c>
      <c r="Q318" s="232">
        <f>Q317+LN(1+INDEX('Additional data'!$H$2:$H$1196,MATCH(N318,'Additional data'!$G$2:$G$1196,1))+INDEX('Additional data'!$I$2:$I$1196,MATCH(N318,'Additional data'!$G$2:$G$1196,1)))</f>
        <v>2.6064830578040947</v>
      </c>
      <c r="R318" s="232">
        <f>LN(INDEX(Data!$B$2:$B$497,MATCH(N318,Data!$A$2:$A$497,1)))</f>
        <v>8.9839039049611795</v>
      </c>
      <c r="S318" s="116">
        <f>INDEX('Additional data'!$E$2:$E$699,MATCH(DATE(YEAR(N318),MONTH(N318),1),'Additional data'!$D$2:$D$699,0))</f>
        <v>4.8</v>
      </c>
      <c r="T318" s="115">
        <f t="shared" si="49"/>
        <v>-1.4775285582154574E-2</v>
      </c>
      <c r="U318" s="115">
        <f t="shared" si="50"/>
        <v>-2.3678127354576972E-2</v>
      </c>
      <c r="V318" s="115">
        <f t="shared" si="53"/>
        <v>-5.8857699275195685E-2</v>
      </c>
      <c r="W318" s="116">
        <f t="shared" si="51"/>
        <v>-9.9999999999997868E-3</v>
      </c>
      <c r="X318" s="115">
        <f t="shared" si="54"/>
        <v>-0.30510385297484088</v>
      </c>
      <c r="Y318" s="115">
        <f t="shared" si="55"/>
        <v>9.7919627467160542E-2</v>
      </c>
      <c r="Z318" s="115">
        <f t="shared" si="57"/>
        <v>0.30501712454695529</v>
      </c>
      <c r="AA318" s="116">
        <f t="shared" si="56"/>
        <v>-1.0200000000000005</v>
      </c>
      <c r="AB318" s="115">
        <f t="shared" si="45"/>
        <v>-0.18738315018847018</v>
      </c>
      <c r="AC318" s="115">
        <f t="shared" si="46"/>
        <v>0.64852903397237172</v>
      </c>
      <c r="AD318" s="115">
        <f t="shared" si="52"/>
        <v>0.60634066463133429</v>
      </c>
      <c r="AE318" s="235">
        <f t="shared" si="47"/>
        <v>-11.739999999999998</v>
      </c>
    </row>
    <row r="319" spans="14:31" x14ac:dyDescent="0.2">
      <c r="N319" s="337">
        <v>34424</v>
      </c>
      <c r="O319" s="116">
        <f>INDEX('Additional data'!$B$2:$B$965,MATCH(DATE(YEAR(N319),MONTH(N319),1),'Additional data'!$A$2:$A$965,0))</f>
        <v>14.66</v>
      </c>
      <c r="P319" s="232">
        <f t="shared" si="48"/>
        <v>2.6851226964585053</v>
      </c>
      <c r="Q319" s="232">
        <f>Q318+LN(1+INDEX('Additional data'!$H$2:$H$1196,MATCH(N319,'Additional data'!$G$2:$G$1196,1))+INDEX('Additional data'!$I$2:$I$1196,MATCH(N319,'Additional data'!$G$2:$G$1196,1)))</f>
        <v>2.5602296732866328</v>
      </c>
      <c r="R319" s="232">
        <f>LN(INDEX(Data!$B$2:$B$497,MATCH(N319,Data!$A$2:$A$497,1)))</f>
        <v>8.9247228335732807</v>
      </c>
      <c r="S319" s="116">
        <f>INDEX('Additional data'!$E$2:$E$699,MATCH(DATE(YEAR(N319),MONTH(N319),1),'Additional data'!$D$2:$D$699,0))</f>
        <v>4.88</v>
      </c>
      <c r="T319" s="115">
        <f t="shared" si="49"/>
        <v>-8.15221906155017E-3</v>
      </c>
      <c r="U319" s="115">
        <f t="shared" si="50"/>
        <v>-4.6253384517461971E-2</v>
      </c>
      <c r="V319" s="115">
        <f t="shared" si="53"/>
        <v>-5.9181071387898854E-2</v>
      </c>
      <c r="W319" s="116">
        <f t="shared" si="51"/>
        <v>8.0000000000000071E-2</v>
      </c>
      <c r="X319" s="115">
        <f t="shared" si="54"/>
        <v>-0.32781078441526068</v>
      </c>
      <c r="Y319" s="115">
        <f t="shared" si="55"/>
        <v>2.6290936618470262E-2</v>
      </c>
      <c r="Z319" s="115">
        <f t="shared" si="57"/>
        <v>0.20669714160422359</v>
      </c>
      <c r="AA319" s="116">
        <f t="shared" si="56"/>
        <v>-0.5</v>
      </c>
      <c r="AB319" s="115">
        <f t="shared" si="45"/>
        <v>-0.28246727114920533</v>
      </c>
      <c r="AC319" s="115">
        <f t="shared" si="46"/>
        <v>0.58012284481377652</v>
      </c>
      <c r="AD319" s="115">
        <f t="shared" si="52"/>
        <v>0.55900390678089273</v>
      </c>
      <c r="AE319" s="235">
        <f t="shared" si="47"/>
        <v>-12.370000000000001</v>
      </c>
    </row>
    <row r="320" spans="14:31" x14ac:dyDescent="0.2">
      <c r="N320" s="337">
        <v>34454</v>
      </c>
      <c r="O320" s="116">
        <f>INDEX('Additional data'!$B$2:$B$965,MATCH(DATE(YEAR(N320),MONTH(N320),1),'Additional data'!$A$2:$A$965,0))</f>
        <v>16.38</v>
      </c>
      <c r="P320" s="232">
        <f t="shared" si="48"/>
        <v>2.7960610784249234</v>
      </c>
      <c r="Q320" s="232">
        <f>Q319+LN(1+INDEX('Additional data'!$H$2:$H$1196,MATCH(N320,'Additional data'!$G$2:$G$1196,1))+INDEX('Additional data'!$I$2:$I$1196,MATCH(N320,'Additional data'!$G$2:$G$1196,1)))</f>
        <v>2.5696848320573875</v>
      </c>
      <c r="R320" s="232">
        <f>LN(INDEX(Data!$B$2:$B$497,MATCH(N320,Data!$A$2:$A$497,1)))</f>
        <v>8.9380590961004245</v>
      </c>
      <c r="S320" s="116">
        <f>INDEX('Additional data'!$E$2:$E$699,MATCH(DATE(YEAR(N320),MONTH(N320),1),'Additional data'!$D$2:$D$699,0))</f>
        <v>4.92</v>
      </c>
      <c r="T320" s="115">
        <f t="shared" si="49"/>
        <v>0.11093838196641803</v>
      </c>
      <c r="U320" s="115">
        <f t="shared" si="50"/>
        <v>9.4551587707547569E-3</v>
      </c>
      <c r="V320" s="115">
        <f t="shared" si="53"/>
        <v>1.3336262527143816E-2</v>
      </c>
      <c r="W320" s="116">
        <f t="shared" si="51"/>
        <v>4.0000000000000036E-2</v>
      </c>
      <c r="X320" s="115">
        <f t="shared" si="54"/>
        <v>-0.21308088203898512</v>
      </c>
      <c r="Y320" s="115">
        <f t="shared" si="55"/>
        <v>6.424845586193717E-2</v>
      </c>
      <c r="Z320" s="115">
        <f t="shared" si="57"/>
        <v>0.21008647507374789</v>
      </c>
      <c r="AA320" s="116">
        <f t="shared" si="56"/>
        <v>-0.34999999999999964</v>
      </c>
      <c r="AB320" s="115">
        <f t="shared" si="45"/>
        <v>-0.25036430944458576</v>
      </c>
      <c r="AC320" s="115">
        <f t="shared" si="46"/>
        <v>0.54059738136290925</v>
      </c>
      <c r="AD320" s="115">
        <f t="shared" si="52"/>
        <v>0.53517747286234396</v>
      </c>
      <c r="AE320" s="235">
        <f t="shared" si="47"/>
        <v>-12.540000000000001</v>
      </c>
    </row>
    <row r="321" spans="14:31" x14ac:dyDescent="0.2">
      <c r="N321" s="337">
        <v>34485</v>
      </c>
      <c r="O321" s="116">
        <f>INDEX('Additional data'!$B$2:$B$965,MATCH(DATE(YEAR(N321),MONTH(N321),1),'Additional data'!$A$2:$A$965,0))</f>
        <v>17.88</v>
      </c>
      <c r="P321" s="232">
        <f t="shared" si="48"/>
        <v>2.8836827697453682</v>
      </c>
      <c r="Q321" s="232">
        <f>Q320+LN(1+INDEX('Additional data'!$H$2:$H$1196,MATCH(N321,'Additional data'!$G$2:$G$1196,1))+INDEX('Additional data'!$I$2:$I$1196,MATCH(N321,'Additional data'!$G$2:$G$1196,1)))</f>
        <v>2.5786445734288597</v>
      </c>
      <c r="R321" s="232">
        <f>LN(INDEX(Data!$B$2:$B$497,MATCH(N321,Data!$A$2:$A$497,1)))</f>
        <v>8.9504420645358955</v>
      </c>
      <c r="S321" s="116">
        <f>INDEX('Additional data'!$E$2:$E$699,MATCH(DATE(YEAR(N321),MONTH(N321),1),'Additional data'!$D$2:$D$699,0))</f>
        <v>4.8499999999999996</v>
      </c>
      <c r="T321" s="115">
        <f t="shared" si="49"/>
        <v>8.7621691320444839E-2</v>
      </c>
      <c r="U321" s="115">
        <f t="shared" si="50"/>
        <v>8.9597413714721519E-3</v>
      </c>
      <c r="V321" s="115">
        <f t="shared" si="53"/>
        <v>1.2382968435471042E-2</v>
      </c>
      <c r="W321" s="116">
        <f t="shared" si="51"/>
        <v>-7.0000000000000284E-2</v>
      </c>
      <c r="X321" s="115">
        <f t="shared" si="54"/>
        <v>-0.10904499478832408</v>
      </c>
      <c r="Y321" s="115">
        <f t="shared" si="55"/>
        <v>4.2582003691648662E-2</v>
      </c>
      <c r="Z321" s="115">
        <f t="shared" si="57"/>
        <v>0.18828120967543249</v>
      </c>
      <c r="AA321" s="116">
        <f t="shared" si="56"/>
        <v>-0.30000000000000071</v>
      </c>
      <c r="AB321" s="115">
        <f t="shared" ref="AB321:AB384" si="58">P321-P261</f>
        <v>-0.11364822517231987</v>
      </c>
      <c r="AC321" s="115">
        <f t="shared" ref="AC321:AC384" si="59">Q321-Q261</f>
        <v>0.50966355907270477</v>
      </c>
      <c r="AD321" s="115">
        <f t="shared" si="52"/>
        <v>0.52334865067610359</v>
      </c>
      <c r="AE321" s="235">
        <f t="shared" ref="AE321:AE384" si="60">S321-S261</f>
        <v>-12.67</v>
      </c>
    </row>
    <row r="322" spans="14:31" x14ac:dyDescent="0.2">
      <c r="N322" s="337">
        <v>34515</v>
      </c>
      <c r="O322" s="116">
        <f>INDEX('Additional data'!$B$2:$B$965,MATCH(DATE(YEAR(N322),MONTH(N322),1),'Additional data'!$A$2:$A$965,0))</f>
        <v>19.07</v>
      </c>
      <c r="P322" s="232">
        <f t="shared" si="48"/>
        <v>2.9481164196123277</v>
      </c>
      <c r="Q322" s="232">
        <f>Q321+LN(1+INDEX('Additional data'!$H$2:$H$1196,MATCH(N322,'Additional data'!$G$2:$G$1196,1))+INDEX('Additional data'!$I$2:$I$1196,MATCH(N322,'Additional data'!$G$2:$G$1196,1)))</f>
        <v>2.5509650043221175</v>
      </c>
      <c r="R322" s="232">
        <f>LN(INDEX(Data!$B$2:$B$497,MATCH(N322,Data!$A$2:$A$497,1)))</f>
        <v>8.9102617791878505</v>
      </c>
      <c r="S322" s="116">
        <f>INDEX('Additional data'!$E$2:$E$699,MATCH(DATE(YEAR(N322),MONTH(N322),1),'Additional data'!$D$2:$D$699,0))</f>
        <v>5.12</v>
      </c>
      <c r="T322" s="115">
        <f t="shared" si="49"/>
        <v>6.4433649866959541E-2</v>
      </c>
      <c r="U322" s="115">
        <f t="shared" si="50"/>
        <v>-2.7679569106742186E-2</v>
      </c>
      <c r="V322" s="115">
        <f t="shared" si="53"/>
        <v>-4.0180285348045075E-2</v>
      </c>
      <c r="W322" s="116">
        <f t="shared" si="51"/>
        <v>0.27000000000000046</v>
      </c>
      <c r="X322" s="115">
        <f t="shared" si="54"/>
        <v>0</v>
      </c>
      <c r="Y322" s="115">
        <f t="shared" si="55"/>
        <v>9.4175043543369696E-3</v>
      </c>
      <c r="Z322" s="115">
        <f t="shared" si="57"/>
        <v>0.14425728970882545</v>
      </c>
      <c r="AA322" s="116">
        <f t="shared" si="56"/>
        <v>-9.9999999999999645E-2</v>
      </c>
      <c r="AB322" s="115">
        <f t="shared" si="58"/>
        <v>-4.7865822696870453E-2</v>
      </c>
      <c r="AC322" s="115">
        <f t="shared" si="59"/>
        <v>0.48820328977987959</v>
      </c>
      <c r="AD322" s="115">
        <f t="shared" si="52"/>
        <v>0.48085117115537024</v>
      </c>
      <c r="AE322" s="235">
        <f t="shared" si="60"/>
        <v>-13.25</v>
      </c>
    </row>
    <row r="323" spans="14:31" x14ac:dyDescent="0.2">
      <c r="N323" s="337">
        <v>34546</v>
      </c>
      <c r="O323" s="116">
        <f>INDEX('Additional data'!$B$2:$B$965,MATCH(DATE(YEAR(N323),MONTH(N323),1),'Additional data'!$A$2:$A$965,0))</f>
        <v>19.649999999999999</v>
      </c>
      <c r="P323" s="232">
        <f t="shared" si="48"/>
        <v>2.9780773383152703</v>
      </c>
      <c r="Q323" s="232">
        <f>Q322+LN(1+INDEX('Additional data'!$H$2:$H$1196,MATCH(N323,'Additional data'!$G$2:$G$1196,1))+INDEX('Additional data'!$I$2:$I$1196,MATCH(N323,'Additional data'!$G$2:$G$1196,1)))</f>
        <v>2.5814942093569404</v>
      </c>
      <c r="R323" s="232">
        <f>LN(INDEX(Data!$B$2:$B$497,MATCH(N323,Data!$A$2:$A$497,1)))</f>
        <v>8.947116738356776</v>
      </c>
      <c r="S323" s="116">
        <f>INDEX('Additional data'!$E$2:$E$699,MATCH(DATE(YEAR(N323),MONTH(N323),1),'Additional data'!$D$2:$D$699,0))</f>
        <v>5.41</v>
      </c>
      <c r="T323" s="115">
        <f t="shared" si="49"/>
        <v>2.9960918702942596E-2</v>
      </c>
      <c r="U323" s="115">
        <f t="shared" si="50"/>
        <v>3.0529205034822926E-2</v>
      </c>
      <c r="V323" s="115">
        <f t="shared" si="53"/>
        <v>3.6854959168925561E-2</v>
      </c>
      <c r="W323" s="116">
        <f t="shared" si="51"/>
        <v>0.29000000000000004</v>
      </c>
      <c r="X323" s="115">
        <f t="shared" si="54"/>
        <v>9.5177873035622973E-2</v>
      </c>
      <c r="Y323" s="115">
        <f t="shared" si="55"/>
        <v>4.0947209722743239E-2</v>
      </c>
      <c r="Z323" s="115">
        <f t="shared" si="57"/>
        <v>0.12283598486483527</v>
      </c>
      <c r="AA323" s="116">
        <f t="shared" si="56"/>
        <v>0.36000000000000032</v>
      </c>
      <c r="AB323" s="115">
        <f t="shared" si="58"/>
        <v>3.0539013827235451E-4</v>
      </c>
      <c r="AC323" s="115">
        <f t="shared" si="59"/>
        <v>0.44288318253126446</v>
      </c>
      <c r="AD323" s="115">
        <f t="shared" si="52"/>
        <v>0.4443673583729506</v>
      </c>
      <c r="AE323" s="235">
        <f t="shared" si="60"/>
        <v>-12.649999999999999</v>
      </c>
    </row>
    <row r="324" spans="14:31" x14ac:dyDescent="0.2">
      <c r="N324" s="337">
        <v>34577</v>
      </c>
      <c r="O324" s="116">
        <f>INDEX('Additional data'!$B$2:$B$965,MATCH(DATE(YEAR(N324),MONTH(N324),1),'Additional data'!$A$2:$A$965,0))</f>
        <v>18.38</v>
      </c>
      <c r="P324" s="232">
        <f t="shared" si="48"/>
        <v>2.9112631169275409</v>
      </c>
      <c r="Q324" s="232">
        <f>Q323+LN(1+INDEX('Additional data'!$H$2:$H$1196,MATCH(N324,'Additional data'!$G$2:$G$1196,1))+INDEX('Additional data'!$I$2:$I$1196,MATCH(N324,'Additional data'!$G$2:$G$1196,1)))</f>
        <v>2.624457908789056</v>
      </c>
      <c r="R324" s="232">
        <f>LN(INDEX(Data!$B$2:$B$497,MATCH(N324,Data!$A$2:$A$497,1)))</f>
        <v>8.9773863550272086</v>
      </c>
      <c r="S324" s="116">
        <f>INDEX('Additional data'!$E$2:$E$699,MATCH(DATE(YEAR(N324),MONTH(N324),1),'Additional data'!$D$2:$D$699,0))</f>
        <v>5.6</v>
      </c>
      <c r="T324" s="115">
        <f t="shared" si="49"/>
        <v>-6.6814221387729411E-2</v>
      </c>
      <c r="U324" s="115">
        <f t="shared" si="50"/>
        <v>4.2963699432115643E-2</v>
      </c>
      <c r="V324" s="115">
        <f t="shared" si="53"/>
        <v>3.0269616670432598E-2</v>
      </c>
      <c r="W324" s="116">
        <f t="shared" si="51"/>
        <v>0.1899999999999995</v>
      </c>
      <c r="X324" s="115">
        <f t="shared" si="54"/>
        <v>2.0391483989725234E-2</v>
      </c>
      <c r="Y324" s="115">
        <f t="shared" si="55"/>
        <v>4.49786991530714E-2</v>
      </c>
      <c r="Z324" s="115">
        <f t="shared" si="57"/>
        <v>8.5874784499644363E-2</v>
      </c>
      <c r="AA324" s="116">
        <f t="shared" si="56"/>
        <v>0.8199999999999994</v>
      </c>
      <c r="AB324" s="115">
        <f t="shared" si="58"/>
        <v>-7.6960978205362629E-3</v>
      </c>
      <c r="AC324" s="115">
        <f t="shared" si="59"/>
        <v>0.4643789753481391</v>
      </c>
      <c r="AD324" s="115">
        <f t="shared" si="52"/>
        <v>0.39740617551220581</v>
      </c>
      <c r="AE324" s="235">
        <f t="shared" si="60"/>
        <v>-12.360000000000001</v>
      </c>
    </row>
    <row r="325" spans="14:31" x14ac:dyDescent="0.2">
      <c r="N325" s="337">
        <v>34607</v>
      </c>
      <c r="O325" s="116">
        <f>INDEX('Additional data'!$B$2:$B$965,MATCH(DATE(YEAR(N325),MONTH(N325),1),'Additional data'!$A$2:$A$965,0))</f>
        <v>17.46</v>
      </c>
      <c r="P325" s="232">
        <f t="shared" ref="P325:P388" si="61">LN(O325)</f>
        <v>2.859912550411456</v>
      </c>
      <c r="Q325" s="232">
        <f>Q324+LN(1+INDEX('Additional data'!$H$2:$H$1196,MATCH(N325,'Additional data'!$G$2:$G$1196,1))+INDEX('Additional data'!$I$2:$I$1196,MATCH(N325,'Additional data'!$G$2:$G$1196,1)))</f>
        <v>2.6051731473771889</v>
      </c>
      <c r="R325" s="232">
        <f>LN(INDEX(Data!$B$2:$B$497,MATCH(N325,Data!$A$2:$A$497,1)))</f>
        <v>8.9348503402897634</v>
      </c>
      <c r="S325" s="116">
        <f>INDEX('Additional data'!$E$2:$E$699,MATCH(DATE(YEAR(N325),MONTH(N325),1),'Additional data'!$D$2:$D$699,0))</f>
        <v>5.93</v>
      </c>
      <c r="T325" s="115">
        <f t="shared" si="49"/>
        <v>-5.1350566516084939E-2</v>
      </c>
      <c r="U325" s="115">
        <f t="shared" si="50"/>
        <v>-1.9284761411867191E-2</v>
      </c>
      <c r="V325" s="115">
        <f t="shared" si="53"/>
        <v>-4.2536014737445171E-2</v>
      </c>
      <c r="W325" s="116">
        <f t="shared" si="51"/>
        <v>0.33000000000000007</v>
      </c>
      <c r="X325" s="115">
        <f t="shared" si="54"/>
        <v>-3.08801068857667E-3</v>
      </c>
      <c r="Y325" s="115">
        <f t="shared" si="55"/>
        <v>2.4294916827496849E-2</v>
      </c>
      <c r="Z325" s="115">
        <f t="shared" si="57"/>
        <v>6.1270246414757423E-2</v>
      </c>
      <c r="AA325" s="116">
        <f t="shared" si="56"/>
        <v>1.0699999999999994</v>
      </c>
      <c r="AB325" s="115">
        <f t="shared" si="58"/>
        <v>-0.11531084651099466</v>
      </c>
      <c r="AC325" s="115">
        <f t="shared" si="59"/>
        <v>0.44619481938030514</v>
      </c>
      <c r="AD325" s="115">
        <f t="shared" si="52"/>
        <v>0.36783894189266597</v>
      </c>
      <c r="AE325" s="235">
        <f t="shared" si="60"/>
        <v>-12.190000000000001</v>
      </c>
    </row>
    <row r="326" spans="14:31" x14ac:dyDescent="0.2">
      <c r="N326" s="337">
        <v>34638</v>
      </c>
      <c r="O326" s="116">
        <f>INDEX('Additional data'!$B$2:$B$965,MATCH(DATE(YEAR(N326),MONTH(N326),1),'Additional data'!$A$2:$A$965,0))</f>
        <v>17.71</v>
      </c>
      <c r="P326" s="232">
        <f t="shared" si="61"/>
        <v>2.8741294517947424</v>
      </c>
      <c r="Q326" s="232">
        <f>Q325+LN(1+INDEX('Additional data'!$H$2:$H$1196,MATCH(N326,'Additional data'!$G$2:$G$1196,1))+INDEX('Additional data'!$I$2:$I$1196,MATCH(N326,'Additional data'!$G$2:$G$1196,1)))</f>
        <v>2.6223252061947546</v>
      </c>
      <c r="R326" s="232">
        <f>LN(INDEX(Data!$B$2:$B$497,MATCH(N326,Data!$A$2:$A$497,1)))</f>
        <v>8.9452804775606811</v>
      </c>
      <c r="S326" s="116">
        <f>INDEX('Additional data'!$E$2:$E$699,MATCH(DATE(YEAR(N326),MONTH(N326),1),'Additional data'!$D$2:$D$699,0))</f>
        <v>6.45</v>
      </c>
      <c r="T326" s="115">
        <f t="shared" ref="T326:T389" si="62">P326-P325</f>
        <v>1.4216901383286462E-2</v>
      </c>
      <c r="U326" s="115">
        <f t="shared" ref="U326:U389" si="63">Q326-Q325</f>
        <v>1.7152058817565763E-2</v>
      </c>
      <c r="V326" s="115">
        <f t="shared" si="53"/>
        <v>1.0430137270917683E-2</v>
      </c>
      <c r="W326" s="116">
        <f t="shared" ref="W326:W389" si="64">S326-S325</f>
        <v>0.52000000000000046</v>
      </c>
      <c r="X326" s="115">
        <f t="shared" si="54"/>
        <v>-2.4265588870291399E-2</v>
      </c>
      <c r="Y326" s="115">
        <f t="shared" si="55"/>
        <v>2.5180003181190624E-2</v>
      </c>
      <c r="Z326" s="115">
        <f t="shared" si="57"/>
        <v>-1.0025699229046836E-2</v>
      </c>
      <c r="AA326" s="116">
        <f t="shared" si="56"/>
        <v>1.6400000000000006</v>
      </c>
      <c r="AB326" s="115">
        <f t="shared" si="58"/>
        <v>-0.12614250180128028</v>
      </c>
      <c r="AC326" s="115">
        <f t="shared" si="59"/>
        <v>0.49349685514875397</v>
      </c>
      <c r="AD326" s="115">
        <f t="shared" si="52"/>
        <v>0.42274159981969106</v>
      </c>
      <c r="AE326" s="235">
        <f t="shared" si="60"/>
        <v>-11.91</v>
      </c>
    </row>
    <row r="327" spans="14:31" x14ac:dyDescent="0.2">
      <c r="N327" s="337">
        <v>34668</v>
      </c>
      <c r="O327" s="116">
        <f>INDEX('Additional data'!$B$2:$B$965,MATCH(DATE(YEAR(N327),MONTH(N327),1),'Additional data'!$A$2:$A$965,0))</f>
        <v>18.100000000000001</v>
      </c>
      <c r="P327" s="232">
        <f t="shared" si="61"/>
        <v>2.8959119382717802</v>
      </c>
      <c r="Q327" s="232">
        <f>Q326+LN(1+INDEX('Additional data'!$H$2:$H$1196,MATCH(N327,'Additional data'!$G$2:$G$1196,1))+INDEX('Additional data'!$I$2:$I$1196,MATCH(N327,'Additional data'!$G$2:$G$1196,1)))</f>
        <v>2.5850386214087382</v>
      </c>
      <c r="R327" s="232">
        <f>LN(INDEX(Data!$B$2:$B$497,MATCH(N327,Data!$A$2:$A$497,1)))</f>
        <v>8.8721226128165078</v>
      </c>
      <c r="S327" s="116">
        <f>INDEX('Additional data'!$E$2:$E$699,MATCH(DATE(YEAR(N327),MONTH(N327),1),'Additional data'!$D$2:$D$699,0))</f>
        <v>7.16</v>
      </c>
      <c r="T327" s="115">
        <f t="shared" si="62"/>
        <v>2.1782486477037732E-2</v>
      </c>
      <c r="U327" s="115">
        <f t="shared" si="63"/>
        <v>-3.728658478601643E-2</v>
      </c>
      <c r="V327" s="115">
        <f t="shared" si="53"/>
        <v>-7.3157864744173295E-2</v>
      </c>
      <c r="W327" s="116">
        <f t="shared" si="64"/>
        <v>0.71</v>
      </c>
      <c r="X327" s="115">
        <f t="shared" si="54"/>
        <v>8.0563100881484662E-2</v>
      </c>
      <c r="Y327" s="115">
        <f t="shared" si="55"/>
        <v>4.2260730160719184E-3</v>
      </c>
      <c r="Z327" s="115">
        <f t="shared" si="57"/>
        <v>-2.6980427086357395E-2</v>
      </c>
      <c r="AA327" s="116">
        <f t="shared" si="56"/>
        <v>2.38</v>
      </c>
      <c r="AB327" s="115">
        <f t="shared" si="58"/>
        <v>-9.0779590630061691E-2</v>
      </c>
      <c r="AC327" s="115">
        <f t="shared" si="59"/>
        <v>0.43905821154517222</v>
      </c>
      <c r="AD327" s="115">
        <f t="shared" si="52"/>
        <v>0.36407107931755434</v>
      </c>
      <c r="AE327" s="235">
        <f t="shared" si="60"/>
        <v>-11.09</v>
      </c>
    </row>
    <row r="328" spans="14:31" x14ac:dyDescent="0.2">
      <c r="N328" s="337">
        <v>34699</v>
      </c>
      <c r="O328" s="116">
        <f>INDEX('Additional data'!$B$2:$B$965,MATCH(DATE(YEAR(N328),MONTH(N328),1),'Additional data'!$A$2:$A$965,0))</f>
        <v>17.16</v>
      </c>
      <c r="P328" s="232">
        <f t="shared" si="61"/>
        <v>2.8425810940598164</v>
      </c>
      <c r="Q328" s="232">
        <f>Q327+LN(1+INDEX('Additional data'!$H$2:$H$1196,MATCH(N328,'Additional data'!$G$2:$G$1196,1))+INDEX('Additional data'!$I$2:$I$1196,MATCH(N328,'Additional data'!$G$2:$G$1196,1)))</f>
        <v>2.5979548466752842</v>
      </c>
      <c r="R328" s="232">
        <f>LN(INDEX(Data!$B$2:$B$497,MATCH(N328,Data!$A$2:$A$497,1)))</f>
        <v>8.8895426458465252</v>
      </c>
      <c r="S328" s="116">
        <f>INDEX('Additional data'!$E$2:$E$699,MATCH(DATE(YEAR(N328),MONTH(N328),1),'Additional data'!$D$2:$D$699,0))</f>
        <v>7.95</v>
      </c>
      <c r="T328" s="115">
        <f t="shared" si="62"/>
        <v>-5.3330844211963768E-2</v>
      </c>
      <c r="U328" s="115">
        <f t="shared" si="63"/>
        <v>1.2916225266546011E-2</v>
      </c>
      <c r="V328" s="115">
        <f t="shared" si="53"/>
        <v>1.7420033030017379E-2</v>
      </c>
      <c r="W328" s="116">
        <f t="shared" si="64"/>
        <v>0.79</v>
      </c>
      <c r="X328" s="115">
        <f t="shared" si="54"/>
        <v>0.16774302716371992</v>
      </c>
      <c r="Y328" s="115">
        <f t="shared" si="55"/>
        <v>-1.4831658405469739E-3</v>
      </c>
      <c r="Z328" s="115">
        <f t="shared" si="57"/>
        <v>-9.222697416849357E-2</v>
      </c>
      <c r="AA328" s="116">
        <f t="shared" si="56"/>
        <v>3.13</v>
      </c>
      <c r="AB328" s="115">
        <f t="shared" si="58"/>
        <v>-0.20612306426028049</v>
      </c>
      <c r="AC328" s="115">
        <f t="shared" si="59"/>
        <v>0.43423275533556094</v>
      </c>
      <c r="AD328" s="115">
        <f t="shared" si="52"/>
        <v>0.35466671957797935</v>
      </c>
      <c r="AE328" s="235">
        <f t="shared" si="60"/>
        <v>-9.9400000000000013</v>
      </c>
    </row>
    <row r="329" spans="14:31" x14ac:dyDescent="0.2">
      <c r="N329" s="337">
        <v>34730</v>
      </c>
      <c r="O329" s="116">
        <f>INDEX('Additional data'!$B$2:$B$965,MATCH(DATE(YEAR(N329),MONTH(N329),1),'Additional data'!$A$2:$A$965,0))</f>
        <v>17.989999999999998</v>
      </c>
      <c r="P329" s="232">
        <f t="shared" si="61"/>
        <v>2.8898160479624417</v>
      </c>
      <c r="Q329" s="232">
        <f>Q328+LN(1+INDEX('Additional data'!$H$2:$H$1196,MATCH(N329,'Additional data'!$G$2:$G$1196,1))+INDEX('Additional data'!$I$2:$I$1196,MATCH(N329,'Additional data'!$G$2:$G$1196,1)))</f>
        <v>2.6199120140273262</v>
      </c>
      <c r="R329" s="232">
        <f>LN(INDEX(Data!$B$2:$B$497,MATCH(N329,Data!$A$2:$A$497,1)))</f>
        <v>8.8505606130839709</v>
      </c>
      <c r="S329" s="116">
        <f>INDEX('Additional data'!$E$2:$E$699,MATCH(DATE(YEAR(N329),MONTH(N329),1),'Additional data'!$D$2:$D$699,0))</f>
        <v>8.3699999999999992</v>
      </c>
      <c r="T329" s="115">
        <f t="shared" si="62"/>
        <v>4.7234953902625332E-2</v>
      </c>
      <c r="U329" s="115">
        <f t="shared" si="63"/>
        <v>2.1957167352042006E-2</v>
      </c>
      <c r="V329" s="115">
        <f t="shared" si="53"/>
        <v>-3.8982032762554297E-2</v>
      </c>
      <c r="W329" s="116">
        <f t="shared" si="64"/>
        <v>0.41999999999999904</v>
      </c>
      <c r="X329" s="115">
        <f t="shared" si="54"/>
        <v>0.18176584686023167</v>
      </c>
      <c r="Y329" s="115">
        <f t="shared" si="55"/>
        <v>-1.0249171131345491E-2</v>
      </c>
      <c r="Z329" s="115">
        <f t="shared" si="57"/>
        <v>-0.1922009911524043</v>
      </c>
      <c r="AA329" s="116">
        <f t="shared" si="56"/>
        <v>3.5599999999999996</v>
      </c>
      <c r="AB329" s="115">
        <f t="shared" si="58"/>
        <v>-0.22994637400839935</v>
      </c>
      <c r="AC329" s="115">
        <f t="shared" si="59"/>
        <v>0.53123679701051429</v>
      </c>
      <c r="AD329" s="115">
        <f t="shared" si="52"/>
        <v>0.29753706466690666</v>
      </c>
      <c r="AE329" s="235">
        <f t="shared" si="60"/>
        <v>-8.9599999999999991</v>
      </c>
    </row>
    <row r="330" spans="14:31" x14ac:dyDescent="0.2">
      <c r="N330" s="337">
        <v>34758</v>
      </c>
      <c r="O330" s="116">
        <f>INDEX('Additional data'!$B$2:$B$965,MATCH(DATE(YEAR(N330),MONTH(N330),1),'Additional data'!$A$2:$A$965,0))</f>
        <v>18.53</v>
      </c>
      <c r="P330" s="232">
        <f t="shared" si="61"/>
        <v>2.9193910402972683</v>
      </c>
      <c r="Q330" s="232">
        <f>Q329+LN(1+INDEX('Additional data'!$H$2:$H$1196,MATCH(N330,'Additional data'!$G$2:$G$1196,1))+INDEX('Additional data'!$I$2:$I$1196,MATCH(N330,'Additional data'!$G$2:$G$1196,1)))</f>
        <v>2.6594211471220386</v>
      </c>
      <c r="R330" s="232">
        <f>LN(INDEX(Data!$B$2:$B$497,MATCH(N330,Data!$A$2:$A$497,1)))</f>
        <v>8.9034754801076286</v>
      </c>
      <c r="S330" s="116">
        <f>INDEX('Additional data'!$E$2:$E$699,MATCH(DATE(YEAR(N330),MONTH(N330),1),'Additional data'!$D$2:$D$699,0))</f>
        <v>8.08</v>
      </c>
      <c r="T330" s="115">
        <f t="shared" si="62"/>
        <v>2.9574992334826522E-2</v>
      </c>
      <c r="U330" s="115">
        <f t="shared" si="63"/>
        <v>3.9509133094712379E-2</v>
      </c>
      <c r="V330" s="115">
        <f t="shared" si="53"/>
        <v>5.2914867023657663E-2</v>
      </c>
      <c r="W330" s="116">
        <f t="shared" si="64"/>
        <v>-0.28999999999999915</v>
      </c>
      <c r="X330" s="115">
        <f t="shared" si="54"/>
        <v>0.22611612477721277</v>
      </c>
      <c r="Y330" s="115">
        <f t="shared" si="55"/>
        <v>5.2938089317943859E-2</v>
      </c>
      <c r="Z330" s="115">
        <f t="shared" si="57"/>
        <v>-8.0428424853550951E-2</v>
      </c>
      <c r="AA330" s="116">
        <f t="shared" si="56"/>
        <v>3.2800000000000002</v>
      </c>
      <c r="AB330" s="115">
        <f t="shared" si="58"/>
        <v>-0.17654849367374847</v>
      </c>
      <c r="AC330" s="115">
        <f t="shared" si="59"/>
        <v>0.55398714629027168</v>
      </c>
      <c r="AD330" s="115">
        <f t="shared" si="52"/>
        <v>0.41322192394734358</v>
      </c>
      <c r="AE330" s="235">
        <f t="shared" si="60"/>
        <v>-8.1199999999999992</v>
      </c>
    </row>
    <row r="331" spans="14:31" x14ac:dyDescent="0.2">
      <c r="N331" s="337">
        <v>34789</v>
      </c>
      <c r="O331" s="116">
        <f>INDEX('Additional data'!$B$2:$B$965,MATCH(DATE(YEAR(N331),MONTH(N331),1),'Additional data'!$A$2:$A$965,0))</f>
        <v>18.55</v>
      </c>
      <c r="P331" s="232">
        <f t="shared" si="61"/>
        <v>2.9204697890534441</v>
      </c>
      <c r="Q331" s="232">
        <f>Q330+LN(1+INDEX('Additional data'!$H$2:$H$1196,MATCH(N331,'Additional data'!$G$2:$G$1196,1))+INDEX('Additional data'!$I$2:$I$1196,MATCH(N331,'Additional data'!$G$2:$G$1196,1)))</f>
        <v>2.6855761045988897</v>
      </c>
      <c r="R331" s="232">
        <f>LN(INDEX(Data!$B$2:$B$497,MATCH(N331,Data!$A$2:$A$497,1)))</f>
        <v>8.9027684684260819</v>
      </c>
      <c r="S331" s="116">
        <f>INDEX('Additional data'!$E$2:$E$699,MATCH(DATE(YEAR(N331),MONTH(N331),1),'Additional data'!$D$2:$D$699,0))</f>
        <v>8.1300000000000008</v>
      </c>
      <c r="T331" s="115">
        <f t="shared" si="62"/>
        <v>1.0787487561758624E-3</v>
      </c>
      <c r="U331" s="115">
        <f t="shared" si="63"/>
        <v>2.6154957476851148E-2</v>
      </c>
      <c r="V331" s="115">
        <f t="shared" si="53"/>
        <v>-7.0701168154663208E-4</v>
      </c>
      <c r="W331" s="116">
        <f t="shared" si="64"/>
        <v>5.0000000000000711E-2</v>
      </c>
      <c r="X331" s="115">
        <f t="shared" si="54"/>
        <v>0.2353470925949388</v>
      </c>
      <c r="Y331" s="115">
        <f t="shared" si="55"/>
        <v>0.12534643131225698</v>
      </c>
      <c r="Z331" s="115">
        <f t="shared" si="57"/>
        <v>-2.1954365147198729E-2</v>
      </c>
      <c r="AA331" s="116">
        <f t="shared" si="56"/>
        <v>3.2500000000000009</v>
      </c>
      <c r="AB331" s="115">
        <f t="shared" si="58"/>
        <v>-9.5947075693379347E-2</v>
      </c>
      <c r="AC331" s="115">
        <f t="shared" si="59"/>
        <v>0.5557422169435875</v>
      </c>
      <c r="AD331" s="115">
        <f t="shared" si="52"/>
        <v>0.42929730590107695</v>
      </c>
      <c r="AE331" s="235">
        <f t="shared" si="60"/>
        <v>-7.7099999999999991</v>
      </c>
    </row>
    <row r="332" spans="14:31" x14ac:dyDescent="0.2">
      <c r="N332" s="337">
        <v>34819</v>
      </c>
      <c r="O332" s="116">
        <f>INDEX('Additional data'!$B$2:$B$965,MATCH(DATE(YEAR(N332),MONTH(N332),1),'Additional data'!$A$2:$A$965,0))</f>
        <v>19.87</v>
      </c>
      <c r="P332" s="232">
        <f t="shared" si="61"/>
        <v>2.9892110565637253</v>
      </c>
      <c r="Q332" s="232">
        <f>Q331+LN(1+INDEX('Additional data'!$H$2:$H$1196,MATCH(N332,'Additional data'!$G$2:$G$1196,1))+INDEX('Additional data'!$I$2:$I$1196,MATCH(N332,'Additional data'!$G$2:$G$1196,1)))</f>
        <v>2.7107564031291878</v>
      </c>
      <c r="R332" s="232">
        <f>LN(INDEX(Data!$B$2:$B$497,MATCH(N332,Data!$A$2:$A$497,1)))</f>
        <v>8.9762875301539378</v>
      </c>
      <c r="S332" s="116">
        <f>INDEX('Additional data'!$E$2:$E$699,MATCH(DATE(YEAR(N332),MONTH(N332),1),'Additional data'!$D$2:$D$699,0))</f>
        <v>7.89</v>
      </c>
      <c r="T332" s="115">
        <f t="shared" si="62"/>
        <v>6.8741267510281201E-2</v>
      </c>
      <c r="U332" s="115">
        <f t="shared" si="63"/>
        <v>2.5180298530298018E-2</v>
      </c>
      <c r="V332" s="115">
        <f t="shared" si="53"/>
        <v>7.3519061727855828E-2</v>
      </c>
      <c r="W332" s="116">
        <f t="shared" si="64"/>
        <v>-0.2400000000000011</v>
      </c>
      <c r="X332" s="115">
        <f t="shared" si="54"/>
        <v>0.19314997813880197</v>
      </c>
      <c r="Y332" s="115">
        <f t="shared" si="55"/>
        <v>0.14107157107180024</v>
      </c>
      <c r="Z332" s="115">
        <f t="shared" si="57"/>
        <v>3.8228434053513283E-2</v>
      </c>
      <c r="AA332" s="116">
        <f t="shared" si="56"/>
        <v>2.9699999999999998</v>
      </c>
      <c r="AB332" s="115">
        <f t="shared" si="58"/>
        <v>6.7017686344604588E-2</v>
      </c>
      <c r="AC332" s="115">
        <f t="shared" si="59"/>
        <v>0.60798543502357472</v>
      </c>
      <c r="AD332" s="115">
        <f t="shared" ref="AD332:AD395" si="65">R332-R272</f>
        <v>0.56274520556718421</v>
      </c>
      <c r="AE332" s="235">
        <f t="shared" si="60"/>
        <v>-7.2500000000000009</v>
      </c>
    </row>
    <row r="333" spans="14:31" x14ac:dyDescent="0.2">
      <c r="N333" s="337">
        <v>34850</v>
      </c>
      <c r="O333" s="116">
        <f>INDEX('Additional data'!$B$2:$B$965,MATCH(DATE(YEAR(N333),MONTH(N333),1),'Additional data'!$A$2:$A$965,0))</f>
        <v>19.739999999999998</v>
      </c>
      <c r="P333" s="232">
        <f t="shared" si="61"/>
        <v>2.9826470340053355</v>
      </c>
      <c r="Q333" s="232">
        <f>Q332+LN(1+INDEX('Additional data'!$H$2:$H$1196,MATCH(N333,'Additional data'!$G$2:$G$1196,1))+INDEX('Additional data'!$I$2:$I$1196,MATCH(N333,'Additional data'!$G$2:$G$1196,1)))</f>
        <v>2.7445779516046982</v>
      </c>
      <c r="R333" s="232">
        <f>LN(INDEX(Data!$B$2:$B$497,MATCH(N333,Data!$A$2:$A$497,1)))</f>
        <v>8.9671089026742727</v>
      </c>
      <c r="S333" s="116">
        <f>INDEX('Additional data'!$E$2:$E$699,MATCH(DATE(YEAR(N333),MONTH(N333),1),'Additional data'!$D$2:$D$699,0))</f>
        <v>7.7</v>
      </c>
      <c r="T333" s="115">
        <f t="shared" si="62"/>
        <v>-6.5640225583898371E-3</v>
      </c>
      <c r="U333" s="115">
        <f t="shared" si="63"/>
        <v>3.3821548475510443E-2</v>
      </c>
      <c r="V333" s="115">
        <f t="shared" si="53"/>
        <v>-9.1786274796650247E-3</v>
      </c>
      <c r="W333" s="116">
        <f t="shared" si="64"/>
        <v>-0.1899999999999995</v>
      </c>
      <c r="X333" s="115">
        <f t="shared" si="54"/>
        <v>9.8964264259967294E-2</v>
      </c>
      <c r="Y333" s="115">
        <f t="shared" si="55"/>
        <v>0.16593337817583853</v>
      </c>
      <c r="Z333" s="115">
        <f t="shared" si="57"/>
        <v>1.6666838138377216E-2</v>
      </c>
      <c r="AA333" s="116">
        <f t="shared" si="56"/>
        <v>2.8500000000000005</v>
      </c>
      <c r="AB333" s="115">
        <f t="shared" si="58"/>
        <v>7.9194536570640572E-2</v>
      </c>
      <c r="AC333" s="115">
        <f t="shared" si="59"/>
        <v>0.55462062182016902</v>
      </c>
      <c r="AD333" s="115">
        <f t="shared" si="65"/>
        <v>0.4964204889137882</v>
      </c>
      <c r="AE333" s="235">
        <f t="shared" si="60"/>
        <v>-7.3500000000000005</v>
      </c>
    </row>
    <row r="334" spans="14:31" x14ac:dyDescent="0.2">
      <c r="N334" s="337">
        <v>34880</v>
      </c>
      <c r="O334" s="116">
        <f>INDEX('Additional data'!$B$2:$B$965,MATCH(DATE(YEAR(N334),MONTH(N334),1),'Additional data'!$A$2:$A$965,0))</f>
        <v>18.420000000000002</v>
      </c>
      <c r="P334" s="232">
        <f t="shared" si="61"/>
        <v>2.9134370308271609</v>
      </c>
      <c r="Q334" s="232">
        <f>Q333+LN(1+INDEX('Additional data'!$H$2:$H$1196,MATCH(N334,'Additional data'!$G$2:$G$1196,1))+INDEX('Additional data'!$I$2:$I$1196,MATCH(N334,'Additional data'!$G$2:$G$1196,1)))</f>
        <v>2.7759797147442296</v>
      </c>
      <c r="R334" s="232">
        <f>LN(INDEX(Data!$B$2:$B$497,MATCH(N334,Data!$A$2:$A$497,1)))</f>
        <v>8.9726921344590913</v>
      </c>
      <c r="S334" s="116">
        <f>INDEX('Additional data'!$E$2:$E$699,MATCH(DATE(YEAR(N334),MONTH(N334),1),'Additional data'!$D$2:$D$699,0))</f>
        <v>7.55</v>
      </c>
      <c r="T334" s="115">
        <f t="shared" si="62"/>
        <v>-6.9210003178174606E-2</v>
      </c>
      <c r="U334" s="115">
        <f t="shared" si="63"/>
        <v>3.1401763139531358E-2</v>
      </c>
      <c r="V334" s="115">
        <f t="shared" si="53"/>
        <v>5.5832317848185653E-3</v>
      </c>
      <c r="W334" s="116">
        <f t="shared" si="64"/>
        <v>-0.15000000000000036</v>
      </c>
      <c r="X334" s="115">
        <f t="shared" si="54"/>
        <v>-3.4679388785166854E-2</v>
      </c>
      <c r="Y334" s="115">
        <f t="shared" si="55"/>
        <v>0.22501471042211207</v>
      </c>
      <c r="Z334" s="115">
        <f t="shared" si="57"/>
        <v>6.2430355271240856E-2</v>
      </c>
      <c r="AA334" s="116">
        <f t="shared" si="56"/>
        <v>2.4299999999999997</v>
      </c>
      <c r="AB334" s="115">
        <f t="shared" si="58"/>
        <v>8.7840859203323074E-2</v>
      </c>
      <c r="AC334" s="115">
        <f t="shared" si="59"/>
        <v>0.59063299751738363</v>
      </c>
      <c r="AD334" s="115">
        <f t="shared" si="65"/>
        <v>0.50319870192027416</v>
      </c>
      <c r="AE334" s="235">
        <f t="shared" si="60"/>
        <v>-7.47</v>
      </c>
    </row>
    <row r="335" spans="14:31" x14ac:dyDescent="0.2">
      <c r="N335" s="337">
        <v>34911</v>
      </c>
      <c r="O335" s="116">
        <f>INDEX('Additional data'!$B$2:$B$965,MATCH(DATE(YEAR(N335),MONTH(N335),1),'Additional data'!$A$2:$A$965,0))</f>
        <v>17.3</v>
      </c>
      <c r="P335" s="232">
        <f t="shared" si="61"/>
        <v>2.8507065015037334</v>
      </c>
      <c r="Q335" s="232">
        <f>Q334+LN(1+INDEX('Additional data'!$H$2:$H$1196,MATCH(N335,'Additional data'!$G$2:$G$1196,1))+INDEX('Additional data'!$I$2:$I$1196,MATCH(N335,'Additional data'!$G$2:$G$1196,1)))</f>
        <v>2.8167377072163973</v>
      </c>
      <c r="R335" s="232">
        <f>LN(INDEX(Data!$B$2:$B$497,MATCH(N335,Data!$A$2:$A$497,1)))</f>
        <v>9.0238180041176186</v>
      </c>
      <c r="S335" s="116">
        <f>INDEX('Additional data'!$E$2:$E$699,MATCH(DATE(YEAR(N335),MONTH(N335),1),'Additional data'!$D$2:$D$699,0))</f>
        <v>7.56</v>
      </c>
      <c r="T335" s="115">
        <f t="shared" si="62"/>
        <v>-6.2730529323427486E-2</v>
      </c>
      <c r="U335" s="115">
        <f t="shared" si="63"/>
        <v>4.0757992472167714E-2</v>
      </c>
      <c r="V335" s="115">
        <f t="shared" si="53"/>
        <v>5.1125869658527279E-2</v>
      </c>
      <c r="W335" s="116">
        <f t="shared" si="64"/>
        <v>9.9999999999997868E-3</v>
      </c>
      <c r="X335" s="115">
        <f t="shared" si="54"/>
        <v>-0.12737083681153694</v>
      </c>
      <c r="Y335" s="115">
        <f t="shared" si="55"/>
        <v>0.23524349785945686</v>
      </c>
      <c r="Z335" s="115">
        <f t="shared" si="57"/>
        <v>7.6701265760842574E-2</v>
      </c>
      <c r="AA335" s="116">
        <f t="shared" si="56"/>
        <v>2.1499999999999995</v>
      </c>
      <c r="AB335" s="115">
        <f t="shared" si="58"/>
        <v>-7.4496005859730374E-2</v>
      </c>
      <c r="AC335" s="115">
        <f t="shared" si="59"/>
        <v>0.64366602086516389</v>
      </c>
      <c r="AD335" s="115">
        <f t="shared" si="65"/>
        <v>0.50494622232282538</v>
      </c>
      <c r="AE335" s="235">
        <f t="shared" si="60"/>
        <v>-7.2700000000000005</v>
      </c>
    </row>
    <row r="336" spans="14:31" x14ac:dyDescent="0.2">
      <c r="N336" s="337">
        <v>34942</v>
      </c>
      <c r="O336" s="116">
        <f>INDEX('Additional data'!$B$2:$B$965,MATCH(DATE(YEAR(N336),MONTH(N336),1),'Additional data'!$A$2:$A$965,0))</f>
        <v>18.03</v>
      </c>
      <c r="P336" s="232">
        <f t="shared" si="61"/>
        <v>2.8920370372152258</v>
      </c>
      <c r="Q336" s="232">
        <f>Q335+LN(1+INDEX('Additional data'!$H$2:$H$1196,MATCH(N336,'Additional data'!$G$2:$G$1196,1))+INDEX('Additional data'!$I$2:$I$1196,MATCH(N336,'Additional data'!$G$2:$G$1196,1)))</f>
        <v>2.8268860382682126</v>
      </c>
      <c r="R336" s="232">
        <f>LN(INDEX(Data!$B$2:$B$497,MATCH(N336,Data!$A$2:$A$497,1)))</f>
        <v>9.0318235679220926</v>
      </c>
      <c r="S336" s="116">
        <f>INDEX('Additional data'!$E$2:$E$699,MATCH(DATE(YEAR(N336),MONTH(N336),1),'Additional data'!$D$2:$D$699,0))</f>
        <v>7.58</v>
      </c>
      <c r="T336" s="115">
        <f t="shared" si="62"/>
        <v>4.1330535711492367E-2</v>
      </c>
      <c r="U336" s="115">
        <f t="shared" si="63"/>
        <v>1.014833105181534E-2</v>
      </c>
      <c r="V336" s="115">
        <f t="shared" si="53"/>
        <v>8.0055638044740363E-3</v>
      </c>
      <c r="W336" s="116">
        <f t="shared" si="64"/>
        <v>2.0000000000000462E-2</v>
      </c>
      <c r="X336" s="115">
        <f t="shared" si="54"/>
        <v>-1.9226079712315158E-2</v>
      </c>
      <c r="Y336" s="115">
        <f t="shared" si="55"/>
        <v>0.20242812947915656</v>
      </c>
      <c r="Z336" s="115">
        <f t="shared" si="57"/>
        <v>5.4437212894884013E-2</v>
      </c>
      <c r="AA336" s="116">
        <f t="shared" si="56"/>
        <v>1.9800000000000004</v>
      </c>
      <c r="AB336" s="115">
        <f t="shared" si="58"/>
        <v>-0.41022359658690588</v>
      </c>
      <c r="AC336" s="115">
        <f t="shared" si="59"/>
        <v>0.75319279589725774</v>
      </c>
      <c r="AD336" s="115">
        <f t="shared" si="65"/>
        <v>0.55445287069302651</v>
      </c>
      <c r="AE336" s="235">
        <f t="shared" si="60"/>
        <v>-6.34</v>
      </c>
    </row>
    <row r="337" spans="14:31" x14ac:dyDescent="0.2">
      <c r="N337" s="337">
        <v>34972</v>
      </c>
      <c r="O337" s="116">
        <f>INDEX('Additional data'!$B$2:$B$965,MATCH(DATE(YEAR(N337),MONTH(N337),1),'Additional data'!$A$2:$A$965,0))</f>
        <v>18.23</v>
      </c>
      <c r="P337" s="232">
        <f t="shared" si="61"/>
        <v>2.9030685886905716</v>
      </c>
      <c r="Q337" s="232">
        <f>Q336+LN(1+INDEX('Additional data'!$H$2:$H$1196,MATCH(N337,'Additional data'!$G$2:$G$1196,1))+INDEX('Additional data'!$I$2:$I$1196,MATCH(N337,'Additional data'!$G$2:$G$1196,1)))</f>
        <v>2.8640854792573189</v>
      </c>
      <c r="R337" s="232">
        <f>LN(INDEX(Data!$B$2:$B$497,MATCH(N337,Data!$A$2:$A$497,1)))</f>
        <v>9.0354392157857113</v>
      </c>
      <c r="S337" s="116">
        <f>INDEX('Additional data'!$E$2:$E$699,MATCH(DATE(YEAR(N337),MONTH(N337),1),'Additional data'!$D$2:$D$699,0))</f>
        <v>7.49</v>
      </c>
      <c r="T337" s="115">
        <f t="shared" si="62"/>
        <v>1.1031551475345847E-2</v>
      </c>
      <c r="U337" s="115">
        <f t="shared" si="63"/>
        <v>3.7199440989106325E-2</v>
      </c>
      <c r="V337" s="115">
        <f t="shared" ref="V337:V400" si="66">R337-R336</f>
        <v>3.6156478636186762E-3</v>
      </c>
      <c r="W337" s="116">
        <f t="shared" si="64"/>
        <v>-8.9999999999999858E-2</v>
      </c>
      <c r="X337" s="115">
        <f t="shared" ref="X337:X400" si="67">P337-P325</f>
        <v>4.3156038279115627E-2</v>
      </c>
      <c r="Y337" s="115">
        <f t="shared" ref="Y337:Y400" si="68">Q337-Q325</f>
        <v>0.25891233188013008</v>
      </c>
      <c r="Z337" s="115">
        <f t="shared" si="57"/>
        <v>0.10058887549594786</v>
      </c>
      <c r="AA337" s="116">
        <f t="shared" ref="AA337:AA400" si="69">S337-S325</f>
        <v>1.5600000000000005</v>
      </c>
      <c r="AB337" s="115">
        <f t="shared" si="58"/>
        <v>-0.61404341756793945</v>
      </c>
      <c r="AC337" s="115">
        <f t="shared" si="59"/>
        <v>0.84706841407992073</v>
      </c>
      <c r="AD337" s="115">
        <f t="shared" si="65"/>
        <v>0.63159390986079877</v>
      </c>
      <c r="AE337" s="235">
        <f t="shared" si="60"/>
        <v>-6.0299999999999994</v>
      </c>
    </row>
    <row r="338" spans="14:31" x14ac:dyDescent="0.2">
      <c r="N338" s="337">
        <v>35003</v>
      </c>
      <c r="O338" s="116">
        <f>INDEX('Additional data'!$B$2:$B$965,MATCH(DATE(YEAR(N338),MONTH(N338),1),'Additional data'!$A$2:$A$965,0))</f>
        <v>17.440000000000001</v>
      </c>
      <c r="P338" s="232">
        <f t="shared" si="61"/>
        <v>2.8587664184808337</v>
      </c>
      <c r="Q338" s="232">
        <f>Q337+LN(1+INDEX('Additional data'!$H$2:$H$1196,MATCH(N338,'Additional data'!$G$2:$G$1196,1))+INDEX('Additional data'!$I$2:$I$1196,MATCH(N338,'Additional data'!$G$2:$G$1196,1)))</f>
        <v>2.8536310213534599</v>
      </c>
      <c r="R338" s="232">
        <f>LN(INDEX(Data!$B$2:$B$497,MATCH(N338,Data!$A$2:$A$497,1)))</f>
        <v>9.0106813867847837</v>
      </c>
      <c r="S338" s="116">
        <f>INDEX('Additional data'!$E$2:$E$699,MATCH(DATE(YEAR(N338),MONTH(N338),1),'Additional data'!$D$2:$D$699,0))</f>
        <v>7.47</v>
      </c>
      <c r="T338" s="115">
        <f t="shared" si="62"/>
        <v>-4.4302170209737923E-2</v>
      </c>
      <c r="U338" s="115">
        <f t="shared" si="63"/>
        <v>-1.0454457903859016E-2</v>
      </c>
      <c r="V338" s="115">
        <f t="shared" si="66"/>
        <v>-2.47578290009276E-2</v>
      </c>
      <c r="W338" s="116">
        <f t="shared" si="64"/>
        <v>-2.0000000000000462E-2</v>
      </c>
      <c r="X338" s="115">
        <f t="shared" si="67"/>
        <v>-1.5363033313908758E-2</v>
      </c>
      <c r="Y338" s="115">
        <f t="shared" si="68"/>
        <v>0.2313058151587053</v>
      </c>
      <c r="Z338" s="115">
        <f t="shared" si="57"/>
        <v>6.5400909224102577E-2</v>
      </c>
      <c r="AA338" s="116">
        <f t="shared" si="69"/>
        <v>1.0199999999999996</v>
      </c>
      <c r="AB338" s="115">
        <f t="shared" si="58"/>
        <v>-0.72258350269043614</v>
      </c>
      <c r="AC338" s="115">
        <f t="shared" si="59"/>
        <v>0.8490914776871743</v>
      </c>
      <c r="AD338" s="115">
        <f t="shared" si="65"/>
        <v>0.64752554828420905</v>
      </c>
      <c r="AE338" s="235">
        <f t="shared" si="60"/>
        <v>-5.6000000000000005</v>
      </c>
    </row>
    <row r="339" spans="14:31" x14ac:dyDescent="0.2">
      <c r="N339" s="337">
        <v>35033</v>
      </c>
      <c r="O339" s="116">
        <f>INDEX('Additional data'!$B$2:$B$965,MATCH(DATE(YEAR(N339),MONTH(N339),1),'Additional data'!$A$2:$A$965,0))</f>
        <v>17.989999999999998</v>
      </c>
      <c r="P339" s="232">
        <f t="shared" si="61"/>
        <v>2.8898160479624417</v>
      </c>
      <c r="Q339" s="232">
        <f>Q338+LN(1+INDEX('Additional data'!$H$2:$H$1196,MATCH(N339,'Additional data'!$G$2:$G$1196,1))+INDEX('Additional data'!$I$2:$I$1196,MATCH(N339,'Additional data'!$G$2:$G$1196,1)))</f>
        <v>2.8964989215806356</v>
      </c>
      <c r="R339" s="232">
        <f>LN(INDEX(Data!$B$2:$B$497,MATCH(N339,Data!$A$2:$A$497,1)))</f>
        <v>9.0540023015534885</v>
      </c>
      <c r="S339" s="116">
        <f>INDEX('Additional data'!$E$2:$E$699,MATCH(DATE(YEAR(N339),MONTH(N339),1),'Additional data'!$D$2:$D$699,0))</f>
        <v>7.46</v>
      </c>
      <c r="T339" s="115">
        <f t="shared" si="62"/>
        <v>3.1049629481608054E-2</v>
      </c>
      <c r="U339" s="115">
        <f t="shared" si="63"/>
        <v>4.2867900227175681E-2</v>
      </c>
      <c r="V339" s="115">
        <f t="shared" si="66"/>
        <v>4.332091476870481E-2</v>
      </c>
      <c r="W339" s="116">
        <f t="shared" si="64"/>
        <v>-9.9999999999997868E-3</v>
      </c>
      <c r="X339" s="115">
        <f t="shared" si="67"/>
        <v>-6.0958903093384365E-3</v>
      </c>
      <c r="Y339" s="115">
        <f t="shared" si="68"/>
        <v>0.31146030017189741</v>
      </c>
      <c r="Z339" s="115">
        <f t="shared" si="57"/>
        <v>0.18187968873698068</v>
      </c>
      <c r="AA339" s="116">
        <f t="shared" si="69"/>
        <v>0.29999999999999982</v>
      </c>
      <c r="AB339" s="115">
        <f t="shared" si="58"/>
        <v>-0.58525118226616923</v>
      </c>
      <c r="AC339" s="115">
        <f t="shared" si="59"/>
        <v>0.82504867263172299</v>
      </c>
      <c r="AD339" s="115">
        <f t="shared" si="65"/>
        <v>0.68739946876975289</v>
      </c>
      <c r="AE339" s="235">
        <f t="shared" si="60"/>
        <v>-4.95</v>
      </c>
    </row>
    <row r="340" spans="14:31" x14ac:dyDescent="0.2">
      <c r="N340" s="337">
        <v>35064</v>
      </c>
      <c r="O340" s="116">
        <f>INDEX('Additional data'!$B$2:$B$965,MATCH(DATE(YEAR(N340),MONTH(N340),1),'Additional data'!$A$2:$A$965,0))</f>
        <v>19.04</v>
      </c>
      <c r="P340" s="232">
        <f t="shared" si="61"/>
        <v>2.9465420293632194</v>
      </c>
      <c r="Q340" s="232">
        <f>Q339+LN(1+INDEX('Additional data'!$H$2:$H$1196,MATCH(N340,'Additional data'!$G$2:$G$1196,1))+INDEX('Additional data'!$I$2:$I$1196,MATCH(N340,'Additional data'!$G$2:$G$1196,1)))</f>
        <v>2.9116830569056753</v>
      </c>
      <c r="R340" s="232">
        <f>LN(INDEX(Data!$B$2:$B$497,MATCH(N340,Data!$A$2:$A$497,1)))</f>
        <v>9.0778712720617705</v>
      </c>
      <c r="S340" s="116">
        <f>INDEX('Additional data'!$E$2:$E$699,MATCH(DATE(YEAR(N340),MONTH(N340),1),'Additional data'!$D$2:$D$699,0))</f>
        <v>7.43</v>
      </c>
      <c r="T340" s="115">
        <f t="shared" si="62"/>
        <v>5.672598140077767E-2</v>
      </c>
      <c r="U340" s="115">
        <f t="shared" si="63"/>
        <v>1.5184135325039705E-2</v>
      </c>
      <c r="V340" s="115">
        <f t="shared" si="66"/>
        <v>2.3868970508281961E-2</v>
      </c>
      <c r="W340" s="116">
        <f t="shared" si="64"/>
        <v>-3.0000000000000249E-2</v>
      </c>
      <c r="X340" s="115">
        <f t="shared" si="67"/>
        <v>0.103960935303403</v>
      </c>
      <c r="Y340" s="115">
        <f t="shared" si="68"/>
        <v>0.3137282102303911</v>
      </c>
      <c r="Z340" s="115">
        <f t="shared" si="57"/>
        <v>0.18832862621524527</v>
      </c>
      <c r="AA340" s="116">
        <f t="shared" si="69"/>
        <v>-0.52000000000000046</v>
      </c>
      <c r="AB340" s="115">
        <f t="shared" si="58"/>
        <v>-0.36169906657757167</v>
      </c>
      <c r="AC340" s="115">
        <f t="shared" si="59"/>
        <v>0.81009165104477576</v>
      </c>
      <c r="AD340" s="115">
        <f t="shared" si="65"/>
        <v>0.73557923683600457</v>
      </c>
      <c r="AE340" s="235">
        <f t="shared" si="60"/>
        <v>-4.76</v>
      </c>
    </row>
    <row r="341" spans="14:31" x14ac:dyDescent="0.2">
      <c r="N341" s="337">
        <v>35095</v>
      </c>
      <c r="O341" s="116">
        <f>INDEX('Additional data'!$B$2:$B$965,MATCH(DATE(YEAR(N341),MONTH(N341),1),'Additional data'!$A$2:$A$965,0))</f>
        <v>18.88</v>
      </c>
      <c r="P341" s="232">
        <f t="shared" si="61"/>
        <v>2.9381031607173544</v>
      </c>
      <c r="Q341" s="232">
        <f>Q340+LN(1+INDEX('Additional data'!$H$2:$H$1196,MATCH(N341,'Additional data'!$G$2:$G$1196,1))+INDEX('Additional data'!$I$2:$I$1196,MATCH(N341,'Additional data'!$G$2:$G$1196,1)))</f>
        <v>2.9382276121277875</v>
      </c>
      <c r="R341" s="232">
        <f>LN(INDEX(Data!$B$2:$B$497,MATCH(N341,Data!$A$2:$A$497,1)))</f>
        <v>9.1108625194765125</v>
      </c>
      <c r="S341" s="116">
        <f>INDEX('Additional data'!$E$2:$E$699,MATCH(DATE(YEAR(N341),MONTH(N341),1),'Additional data'!$D$2:$D$699,0))</f>
        <v>7.46</v>
      </c>
      <c r="T341" s="115">
        <f t="shared" si="62"/>
        <v>-8.4388686458649609E-3</v>
      </c>
      <c r="U341" s="115">
        <f t="shared" si="63"/>
        <v>2.6544555222112187E-2</v>
      </c>
      <c r="V341" s="115">
        <f t="shared" si="66"/>
        <v>3.299124741474202E-2</v>
      </c>
      <c r="W341" s="116">
        <f t="shared" si="64"/>
        <v>3.0000000000000249E-2</v>
      </c>
      <c r="X341" s="115">
        <f t="shared" si="67"/>
        <v>4.8287112754912709E-2</v>
      </c>
      <c r="Y341" s="115">
        <f t="shared" si="68"/>
        <v>0.31831559810046128</v>
      </c>
      <c r="Z341" s="115">
        <f t="shared" si="57"/>
        <v>0.26030190639254158</v>
      </c>
      <c r="AA341" s="116">
        <f t="shared" si="69"/>
        <v>-0.90999999999999925</v>
      </c>
      <c r="AB341" s="115">
        <f t="shared" si="58"/>
        <v>-0.2791313178787207</v>
      </c>
      <c r="AC341" s="115">
        <f t="shared" si="59"/>
        <v>0.78584803943478265</v>
      </c>
      <c r="AD341" s="115">
        <f t="shared" si="65"/>
        <v>0.736247231534918</v>
      </c>
      <c r="AE341" s="235">
        <f t="shared" si="60"/>
        <v>-4.47</v>
      </c>
    </row>
    <row r="342" spans="14:31" x14ac:dyDescent="0.2">
      <c r="N342" s="337">
        <v>35124</v>
      </c>
      <c r="O342" s="116">
        <f>INDEX('Additional data'!$B$2:$B$965,MATCH(DATE(YEAR(N342),MONTH(N342),1),'Additional data'!$A$2:$A$965,0))</f>
        <v>19.07</v>
      </c>
      <c r="P342" s="232">
        <f t="shared" si="61"/>
        <v>2.9481164196123277</v>
      </c>
      <c r="Q342" s="232">
        <f>Q341+LN(1+INDEX('Additional data'!$H$2:$H$1196,MATCH(N342,'Additional data'!$G$2:$G$1196,1))+INDEX('Additional data'!$I$2:$I$1196,MATCH(N342,'Additional data'!$G$2:$G$1196,1)))</f>
        <v>2.9552813666936153</v>
      </c>
      <c r="R342" s="232">
        <f>LN(INDEX(Data!$B$2:$B$497,MATCH(N342,Data!$A$2:$A$497,1)))</f>
        <v>9.1152601657259122</v>
      </c>
      <c r="S342" s="116">
        <f>INDEX('Additional data'!$E$2:$E$699,MATCH(DATE(YEAR(N342),MONTH(N342),1),'Additional data'!$D$2:$D$699,0))</f>
        <v>7.47</v>
      </c>
      <c r="T342" s="115">
        <f t="shared" si="62"/>
        <v>1.0013258894973287E-2</v>
      </c>
      <c r="U342" s="115">
        <f t="shared" si="63"/>
        <v>1.7053754565827806E-2</v>
      </c>
      <c r="V342" s="115">
        <f t="shared" si="66"/>
        <v>4.3976462493997559E-3</v>
      </c>
      <c r="W342" s="116">
        <f t="shared" si="64"/>
        <v>9.9999999999997868E-3</v>
      </c>
      <c r="X342" s="115">
        <f t="shared" si="67"/>
        <v>2.8725379315059474E-2</v>
      </c>
      <c r="Y342" s="115">
        <f t="shared" si="68"/>
        <v>0.29586021957157671</v>
      </c>
      <c r="Z342" s="115">
        <f t="shared" si="57"/>
        <v>0.21178468561828367</v>
      </c>
      <c r="AA342" s="116">
        <f t="shared" si="69"/>
        <v>-0.61000000000000032</v>
      </c>
      <c r="AB342" s="115">
        <f t="shared" si="58"/>
        <v>-7.3429788834642906E-2</v>
      </c>
      <c r="AC342" s="115">
        <f t="shared" si="59"/>
        <v>0.72900098616107645</v>
      </c>
      <c r="AD342" s="115">
        <f t="shared" si="65"/>
        <v>0.67665573947007296</v>
      </c>
      <c r="AE342" s="235">
        <f t="shared" si="60"/>
        <v>-4.1499999999999995</v>
      </c>
    </row>
    <row r="343" spans="14:31" x14ac:dyDescent="0.2">
      <c r="N343" s="337">
        <v>35155</v>
      </c>
      <c r="O343" s="116">
        <f>INDEX('Additional data'!$B$2:$B$965,MATCH(DATE(YEAR(N343),MONTH(N343),1),'Additional data'!$A$2:$A$965,0))</f>
        <v>21.36</v>
      </c>
      <c r="P343" s="232">
        <f t="shared" si="61"/>
        <v>3.061520014091994</v>
      </c>
      <c r="Q343" s="232">
        <f>Q342+LN(1+INDEX('Additional data'!$H$2:$H$1196,MATCH(N343,'Additional data'!$G$2:$G$1196,1))+INDEX('Additional data'!$I$2:$I$1196,MATCH(N343,'Additional data'!$G$2:$G$1196,1)))</f>
        <v>2.9665179986196031</v>
      </c>
      <c r="R343" s="232">
        <f>LN(INDEX(Data!$B$2:$B$497,MATCH(N343,Data!$A$2:$A$497,1)))</f>
        <v>9.0909485429053802</v>
      </c>
      <c r="S343" s="116">
        <f>INDEX('Additional data'!$E$2:$E$699,MATCH(DATE(YEAR(N343),MONTH(N343),1),'Additional data'!$D$2:$D$699,0))</f>
        <v>7.53</v>
      </c>
      <c r="T343" s="115">
        <f t="shared" si="62"/>
        <v>0.1134035944796663</v>
      </c>
      <c r="U343" s="115">
        <f t="shared" si="63"/>
        <v>1.1236631925987783E-2</v>
      </c>
      <c r="V343" s="115">
        <f t="shared" si="66"/>
        <v>-2.4311622820532008E-2</v>
      </c>
      <c r="W343" s="116">
        <f t="shared" si="64"/>
        <v>6.0000000000000497E-2</v>
      </c>
      <c r="X343" s="115">
        <f t="shared" si="67"/>
        <v>0.14105022503854991</v>
      </c>
      <c r="Y343" s="115">
        <f t="shared" si="68"/>
        <v>0.28094189402071335</v>
      </c>
      <c r="Z343" s="115">
        <f t="shared" si="57"/>
        <v>0.1881800744792983</v>
      </c>
      <c r="AA343" s="116">
        <f t="shared" si="69"/>
        <v>-0.60000000000000053</v>
      </c>
      <c r="AB343" s="115">
        <f t="shared" si="58"/>
        <v>7.2812355474967561E-2</v>
      </c>
      <c r="AC343" s="115">
        <f t="shared" si="59"/>
        <v>0.7097084130522413</v>
      </c>
      <c r="AD343" s="115">
        <f t="shared" si="65"/>
        <v>0.6196317647566687</v>
      </c>
      <c r="AE343" s="235">
        <f t="shared" si="60"/>
        <v>-3.96</v>
      </c>
    </row>
    <row r="344" spans="14:31" x14ac:dyDescent="0.2">
      <c r="N344" s="337">
        <v>35185</v>
      </c>
      <c r="O344" s="116">
        <f>INDEX('Additional data'!$B$2:$B$965,MATCH(DATE(YEAR(N344),MONTH(N344),1),'Additional data'!$A$2:$A$965,0))</f>
        <v>23.57</v>
      </c>
      <c r="P344" s="232">
        <f t="shared" si="61"/>
        <v>3.1599747169480397</v>
      </c>
      <c r="Q344" s="232">
        <f>Q343+LN(1+INDEX('Additional data'!$H$2:$H$1196,MATCH(N344,'Additional data'!$G$2:$G$1196,1))+INDEX('Additional data'!$I$2:$I$1196,MATCH(N344,'Additional data'!$G$2:$G$1196,1)))</f>
        <v>2.991405714127382</v>
      </c>
      <c r="R344" s="232">
        <f>LN(INDEX(Data!$B$2:$B$497,MATCH(N344,Data!$A$2:$A$497,1)))</f>
        <v>9.1328976148335261</v>
      </c>
      <c r="S344" s="116">
        <f>INDEX('Additional data'!$E$2:$E$699,MATCH(DATE(YEAR(N344),MONTH(N344),1),'Additional data'!$D$2:$D$699,0))</f>
        <v>7.57</v>
      </c>
      <c r="T344" s="115">
        <f t="shared" si="62"/>
        <v>9.8454702856045628E-2</v>
      </c>
      <c r="U344" s="115">
        <f t="shared" si="63"/>
        <v>2.4887715507778907E-2</v>
      </c>
      <c r="V344" s="115">
        <f t="shared" si="66"/>
        <v>4.1949071928145898E-2</v>
      </c>
      <c r="W344" s="116">
        <f t="shared" si="64"/>
        <v>4.0000000000000036E-2</v>
      </c>
      <c r="X344" s="115">
        <f t="shared" si="67"/>
        <v>0.17076366038431434</v>
      </c>
      <c r="Y344" s="115">
        <f t="shared" si="68"/>
        <v>0.28064931099819423</v>
      </c>
      <c r="Z344" s="115">
        <f t="shared" si="57"/>
        <v>0.15661008467958837</v>
      </c>
      <c r="AA344" s="116">
        <f t="shared" si="69"/>
        <v>-0.3199999999999994</v>
      </c>
      <c r="AB344" s="115">
        <f t="shared" si="58"/>
        <v>0.12391657192248351</v>
      </c>
      <c r="AC344" s="115">
        <f t="shared" si="59"/>
        <v>0.73209924836143303</v>
      </c>
      <c r="AD344" s="115">
        <f t="shared" si="65"/>
        <v>0.59733419406241062</v>
      </c>
      <c r="AE344" s="235">
        <f t="shared" si="60"/>
        <v>-3.7899999999999991</v>
      </c>
    </row>
    <row r="345" spans="14:31" x14ac:dyDescent="0.2">
      <c r="N345" s="337">
        <v>35216</v>
      </c>
      <c r="O345" s="116">
        <f>INDEX('Additional data'!$B$2:$B$965,MATCH(DATE(YEAR(N345),MONTH(N345),1),'Additional data'!$A$2:$A$965,0))</f>
        <v>21.25</v>
      </c>
      <c r="P345" s="232">
        <f t="shared" si="61"/>
        <v>3.0563568953704259</v>
      </c>
      <c r="Q345" s="232">
        <f>Q344+LN(1+INDEX('Additional data'!$H$2:$H$1196,MATCH(N345,'Additional data'!$G$2:$G$1196,1))+INDEX('Additional data'!$I$2:$I$1196,MATCH(N345,'Additional data'!$G$2:$G$1196,1)))</f>
        <v>3.0188263097033743</v>
      </c>
      <c r="R345" s="232">
        <f>LN(INDEX(Data!$B$2:$B$497,MATCH(N345,Data!$A$2:$A$497,1)))</f>
        <v>9.1145010522019927</v>
      </c>
      <c r="S345" s="116">
        <f>INDEX('Additional data'!$E$2:$E$699,MATCH(DATE(YEAR(N345),MONTH(N345),1),'Additional data'!$D$2:$D$699,0))</f>
        <v>7.55</v>
      </c>
      <c r="T345" s="115">
        <f t="shared" si="62"/>
        <v>-0.10361782157761379</v>
      </c>
      <c r="U345" s="115">
        <f t="shared" si="63"/>
        <v>2.7420595575992301E-2</v>
      </c>
      <c r="V345" s="115">
        <f t="shared" si="66"/>
        <v>-1.8396562631533442E-2</v>
      </c>
      <c r="W345" s="116">
        <f t="shared" si="64"/>
        <v>-2.0000000000000462E-2</v>
      </c>
      <c r="X345" s="115">
        <f t="shared" si="67"/>
        <v>7.370986136509039E-2</v>
      </c>
      <c r="Y345" s="115">
        <f t="shared" si="68"/>
        <v>0.27424835809867609</v>
      </c>
      <c r="Z345" s="115">
        <f t="shared" si="57"/>
        <v>0.14739214952771995</v>
      </c>
      <c r="AA345" s="116">
        <f t="shared" si="69"/>
        <v>-0.15000000000000036</v>
      </c>
      <c r="AB345" s="115">
        <f t="shared" si="58"/>
        <v>4.7069899668805704E-4</v>
      </c>
      <c r="AC345" s="115">
        <f t="shared" si="59"/>
        <v>0.7190499113837121</v>
      </c>
      <c r="AD345" s="115">
        <f t="shared" si="65"/>
        <v>0.58967704962285517</v>
      </c>
      <c r="AE345" s="235">
        <f t="shared" si="60"/>
        <v>-3.1700000000000008</v>
      </c>
    </row>
    <row r="346" spans="14:31" x14ac:dyDescent="0.2">
      <c r="N346" s="337">
        <v>35246</v>
      </c>
      <c r="O346" s="116">
        <f>INDEX('Additional data'!$B$2:$B$965,MATCH(DATE(YEAR(N346),MONTH(N346),1),'Additional data'!$A$2:$A$965,0))</f>
        <v>20.45</v>
      </c>
      <c r="P346" s="232">
        <f t="shared" si="61"/>
        <v>3.0179828824888109</v>
      </c>
      <c r="Q346" s="232">
        <f>Q345+LN(1+INDEX('Additional data'!$H$2:$H$1196,MATCH(N346,'Additional data'!$G$2:$G$1196,1))+INDEX('Additional data'!$I$2:$I$1196,MATCH(N346,'Additional data'!$G$2:$G$1196,1)))</f>
        <v>3.0114995343169135</v>
      </c>
      <c r="R346" s="232">
        <f>LN(INDEX(Data!$B$2:$B$497,MATCH(N346,Data!$A$2:$A$497,1)))</f>
        <v>9.1065563907124591</v>
      </c>
      <c r="S346" s="116">
        <f>INDEX('Additional data'!$E$2:$E$699,MATCH(DATE(YEAR(N346),MONTH(N346),1),'Additional data'!$D$2:$D$699,0))</f>
        <v>7.57</v>
      </c>
      <c r="T346" s="115">
        <f t="shared" si="62"/>
        <v>-3.8374012881615016E-2</v>
      </c>
      <c r="U346" s="115">
        <f t="shared" si="63"/>
        <v>-7.3267753864607599E-3</v>
      </c>
      <c r="V346" s="115">
        <f t="shared" si="66"/>
        <v>-7.9446614895335443E-3</v>
      </c>
      <c r="W346" s="116">
        <f t="shared" si="64"/>
        <v>2.0000000000000462E-2</v>
      </c>
      <c r="X346" s="115">
        <f t="shared" si="67"/>
        <v>0.10454585166164998</v>
      </c>
      <c r="Y346" s="115">
        <f t="shared" si="68"/>
        <v>0.23551981957268397</v>
      </c>
      <c r="Z346" s="115">
        <f t="shared" si="57"/>
        <v>0.13386425625336784</v>
      </c>
      <c r="AA346" s="116">
        <f t="shared" si="69"/>
        <v>2.0000000000000462E-2</v>
      </c>
      <c r="AB346" s="115">
        <f t="shared" si="58"/>
        <v>1.25478334734348E-2</v>
      </c>
      <c r="AC346" s="115">
        <f t="shared" si="59"/>
        <v>0.75797652051471331</v>
      </c>
      <c r="AD346" s="115">
        <f t="shared" si="65"/>
        <v>0.58008636251601331</v>
      </c>
      <c r="AE346" s="235">
        <f t="shared" si="60"/>
        <v>-2.8200000000000003</v>
      </c>
    </row>
    <row r="347" spans="14:31" x14ac:dyDescent="0.2">
      <c r="N347" s="337">
        <v>35277</v>
      </c>
      <c r="O347" s="116">
        <f>INDEX('Additional data'!$B$2:$B$965,MATCH(DATE(YEAR(N347),MONTH(N347),1),'Additional data'!$A$2:$A$965,0))</f>
        <v>21.32</v>
      </c>
      <c r="P347" s="232">
        <f t="shared" si="61"/>
        <v>3.0596455992976437</v>
      </c>
      <c r="Q347" s="232">
        <f>Q346+LN(1+INDEX('Additional data'!$H$2:$H$1196,MATCH(N347,'Additional data'!$G$2:$G$1196,1))+INDEX('Additional data'!$I$2:$I$1196,MATCH(N347,'Additional data'!$G$2:$G$1196,1)))</f>
        <v>2.9548233571233569</v>
      </c>
      <c r="R347" s="232">
        <f>LN(INDEX(Data!$B$2:$B$497,MATCH(N347,Data!$A$2:$A$497,1)))</f>
        <v>9.0790692800890866</v>
      </c>
      <c r="S347" s="116">
        <f>INDEX('Additional data'!$E$2:$E$699,MATCH(DATE(YEAR(N347),MONTH(N347),1),'Additional data'!$D$2:$D$699,0))</f>
        <v>7.56</v>
      </c>
      <c r="T347" s="115">
        <f t="shared" si="62"/>
        <v>4.1662716808832823E-2</v>
      </c>
      <c r="U347" s="115">
        <f t="shared" si="63"/>
        <v>-5.6676177193556665E-2</v>
      </c>
      <c r="V347" s="115">
        <f t="shared" si="66"/>
        <v>-2.7487110623372502E-2</v>
      </c>
      <c r="W347" s="116">
        <f t="shared" si="64"/>
        <v>-1.0000000000000675E-2</v>
      </c>
      <c r="X347" s="115">
        <f t="shared" si="67"/>
        <v>0.20893909779391029</v>
      </c>
      <c r="Y347" s="115">
        <f t="shared" si="68"/>
        <v>0.1380856499069596</v>
      </c>
      <c r="Z347" s="115">
        <f t="shared" si="57"/>
        <v>5.5251275971468061E-2</v>
      </c>
      <c r="AA347" s="116">
        <f t="shared" si="69"/>
        <v>0</v>
      </c>
      <c r="AB347" s="115">
        <f t="shared" si="58"/>
        <v>-4.6794657219590974E-3</v>
      </c>
      <c r="AC347" s="115">
        <f t="shared" si="59"/>
        <v>0.65508491952419368</v>
      </c>
      <c r="AD347" s="115">
        <f t="shared" si="65"/>
        <v>0.50854387429607861</v>
      </c>
      <c r="AE347" s="235">
        <f t="shared" si="60"/>
        <v>-2.7800000000000002</v>
      </c>
    </row>
    <row r="348" spans="14:31" x14ac:dyDescent="0.2">
      <c r="N348" s="337">
        <v>35308</v>
      </c>
      <c r="O348" s="116">
        <f>INDEX('Additional data'!$B$2:$B$965,MATCH(DATE(YEAR(N348),MONTH(N348),1),'Additional data'!$A$2:$A$965,0))</f>
        <v>21.96</v>
      </c>
      <c r="P348" s="232">
        <f t="shared" si="61"/>
        <v>3.0892226166413299</v>
      </c>
      <c r="Q348" s="232">
        <f>Q347+LN(1+INDEX('Additional data'!$H$2:$H$1196,MATCH(N348,'Additional data'!$G$2:$G$1196,1))+INDEX('Additional data'!$I$2:$I$1196,MATCH(N348,'Additional data'!$G$2:$G$1196,1)))</f>
        <v>2.9861282069517694</v>
      </c>
      <c r="R348" s="232">
        <f>LN(INDEX(Data!$B$2:$B$497,MATCH(N348,Data!$A$2:$A$497,1)))</f>
        <v>9.1202405944197373</v>
      </c>
      <c r="S348" s="116">
        <f>INDEX('Additional data'!$E$2:$E$699,MATCH(DATE(YEAR(N348),MONTH(N348),1),'Additional data'!$D$2:$D$699,0))</f>
        <v>6.92</v>
      </c>
      <c r="T348" s="115">
        <f t="shared" si="62"/>
        <v>2.9577017343686229E-2</v>
      </c>
      <c r="U348" s="115">
        <f t="shared" si="63"/>
        <v>3.1304849828412529E-2</v>
      </c>
      <c r="V348" s="115">
        <f t="shared" si="66"/>
        <v>4.1171314330650688E-2</v>
      </c>
      <c r="W348" s="116">
        <f t="shared" si="64"/>
        <v>-0.63999999999999968</v>
      </c>
      <c r="X348" s="115">
        <f t="shared" si="67"/>
        <v>0.19718557942610415</v>
      </c>
      <c r="Y348" s="115">
        <f t="shared" si="68"/>
        <v>0.15924216868355678</v>
      </c>
      <c r="Z348" s="115">
        <f t="shared" ref="Z348:Z411" si="70">R348-R336</f>
        <v>8.8417026497644713E-2</v>
      </c>
      <c r="AA348" s="116">
        <f t="shared" si="69"/>
        <v>-0.66000000000000014</v>
      </c>
      <c r="AB348" s="115">
        <f t="shared" si="58"/>
        <v>1.246350444496569E-2</v>
      </c>
      <c r="AC348" s="115">
        <f t="shared" si="59"/>
        <v>0.6589691737766139</v>
      </c>
      <c r="AD348" s="115">
        <f t="shared" si="65"/>
        <v>0.56893587337473228</v>
      </c>
      <c r="AE348" s="235">
        <f t="shared" si="60"/>
        <v>-3.2100000000000009</v>
      </c>
    </row>
    <row r="349" spans="14:31" x14ac:dyDescent="0.2">
      <c r="N349" s="337">
        <v>35338</v>
      </c>
      <c r="O349" s="116">
        <f>INDEX('Additional data'!$B$2:$B$965,MATCH(DATE(YEAR(N349),MONTH(N349),1),'Additional data'!$A$2:$A$965,0))</f>
        <v>23.99</v>
      </c>
      <c r="P349" s="232">
        <f t="shared" si="61"/>
        <v>3.1776370768516031</v>
      </c>
      <c r="Q349" s="232">
        <f>Q348+LN(1+INDEX('Additional data'!$H$2:$H$1196,MATCH(N349,'Additional data'!$G$2:$G$1196,1))+INDEX('Additional data'!$I$2:$I$1196,MATCH(N349,'Additional data'!$G$2:$G$1196,1)))</f>
        <v>3.0391949278884618</v>
      </c>
      <c r="R349" s="232">
        <f>LN(INDEX(Data!$B$2:$B$497,MATCH(N349,Data!$A$2:$A$497,1)))</f>
        <v>9.1338588158687326</v>
      </c>
      <c r="S349" s="116">
        <f>INDEX('Additional data'!$E$2:$E$699,MATCH(DATE(YEAR(N349),MONTH(N349),1),'Additional data'!$D$2:$D$699,0))</f>
        <v>6.91</v>
      </c>
      <c r="T349" s="115">
        <f t="shared" si="62"/>
        <v>8.8414460210273216E-2</v>
      </c>
      <c r="U349" s="115">
        <f t="shared" si="63"/>
        <v>5.3066720936692402E-2</v>
      </c>
      <c r="V349" s="115">
        <f t="shared" si="66"/>
        <v>1.3618221448995271E-2</v>
      </c>
      <c r="W349" s="116">
        <f t="shared" si="64"/>
        <v>-9.9999999999997868E-3</v>
      </c>
      <c r="X349" s="115">
        <f t="shared" si="67"/>
        <v>0.27456848816103152</v>
      </c>
      <c r="Y349" s="115">
        <f t="shared" si="68"/>
        <v>0.17510944863114286</v>
      </c>
      <c r="Z349" s="115">
        <f t="shared" si="70"/>
        <v>9.8419600083021308E-2</v>
      </c>
      <c r="AA349" s="116">
        <f t="shared" si="69"/>
        <v>-0.58000000000000007</v>
      </c>
      <c r="AB349" s="115">
        <f t="shared" si="58"/>
        <v>9.3115840483553036E-2</v>
      </c>
      <c r="AC349" s="115">
        <f t="shared" si="59"/>
        <v>0.72340022479235611</v>
      </c>
      <c r="AD349" s="115">
        <f t="shared" si="65"/>
        <v>0.56646692891975015</v>
      </c>
      <c r="AE349" s="235">
        <f t="shared" si="60"/>
        <v>-2.67</v>
      </c>
    </row>
    <row r="350" spans="14:31" x14ac:dyDescent="0.2">
      <c r="N350" s="337">
        <v>35369</v>
      </c>
      <c r="O350" s="116">
        <f>INDEX('Additional data'!$B$2:$B$965,MATCH(DATE(YEAR(N350),MONTH(N350),1),'Additional data'!$A$2:$A$965,0))</f>
        <v>24.9</v>
      </c>
      <c r="P350" s="232">
        <f t="shared" si="61"/>
        <v>3.2148678034706619</v>
      </c>
      <c r="Q350" s="232">
        <f>Q349+LN(1+INDEX('Additional data'!$H$2:$H$1196,MATCH(N350,'Additional data'!$G$2:$G$1196,1))+INDEX('Additional data'!$I$2:$I$1196,MATCH(N350,'Additional data'!$G$2:$G$1196,1)))</f>
        <v>3.052012431599076</v>
      </c>
      <c r="R350" s="232">
        <f>LN(INDEX(Data!$B$2:$B$497,MATCH(N350,Data!$A$2:$A$497,1)))</f>
        <v>9.1700703084473254</v>
      </c>
      <c r="S350" s="116">
        <f>INDEX('Additional data'!$E$2:$E$699,MATCH(DATE(YEAR(N350),MONTH(N350),1),'Additional data'!$D$2:$D$699,0))</f>
        <v>6.7</v>
      </c>
      <c r="T350" s="115">
        <f t="shared" si="62"/>
        <v>3.7230726619058796E-2</v>
      </c>
      <c r="U350" s="115">
        <f t="shared" si="63"/>
        <v>1.2817503710614186E-2</v>
      </c>
      <c r="V350" s="115">
        <f t="shared" si="66"/>
        <v>3.6211492578592797E-2</v>
      </c>
      <c r="W350" s="116">
        <f t="shared" si="64"/>
        <v>-0.20999999999999996</v>
      </c>
      <c r="X350" s="115">
        <f t="shared" si="67"/>
        <v>0.35610138498982824</v>
      </c>
      <c r="Y350" s="115">
        <f t="shared" si="68"/>
        <v>0.19838141024561606</v>
      </c>
      <c r="Z350" s="115">
        <f t="shared" si="70"/>
        <v>0.1593889216625417</v>
      </c>
      <c r="AA350" s="116">
        <f t="shared" si="69"/>
        <v>-0.76999999999999957</v>
      </c>
      <c r="AB350" s="115">
        <f t="shared" si="58"/>
        <v>6.950935596085861E-2</v>
      </c>
      <c r="AC350" s="115">
        <f t="shared" si="59"/>
        <v>0.71926228785355706</v>
      </c>
      <c r="AD350" s="115">
        <f t="shared" si="65"/>
        <v>0.52183131091892676</v>
      </c>
      <c r="AE350" s="235">
        <f t="shared" si="60"/>
        <v>-2.2700000000000005</v>
      </c>
    </row>
    <row r="351" spans="14:31" x14ac:dyDescent="0.2">
      <c r="N351" s="337">
        <v>35399</v>
      </c>
      <c r="O351" s="116">
        <f>INDEX('Additional data'!$B$2:$B$965,MATCH(DATE(YEAR(N351),MONTH(N351),1),'Additional data'!$A$2:$A$965,0))</f>
        <v>23.71</v>
      </c>
      <c r="P351" s="232">
        <f t="shared" si="61"/>
        <v>3.1658969000773141</v>
      </c>
      <c r="Q351" s="232">
        <f>Q350+LN(1+INDEX('Additional data'!$H$2:$H$1196,MATCH(N351,'Additional data'!$G$2:$G$1196,1))+INDEX('Additional data'!$I$2:$I$1196,MATCH(N351,'Additional data'!$G$2:$G$1196,1)))</f>
        <v>3.1164884507834407</v>
      </c>
      <c r="R351" s="232">
        <f>LN(INDEX(Data!$B$2:$B$497,MATCH(N351,Data!$A$2:$A$497,1)))</f>
        <v>9.188881774317613</v>
      </c>
      <c r="S351" s="116">
        <f>INDEX('Additional data'!$E$2:$E$699,MATCH(DATE(YEAR(N351),MONTH(N351),1),'Additional data'!$D$2:$D$699,0))</f>
        <v>6.45</v>
      </c>
      <c r="T351" s="115">
        <f t="shared" si="62"/>
        <v>-4.8970903393347864E-2</v>
      </c>
      <c r="U351" s="115">
        <f t="shared" si="63"/>
        <v>6.4476019184364741E-2</v>
      </c>
      <c r="V351" s="115">
        <f t="shared" si="66"/>
        <v>1.8811465870287591E-2</v>
      </c>
      <c r="W351" s="116">
        <f t="shared" si="64"/>
        <v>-0.25</v>
      </c>
      <c r="X351" s="115">
        <f t="shared" si="67"/>
        <v>0.27608085211487232</v>
      </c>
      <c r="Y351" s="115">
        <f t="shared" si="68"/>
        <v>0.21998952920280512</v>
      </c>
      <c r="Z351" s="115">
        <f t="shared" si="70"/>
        <v>0.13487947276412449</v>
      </c>
      <c r="AA351" s="116">
        <f t="shared" si="69"/>
        <v>-1.0099999999999998</v>
      </c>
      <c r="AB351" s="115">
        <f t="shared" si="58"/>
        <v>5.393835755519083E-2</v>
      </c>
      <c r="AC351" s="115">
        <f t="shared" si="59"/>
        <v>0.82258309086148884</v>
      </c>
      <c r="AD351" s="115">
        <f t="shared" si="65"/>
        <v>0.5820124262596007</v>
      </c>
      <c r="AE351" s="235">
        <f t="shared" si="60"/>
        <v>-1.8899999999999997</v>
      </c>
    </row>
    <row r="352" spans="14:31" x14ac:dyDescent="0.2">
      <c r="N352" s="337">
        <v>35430</v>
      </c>
      <c r="O352" s="116">
        <f>INDEX('Additional data'!$B$2:$B$965,MATCH(DATE(YEAR(N352),MONTH(N352),1),'Additional data'!$A$2:$A$965,0))</f>
        <v>25.39</v>
      </c>
      <c r="P352" s="232">
        <f t="shared" si="61"/>
        <v>3.2343553957165869</v>
      </c>
      <c r="Q352" s="232">
        <f>Q351+LN(1+INDEX('Additional data'!$H$2:$H$1196,MATCH(N352,'Additional data'!$G$2:$G$1196,1))+INDEX('Additional data'!$I$2:$I$1196,MATCH(N352,'Additional data'!$G$2:$G$1196,1)))</f>
        <v>3.1040109292723281</v>
      </c>
      <c r="R352" s="232">
        <f>LN(INDEX(Data!$B$2:$B$497,MATCH(N352,Data!$A$2:$A$497,1)))</f>
        <v>9.2118991564401753</v>
      </c>
      <c r="S352" s="116">
        <f>INDEX('Additional data'!$E$2:$E$699,MATCH(DATE(YEAR(N352),MONTH(N352),1),'Additional data'!$D$2:$D$699,0))</f>
        <v>6.13</v>
      </c>
      <c r="T352" s="115">
        <f t="shared" si="62"/>
        <v>6.8458495639272865E-2</v>
      </c>
      <c r="U352" s="115">
        <f t="shared" si="63"/>
        <v>-1.2477521511112588E-2</v>
      </c>
      <c r="V352" s="115">
        <f t="shared" si="66"/>
        <v>2.3017382122562324E-2</v>
      </c>
      <c r="W352" s="116">
        <f t="shared" si="64"/>
        <v>-0.32000000000000028</v>
      </c>
      <c r="X352" s="115">
        <f t="shared" si="67"/>
        <v>0.28781336635336752</v>
      </c>
      <c r="Y352" s="115">
        <f t="shared" si="68"/>
        <v>0.19232787236665283</v>
      </c>
      <c r="Z352" s="115">
        <f t="shared" si="70"/>
        <v>0.13402788437840485</v>
      </c>
      <c r="AA352" s="116">
        <f t="shared" si="69"/>
        <v>-1.2999999999999998</v>
      </c>
      <c r="AB352" s="115">
        <f t="shared" si="58"/>
        <v>0.26306951506752219</v>
      </c>
      <c r="AC352" s="115">
        <f t="shared" si="59"/>
        <v>0.70367562573452958</v>
      </c>
      <c r="AD352" s="115">
        <f t="shared" si="65"/>
        <v>0.57516447635269152</v>
      </c>
      <c r="AE352" s="235">
        <f t="shared" si="60"/>
        <v>-1.71</v>
      </c>
    </row>
    <row r="353" spans="14:31" x14ac:dyDescent="0.2">
      <c r="N353" s="337">
        <v>35461</v>
      </c>
      <c r="O353" s="116">
        <f>INDEX('Additional data'!$B$2:$B$965,MATCH(DATE(YEAR(N353),MONTH(N353),1),'Additional data'!$A$2:$A$965,0))</f>
        <v>25.17</v>
      </c>
      <c r="P353" s="232">
        <f t="shared" si="61"/>
        <v>3.2256528091472245</v>
      </c>
      <c r="Q353" s="232">
        <f>Q352+LN(1+INDEX('Additional data'!$H$2:$H$1196,MATCH(N353,'Additional data'!$G$2:$G$1196,1))+INDEX('Additional data'!$I$2:$I$1196,MATCH(N353,'Additional data'!$G$2:$G$1196,1)))</f>
        <v>3.1566982515513344</v>
      </c>
      <c r="R353" s="232">
        <f>LN(INDEX(Data!$B$2:$B$497,MATCH(N353,Data!$A$2:$A$497,1)))</f>
        <v>9.213276058628276</v>
      </c>
      <c r="S353" s="116">
        <f>INDEX('Additional data'!$E$2:$E$699,MATCH(DATE(YEAR(N353),MONTH(N353),1),'Additional data'!$D$2:$D$699,0))</f>
        <v>5.82</v>
      </c>
      <c r="T353" s="115">
        <f t="shared" si="62"/>
        <v>-8.7025865693624027E-3</v>
      </c>
      <c r="U353" s="115">
        <f t="shared" si="63"/>
        <v>5.2687322279006299E-2</v>
      </c>
      <c r="V353" s="115">
        <f t="shared" si="66"/>
        <v>1.3769021881007149E-3</v>
      </c>
      <c r="W353" s="116">
        <f t="shared" si="64"/>
        <v>-0.30999999999999961</v>
      </c>
      <c r="X353" s="115">
        <f t="shared" si="67"/>
        <v>0.28754964842987008</v>
      </c>
      <c r="Y353" s="115">
        <f t="shared" si="68"/>
        <v>0.21847063942354694</v>
      </c>
      <c r="Z353" s="115">
        <f t="shared" si="70"/>
        <v>0.10241353915176354</v>
      </c>
      <c r="AA353" s="116">
        <f t="shared" si="69"/>
        <v>-1.6399999999999997</v>
      </c>
      <c r="AB353" s="115">
        <f t="shared" si="58"/>
        <v>0.29073267498999078</v>
      </c>
      <c r="AC353" s="115">
        <f t="shared" si="59"/>
        <v>0.75886607823165431</v>
      </c>
      <c r="AD353" s="115">
        <f t="shared" si="65"/>
        <v>0.59276844337315104</v>
      </c>
      <c r="AE353" s="235">
        <f t="shared" si="60"/>
        <v>-1.63</v>
      </c>
    </row>
    <row r="354" spans="14:31" x14ac:dyDescent="0.2">
      <c r="N354" s="337">
        <v>35489</v>
      </c>
      <c r="O354" s="116">
        <f>INDEX('Additional data'!$B$2:$B$965,MATCH(DATE(YEAR(N354),MONTH(N354),1),'Additional data'!$A$2:$A$965,0))</f>
        <v>22.21</v>
      </c>
      <c r="P354" s="232">
        <f t="shared" si="61"/>
        <v>3.1005426379063361</v>
      </c>
      <c r="Q354" s="232">
        <f>Q353+LN(1+INDEX('Additional data'!$H$2:$H$1196,MATCH(N354,'Additional data'!$G$2:$G$1196,1))+INDEX('Additional data'!$I$2:$I$1196,MATCH(N354,'Additional data'!$G$2:$G$1196,1)))</f>
        <v>3.1557978463081704</v>
      </c>
      <c r="R354" s="232">
        <f>LN(INDEX(Data!$B$2:$B$497,MATCH(N354,Data!$A$2:$A$497,1)))</f>
        <v>9.2239473753823997</v>
      </c>
      <c r="S354" s="116">
        <f>INDEX('Additional data'!$E$2:$E$699,MATCH(DATE(YEAR(N354),MONTH(N354),1),'Additional data'!$D$2:$D$699,0))</f>
        <v>5.91</v>
      </c>
      <c r="T354" s="115">
        <f t="shared" si="62"/>
        <v>-0.12511017124088841</v>
      </c>
      <c r="U354" s="115">
        <f t="shared" si="63"/>
        <v>-9.0040524316403747E-4</v>
      </c>
      <c r="V354" s="115">
        <f t="shared" si="66"/>
        <v>1.0671316754123694E-2</v>
      </c>
      <c r="W354" s="116">
        <f t="shared" si="64"/>
        <v>8.9999999999999858E-2</v>
      </c>
      <c r="X354" s="115">
        <f t="shared" si="67"/>
        <v>0.15242621829400838</v>
      </c>
      <c r="Y354" s="115">
        <f t="shared" si="68"/>
        <v>0.2005164796145551</v>
      </c>
      <c r="Z354" s="115">
        <f t="shared" si="70"/>
        <v>0.10868720965648748</v>
      </c>
      <c r="AA354" s="116">
        <f t="shared" si="69"/>
        <v>-1.5599999999999996</v>
      </c>
      <c r="AB354" s="115">
        <f t="shared" si="58"/>
        <v>0.1563668512667471</v>
      </c>
      <c r="AC354" s="115">
        <f t="shared" si="59"/>
        <v>0.74445732296369815</v>
      </c>
      <c r="AD354" s="115">
        <f t="shared" si="65"/>
        <v>0.60678216018923337</v>
      </c>
      <c r="AE354" s="235">
        <f t="shared" si="60"/>
        <v>-1.6099999999999994</v>
      </c>
    </row>
    <row r="355" spans="14:31" x14ac:dyDescent="0.2">
      <c r="N355" s="337">
        <v>35520</v>
      </c>
      <c r="O355" s="116">
        <f>INDEX('Additional data'!$B$2:$B$965,MATCH(DATE(YEAR(N355),MONTH(N355),1),'Additional data'!$A$2:$A$965,0))</f>
        <v>20.99</v>
      </c>
      <c r="P355" s="232">
        <f t="shared" si="61"/>
        <v>3.0440461338325417</v>
      </c>
      <c r="Q355" s="232">
        <f>Q354+LN(1+INDEX('Additional data'!$H$2:$H$1196,MATCH(N355,'Additional data'!$G$2:$G$1196,1))+INDEX('Additional data'!$I$2:$I$1196,MATCH(N355,'Additional data'!$G$2:$G$1196,1)))</f>
        <v>3.1088110550838337</v>
      </c>
      <c r="R355" s="232">
        <f>LN(INDEX(Data!$B$2:$B$497,MATCH(N355,Data!$A$2:$A$497,1)))</f>
        <v>9.2170180267294235</v>
      </c>
      <c r="S355" s="116">
        <f>INDEX('Additional data'!$E$2:$E$699,MATCH(DATE(YEAR(N355),MONTH(N355),1),'Additional data'!$D$2:$D$699,0))</f>
        <v>6.05</v>
      </c>
      <c r="T355" s="115">
        <f t="shared" si="62"/>
        <v>-5.6496504073794362E-2</v>
      </c>
      <c r="U355" s="115">
        <f t="shared" si="63"/>
        <v>-4.6986791224336688E-2</v>
      </c>
      <c r="V355" s="115">
        <f t="shared" si="66"/>
        <v>-6.9293486529762305E-3</v>
      </c>
      <c r="W355" s="116">
        <f t="shared" si="64"/>
        <v>0.13999999999999968</v>
      </c>
      <c r="X355" s="115">
        <f t="shared" si="67"/>
        <v>-1.747388025945229E-2</v>
      </c>
      <c r="Y355" s="115">
        <f t="shared" si="68"/>
        <v>0.14229305646423063</v>
      </c>
      <c r="Z355" s="115">
        <f t="shared" si="70"/>
        <v>0.12606948382404326</v>
      </c>
      <c r="AA355" s="116">
        <f t="shared" si="69"/>
        <v>-1.4800000000000004</v>
      </c>
      <c r="AB355" s="115">
        <f t="shared" si="58"/>
        <v>0.10403800905091254</v>
      </c>
      <c r="AC355" s="115">
        <f t="shared" si="59"/>
        <v>0.72084151806260177</v>
      </c>
      <c r="AD355" s="115">
        <f t="shared" si="65"/>
        <v>0.61623764750691912</v>
      </c>
      <c r="AE355" s="235">
        <f t="shared" si="60"/>
        <v>-1.46</v>
      </c>
    </row>
    <row r="356" spans="14:31" x14ac:dyDescent="0.2">
      <c r="N356" s="337">
        <v>35550</v>
      </c>
      <c r="O356" s="116">
        <f>INDEX('Additional data'!$B$2:$B$965,MATCH(DATE(YEAR(N356),MONTH(N356),1),'Additional data'!$A$2:$A$965,0))</f>
        <v>19.72</v>
      </c>
      <c r="P356" s="232">
        <f t="shared" si="61"/>
        <v>2.9816333491744893</v>
      </c>
      <c r="Q356" s="232">
        <f>Q355+LN(1+INDEX('Additional data'!$H$2:$H$1196,MATCH(N356,'Additional data'!$G$2:$G$1196,1))+INDEX('Additional data'!$I$2:$I$1196,MATCH(N356,'Additional data'!$G$2:$G$1196,1)))</f>
        <v>3.1525408179451588</v>
      </c>
      <c r="R356" s="232">
        <f>LN(INDEX(Data!$B$2:$B$497,MATCH(N356,Data!$A$2:$A$497,1)))</f>
        <v>9.2435043183546153</v>
      </c>
      <c r="S356" s="116">
        <f>INDEX('Additional data'!$E$2:$E$699,MATCH(DATE(YEAR(N356),MONTH(N356),1),'Additional data'!$D$2:$D$699,0))</f>
        <v>6.04</v>
      </c>
      <c r="T356" s="115">
        <f t="shared" si="62"/>
        <v>-6.2412784658052445E-2</v>
      </c>
      <c r="U356" s="115">
        <f t="shared" si="63"/>
        <v>4.3729762861325128E-2</v>
      </c>
      <c r="V356" s="115">
        <f t="shared" si="66"/>
        <v>2.6486291625191782E-2</v>
      </c>
      <c r="W356" s="116">
        <f t="shared" si="64"/>
        <v>-9.9999999999997868E-3</v>
      </c>
      <c r="X356" s="115">
        <f t="shared" si="67"/>
        <v>-0.17834136777355036</v>
      </c>
      <c r="Y356" s="115">
        <f t="shared" si="68"/>
        <v>0.16113510381777685</v>
      </c>
      <c r="Z356" s="115">
        <f t="shared" si="70"/>
        <v>0.11060670352108914</v>
      </c>
      <c r="AA356" s="116">
        <f t="shared" si="69"/>
        <v>-1.5300000000000002</v>
      </c>
      <c r="AB356" s="115">
        <f t="shared" si="58"/>
        <v>-2.617570560495075E-2</v>
      </c>
      <c r="AC356" s="115">
        <f t="shared" si="59"/>
        <v>0.75056976128811348</v>
      </c>
      <c r="AD356" s="115">
        <f t="shared" si="65"/>
        <v>0.59249727420946741</v>
      </c>
      <c r="AE356" s="235">
        <f t="shared" si="60"/>
        <v>-1.1399999999999997</v>
      </c>
    </row>
    <row r="357" spans="14:31" x14ac:dyDescent="0.2">
      <c r="N357" s="337">
        <v>35581</v>
      </c>
      <c r="O357" s="116">
        <f>INDEX('Additional data'!$B$2:$B$965,MATCH(DATE(YEAR(N357),MONTH(N357),1),'Additional data'!$A$2:$A$965,0))</f>
        <v>20.83</v>
      </c>
      <c r="P357" s="232">
        <f t="shared" si="61"/>
        <v>3.0363942552728806</v>
      </c>
      <c r="Q357" s="232">
        <f>Q356+LN(1+INDEX('Additional data'!$H$2:$H$1196,MATCH(N357,'Additional data'!$G$2:$G$1196,1))+INDEX('Additional data'!$I$2:$I$1196,MATCH(N357,'Additional data'!$G$2:$G$1196,1)))</f>
        <v>3.2222534303564592</v>
      </c>
      <c r="R357" s="232">
        <f>LN(INDEX(Data!$B$2:$B$497,MATCH(N357,Data!$A$2:$A$497,1)))</f>
        <v>9.2940195366411373</v>
      </c>
      <c r="S357" s="116">
        <f>INDEX('Additional data'!$E$2:$E$699,MATCH(DATE(YEAR(N357),MONTH(N357),1),'Additional data'!$D$2:$D$699,0))</f>
        <v>5.87</v>
      </c>
      <c r="T357" s="115">
        <f t="shared" si="62"/>
        <v>5.4760906098391349E-2</v>
      </c>
      <c r="U357" s="115">
        <f t="shared" si="63"/>
        <v>6.9712612411300334E-2</v>
      </c>
      <c r="V357" s="115">
        <f t="shared" si="66"/>
        <v>5.0515218286522057E-2</v>
      </c>
      <c r="W357" s="116">
        <f t="shared" si="64"/>
        <v>-0.16999999999999993</v>
      </c>
      <c r="X357" s="115">
        <f t="shared" si="67"/>
        <v>-1.9962640097545226E-2</v>
      </c>
      <c r="Y357" s="115">
        <f t="shared" si="68"/>
        <v>0.20342712065308488</v>
      </c>
      <c r="Z357" s="115">
        <f t="shared" si="70"/>
        <v>0.17951848443914464</v>
      </c>
      <c r="AA357" s="116">
        <f t="shared" si="69"/>
        <v>-1.6799999999999997</v>
      </c>
      <c r="AB357" s="115">
        <f t="shared" si="58"/>
        <v>-5.2669501695103982E-3</v>
      </c>
      <c r="AC357" s="115">
        <f t="shared" si="59"/>
        <v>0.81449912894368648</v>
      </c>
      <c r="AD357" s="115">
        <f t="shared" si="65"/>
        <v>0.59172532139736234</v>
      </c>
      <c r="AE357" s="235">
        <f t="shared" si="60"/>
        <v>-0.6899999999999995</v>
      </c>
    </row>
    <row r="358" spans="14:31" x14ac:dyDescent="0.2">
      <c r="N358" s="337">
        <v>35611</v>
      </c>
      <c r="O358" s="116">
        <f>INDEX('Additional data'!$B$2:$B$965,MATCH(DATE(YEAR(N358),MONTH(N358),1),'Additional data'!$A$2:$A$965,0))</f>
        <v>19.170000000000002</v>
      </c>
      <c r="P358" s="232">
        <f t="shared" si="61"/>
        <v>2.9533465570575532</v>
      </c>
      <c r="Q358" s="232">
        <f>Q357+LN(1+INDEX('Additional data'!$H$2:$H$1196,MATCH(N358,'Additional data'!$G$2:$G$1196,1))+INDEX('Additional data'!$I$2:$I$1196,MATCH(N358,'Additional data'!$G$2:$G$1196,1)))</f>
        <v>3.2659831932177843</v>
      </c>
      <c r="R358" s="232">
        <f>LN(INDEX(Data!$B$2:$B$497,MATCH(N358,Data!$A$2:$A$497,1)))</f>
        <v>9.344311667829091</v>
      </c>
      <c r="S358" s="116">
        <f>INDEX('Additional data'!$E$2:$E$699,MATCH(DATE(YEAR(N358),MONTH(N358),1),'Additional data'!$D$2:$D$699,0))</f>
        <v>5.35</v>
      </c>
      <c r="T358" s="115">
        <f t="shared" si="62"/>
        <v>-8.3047698215327426E-2</v>
      </c>
      <c r="U358" s="115">
        <f t="shared" si="63"/>
        <v>4.3729762861325128E-2</v>
      </c>
      <c r="V358" s="115">
        <f t="shared" si="66"/>
        <v>5.0292131187953615E-2</v>
      </c>
      <c r="W358" s="116">
        <f t="shared" si="64"/>
        <v>-0.52000000000000046</v>
      </c>
      <c r="X358" s="115">
        <f t="shared" si="67"/>
        <v>-6.4636325431257635E-2</v>
      </c>
      <c r="Y358" s="115">
        <f t="shared" si="68"/>
        <v>0.25448365890087077</v>
      </c>
      <c r="Z358" s="115">
        <f t="shared" si="70"/>
        <v>0.2377552771166318</v>
      </c>
      <c r="AA358" s="116">
        <f t="shared" si="69"/>
        <v>-2.2200000000000006</v>
      </c>
      <c r="AB358" s="115">
        <f t="shared" si="58"/>
        <v>-0.15459770710336596</v>
      </c>
      <c r="AC358" s="115">
        <f t="shared" si="59"/>
        <v>0.8785336451453758</v>
      </c>
      <c r="AD358" s="115">
        <f t="shared" si="65"/>
        <v>0.66138372322329708</v>
      </c>
      <c r="AE358" s="235">
        <f t="shared" si="60"/>
        <v>-1.0700000000000003</v>
      </c>
    </row>
    <row r="359" spans="14:31" x14ac:dyDescent="0.2">
      <c r="N359" s="337">
        <v>35642</v>
      </c>
      <c r="O359" s="116">
        <f>INDEX('Additional data'!$B$2:$B$965,MATCH(DATE(YEAR(N359),MONTH(N359),1),'Additional data'!$A$2:$A$965,0))</f>
        <v>19.63</v>
      </c>
      <c r="P359" s="232">
        <f t="shared" si="61"/>
        <v>2.9770590082883697</v>
      </c>
      <c r="Q359" s="232">
        <f>Q358+LN(1+INDEX('Additional data'!$H$2:$H$1196,MATCH(N359,'Additional data'!$G$2:$G$1196,1))+INDEX('Additional data'!$I$2:$I$1196,MATCH(N359,'Additional data'!$G$2:$G$1196,1)))</f>
        <v>3.3405339244820804</v>
      </c>
      <c r="R359" s="232">
        <f>LN(INDEX(Data!$B$2:$B$497,MATCH(N359,Data!$A$2:$A$497,1)))</f>
        <v>9.3452383304241415</v>
      </c>
      <c r="S359" s="116">
        <f>INDEX('Additional data'!$E$2:$E$699,MATCH(DATE(YEAR(N359),MONTH(N359),1),'Additional data'!$D$2:$D$699,0))</f>
        <v>5.19</v>
      </c>
      <c r="T359" s="115">
        <f t="shared" si="62"/>
        <v>2.3712451230816445E-2</v>
      </c>
      <c r="U359" s="115">
        <f t="shared" si="63"/>
        <v>7.4550731264296122E-2</v>
      </c>
      <c r="V359" s="115">
        <f t="shared" si="66"/>
        <v>9.266625950505869E-4</v>
      </c>
      <c r="W359" s="116">
        <f t="shared" si="64"/>
        <v>-0.15999999999999925</v>
      </c>
      <c r="X359" s="115">
        <f t="shared" si="67"/>
        <v>-8.2586591009274013E-2</v>
      </c>
      <c r="Y359" s="115">
        <f t="shared" si="68"/>
        <v>0.38571056735872356</v>
      </c>
      <c r="Z359" s="115">
        <f t="shared" si="70"/>
        <v>0.26616905033505489</v>
      </c>
      <c r="AA359" s="116">
        <f t="shared" si="69"/>
        <v>-2.3699999999999992</v>
      </c>
      <c r="AB359" s="115">
        <f t="shared" si="58"/>
        <v>-0.1029684567610154</v>
      </c>
      <c r="AC359" s="115">
        <f t="shared" si="59"/>
        <v>0.91299865287038617</v>
      </c>
      <c r="AD359" s="115">
        <f t="shared" si="65"/>
        <v>0.68091907411761099</v>
      </c>
      <c r="AE359" s="235">
        <f t="shared" si="60"/>
        <v>-0.44999999999999929</v>
      </c>
    </row>
    <row r="360" spans="14:31" x14ac:dyDescent="0.2">
      <c r="N360" s="337">
        <v>35673</v>
      </c>
      <c r="O360" s="116">
        <f>INDEX('Additional data'!$B$2:$B$965,MATCH(DATE(YEAR(N360),MONTH(N360),1),'Additional data'!$A$2:$A$965,0))</f>
        <v>19.93</v>
      </c>
      <c r="P360" s="232">
        <f t="shared" si="61"/>
        <v>2.9922261342247034</v>
      </c>
      <c r="Q360" s="232">
        <f>Q359+LN(1+INDEX('Additional data'!$H$2:$H$1196,MATCH(N360,'Additional data'!$G$2:$G$1196,1))+INDEX('Additional data'!$I$2:$I$1196,MATCH(N360,'Additional data'!$G$2:$G$1196,1)))</f>
        <v>3.3029358940667621</v>
      </c>
      <c r="R360" s="232">
        <f>LN(INDEX(Data!$B$2:$B$497,MATCH(N360,Data!$A$2:$A$497,1)))</f>
        <v>9.2925929437926218</v>
      </c>
      <c r="S360" s="116">
        <f>INDEX('Additional data'!$E$2:$E$699,MATCH(DATE(YEAR(N360),MONTH(N360),1),'Additional data'!$D$2:$D$699,0))</f>
        <v>4.9000000000000004</v>
      </c>
      <c r="T360" s="115">
        <f t="shared" si="62"/>
        <v>1.5167125936333736E-2</v>
      </c>
      <c r="U360" s="115">
        <f t="shared" si="63"/>
        <v>-3.7598030415318284E-2</v>
      </c>
      <c r="V360" s="115">
        <f t="shared" si="66"/>
        <v>-5.2645386631519742E-2</v>
      </c>
      <c r="W360" s="116">
        <f t="shared" si="64"/>
        <v>-0.29000000000000004</v>
      </c>
      <c r="X360" s="115">
        <f t="shared" si="67"/>
        <v>-9.6996482416626506E-2</v>
      </c>
      <c r="Y360" s="115">
        <f t="shared" si="68"/>
        <v>0.31680768711499274</v>
      </c>
      <c r="Z360" s="115">
        <f t="shared" si="70"/>
        <v>0.17235234937288446</v>
      </c>
      <c r="AA360" s="116">
        <f t="shared" si="69"/>
        <v>-2.0199999999999996</v>
      </c>
      <c r="AB360" s="115">
        <f t="shared" si="58"/>
        <v>-6.8825605449930105E-2</v>
      </c>
      <c r="AC360" s="115">
        <f t="shared" si="59"/>
        <v>0.89682856986868842</v>
      </c>
      <c r="AD360" s="115">
        <f t="shared" si="65"/>
        <v>0.67430632781633193</v>
      </c>
      <c r="AE360" s="235">
        <f t="shared" si="60"/>
        <v>-0.83000000000000007</v>
      </c>
    </row>
    <row r="361" spans="14:31" x14ac:dyDescent="0.2">
      <c r="N361" s="337">
        <v>35703</v>
      </c>
      <c r="O361" s="116">
        <f>INDEX('Additional data'!$B$2:$B$965,MATCH(DATE(YEAR(N361),MONTH(N361),1),'Additional data'!$A$2:$A$965,0))</f>
        <v>19.79</v>
      </c>
      <c r="P361" s="232">
        <f t="shared" si="61"/>
        <v>2.9851767596144745</v>
      </c>
      <c r="Q361" s="232">
        <f>Q360+LN(1+INDEX('Additional data'!$H$2:$H$1196,MATCH(N361,'Additional data'!$G$2:$G$1196,1))+INDEX('Additional data'!$I$2:$I$1196,MATCH(N361,'Additional data'!$G$2:$G$1196,1)))</f>
        <v>3.3591271737165043</v>
      </c>
      <c r="R361" s="232">
        <f>LN(INDEX(Data!$B$2:$B$497,MATCH(N361,Data!$A$2:$A$497,1)))</f>
        <v>9.3635420301962853</v>
      </c>
      <c r="S361" s="116">
        <f>INDEX('Additional data'!$E$2:$E$699,MATCH(DATE(YEAR(N361),MONTH(N361),1),'Additional data'!$D$2:$D$699,0))</f>
        <v>4.7699999999999996</v>
      </c>
      <c r="T361" s="115">
        <f t="shared" si="62"/>
        <v>-7.0493746102289201E-3</v>
      </c>
      <c r="U361" s="115">
        <f t="shared" si="63"/>
        <v>5.6191279649742132E-2</v>
      </c>
      <c r="V361" s="115">
        <f t="shared" si="66"/>
        <v>7.0949086403663486E-2</v>
      </c>
      <c r="W361" s="116">
        <f t="shared" si="64"/>
        <v>-0.13000000000000078</v>
      </c>
      <c r="X361" s="115">
        <f t="shared" si="67"/>
        <v>-0.19246031723712864</v>
      </c>
      <c r="Y361" s="115">
        <f t="shared" si="68"/>
        <v>0.31993224582804247</v>
      </c>
      <c r="Z361" s="115">
        <f t="shared" si="70"/>
        <v>0.22968321432755268</v>
      </c>
      <c r="AA361" s="116">
        <f t="shared" si="69"/>
        <v>-2.1400000000000006</v>
      </c>
      <c r="AB361" s="115">
        <f t="shared" si="58"/>
        <v>-0.10140119723909313</v>
      </c>
      <c r="AC361" s="115">
        <f t="shared" si="59"/>
        <v>0.93862396923469804</v>
      </c>
      <c r="AD361" s="115">
        <f t="shared" si="65"/>
        <v>0.78725008639284155</v>
      </c>
      <c r="AE361" s="235">
        <f t="shared" si="60"/>
        <v>-1.1700000000000008</v>
      </c>
    </row>
    <row r="362" spans="14:31" x14ac:dyDescent="0.2">
      <c r="N362" s="337">
        <v>35734</v>
      </c>
      <c r="O362" s="116">
        <f>INDEX('Additional data'!$B$2:$B$965,MATCH(DATE(YEAR(N362),MONTH(N362),1),'Additional data'!$A$2:$A$965,0))</f>
        <v>21.26</v>
      </c>
      <c r="P362" s="232">
        <f t="shared" si="61"/>
        <v>3.0568273729138018</v>
      </c>
      <c r="Q362" s="232">
        <f>Q361+LN(1+INDEX('Additional data'!$H$2:$H$1196,MATCH(N362,'Additional data'!$G$2:$G$1196,1))+INDEX('Additional data'!$I$2:$I$1196,MATCH(N362,'Additional data'!$G$2:$G$1196,1)))</f>
        <v>3.3247427468546733</v>
      </c>
      <c r="R362" s="232">
        <f>LN(INDEX(Data!$B$2:$B$497,MATCH(N362,Data!$A$2:$A$497,1)))</f>
        <v>9.2533615465263779</v>
      </c>
      <c r="S362" s="116">
        <f>INDEX('Additional data'!$E$2:$E$699,MATCH(DATE(YEAR(N362),MONTH(N362),1),'Additional data'!$D$2:$D$699,0))</f>
        <v>4.83</v>
      </c>
      <c r="T362" s="115">
        <f t="shared" si="62"/>
        <v>7.1650613299327315E-2</v>
      </c>
      <c r="U362" s="115">
        <f t="shared" si="63"/>
        <v>-3.4384426861830963E-2</v>
      </c>
      <c r="V362" s="115">
        <f t="shared" si="66"/>
        <v>-0.1101804836699074</v>
      </c>
      <c r="W362" s="116">
        <f t="shared" si="64"/>
        <v>6.0000000000000497E-2</v>
      </c>
      <c r="X362" s="115">
        <f t="shared" si="67"/>
        <v>-0.15804043055686012</v>
      </c>
      <c r="Y362" s="115">
        <f t="shared" si="68"/>
        <v>0.27273031525559732</v>
      </c>
      <c r="Z362" s="115">
        <f t="shared" si="70"/>
        <v>8.3291238079052476E-2</v>
      </c>
      <c r="AA362" s="116">
        <f t="shared" si="69"/>
        <v>-1.87</v>
      </c>
      <c r="AB362" s="115">
        <f t="shared" si="58"/>
        <v>-1.9931739282562422E-2</v>
      </c>
      <c r="AC362" s="115">
        <f t="shared" si="59"/>
        <v>0.89181702237431004</v>
      </c>
      <c r="AD362" s="115">
        <f t="shared" si="65"/>
        <v>0.70911754963382556</v>
      </c>
      <c r="AE362" s="235">
        <f t="shared" si="60"/>
        <v>-1.0300000000000002</v>
      </c>
    </row>
    <row r="363" spans="14:31" x14ac:dyDescent="0.2">
      <c r="N363" s="337">
        <v>35764</v>
      </c>
      <c r="O363" s="116">
        <f>INDEX('Additional data'!$B$2:$B$965,MATCH(DATE(YEAR(N363),MONTH(N363),1),'Additional data'!$A$2:$A$965,0))</f>
        <v>20.170000000000002</v>
      </c>
      <c r="P363" s="232">
        <f t="shared" si="61"/>
        <v>3.0041963519661206</v>
      </c>
      <c r="Q363" s="232">
        <f>Q362+LN(1+INDEX('Additional data'!$H$2:$H$1196,MATCH(N363,'Additional data'!$G$2:$G$1196,1))+INDEX('Additional data'!$I$2:$I$1196,MATCH(N363,'Additional data'!$G$2:$G$1196,1)))</f>
        <v>3.3579840806344752</v>
      </c>
      <c r="R363" s="232">
        <f>LN(INDEX(Data!$B$2:$B$497,MATCH(N363,Data!$A$2:$A$497,1)))</f>
        <v>9.2607958154646752</v>
      </c>
      <c r="S363" s="116">
        <f>INDEX('Additional data'!$E$2:$E$699,MATCH(DATE(YEAR(N363),MONTH(N363),1),'Additional data'!$D$2:$D$699,0))</f>
        <v>4.95</v>
      </c>
      <c r="T363" s="115">
        <f t="shared" si="62"/>
        <v>-5.263102094768124E-2</v>
      </c>
      <c r="U363" s="115">
        <f t="shared" si="63"/>
        <v>3.3241333779801874E-2</v>
      </c>
      <c r="V363" s="115">
        <f t="shared" si="66"/>
        <v>7.4342689382973504E-3</v>
      </c>
      <c r="W363" s="116">
        <f t="shared" si="64"/>
        <v>0.12000000000000011</v>
      </c>
      <c r="X363" s="115">
        <f t="shared" si="67"/>
        <v>-0.1617005481111935</v>
      </c>
      <c r="Y363" s="115">
        <f t="shared" si="68"/>
        <v>0.24149562985103445</v>
      </c>
      <c r="Z363" s="115">
        <f t="shared" si="70"/>
        <v>7.1914041147062235E-2</v>
      </c>
      <c r="AA363" s="116">
        <f t="shared" si="69"/>
        <v>-1.5</v>
      </c>
      <c r="AB363" s="115">
        <f t="shared" si="58"/>
        <v>-8.4913622372839725E-3</v>
      </c>
      <c r="AC363" s="115">
        <f t="shared" si="59"/>
        <v>0.88228626431024271</v>
      </c>
      <c r="AD363" s="115">
        <f t="shared" si="65"/>
        <v>0.69517443014424352</v>
      </c>
      <c r="AE363" s="235">
        <f t="shared" si="60"/>
        <v>-0.92999999999999972</v>
      </c>
    </row>
    <row r="364" spans="14:31" x14ac:dyDescent="0.2">
      <c r="N364" s="337">
        <v>35795</v>
      </c>
      <c r="O364" s="116">
        <f>INDEX('Additional data'!$B$2:$B$965,MATCH(DATE(YEAR(N364),MONTH(N364),1),'Additional data'!$A$2:$A$965,0))</f>
        <v>18.32</v>
      </c>
      <c r="P364" s="232">
        <f t="shared" si="61"/>
        <v>2.9079933592459843</v>
      </c>
      <c r="Q364" s="232">
        <f>Q363+LN(1+INDEX('Additional data'!$H$2:$H$1196,MATCH(N364,'Additional data'!$G$2:$G$1196,1))+INDEX('Additional data'!$I$2:$I$1196,MATCH(N364,'Additional data'!$G$2:$G$1196,1)))</f>
        <v>3.3759222257654882</v>
      </c>
      <c r="R364" s="232">
        <f>LN(INDEX(Data!$B$2:$B$497,MATCH(N364,Data!$A$2:$A$497,1)))</f>
        <v>9.3200285099537314</v>
      </c>
      <c r="S364" s="116">
        <f>INDEX('Additional data'!$E$2:$E$699,MATCH(DATE(YEAR(N364),MONTH(N364),1),'Additional data'!$D$2:$D$699,0))</f>
        <v>5.07</v>
      </c>
      <c r="T364" s="115">
        <f t="shared" si="62"/>
        <v>-9.6202992720136216E-2</v>
      </c>
      <c r="U364" s="115">
        <f t="shared" si="63"/>
        <v>1.7938145131012995E-2</v>
      </c>
      <c r="V364" s="115">
        <f t="shared" si="66"/>
        <v>5.9232694489056215E-2</v>
      </c>
      <c r="W364" s="116">
        <f t="shared" si="64"/>
        <v>0.12000000000000011</v>
      </c>
      <c r="X364" s="115">
        <f t="shared" si="67"/>
        <v>-0.32636203647060258</v>
      </c>
      <c r="Y364" s="115">
        <f t="shared" si="68"/>
        <v>0.27191129649316004</v>
      </c>
      <c r="Z364" s="115">
        <f t="shared" si="70"/>
        <v>0.10812935351355613</v>
      </c>
      <c r="AA364" s="116">
        <f t="shared" si="69"/>
        <v>-1.0599999999999996</v>
      </c>
      <c r="AB364" s="115">
        <f t="shared" si="58"/>
        <v>-5.7640466483973807E-2</v>
      </c>
      <c r="AC364" s="115">
        <f t="shared" si="59"/>
        <v>0.88228626431024271</v>
      </c>
      <c r="AD364" s="115">
        <f t="shared" si="65"/>
        <v>0.67798398889808986</v>
      </c>
      <c r="AE364" s="235">
        <f t="shared" si="60"/>
        <v>-0.83000000000000007</v>
      </c>
    </row>
    <row r="365" spans="14:31" x14ac:dyDescent="0.2">
      <c r="N365" s="337">
        <v>35826</v>
      </c>
      <c r="O365" s="116">
        <f>INDEX('Additional data'!$B$2:$B$965,MATCH(DATE(YEAR(N365),MONTH(N365),1),'Additional data'!$A$2:$A$965,0))</f>
        <v>16.71</v>
      </c>
      <c r="P365" s="232">
        <f t="shared" si="61"/>
        <v>2.8160073426073025</v>
      </c>
      <c r="Q365" s="232">
        <f>Q364+LN(1+INDEX('Additional data'!$H$2:$H$1196,MATCH(N365,'Additional data'!$G$2:$G$1196,1))+INDEX('Additional data'!$I$2:$I$1196,MATCH(N365,'Additional data'!$G$2:$G$1196,1)))</f>
        <v>3.3817054705212155</v>
      </c>
      <c r="R365" s="232">
        <f>LN(INDEX(Data!$B$2:$B$497,MATCH(N365,Data!$A$2:$A$497,1)))</f>
        <v>9.3324783555108208</v>
      </c>
      <c r="S365" s="116">
        <f>INDEX('Additional data'!$E$2:$E$699,MATCH(DATE(YEAR(N365),MONTH(N365),1),'Additional data'!$D$2:$D$699,0))</f>
        <v>4.99</v>
      </c>
      <c r="T365" s="115">
        <f t="shared" si="62"/>
        <v>-9.1986016638681889E-2</v>
      </c>
      <c r="U365" s="115">
        <f t="shared" si="63"/>
        <v>5.7832447557273348E-3</v>
      </c>
      <c r="V365" s="115">
        <f t="shared" si="66"/>
        <v>1.244984555708939E-2</v>
      </c>
      <c r="W365" s="116">
        <f t="shared" si="64"/>
        <v>-8.0000000000000071E-2</v>
      </c>
      <c r="X365" s="115">
        <f t="shared" si="67"/>
        <v>-0.40964546653992207</v>
      </c>
      <c r="Y365" s="115">
        <f t="shared" si="68"/>
        <v>0.22500721896988107</v>
      </c>
      <c r="Z365" s="115">
        <f t="shared" si="70"/>
        <v>0.1192022968825448</v>
      </c>
      <c r="AA365" s="116">
        <f t="shared" si="69"/>
        <v>-0.83000000000000007</v>
      </c>
      <c r="AB365" s="115">
        <f t="shared" si="58"/>
        <v>-0.1323712345632182</v>
      </c>
      <c r="AC365" s="115">
        <f t="shared" si="59"/>
        <v>0.87653627325229699</v>
      </c>
      <c r="AD365" s="115">
        <f t="shared" si="65"/>
        <v>0.70836985775045846</v>
      </c>
      <c r="AE365" s="235">
        <f t="shared" si="60"/>
        <v>-0.88999999999999968</v>
      </c>
    </row>
    <row r="366" spans="14:31" x14ac:dyDescent="0.2">
      <c r="N366" s="337">
        <v>35854</v>
      </c>
      <c r="O366" s="116">
        <f>INDEX('Additional data'!$B$2:$B$965,MATCH(DATE(YEAR(N366),MONTH(N366),1),'Additional data'!$A$2:$A$965,0))</f>
        <v>16.059999999999999</v>
      </c>
      <c r="P366" s="232">
        <f t="shared" si="61"/>
        <v>2.7763317085186157</v>
      </c>
      <c r="Q366" s="232">
        <f>Q365+LN(1+INDEX('Additional data'!$H$2:$H$1196,MATCH(N366,'Additional data'!$G$2:$G$1196,1))+INDEX('Additional data'!$I$2:$I$1196,MATCH(N366,'Additional data'!$G$2:$G$1196,1)))</f>
        <v>3.4532816690104373</v>
      </c>
      <c r="R366" s="232">
        <f>LN(INDEX(Data!$B$2:$B$497,MATCH(N366,Data!$A$2:$A$497,1)))</f>
        <v>9.343305354220627</v>
      </c>
      <c r="S366" s="116">
        <f>INDEX('Additional data'!$E$2:$E$699,MATCH(DATE(YEAR(N366),MONTH(N366),1),'Additional data'!$D$2:$D$699,0))</f>
        <v>4.97</v>
      </c>
      <c r="T366" s="115">
        <f t="shared" si="62"/>
        <v>-3.9675634088686795E-2</v>
      </c>
      <c r="U366" s="115">
        <f t="shared" si="63"/>
        <v>7.1576198489221809E-2</v>
      </c>
      <c r="V366" s="115">
        <f t="shared" si="66"/>
        <v>1.082699870980619E-2</v>
      </c>
      <c r="W366" s="116">
        <f t="shared" si="64"/>
        <v>-2.0000000000000462E-2</v>
      </c>
      <c r="X366" s="115">
        <f t="shared" si="67"/>
        <v>-0.32421092938772045</v>
      </c>
      <c r="Y366" s="115">
        <f t="shared" si="68"/>
        <v>0.29748382270226692</v>
      </c>
      <c r="Z366" s="115">
        <f t="shared" si="70"/>
        <v>0.1193579788382273</v>
      </c>
      <c r="AA366" s="116">
        <f t="shared" si="69"/>
        <v>-0.94000000000000039</v>
      </c>
      <c r="AB366" s="115">
        <f t="shared" si="58"/>
        <v>-0.22204705997628071</v>
      </c>
      <c r="AC366" s="115">
        <f t="shared" si="59"/>
        <v>0.94471823867350313</v>
      </c>
      <c r="AD366" s="115">
        <f t="shared" si="65"/>
        <v>0.66441857380640279</v>
      </c>
      <c r="AE366" s="235">
        <f t="shared" si="60"/>
        <v>-0.85000000000000053</v>
      </c>
    </row>
    <row r="367" spans="14:31" x14ac:dyDescent="0.2">
      <c r="N367" s="337">
        <v>35885</v>
      </c>
      <c r="O367" s="116">
        <f>INDEX('Additional data'!$B$2:$B$965,MATCH(DATE(YEAR(N367),MONTH(N367),1),'Additional data'!$A$2:$A$965,0))</f>
        <v>15.02</v>
      </c>
      <c r="P367" s="232">
        <f t="shared" si="61"/>
        <v>2.7093826463359885</v>
      </c>
      <c r="Q367" s="232">
        <f>Q366+LN(1+INDEX('Additional data'!$H$2:$H$1196,MATCH(N367,'Additional data'!$G$2:$G$1196,1))+INDEX('Additional data'!$I$2:$I$1196,MATCH(N367,'Additional data'!$G$2:$G$1196,1)))</f>
        <v>3.5034993851710547</v>
      </c>
      <c r="R367" s="232">
        <f>LN(INDEX(Data!$B$2:$B$497,MATCH(N367,Data!$A$2:$A$497,1)))</f>
        <v>9.3698878912037831</v>
      </c>
      <c r="S367" s="116">
        <f>INDEX('Additional data'!$E$2:$E$699,MATCH(DATE(YEAR(N367),MONTH(N367),1),'Additional data'!$D$2:$D$699,0))</f>
        <v>4.96</v>
      </c>
      <c r="T367" s="115">
        <f t="shared" si="62"/>
        <v>-6.6949062182627195E-2</v>
      </c>
      <c r="U367" s="115">
        <f t="shared" si="63"/>
        <v>5.0217716160617432E-2</v>
      </c>
      <c r="V367" s="115">
        <f t="shared" si="66"/>
        <v>2.6582536983156047E-2</v>
      </c>
      <c r="W367" s="116">
        <f t="shared" si="64"/>
        <v>-9.9999999999997868E-3</v>
      </c>
      <c r="X367" s="115">
        <f t="shared" si="67"/>
        <v>-0.33466348749655328</v>
      </c>
      <c r="Y367" s="115">
        <f t="shared" si="68"/>
        <v>0.39468833008722104</v>
      </c>
      <c r="Z367" s="115">
        <f t="shared" si="70"/>
        <v>0.15286986447435957</v>
      </c>
      <c r="AA367" s="116">
        <f t="shared" si="69"/>
        <v>-1.0899999999999999</v>
      </c>
      <c r="AB367" s="115">
        <f t="shared" si="58"/>
        <v>-0.30355083453777754</v>
      </c>
      <c r="AC367" s="115">
        <f t="shared" si="59"/>
        <v>0.96956064850289225</v>
      </c>
      <c r="AD367" s="115">
        <f t="shared" si="65"/>
        <v>0.65186219923472599</v>
      </c>
      <c r="AE367" s="235">
        <f t="shared" si="60"/>
        <v>-0.41999999999999993</v>
      </c>
    </row>
    <row r="368" spans="14:31" x14ac:dyDescent="0.2">
      <c r="N368" s="337">
        <v>35915</v>
      </c>
      <c r="O368" s="116">
        <f>INDEX('Additional data'!$B$2:$B$965,MATCH(DATE(YEAR(N368),MONTH(N368),1),'Additional data'!$A$2:$A$965,0))</f>
        <v>15.44</v>
      </c>
      <c r="P368" s="232">
        <f t="shared" si="61"/>
        <v>2.73696154459663</v>
      </c>
      <c r="Q368" s="232">
        <f>Q367+LN(1+INDEX('Additional data'!$H$2:$H$1196,MATCH(N368,'Additional data'!$G$2:$G$1196,1))+INDEX('Additional data'!$I$2:$I$1196,MATCH(N368,'Additional data'!$G$2:$G$1196,1)))</f>
        <v>3.5151314694007625</v>
      </c>
      <c r="R368" s="232">
        <f>LN(INDEX(Data!$B$2:$B$497,MATCH(N368,Data!$A$2:$A$497,1)))</f>
        <v>9.3807074242352559</v>
      </c>
      <c r="S368" s="116">
        <f>INDEX('Additional data'!$E$2:$E$699,MATCH(DATE(YEAR(N368),MONTH(N368),1),'Additional data'!$D$2:$D$699,0))</f>
        <v>4.92</v>
      </c>
      <c r="T368" s="115">
        <f t="shared" si="62"/>
        <v>2.7578898260641527E-2</v>
      </c>
      <c r="U368" s="115">
        <f t="shared" si="63"/>
        <v>1.163208422970774E-2</v>
      </c>
      <c r="V368" s="115">
        <f t="shared" si="66"/>
        <v>1.0819533031472872E-2</v>
      </c>
      <c r="W368" s="116">
        <f t="shared" si="64"/>
        <v>-4.0000000000000036E-2</v>
      </c>
      <c r="X368" s="115">
        <f t="shared" si="67"/>
        <v>-0.24467180457785931</v>
      </c>
      <c r="Y368" s="115">
        <f t="shared" si="68"/>
        <v>0.36259065145560365</v>
      </c>
      <c r="Z368" s="115">
        <f t="shared" si="70"/>
        <v>0.13720310588064066</v>
      </c>
      <c r="AA368" s="116">
        <f t="shared" si="69"/>
        <v>-1.1200000000000001</v>
      </c>
      <c r="AB368" s="115">
        <f t="shared" si="58"/>
        <v>-0.27218041586727848</v>
      </c>
      <c r="AC368" s="115">
        <f t="shared" si="59"/>
        <v>1.0096950932053121</v>
      </c>
      <c r="AD368" s="115">
        <f t="shared" si="65"/>
        <v>0.65273480320857935</v>
      </c>
      <c r="AE368" s="235">
        <f t="shared" si="60"/>
        <v>-0.34999999999999964</v>
      </c>
    </row>
    <row r="369" spans="14:31" x14ac:dyDescent="0.2">
      <c r="N369" s="337">
        <v>35946</v>
      </c>
      <c r="O369" s="116">
        <f>INDEX('Additional data'!$B$2:$B$965,MATCH(DATE(YEAR(N369),MONTH(N369),1),'Additional data'!$A$2:$A$965,0))</f>
        <v>14.86</v>
      </c>
      <c r="P369" s="232">
        <f t="shared" si="61"/>
        <v>2.6986730392896132</v>
      </c>
      <c r="Q369" s="232">
        <f>Q368+LN(1+INDEX('Additional data'!$H$2:$H$1196,MATCH(N369,'Additional data'!$G$2:$G$1196,1))+INDEX('Additional data'!$I$2:$I$1196,MATCH(N369,'Additional data'!$G$2:$G$1196,1)))</f>
        <v>3.4880685498510733</v>
      </c>
      <c r="R369" s="232">
        <f>LN(INDEX(Data!$B$2:$B$497,MATCH(N369,Data!$A$2:$A$497,1)))</f>
        <v>9.3613776387303709</v>
      </c>
      <c r="S369" s="116">
        <f>INDEX('Additional data'!$E$2:$E$699,MATCH(DATE(YEAR(N369),MONTH(N369),1),'Additional data'!$D$2:$D$699,0))</f>
        <v>4.96</v>
      </c>
      <c r="T369" s="115">
        <f t="shared" si="62"/>
        <v>-3.8288505307016774E-2</v>
      </c>
      <c r="U369" s="115">
        <f t="shared" si="63"/>
        <v>-2.7062919549689202E-2</v>
      </c>
      <c r="V369" s="115">
        <f t="shared" si="66"/>
        <v>-1.9329785504885066E-2</v>
      </c>
      <c r="W369" s="116">
        <f t="shared" si="64"/>
        <v>4.0000000000000036E-2</v>
      </c>
      <c r="X369" s="115">
        <f t="shared" si="67"/>
        <v>-0.33772121598326743</v>
      </c>
      <c r="Y369" s="115">
        <f t="shared" si="68"/>
        <v>0.26581511949461412</v>
      </c>
      <c r="Z369" s="115">
        <f t="shared" si="70"/>
        <v>6.735810208923354E-2</v>
      </c>
      <c r="AA369" s="116">
        <f t="shared" si="69"/>
        <v>-0.91000000000000014</v>
      </c>
      <c r="AB369" s="115">
        <f t="shared" si="58"/>
        <v>-0.29405472524407905</v>
      </c>
      <c r="AC369" s="115">
        <f t="shared" si="59"/>
        <v>0.95200598011386228</v>
      </c>
      <c r="AD369" s="115">
        <f t="shared" si="65"/>
        <v>0.59921678386990784</v>
      </c>
      <c r="AE369" s="235">
        <f t="shared" si="60"/>
        <v>-0.19000000000000039</v>
      </c>
    </row>
    <row r="370" spans="14:31" x14ac:dyDescent="0.2">
      <c r="N370" s="337">
        <v>35976</v>
      </c>
      <c r="O370" s="116">
        <f>INDEX('Additional data'!$B$2:$B$965,MATCH(DATE(YEAR(N370),MONTH(N370),1),'Additional data'!$A$2:$A$965,0))</f>
        <v>13.66</v>
      </c>
      <c r="P370" s="232">
        <f t="shared" si="61"/>
        <v>2.6144718541426442</v>
      </c>
      <c r="Q370" s="232">
        <f>Q369+LN(1+INDEX('Additional data'!$H$2:$H$1196,MATCH(N370,'Additional data'!$G$2:$G$1196,1))+INDEX('Additional data'!$I$2:$I$1196,MATCH(N370,'Additional data'!$G$2:$G$1196,1)))</f>
        <v>3.5234356936883646</v>
      </c>
      <c r="R370" s="232">
        <f>LN(INDEX(Data!$B$2:$B$497,MATCH(N370,Data!$A$2:$A$497,1)))</f>
        <v>9.3538864498187309</v>
      </c>
      <c r="S370" s="116">
        <f>INDEX('Additional data'!$E$2:$E$699,MATCH(DATE(YEAR(N370),MONTH(N370),1),'Additional data'!$D$2:$D$699,0))</f>
        <v>5.32</v>
      </c>
      <c r="T370" s="115">
        <f t="shared" si="62"/>
        <v>-8.420118514696906E-2</v>
      </c>
      <c r="U370" s="115">
        <f t="shared" si="63"/>
        <v>3.5367143837291337E-2</v>
      </c>
      <c r="V370" s="115">
        <f t="shared" si="66"/>
        <v>-7.4911889116400232E-3</v>
      </c>
      <c r="W370" s="116">
        <f t="shared" si="64"/>
        <v>0.36000000000000032</v>
      </c>
      <c r="X370" s="115">
        <f t="shared" si="67"/>
        <v>-0.33887470291490907</v>
      </c>
      <c r="Y370" s="115">
        <f t="shared" si="68"/>
        <v>0.25745250047058033</v>
      </c>
      <c r="Z370" s="115">
        <f t="shared" si="70"/>
        <v>9.5747819896399022E-3</v>
      </c>
      <c r="AA370" s="116">
        <f t="shared" si="69"/>
        <v>-2.9999999999999361E-2</v>
      </c>
      <c r="AB370" s="115">
        <f t="shared" si="58"/>
        <v>-0.33364456546968357</v>
      </c>
      <c r="AC370" s="115">
        <f t="shared" si="59"/>
        <v>0.98188819372058411</v>
      </c>
      <c r="AD370" s="115">
        <f t="shared" si="65"/>
        <v>0.58788196033970586</v>
      </c>
      <c r="AE370" s="235">
        <f t="shared" si="60"/>
        <v>0.10000000000000053</v>
      </c>
    </row>
    <row r="371" spans="14:31" x14ac:dyDescent="0.2">
      <c r="N371" s="337">
        <v>36007</v>
      </c>
      <c r="O371" s="116">
        <f>INDEX('Additional data'!$B$2:$B$965,MATCH(DATE(YEAR(N371),MONTH(N371),1),'Additional data'!$A$2:$A$965,0))</f>
        <v>14.08</v>
      </c>
      <c r="P371" s="232">
        <f t="shared" si="61"/>
        <v>2.6447553507298962</v>
      </c>
      <c r="Q371" s="232">
        <f>Q370+LN(1+INDEX('Additional data'!$H$2:$H$1196,MATCH(N371,'Additional data'!$G$2:$G$1196,1))+INDEX('Additional data'!$I$2:$I$1196,MATCH(N371,'Additional data'!$G$2:$G$1196,1)))</f>
        <v>3.503028883910702</v>
      </c>
      <c r="R371" s="232">
        <f>LN(INDEX(Data!$B$2:$B$497,MATCH(N371,Data!$A$2:$A$497,1)))</f>
        <v>9.36970884399026</v>
      </c>
      <c r="S371" s="116">
        <f>INDEX('Additional data'!$E$2:$E$699,MATCH(DATE(YEAR(N371),MONTH(N371),1),'Additional data'!$D$2:$D$699,0))</f>
        <v>5.17</v>
      </c>
      <c r="T371" s="115">
        <f t="shared" si="62"/>
        <v>3.0283496587252046E-2</v>
      </c>
      <c r="U371" s="115">
        <f t="shared" si="63"/>
        <v>-2.0406809777662627E-2</v>
      </c>
      <c r="V371" s="115">
        <f t="shared" si="66"/>
        <v>1.5822394171529197E-2</v>
      </c>
      <c r="W371" s="116">
        <f t="shared" si="64"/>
        <v>-0.15000000000000036</v>
      </c>
      <c r="X371" s="115">
        <f t="shared" si="67"/>
        <v>-0.33230365755847346</v>
      </c>
      <c r="Y371" s="115">
        <f t="shared" si="68"/>
        <v>0.16249495942862158</v>
      </c>
      <c r="Z371" s="115">
        <f t="shared" si="70"/>
        <v>2.4470513566118512E-2</v>
      </c>
      <c r="AA371" s="116">
        <f t="shared" si="69"/>
        <v>-2.0000000000000462E-2</v>
      </c>
      <c r="AB371" s="115">
        <f t="shared" si="58"/>
        <v>-0.23814411454975115</v>
      </c>
      <c r="AC371" s="115">
        <f t="shared" si="59"/>
        <v>0.96248188427650483</v>
      </c>
      <c r="AD371" s="115">
        <f t="shared" si="65"/>
        <v>0.54542809049831931</v>
      </c>
      <c r="AE371" s="235">
        <f t="shared" si="60"/>
        <v>0.12000000000000011</v>
      </c>
    </row>
    <row r="372" spans="14:31" x14ac:dyDescent="0.2">
      <c r="N372" s="337">
        <v>36038</v>
      </c>
      <c r="O372" s="116">
        <f>INDEX('Additional data'!$B$2:$B$965,MATCH(DATE(YEAR(N372),MONTH(N372),1),'Additional data'!$A$2:$A$965,0))</f>
        <v>13.36</v>
      </c>
      <c r="P372" s="232">
        <f t="shared" si="61"/>
        <v>2.5922651681084998</v>
      </c>
      <c r="Q372" s="232">
        <f>Q371+LN(1+INDEX('Additional data'!$H$2:$H$1196,MATCH(N372,'Additional data'!$G$2:$G$1196,1))+INDEX('Additional data'!$I$2:$I$1196,MATCH(N372,'Additional data'!$G$2:$G$1196,1)))</f>
        <v>3.3331891046188034</v>
      </c>
      <c r="R372" s="232">
        <f>LN(INDEX(Data!$B$2:$B$497,MATCH(N372,Data!$A$2:$A$497,1)))</f>
        <v>9.2794745668098528</v>
      </c>
      <c r="S372" s="116">
        <f>INDEX('Additional data'!$E$2:$E$699,MATCH(DATE(YEAR(N372),MONTH(N372),1),'Additional data'!$D$2:$D$699,0))</f>
        <v>5.19</v>
      </c>
      <c r="T372" s="115">
        <f t="shared" si="62"/>
        <v>-5.2490182621396375E-2</v>
      </c>
      <c r="U372" s="115">
        <f t="shared" si="63"/>
        <v>-0.16983977929189864</v>
      </c>
      <c r="V372" s="115">
        <f t="shared" si="66"/>
        <v>-9.0234277180407219E-2</v>
      </c>
      <c r="W372" s="116">
        <f t="shared" si="64"/>
        <v>2.0000000000000462E-2</v>
      </c>
      <c r="X372" s="115">
        <f t="shared" si="67"/>
        <v>-0.39996096611620358</v>
      </c>
      <c r="Y372" s="115">
        <f t="shared" si="68"/>
        <v>3.0253210552041221E-2</v>
      </c>
      <c r="Z372" s="115">
        <f t="shared" si="70"/>
        <v>-1.3118376982768964E-2</v>
      </c>
      <c r="AA372" s="116">
        <f t="shared" si="69"/>
        <v>0.29000000000000004</v>
      </c>
      <c r="AB372" s="115">
        <f t="shared" si="58"/>
        <v>-0.29860646482931585</v>
      </c>
      <c r="AC372" s="115">
        <f t="shared" si="59"/>
        <v>0.75370989498281871</v>
      </c>
      <c r="AD372" s="115">
        <f t="shared" si="65"/>
        <v>0.38796299628228859</v>
      </c>
      <c r="AE372" s="235">
        <f t="shared" si="60"/>
        <v>0.41000000000000014</v>
      </c>
    </row>
    <row r="373" spans="14:31" x14ac:dyDescent="0.2">
      <c r="N373" s="337">
        <v>36068</v>
      </c>
      <c r="O373" s="116">
        <f>INDEX('Additional data'!$B$2:$B$965,MATCH(DATE(YEAR(N373),MONTH(N373),1),'Additional data'!$A$2:$A$965,0))</f>
        <v>14.95</v>
      </c>
      <c r="P373" s="232">
        <f t="shared" si="61"/>
        <v>2.7047112998366956</v>
      </c>
      <c r="Q373" s="232">
        <f>Q372+LN(1+INDEX('Additional data'!$H$2:$H$1196,MATCH(N373,'Additional data'!$G$2:$G$1196,1))+INDEX('Additional data'!$I$2:$I$1196,MATCH(N373,'Additional data'!$G$2:$G$1196,1)))</f>
        <v>3.3975713635480718</v>
      </c>
      <c r="R373" s="232">
        <f>LN(INDEX(Data!$B$2:$B$497,MATCH(N373,Data!$A$2:$A$497,1)))</f>
        <v>9.3152227733555915</v>
      </c>
      <c r="S373" s="116">
        <f>INDEX('Additional data'!$E$2:$E$699,MATCH(DATE(YEAR(N373),MONTH(N373),1),'Additional data'!$D$2:$D$699,0))</f>
        <v>5.03</v>
      </c>
      <c r="T373" s="115">
        <f t="shared" si="62"/>
        <v>0.11244613172819573</v>
      </c>
      <c r="U373" s="115">
        <f t="shared" si="63"/>
        <v>6.438225892926841E-2</v>
      </c>
      <c r="V373" s="115">
        <f t="shared" si="66"/>
        <v>3.5748206545738626E-2</v>
      </c>
      <c r="W373" s="116">
        <f t="shared" si="64"/>
        <v>-0.16000000000000014</v>
      </c>
      <c r="X373" s="115">
        <f t="shared" si="67"/>
        <v>-0.28046545977777892</v>
      </c>
      <c r="Y373" s="115">
        <f t="shared" si="68"/>
        <v>3.8444189831567499E-2</v>
      </c>
      <c r="Z373" s="115">
        <f t="shared" si="70"/>
        <v>-4.8319256840693825E-2</v>
      </c>
      <c r="AA373" s="116">
        <f t="shared" si="69"/>
        <v>0.26000000000000068</v>
      </c>
      <c r="AB373" s="115">
        <f t="shared" si="58"/>
        <v>-0.15828926126333709</v>
      </c>
      <c r="AC373" s="115">
        <f t="shared" si="59"/>
        <v>0.81669313299837976</v>
      </c>
      <c r="AD373" s="115">
        <f t="shared" si="65"/>
        <v>0.44164267948058544</v>
      </c>
      <c r="AE373" s="235">
        <f t="shared" si="60"/>
        <v>0.16999999999999993</v>
      </c>
    </row>
    <row r="374" spans="14:31" x14ac:dyDescent="0.2">
      <c r="N374" s="337">
        <v>36099</v>
      </c>
      <c r="O374" s="116">
        <f>INDEX('Additional data'!$B$2:$B$965,MATCH(DATE(YEAR(N374),MONTH(N374),1),'Additional data'!$A$2:$A$965,0))</f>
        <v>14.39</v>
      </c>
      <c r="P374" s="232">
        <f t="shared" si="61"/>
        <v>2.6665335208992764</v>
      </c>
      <c r="Q374" s="232">
        <f>Q373+LN(1+INDEX('Additional data'!$H$2:$H$1196,MATCH(N374,'Additional data'!$G$2:$G$1196,1))+INDEX('Additional data'!$I$2:$I$1196,MATCH(N374,'Additional data'!$G$2:$G$1196,1)))</f>
        <v>3.4680298271966334</v>
      </c>
      <c r="R374" s="232">
        <f>LN(INDEX(Data!$B$2:$B$497,MATCH(N374,Data!$A$2:$A$497,1)))</f>
        <v>9.3386720193260402</v>
      </c>
      <c r="S374" s="116">
        <f>INDEX('Additional data'!$E$2:$E$699,MATCH(DATE(YEAR(N374),MONTH(N374),1),'Additional data'!$D$2:$D$699,0))</f>
        <v>4.83</v>
      </c>
      <c r="T374" s="115">
        <f t="shared" si="62"/>
        <v>-3.8177778937419138E-2</v>
      </c>
      <c r="U374" s="115">
        <f t="shared" si="63"/>
        <v>7.0458463648561676E-2</v>
      </c>
      <c r="V374" s="115">
        <f t="shared" si="66"/>
        <v>2.3449245970448729E-2</v>
      </c>
      <c r="W374" s="116">
        <f t="shared" si="64"/>
        <v>-0.20000000000000018</v>
      </c>
      <c r="X374" s="115">
        <f t="shared" si="67"/>
        <v>-0.39029385201452538</v>
      </c>
      <c r="Y374" s="115">
        <f t="shared" si="68"/>
        <v>0.14328708034196014</v>
      </c>
      <c r="Z374" s="115">
        <f t="shared" si="70"/>
        <v>8.5310472799662307E-2</v>
      </c>
      <c r="AA374" s="116">
        <f t="shared" si="69"/>
        <v>0</v>
      </c>
      <c r="AB374" s="115">
        <f t="shared" si="58"/>
        <v>-0.23186151976575742</v>
      </c>
      <c r="AC374" s="115">
        <f t="shared" si="59"/>
        <v>0.87088462418306944</v>
      </c>
      <c r="AD374" s="115">
        <f t="shared" si="65"/>
        <v>0.38336584253631223</v>
      </c>
      <c r="AE374" s="235">
        <f t="shared" si="60"/>
        <v>2.0000000000000462E-2</v>
      </c>
    </row>
    <row r="375" spans="14:31" x14ac:dyDescent="0.2">
      <c r="N375" s="337">
        <v>36129</v>
      </c>
      <c r="O375" s="116">
        <f>INDEX('Additional data'!$B$2:$B$965,MATCH(DATE(YEAR(N375),MONTH(N375),1),'Additional data'!$A$2:$A$965,0))</f>
        <v>12.85</v>
      </c>
      <c r="P375" s="232">
        <f t="shared" si="61"/>
        <v>2.5533438113412288</v>
      </c>
      <c r="Q375" s="232">
        <f>Q374+LN(1+INDEX('Additional data'!$H$2:$H$1196,MATCH(N375,'Additional data'!$G$2:$G$1196,1))+INDEX('Additional data'!$I$2:$I$1196,MATCH(N375,'Additional data'!$G$2:$G$1196,1)))</f>
        <v>3.5298772305227137</v>
      </c>
      <c r="R375" s="232">
        <f>LN(INDEX(Data!$B$2:$B$497,MATCH(N375,Data!$A$2:$A$497,1)))</f>
        <v>9.3896992109193711</v>
      </c>
      <c r="S375" s="116">
        <f>INDEX('Additional data'!$E$2:$E$699,MATCH(DATE(YEAR(N375),MONTH(N375),1),'Additional data'!$D$2:$D$699,0))</f>
        <v>4.88</v>
      </c>
      <c r="T375" s="115">
        <f t="shared" si="62"/>
        <v>-0.11318970955804764</v>
      </c>
      <c r="U375" s="115">
        <f t="shared" si="63"/>
        <v>6.1847403326080297E-2</v>
      </c>
      <c r="V375" s="115">
        <f t="shared" si="66"/>
        <v>5.1027191593330912E-2</v>
      </c>
      <c r="W375" s="116">
        <f t="shared" si="64"/>
        <v>4.9999999999999822E-2</v>
      </c>
      <c r="X375" s="115">
        <f t="shared" si="67"/>
        <v>-0.45085254062489177</v>
      </c>
      <c r="Y375" s="115">
        <f t="shared" si="68"/>
        <v>0.17189314988823856</v>
      </c>
      <c r="Z375" s="115">
        <f t="shared" si="70"/>
        <v>0.12890339545469587</v>
      </c>
      <c r="AA375" s="116">
        <f t="shared" si="69"/>
        <v>-7.0000000000000284E-2</v>
      </c>
      <c r="AB375" s="115">
        <f t="shared" si="58"/>
        <v>-0.26200502604906672</v>
      </c>
      <c r="AC375" s="115">
        <f t="shared" si="59"/>
        <v>0.94906468213004747</v>
      </c>
      <c r="AD375" s="115">
        <f t="shared" si="65"/>
        <v>0.49059617101650588</v>
      </c>
      <c r="AE375" s="235">
        <f t="shared" si="60"/>
        <v>9.9999999999999645E-2</v>
      </c>
    </row>
    <row r="376" spans="14:31" x14ac:dyDescent="0.2">
      <c r="N376" s="337">
        <v>36160</v>
      </c>
      <c r="O376" s="116">
        <f>INDEX('Additional data'!$B$2:$B$965,MATCH(DATE(YEAR(N376),MONTH(N376),1),'Additional data'!$A$2:$A$965,0))</f>
        <v>11.28</v>
      </c>
      <c r="P376" s="232">
        <f t="shared" si="61"/>
        <v>2.4230312460699128</v>
      </c>
      <c r="Q376" s="232">
        <f>Q375+LN(1+INDEX('Additional data'!$H$2:$H$1196,MATCH(N376,'Additional data'!$G$2:$G$1196,1))+INDEX('Additional data'!$I$2:$I$1196,MATCH(N376,'Additional data'!$G$2:$G$1196,1)))</f>
        <v>3.5931336801577287</v>
      </c>
      <c r="R376" s="232">
        <f>LN(INDEX(Data!$B$2:$B$497,MATCH(N376,Data!$A$2:$A$497,1)))</f>
        <v>9.401415173764887</v>
      </c>
      <c r="S376" s="116">
        <f>INDEX('Additional data'!$E$2:$E$699,MATCH(DATE(YEAR(N376),MONTH(N376),1),'Additional data'!$D$2:$D$699,0))</f>
        <v>4.8</v>
      </c>
      <c r="T376" s="115">
        <f t="shared" si="62"/>
        <v>-0.13031256527131596</v>
      </c>
      <c r="U376" s="115">
        <f t="shared" si="63"/>
        <v>6.3256449635014977E-2</v>
      </c>
      <c r="V376" s="115">
        <f t="shared" si="66"/>
        <v>1.1715962845515904E-2</v>
      </c>
      <c r="W376" s="116">
        <f t="shared" si="64"/>
        <v>-8.0000000000000071E-2</v>
      </c>
      <c r="X376" s="115">
        <f t="shared" si="67"/>
        <v>-0.48496211317607152</v>
      </c>
      <c r="Y376" s="115">
        <f t="shared" si="68"/>
        <v>0.21721145439224054</v>
      </c>
      <c r="Z376" s="115">
        <f t="shared" si="70"/>
        <v>8.1386663811155557E-2</v>
      </c>
      <c r="AA376" s="116">
        <f t="shared" si="69"/>
        <v>-0.27000000000000046</v>
      </c>
      <c r="AB376" s="115">
        <f t="shared" si="58"/>
        <v>-0.25180682082618366</v>
      </c>
      <c r="AC376" s="115">
        <f t="shared" si="59"/>
        <v>0.99369566764189754</v>
      </c>
      <c r="AD376" s="115">
        <f t="shared" si="65"/>
        <v>0.41964555374986823</v>
      </c>
      <c r="AE376" s="235">
        <f t="shared" si="60"/>
        <v>-2.0000000000000462E-2</v>
      </c>
    </row>
    <row r="377" spans="14:31" x14ac:dyDescent="0.2">
      <c r="N377" s="337">
        <v>36191</v>
      </c>
      <c r="O377" s="116">
        <f>INDEX('Additional data'!$B$2:$B$965,MATCH(DATE(YEAR(N377),MONTH(N377),1),'Additional data'!$A$2:$A$965,0))</f>
        <v>12.47</v>
      </c>
      <c r="P377" s="232">
        <f t="shared" si="61"/>
        <v>2.5233257596919452</v>
      </c>
      <c r="Q377" s="232">
        <f>Q376+LN(1+INDEX('Additional data'!$H$2:$H$1196,MATCH(N377,'Additional data'!$G$2:$G$1196,1))+INDEX('Additional data'!$I$2:$I$1196,MATCH(N377,'Additional data'!$G$2:$G$1196,1)))</f>
        <v>3.6307184404849999</v>
      </c>
      <c r="R377" s="232">
        <f>LN(INDEX(Data!$B$2:$B$497,MATCH(N377,Data!$A$2:$A$497,1)))</f>
        <v>9.4214518270665533</v>
      </c>
      <c r="S377" s="116">
        <f>INDEX('Additional data'!$E$2:$E$699,MATCH(DATE(YEAR(N377),MONTH(N377),1),'Additional data'!$D$2:$D$699,0))</f>
        <v>4.79</v>
      </c>
      <c r="T377" s="115">
        <f t="shared" si="62"/>
        <v>0.10029451362203234</v>
      </c>
      <c r="U377" s="115">
        <f t="shared" si="63"/>
        <v>3.7584760327271205E-2</v>
      </c>
      <c r="V377" s="115">
        <f t="shared" si="66"/>
        <v>2.0036653301666263E-2</v>
      </c>
      <c r="W377" s="116">
        <f t="shared" si="64"/>
        <v>-9.9999999999997868E-3</v>
      </c>
      <c r="X377" s="115">
        <f t="shared" si="67"/>
        <v>-0.29268158291535729</v>
      </c>
      <c r="Y377" s="115">
        <f t="shared" si="68"/>
        <v>0.24901296996378441</v>
      </c>
      <c r="Z377" s="115">
        <f t="shared" si="70"/>
        <v>8.8973471555732431E-2</v>
      </c>
      <c r="AA377" s="116">
        <f t="shared" si="69"/>
        <v>-0.20000000000000018</v>
      </c>
      <c r="AB377" s="115">
        <f t="shared" si="58"/>
        <v>-0.18472444141026489</v>
      </c>
      <c r="AC377" s="115">
        <f t="shared" si="59"/>
        <v>1.0005572553263282</v>
      </c>
      <c r="AD377" s="115">
        <f t="shared" si="65"/>
        <v>0.37869022283017806</v>
      </c>
      <c r="AE377" s="235">
        <f t="shared" si="60"/>
        <v>-1.9999999999999574E-2</v>
      </c>
    </row>
    <row r="378" spans="14:31" x14ac:dyDescent="0.2">
      <c r="N378" s="337">
        <v>36219</v>
      </c>
      <c r="O378" s="116">
        <f>INDEX('Additional data'!$B$2:$B$965,MATCH(DATE(YEAR(N378),MONTH(N378),1),'Additional data'!$A$2:$A$965,0))</f>
        <v>12.01</v>
      </c>
      <c r="P378" s="232">
        <f t="shared" si="61"/>
        <v>2.4857396360918922</v>
      </c>
      <c r="Q378" s="232">
        <f>Q377+LN(1+INDEX('Additional data'!$H$2:$H$1196,MATCH(N378,'Additional data'!$G$2:$G$1196,1))+INDEX('Additional data'!$I$2:$I$1196,MATCH(N378,'Additional data'!$G$2:$G$1196,1)))</f>
        <v>3.5927049982867838</v>
      </c>
      <c r="R378" s="232">
        <f>LN(INDEX(Data!$B$2:$B$497,MATCH(N378,Data!$A$2:$A$497,1)))</f>
        <v>9.4210550032713556</v>
      </c>
      <c r="S378" s="116">
        <f>INDEX('Additional data'!$E$2:$E$699,MATCH(DATE(YEAR(N378),MONTH(N378),1),'Additional data'!$D$2:$D$699,0))</f>
        <v>4.7699999999999996</v>
      </c>
      <c r="T378" s="115">
        <f t="shared" si="62"/>
        <v>-3.7586123600052979E-2</v>
      </c>
      <c r="U378" s="115">
        <f t="shared" si="63"/>
        <v>-3.8013442198216119E-2</v>
      </c>
      <c r="V378" s="115">
        <f t="shared" si="66"/>
        <v>-3.9682379519767608E-4</v>
      </c>
      <c r="W378" s="116">
        <f t="shared" si="64"/>
        <v>-2.0000000000000462E-2</v>
      </c>
      <c r="X378" s="115">
        <f t="shared" si="67"/>
        <v>-0.29059207242672347</v>
      </c>
      <c r="Y378" s="115">
        <f t="shared" si="68"/>
        <v>0.13942332927634649</v>
      </c>
      <c r="Z378" s="115">
        <f t="shared" si="70"/>
        <v>7.7749649050728564E-2</v>
      </c>
      <c r="AA378" s="116">
        <f t="shared" si="69"/>
        <v>-0.20000000000000018</v>
      </c>
      <c r="AB378" s="115">
        <f t="shared" si="58"/>
        <v>-0.2075352794281633</v>
      </c>
      <c r="AC378" s="115">
        <f t="shared" si="59"/>
        <v>0.98622194048268907</v>
      </c>
      <c r="AD378" s="115">
        <f t="shared" si="65"/>
        <v>0.43715109831017607</v>
      </c>
      <c r="AE378" s="235">
        <f t="shared" si="60"/>
        <v>-3.0000000000000249E-2</v>
      </c>
    </row>
    <row r="379" spans="14:31" x14ac:dyDescent="0.2">
      <c r="N379" s="337">
        <v>36250</v>
      </c>
      <c r="O379" s="116">
        <f>INDEX('Additional data'!$B$2:$B$965,MATCH(DATE(YEAR(N379),MONTH(N379),1),'Additional data'!$A$2:$A$965,0))</f>
        <v>14.66</v>
      </c>
      <c r="P379" s="232">
        <f t="shared" si="61"/>
        <v>2.6851226964585053</v>
      </c>
      <c r="Q379" s="232">
        <f>Q378+LN(1+INDEX('Additional data'!$H$2:$H$1196,MATCH(N379,'Additional data'!$G$2:$G$1196,1))+INDEX('Additional data'!$I$2:$I$1196,MATCH(N379,'Additional data'!$G$2:$G$1196,1)))</f>
        <v>3.6310599521632478</v>
      </c>
      <c r="R379" s="232">
        <f>LN(INDEX(Data!$B$2:$B$497,MATCH(N379,Data!$A$2:$A$497,1)))</f>
        <v>9.4627786129873854</v>
      </c>
      <c r="S379" s="116">
        <f>INDEX('Additional data'!$E$2:$E$699,MATCH(DATE(YEAR(N379),MONTH(N379),1),'Additional data'!$D$2:$D$699,0))</f>
        <v>4.8099999999999996</v>
      </c>
      <c r="T379" s="115">
        <f t="shared" si="62"/>
        <v>0.19938306036661313</v>
      </c>
      <c r="U379" s="115">
        <f t="shared" si="63"/>
        <v>3.8354953876464037E-2</v>
      </c>
      <c r="V379" s="115">
        <f t="shared" si="66"/>
        <v>4.1723609716029841E-2</v>
      </c>
      <c r="W379" s="116">
        <f t="shared" si="64"/>
        <v>4.0000000000000036E-2</v>
      </c>
      <c r="X379" s="115">
        <f t="shared" si="67"/>
        <v>-2.4259949877483145E-2</v>
      </c>
      <c r="Y379" s="115">
        <f t="shared" si="68"/>
        <v>0.12756056699219309</v>
      </c>
      <c r="Z379" s="115">
        <f t="shared" si="70"/>
        <v>9.2890721783602359E-2</v>
      </c>
      <c r="AA379" s="116">
        <f t="shared" si="69"/>
        <v>-0.15000000000000036</v>
      </c>
      <c r="AB379" s="115">
        <f t="shared" si="58"/>
        <v>0</v>
      </c>
      <c r="AC379" s="115">
        <f t="shared" si="59"/>
        <v>1.0708302788766151</v>
      </c>
      <c r="AD379" s="115">
        <f t="shared" si="65"/>
        <v>0.53805577941410476</v>
      </c>
      <c r="AE379" s="235">
        <f t="shared" si="60"/>
        <v>-7.0000000000000284E-2</v>
      </c>
    </row>
    <row r="380" spans="14:31" x14ac:dyDescent="0.2">
      <c r="N380" s="337">
        <v>36280</v>
      </c>
      <c r="O380" s="116">
        <f>INDEX('Additional data'!$B$2:$B$965,MATCH(DATE(YEAR(N380),MONTH(N380),1),'Additional data'!$A$2:$A$965,0))</f>
        <v>17.34</v>
      </c>
      <c r="P380" s="232">
        <f t="shared" si="61"/>
        <v>2.8530159713523959</v>
      </c>
      <c r="Q380" s="232">
        <f>Q379+LN(1+INDEX('Additional data'!$H$2:$H$1196,MATCH(N380,'Additional data'!$G$2:$G$1196,1))+INDEX('Additional data'!$I$2:$I$1196,MATCH(N380,'Additional data'!$G$2:$G$1196,1)))</f>
        <v>3.6770843904745272</v>
      </c>
      <c r="R380" s="232">
        <f>LN(INDEX(Data!$B$2:$B$497,MATCH(N380,Data!$A$2:$A$497,1)))</f>
        <v>9.5233611896930679</v>
      </c>
      <c r="S380" s="116">
        <f>INDEX('Additional data'!$E$2:$E$699,MATCH(DATE(YEAR(N380),MONTH(N380),1),'Additional data'!$D$2:$D$699,0))</f>
        <v>4.76</v>
      </c>
      <c r="T380" s="115">
        <f t="shared" si="62"/>
        <v>0.16789327489389061</v>
      </c>
      <c r="U380" s="115">
        <f t="shared" si="63"/>
        <v>4.6024438311279336E-2</v>
      </c>
      <c r="V380" s="115">
        <f t="shared" si="66"/>
        <v>6.0582576705682456E-2</v>
      </c>
      <c r="W380" s="116">
        <f t="shared" si="64"/>
        <v>-4.9999999999999822E-2</v>
      </c>
      <c r="X380" s="115">
        <f t="shared" si="67"/>
        <v>0.11605442675576594</v>
      </c>
      <c r="Y380" s="115">
        <f t="shared" si="68"/>
        <v>0.16195292107376469</v>
      </c>
      <c r="Z380" s="115">
        <f t="shared" si="70"/>
        <v>0.14265376545781194</v>
      </c>
      <c r="AA380" s="116">
        <f t="shared" si="69"/>
        <v>-0.16000000000000014</v>
      </c>
      <c r="AB380" s="115">
        <f t="shared" si="58"/>
        <v>5.6954892927472578E-2</v>
      </c>
      <c r="AC380" s="115">
        <f t="shared" si="59"/>
        <v>1.1073995584171397</v>
      </c>
      <c r="AD380" s="115">
        <f t="shared" si="65"/>
        <v>0.5853020935926434</v>
      </c>
      <c r="AE380" s="235">
        <f t="shared" si="60"/>
        <v>-0.16000000000000014</v>
      </c>
    </row>
    <row r="381" spans="14:31" x14ac:dyDescent="0.2">
      <c r="N381" s="337">
        <v>36311</v>
      </c>
      <c r="O381" s="116">
        <f>INDEX('Additional data'!$B$2:$B$965,MATCH(DATE(YEAR(N381),MONTH(N381),1),'Additional data'!$A$2:$A$965,0))</f>
        <v>17.75</v>
      </c>
      <c r="P381" s="232">
        <f t="shared" si="61"/>
        <v>2.8763855159214247</v>
      </c>
      <c r="Q381" s="232">
        <f>Q380+LN(1+INDEX('Additional data'!$H$2:$H$1196,MATCH(N381,'Additional data'!$G$2:$G$1196,1))+INDEX('Additional data'!$I$2:$I$1196,MATCH(N381,'Additional data'!$G$2:$G$1196,1)))</f>
        <v>3.6556564430609066</v>
      </c>
      <c r="R381" s="232">
        <f>LN(INDEX(Data!$B$2:$B$497,MATCH(N381,Data!$A$2:$A$497,1)))</f>
        <v>9.4588553298382543</v>
      </c>
      <c r="S381" s="116">
        <f>INDEX('Additional data'!$E$2:$E$699,MATCH(DATE(YEAR(N381),MONTH(N381),1),'Additional data'!$D$2:$D$699,0))</f>
        <v>4.8600000000000003</v>
      </c>
      <c r="T381" s="115">
        <f t="shared" si="62"/>
        <v>2.3369544569028733E-2</v>
      </c>
      <c r="U381" s="115">
        <f t="shared" si="63"/>
        <v>-2.1427947413620529E-2</v>
      </c>
      <c r="V381" s="115">
        <f t="shared" si="66"/>
        <v>-6.4505859854813608E-2</v>
      </c>
      <c r="W381" s="116">
        <f t="shared" si="64"/>
        <v>0.10000000000000053</v>
      </c>
      <c r="X381" s="115">
        <f t="shared" si="67"/>
        <v>0.17771247663181144</v>
      </c>
      <c r="Y381" s="115">
        <f t="shared" si="68"/>
        <v>0.16758789320983336</v>
      </c>
      <c r="Z381" s="115">
        <f t="shared" si="70"/>
        <v>9.7477691107883402E-2</v>
      </c>
      <c r="AA381" s="116">
        <f t="shared" si="69"/>
        <v>-9.9999999999999645E-2</v>
      </c>
      <c r="AB381" s="115">
        <f t="shared" si="58"/>
        <v>-7.2972538239435281E-3</v>
      </c>
      <c r="AC381" s="115">
        <f t="shared" si="59"/>
        <v>1.077011869632047</v>
      </c>
      <c r="AD381" s="115">
        <f t="shared" si="65"/>
        <v>0.50841326530235875</v>
      </c>
      <c r="AE381" s="235">
        <f t="shared" si="60"/>
        <v>1.0000000000000675E-2</v>
      </c>
    </row>
    <row r="382" spans="14:31" x14ac:dyDescent="0.2">
      <c r="N382" s="337">
        <v>36341</v>
      </c>
      <c r="O382" s="116">
        <f>INDEX('Additional data'!$B$2:$B$965,MATCH(DATE(YEAR(N382),MONTH(N382),1),'Additional data'!$A$2:$A$965,0))</f>
        <v>17.89</v>
      </c>
      <c r="P382" s="232">
        <f t="shared" si="61"/>
        <v>2.8842418975206279</v>
      </c>
      <c r="Q382" s="232">
        <f>Q381+LN(1+INDEX('Additional data'!$H$2:$H$1196,MATCH(N382,'Additional data'!$G$2:$G$1196,1))+INDEX('Additional data'!$I$2:$I$1196,MATCH(N382,'Additional data'!$G$2:$G$1196,1)))</f>
        <v>3.7060643456047524</v>
      </c>
      <c r="R382" s="232">
        <f>LN(INDEX(Data!$B$2:$B$497,MATCH(N382,Data!$A$2:$A$497,1)))</f>
        <v>9.4861143233535916</v>
      </c>
      <c r="S382" s="116">
        <f>INDEX('Additional data'!$E$2:$E$699,MATCH(DATE(YEAR(N382),MONTH(N382),1),'Additional data'!$D$2:$D$699,0))</f>
        <v>4.93</v>
      </c>
      <c r="T382" s="115">
        <f t="shared" si="62"/>
        <v>7.8563815992032104E-3</v>
      </c>
      <c r="U382" s="115">
        <f t="shared" si="63"/>
        <v>5.0407902543845751E-2</v>
      </c>
      <c r="V382" s="115">
        <f t="shared" si="66"/>
        <v>2.7258993515337337E-2</v>
      </c>
      <c r="W382" s="116">
        <f t="shared" si="64"/>
        <v>6.9999999999999396E-2</v>
      </c>
      <c r="X382" s="115">
        <f t="shared" si="67"/>
        <v>0.26977004337798371</v>
      </c>
      <c r="Y382" s="115">
        <f t="shared" si="68"/>
        <v>0.18262865191638777</v>
      </c>
      <c r="Z382" s="115">
        <f t="shared" si="70"/>
        <v>0.13222787353486076</v>
      </c>
      <c r="AA382" s="116">
        <f t="shared" si="69"/>
        <v>-0.39000000000000057</v>
      </c>
      <c r="AB382" s="115">
        <f t="shared" si="58"/>
        <v>-6.3874522091699859E-2</v>
      </c>
      <c r="AC382" s="115">
        <f t="shared" si="59"/>
        <v>1.1550993412826349</v>
      </c>
      <c r="AD382" s="115">
        <f t="shared" si="65"/>
        <v>0.57585254416574116</v>
      </c>
      <c r="AE382" s="235">
        <f t="shared" si="60"/>
        <v>-0.19000000000000039</v>
      </c>
    </row>
    <row r="383" spans="14:31" x14ac:dyDescent="0.2">
      <c r="N383" s="337">
        <v>36372</v>
      </c>
      <c r="O383" s="116">
        <f>INDEX('Additional data'!$B$2:$B$965,MATCH(DATE(YEAR(N383),MONTH(N383),1),'Additional data'!$A$2:$A$965,0))</f>
        <v>20.07</v>
      </c>
      <c r="P383" s="232">
        <f t="shared" si="61"/>
        <v>2.9992261628082466</v>
      </c>
      <c r="Q383" s="232">
        <f>Q382+LN(1+INDEX('Additional data'!$H$2:$H$1196,MATCH(N383,'Additional data'!$G$2:$G$1196,1))+INDEX('Additional data'!$I$2:$I$1196,MATCH(N383,'Additional data'!$G$2:$G$1196,1)))</f>
        <v>3.6744704740135736</v>
      </c>
      <c r="R383" s="232">
        <f>LN(INDEX(Data!$B$2:$B$497,MATCH(N383,Data!$A$2:$A$497,1)))</f>
        <v>9.5038901954558472</v>
      </c>
      <c r="S383" s="116">
        <f>INDEX('Additional data'!$E$2:$E$699,MATCH(DATE(YEAR(N383),MONTH(N383),1),'Additional data'!$D$2:$D$699,0))</f>
        <v>4.8899999999999997</v>
      </c>
      <c r="T383" s="115">
        <f t="shared" si="62"/>
        <v>0.11498426528761874</v>
      </c>
      <c r="U383" s="115">
        <f t="shared" si="63"/>
        <v>-3.1593871591178768E-2</v>
      </c>
      <c r="V383" s="115">
        <f t="shared" si="66"/>
        <v>1.7775872102255619E-2</v>
      </c>
      <c r="W383" s="116">
        <f t="shared" si="64"/>
        <v>-4.0000000000000036E-2</v>
      </c>
      <c r="X383" s="115">
        <f t="shared" si="67"/>
        <v>0.35447081207835041</v>
      </c>
      <c r="Y383" s="115">
        <f t="shared" si="68"/>
        <v>0.17144159010287163</v>
      </c>
      <c r="Z383" s="115">
        <f t="shared" si="70"/>
        <v>0.13418135146558718</v>
      </c>
      <c r="AA383" s="116">
        <f t="shared" si="69"/>
        <v>-0.28000000000000025</v>
      </c>
      <c r="AB383" s="115">
        <f t="shared" si="58"/>
        <v>2.1148824492976281E-2</v>
      </c>
      <c r="AC383" s="115">
        <f t="shared" si="59"/>
        <v>1.0929762646566332</v>
      </c>
      <c r="AD383" s="115">
        <f t="shared" si="65"/>
        <v>0.55677345709907122</v>
      </c>
      <c r="AE383" s="235">
        <f t="shared" si="60"/>
        <v>-0.52000000000000046</v>
      </c>
    </row>
    <row r="384" spans="14:31" x14ac:dyDescent="0.2">
      <c r="N384" s="337">
        <v>36403</v>
      </c>
      <c r="O384" s="116">
        <f>INDEX('Additional data'!$B$2:$B$965,MATCH(DATE(YEAR(N384),MONTH(N384),1),'Additional data'!$A$2:$A$965,0))</f>
        <v>21.26</v>
      </c>
      <c r="P384" s="232">
        <f t="shared" si="61"/>
        <v>3.0568273729138018</v>
      </c>
      <c r="Q384" s="232">
        <f>Q383+LN(1+INDEX('Additional data'!$H$2:$H$1196,MATCH(N384,'Additional data'!$G$2:$G$1196,1))+INDEX('Additional data'!$I$2:$I$1196,MATCH(N384,'Additional data'!$G$2:$G$1196,1)))</f>
        <v>3.6646221379587591</v>
      </c>
      <c r="R384" s="232">
        <f>LN(INDEX(Data!$B$2:$B$497,MATCH(N384,Data!$A$2:$A$497,1)))</f>
        <v>9.4782125171051383</v>
      </c>
      <c r="S384" s="116">
        <f>INDEX('Additional data'!$E$2:$E$699,MATCH(DATE(YEAR(N384),MONTH(N384),1),'Additional data'!$D$2:$D$699,0))</f>
        <v>4.92</v>
      </c>
      <c r="T384" s="115">
        <f t="shared" si="62"/>
        <v>5.760121010555519E-2</v>
      </c>
      <c r="U384" s="115">
        <f t="shared" si="63"/>
        <v>-9.8483360548144994E-3</v>
      </c>
      <c r="V384" s="115">
        <f t="shared" si="66"/>
        <v>-2.5677678350708888E-2</v>
      </c>
      <c r="W384" s="116">
        <f t="shared" si="64"/>
        <v>3.0000000000000249E-2</v>
      </c>
      <c r="X384" s="115">
        <f t="shared" si="67"/>
        <v>0.46456220480530197</v>
      </c>
      <c r="Y384" s="115">
        <f t="shared" si="68"/>
        <v>0.33143303333995577</v>
      </c>
      <c r="Z384" s="115">
        <f t="shared" si="70"/>
        <v>0.19873795029528551</v>
      </c>
      <c r="AA384" s="116">
        <f t="shared" si="69"/>
        <v>-0.27000000000000046</v>
      </c>
      <c r="AB384" s="115">
        <f t="shared" si="58"/>
        <v>0.14556425598626088</v>
      </c>
      <c r="AC384" s="115">
        <f t="shared" si="59"/>
        <v>1.0401642291697031</v>
      </c>
      <c r="AD384" s="115">
        <f t="shared" si="65"/>
        <v>0.50082616207792974</v>
      </c>
      <c r="AE384" s="235">
        <f t="shared" si="60"/>
        <v>-0.67999999999999972</v>
      </c>
    </row>
    <row r="385" spans="14:31" x14ac:dyDescent="0.2">
      <c r="N385" s="337">
        <v>36433</v>
      </c>
      <c r="O385" s="116">
        <f>INDEX('Additional data'!$B$2:$B$965,MATCH(DATE(YEAR(N385),MONTH(N385),1),'Additional data'!$A$2:$A$965,0))</f>
        <v>23.88</v>
      </c>
      <c r="P385" s="232">
        <f t="shared" si="61"/>
        <v>3.1730412885244013</v>
      </c>
      <c r="Q385" s="232">
        <f>Q384+LN(1+INDEX('Additional data'!$H$2:$H$1196,MATCH(N385,'Additional data'!$G$2:$G$1196,1))+INDEX('Additional data'!$I$2:$I$1196,MATCH(N385,'Additional data'!$G$2:$G$1196,1)))</f>
        <v>3.6405343424296692</v>
      </c>
      <c r="R385" s="232">
        <f>LN(INDEX(Data!$B$2:$B$497,MATCH(N385,Data!$A$2:$A$497,1)))</f>
        <v>9.4659123905097307</v>
      </c>
      <c r="S385" s="116">
        <f>INDEX('Additional data'!$E$2:$E$699,MATCH(DATE(YEAR(N385),MONTH(N385),1),'Additional data'!$D$2:$D$699,0))</f>
        <v>5.01</v>
      </c>
      <c r="T385" s="115">
        <f t="shared" si="62"/>
        <v>0.11621391561059946</v>
      </c>
      <c r="U385" s="115">
        <f t="shared" si="63"/>
        <v>-2.4087795529089906E-2</v>
      </c>
      <c r="V385" s="115">
        <f t="shared" si="66"/>
        <v>-1.230012659540769E-2</v>
      </c>
      <c r="W385" s="116">
        <f t="shared" si="64"/>
        <v>8.9999999999999858E-2</v>
      </c>
      <c r="X385" s="115">
        <f t="shared" si="67"/>
        <v>0.4683299886877057</v>
      </c>
      <c r="Y385" s="115">
        <f t="shared" si="68"/>
        <v>0.24296297888159746</v>
      </c>
      <c r="Z385" s="115">
        <f t="shared" si="70"/>
        <v>0.1506896171541392</v>
      </c>
      <c r="AA385" s="116">
        <f t="shared" si="69"/>
        <v>-2.0000000000000462E-2</v>
      </c>
      <c r="AB385" s="115">
        <f t="shared" ref="AB385:AB448" si="71">P385-P325</f>
        <v>0.31312873811294528</v>
      </c>
      <c r="AC385" s="115">
        <f t="shared" ref="AC385:AC448" si="72">Q385-Q325</f>
        <v>1.0353611950524804</v>
      </c>
      <c r="AD385" s="115">
        <f t="shared" si="65"/>
        <v>0.53106205021996722</v>
      </c>
      <c r="AE385" s="235">
        <f t="shared" ref="AE385:AE448" si="73">S385-S325</f>
        <v>-0.91999999999999993</v>
      </c>
    </row>
    <row r="386" spans="14:31" x14ac:dyDescent="0.2">
      <c r="N386" s="337">
        <v>36464</v>
      </c>
      <c r="O386" s="116">
        <f>INDEX('Additional data'!$B$2:$B$965,MATCH(DATE(YEAR(N386),MONTH(N386),1),'Additional data'!$A$2:$A$965,0))</f>
        <v>22.64</v>
      </c>
      <c r="P386" s="232">
        <f t="shared" si="61"/>
        <v>3.1197182533349821</v>
      </c>
      <c r="Q386" s="232">
        <f>Q385+LN(1+INDEX('Additional data'!$H$2:$H$1196,MATCH(N386,'Additional data'!$G$2:$G$1196,1))+INDEX('Additional data'!$I$2:$I$1196,MATCH(N386,'Additional data'!$G$2:$G$1196,1)))</f>
        <v>3.7033213305284338</v>
      </c>
      <c r="R386" s="232">
        <f>LN(INDEX(Data!$B$2:$B$497,MATCH(N386,Data!$A$2:$A$497,1)))</f>
        <v>9.4708336564825064</v>
      </c>
      <c r="S386" s="116">
        <f>INDEX('Additional data'!$E$2:$E$699,MATCH(DATE(YEAR(N386),MONTH(N386),1),'Additional data'!$D$2:$D$699,0))</f>
        <v>5.31</v>
      </c>
      <c r="T386" s="115">
        <f t="shared" si="62"/>
        <v>-5.3323035189419166E-2</v>
      </c>
      <c r="U386" s="115">
        <f t="shared" si="63"/>
        <v>6.2786988098764596E-2</v>
      </c>
      <c r="V386" s="115">
        <f t="shared" si="66"/>
        <v>4.9212659727757568E-3</v>
      </c>
      <c r="W386" s="116">
        <f t="shared" si="64"/>
        <v>0.29999999999999982</v>
      </c>
      <c r="X386" s="115">
        <f t="shared" si="67"/>
        <v>0.45318473243570567</v>
      </c>
      <c r="Y386" s="115">
        <f t="shared" si="68"/>
        <v>0.23529150333180038</v>
      </c>
      <c r="Z386" s="115">
        <f t="shared" si="70"/>
        <v>0.13216163715646623</v>
      </c>
      <c r="AA386" s="116">
        <f t="shared" si="69"/>
        <v>0.47999999999999954</v>
      </c>
      <c r="AB386" s="115">
        <f t="shared" si="71"/>
        <v>0.24558880154023965</v>
      </c>
      <c r="AC386" s="115">
        <f t="shared" si="72"/>
        <v>1.0809961243336792</v>
      </c>
      <c r="AD386" s="115">
        <f t="shared" si="65"/>
        <v>0.52555317892182529</v>
      </c>
      <c r="AE386" s="235">
        <f t="shared" si="73"/>
        <v>-1.1400000000000006</v>
      </c>
    </row>
    <row r="387" spans="14:31" x14ac:dyDescent="0.2">
      <c r="N387" s="337">
        <v>36494</v>
      </c>
      <c r="O387" s="116">
        <f>INDEX('Additional data'!$B$2:$B$965,MATCH(DATE(YEAR(N387),MONTH(N387),1),'Additional data'!$A$2:$A$965,0))</f>
        <v>24.97</v>
      </c>
      <c r="P387" s="232">
        <f t="shared" si="61"/>
        <v>3.2176751042916818</v>
      </c>
      <c r="Q387" s="232">
        <f>Q386+LN(1+INDEX('Additional data'!$H$2:$H$1196,MATCH(N387,'Additional data'!$G$2:$G$1196,1))+INDEX('Additional data'!$I$2:$I$1196,MATCH(N387,'Additional data'!$G$2:$G$1196,1)))</f>
        <v>3.7403280561575296</v>
      </c>
      <c r="R387" s="232">
        <f>LN(INDEX(Data!$B$2:$B$497,MATCH(N387,Data!$A$2:$A$497,1)))</f>
        <v>9.5233100019547123</v>
      </c>
      <c r="S387" s="116">
        <f>INDEX('Additional data'!$E$2:$E$699,MATCH(DATE(YEAR(N387),MONTH(N387),1),'Additional data'!$D$2:$D$699,0))</f>
        <v>5.44</v>
      </c>
      <c r="T387" s="115">
        <f t="shared" si="62"/>
        <v>9.7956850956699704E-2</v>
      </c>
      <c r="U387" s="115">
        <f t="shared" si="63"/>
        <v>3.7006725629095794E-2</v>
      </c>
      <c r="V387" s="115">
        <f t="shared" si="66"/>
        <v>5.2476345472205921E-2</v>
      </c>
      <c r="W387" s="116">
        <f t="shared" si="64"/>
        <v>0.13000000000000078</v>
      </c>
      <c r="X387" s="115">
        <f t="shared" si="67"/>
        <v>0.66433129295045301</v>
      </c>
      <c r="Y387" s="115">
        <f t="shared" si="68"/>
        <v>0.21045082563481587</v>
      </c>
      <c r="Z387" s="115">
        <f t="shared" si="70"/>
        <v>0.13361079103534124</v>
      </c>
      <c r="AA387" s="116">
        <f t="shared" si="69"/>
        <v>0.5600000000000005</v>
      </c>
      <c r="AB387" s="115">
        <f t="shared" si="71"/>
        <v>0.32176316601990163</v>
      </c>
      <c r="AC387" s="115">
        <f t="shared" si="72"/>
        <v>1.1552894347487914</v>
      </c>
      <c r="AD387" s="115">
        <f t="shared" si="65"/>
        <v>0.65118738913820451</v>
      </c>
      <c r="AE387" s="235">
        <f t="shared" si="73"/>
        <v>-1.7199999999999998</v>
      </c>
    </row>
    <row r="388" spans="14:31" x14ac:dyDescent="0.2">
      <c r="N388" s="337">
        <v>36525</v>
      </c>
      <c r="O388" s="116">
        <f>INDEX('Additional data'!$B$2:$B$965,MATCH(DATE(YEAR(N388),MONTH(N388),1),'Additional data'!$A$2:$A$965,0))</f>
        <v>26.08</v>
      </c>
      <c r="P388" s="232">
        <f t="shared" si="61"/>
        <v>3.2611687370584521</v>
      </c>
      <c r="Q388" s="232">
        <f>Q387+LN(1+INDEX('Additional data'!$H$2:$H$1196,MATCH(N388,'Additional data'!$G$2:$G$1196,1))+INDEX('Additional data'!$I$2:$I$1196,MATCH(N388,'Additional data'!$G$2:$G$1196,1)))</f>
        <v>3.8182145948146009</v>
      </c>
      <c r="R388" s="232">
        <f>LN(INDEX(Data!$B$2:$B$497,MATCH(N388,Data!$A$2:$A$497,1)))</f>
        <v>9.5778474360953982</v>
      </c>
      <c r="S388" s="116">
        <f>INDEX('Additional data'!$E$2:$E$699,MATCH(DATE(YEAR(N388),MONTH(N388),1),'Additional data'!$D$2:$D$699,0))</f>
        <v>5.65</v>
      </c>
      <c r="T388" s="115">
        <f t="shared" si="62"/>
        <v>4.3493632766770318E-2</v>
      </c>
      <c r="U388" s="115">
        <f t="shared" si="63"/>
        <v>7.7886538657071291E-2</v>
      </c>
      <c r="V388" s="115">
        <f t="shared" si="66"/>
        <v>5.4537434140685903E-2</v>
      </c>
      <c r="W388" s="116">
        <f t="shared" si="64"/>
        <v>0.20999999999999996</v>
      </c>
      <c r="X388" s="115">
        <f t="shared" si="67"/>
        <v>0.83813749098853929</v>
      </c>
      <c r="Y388" s="115">
        <f t="shared" si="68"/>
        <v>0.22508091465687219</v>
      </c>
      <c r="Z388" s="115">
        <f t="shared" si="70"/>
        <v>0.17643226233051124</v>
      </c>
      <c r="AA388" s="116">
        <f t="shared" si="69"/>
        <v>0.85000000000000053</v>
      </c>
      <c r="AB388" s="115">
        <f t="shared" si="71"/>
        <v>0.41858764299863571</v>
      </c>
      <c r="AC388" s="115">
        <f t="shared" si="72"/>
        <v>1.2202597481393167</v>
      </c>
      <c r="AD388" s="115">
        <f t="shared" si="65"/>
        <v>0.68830479024887303</v>
      </c>
      <c r="AE388" s="235">
        <f t="shared" si="73"/>
        <v>-2.2999999999999998</v>
      </c>
    </row>
    <row r="389" spans="14:31" x14ac:dyDescent="0.2">
      <c r="N389" s="337">
        <v>36556</v>
      </c>
      <c r="O389" s="116">
        <f>INDEX('Additional data'!$B$2:$B$965,MATCH(DATE(YEAR(N389),MONTH(N389),1),'Additional data'!$A$2:$A$965,0))</f>
        <v>27.18</v>
      </c>
      <c r="P389" s="232">
        <f t="shared" ref="P389:P452" si="74">LN(O389)</f>
        <v>3.3024814087229974</v>
      </c>
      <c r="Q389" s="232">
        <f>Q388+LN(1+INDEX('Additional data'!$H$2:$H$1196,MATCH(N389,'Additional data'!$G$2:$G$1196,1))+INDEX('Additional data'!$I$2:$I$1196,MATCH(N389,'Additional data'!$G$2:$G$1196,1)))</f>
        <v>3.7739491785165855</v>
      </c>
      <c r="R389" s="232">
        <f>LN(INDEX(Data!$B$2:$B$497,MATCH(N389,Data!$A$2:$A$497,1)))</f>
        <v>9.570675608861924</v>
      </c>
      <c r="S389" s="116">
        <f>INDEX('Additional data'!$E$2:$E$699,MATCH(DATE(YEAR(N389),MONTH(N389),1),'Additional data'!$D$2:$D$699,0))</f>
        <v>5.66</v>
      </c>
      <c r="T389" s="115">
        <f t="shared" si="62"/>
        <v>4.1312671664545331E-2</v>
      </c>
      <c r="U389" s="115">
        <f t="shared" si="63"/>
        <v>-4.4265416298015392E-2</v>
      </c>
      <c r="V389" s="115">
        <f t="shared" si="66"/>
        <v>-7.1718272334742039E-3</v>
      </c>
      <c r="W389" s="116">
        <f t="shared" si="64"/>
        <v>9.9999999999997868E-3</v>
      </c>
      <c r="X389" s="115">
        <f t="shared" si="67"/>
        <v>0.77915564903105228</v>
      </c>
      <c r="Y389" s="115">
        <f t="shared" si="68"/>
        <v>0.14323073803158559</v>
      </c>
      <c r="Z389" s="115">
        <f t="shared" si="70"/>
        <v>0.14922378179537077</v>
      </c>
      <c r="AA389" s="116">
        <f t="shared" si="69"/>
        <v>0.87000000000000011</v>
      </c>
      <c r="AB389" s="115">
        <f t="shared" si="71"/>
        <v>0.41266536076055571</v>
      </c>
      <c r="AC389" s="115">
        <f t="shared" si="72"/>
        <v>1.1540371644892593</v>
      </c>
      <c r="AD389" s="115">
        <f t="shared" si="65"/>
        <v>0.72011499577795313</v>
      </c>
      <c r="AE389" s="235">
        <f t="shared" si="73"/>
        <v>-2.7099999999999991</v>
      </c>
    </row>
    <row r="390" spans="14:31" x14ac:dyDescent="0.2">
      <c r="N390" s="337">
        <v>36585</v>
      </c>
      <c r="O390" s="116">
        <f>INDEX('Additional data'!$B$2:$B$965,MATCH(DATE(YEAR(N390),MONTH(N390),1),'Additional data'!$A$2:$A$965,0))</f>
        <v>29.35</v>
      </c>
      <c r="P390" s="232">
        <f t="shared" si="74"/>
        <v>3.3792925462741055</v>
      </c>
      <c r="Q390" s="232">
        <f>Q389+LN(1+INDEX('Additional data'!$H$2:$H$1196,MATCH(N390,'Additional data'!$G$2:$G$1196,1))+INDEX('Additional data'!$I$2:$I$1196,MATCH(N390,'Additional data'!$G$2:$G$1196,1)))</f>
        <v>3.8024394489162128</v>
      </c>
      <c r="R390" s="232">
        <f>LN(INDEX(Data!$B$2:$B$497,MATCH(N390,Data!$A$2:$A$497,1)))</f>
        <v>9.5895983879151725</v>
      </c>
      <c r="S390" s="116">
        <f>INDEX('Additional data'!$E$2:$E$699,MATCH(DATE(YEAR(N390),MONTH(N390),1),'Additional data'!$D$2:$D$699,0))</f>
        <v>5.8</v>
      </c>
      <c r="T390" s="115">
        <f t="shared" ref="T390:T453" si="75">P390-P389</f>
        <v>7.6811137551108022E-2</v>
      </c>
      <c r="U390" s="115">
        <f t="shared" ref="U390:U453" si="76">Q390-Q389</f>
        <v>2.849027039962726E-2</v>
      </c>
      <c r="V390" s="115">
        <f t="shared" si="66"/>
        <v>1.8922779053248462E-2</v>
      </c>
      <c r="W390" s="116">
        <f t="shared" ref="W390:W453" si="77">S390-S389</f>
        <v>0.13999999999999968</v>
      </c>
      <c r="X390" s="115">
        <f t="shared" si="67"/>
        <v>0.89355291018221328</v>
      </c>
      <c r="Y390" s="115">
        <f t="shared" si="68"/>
        <v>0.20973445062942897</v>
      </c>
      <c r="Z390" s="115">
        <f t="shared" si="70"/>
        <v>0.16854338464381691</v>
      </c>
      <c r="AA390" s="116">
        <f t="shared" si="69"/>
        <v>1.0300000000000002</v>
      </c>
      <c r="AB390" s="115">
        <f t="shared" si="71"/>
        <v>0.45990150597683721</v>
      </c>
      <c r="AC390" s="115">
        <f t="shared" si="72"/>
        <v>1.1430183017941742</v>
      </c>
      <c r="AD390" s="115">
        <f t="shared" si="65"/>
        <v>0.68612290780754392</v>
      </c>
      <c r="AE390" s="235">
        <f t="shared" si="73"/>
        <v>-2.2800000000000002</v>
      </c>
    </row>
    <row r="391" spans="14:31" x14ac:dyDescent="0.2">
      <c r="N391" s="337">
        <v>36616</v>
      </c>
      <c r="O391" s="116">
        <f>INDEX('Additional data'!$B$2:$B$965,MATCH(DATE(YEAR(N391),MONTH(N391),1),'Additional data'!$A$2:$A$965,0))</f>
        <v>29.89</v>
      </c>
      <c r="P391" s="232">
        <f t="shared" si="74"/>
        <v>3.3975239762958465</v>
      </c>
      <c r="Q391" s="232">
        <f>Q390+LN(1+INDEX('Additional data'!$H$2:$H$1196,MATCH(N391,'Additional data'!$G$2:$G$1196,1))+INDEX('Additional data'!$I$2:$I$1196,MATCH(N391,'Additional data'!$G$2:$G$1196,1)))</f>
        <v>3.857684923142191</v>
      </c>
      <c r="R391" s="232">
        <f>LN(INDEX(Data!$B$2:$B$497,MATCH(N391,Data!$A$2:$A$497,1)))</f>
        <v>9.594925128251651</v>
      </c>
      <c r="S391" s="116">
        <f>INDEX('Additional data'!$E$2:$E$699,MATCH(DATE(YEAR(N391),MONTH(N391),1),'Additional data'!$D$2:$D$699,0))</f>
        <v>5.89</v>
      </c>
      <c r="T391" s="115">
        <f t="shared" si="75"/>
        <v>1.8231430021740991E-2</v>
      </c>
      <c r="U391" s="115">
        <f t="shared" si="76"/>
        <v>5.5245474225978253E-2</v>
      </c>
      <c r="V391" s="115">
        <f t="shared" si="66"/>
        <v>5.3267403364785082E-3</v>
      </c>
      <c r="W391" s="116">
        <f t="shared" si="77"/>
        <v>8.9999999999999858E-2</v>
      </c>
      <c r="X391" s="115">
        <f t="shared" si="67"/>
        <v>0.71240127983734114</v>
      </c>
      <c r="Y391" s="115">
        <f t="shared" si="68"/>
        <v>0.22662497097894319</v>
      </c>
      <c r="Z391" s="115">
        <f t="shared" si="70"/>
        <v>0.13214651526426557</v>
      </c>
      <c r="AA391" s="116">
        <f t="shared" si="69"/>
        <v>1.08</v>
      </c>
      <c r="AB391" s="115">
        <f t="shared" si="71"/>
        <v>0.47705418724240234</v>
      </c>
      <c r="AC391" s="115">
        <f t="shared" si="72"/>
        <v>1.1721088185433013</v>
      </c>
      <c r="AD391" s="115">
        <f t="shared" si="65"/>
        <v>0.69215665982556906</v>
      </c>
      <c r="AE391" s="235">
        <f t="shared" si="73"/>
        <v>-2.2400000000000011</v>
      </c>
    </row>
    <row r="392" spans="14:31" x14ac:dyDescent="0.2">
      <c r="N392" s="337">
        <v>36646</v>
      </c>
      <c r="O392" s="116">
        <f>INDEX('Additional data'!$B$2:$B$965,MATCH(DATE(YEAR(N392),MONTH(N392),1),'Additional data'!$A$2:$A$965,0))</f>
        <v>25.74</v>
      </c>
      <c r="P392" s="232">
        <f t="shared" si="74"/>
        <v>3.2480462021679806</v>
      </c>
      <c r="Q392" s="232">
        <f>Q391+LN(1+INDEX('Additional data'!$H$2:$H$1196,MATCH(N392,'Additional data'!$G$2:$G$1196,1))+INDEX('Additional data'!$I$2:$I$1196,MATCH(N392,'Additional data'!$G$2:$G$1196,1)))</f>
        <v>3.7965539231379597</v>
      </c>
      <c r="R392" s="232">
        <f>LN(INDEX(Data!$B$2:$B$497,MATCH(N392,Data!$A$2:$A$497,1)))</f>
        <v>9.5799294977440326</v>
      </c>
      <c r="S392" s="116">
        <f>INDEX('Additional data'!$E$2:$E$699,MATCH(DATE(YEAR(N392),MONTH(N392),1),'Additional data'!$D$2:$D$699,0))</f>
        <v>6.04</v>
      </c>
      <c r="T392" s="115">
        <f t="shared" si="75"/>
        <v>-0.14947777412786589</v>
      </c>
      <c r="U392" s="115">
        <f t="shared" si="76"/>
        <v>-6.1131000004231328E-2</v>
      </c>
      <c r="V392" s="115">
        <f t="shared" si="66"/>
        <v>-1.4995630507618429E-2</v>
      </c>
      <c r="W392" s="116">
        <f t="shared" si="77"/>
        <v>0.15000000000000036</v>
      </c>
      <c r="X392" s="115">
        <f t="shared" si="67"/>
        <v>0.39503023081558464</v>
      </c>
      <c r="Y392" s="115">
        <f t="shared" si="68"/>
        <v>0.11946953266343252</v>
      </c>
      <c r="Z392" s="115">
        <f t="shared" si="70"/>
        <v>5.6568308050964689E-2</v>
      </c>
      <c r="AA392" s="116">
        <f t="shared" si="69"/>
        <v>1.2800000000000002</v>
      </c>
      <c r="AB392" s="115">
        <f t="shared" si="71"/>
        <v>0.25883514560425525</v>
      </c>
      <c r="AC392" s="115">
        <f t="shared" si="72"/>
        <v>1.0857975200087719</v>
      </c>
      <c r="AD392" s="115">
        <f t="shared" si="65"/>
        <v>0.60364196759009481</v>
      </c>
      <c r="AE392" s="235">
        <f t="shared" si="73"/>
        <v>-1.8499999999999996</v>
      </c>
    </row>
    <row r="393" spans="14:31" x14ac:dyDescent="0.2">
      <c r="N393" s="337">
        <v>36677</v>
      </c>
      <c r="O393" s="116">
        <f>INDEX('Additional data'!$B$2:$B$965,MATCH(DATE(YEAR(N393),MONTH(N393),1),'Additional data'!$A$2:$A$965,0))</f>
        <v>28.78</v>
      </c>
      <c r="P393" s="232">
        <f t="shared" si="74"/>
        <v>3.3596807014592218</v>
      </c>
      <c r="Q393" s="232">
        <f>Q392+LN(1+INDEX('Additional data'!$H$2:$H$1196,MATCH(N393,'Additional data'!$G$2:$G$1196,1))+INDEX('Additional data'!$I$2:$I$1196,MATCH(N393,'Additional data'!$G$2:$G$1196,1)))</f>
        <v>3.7568771059850614</v>
      </c>
      <c r="R393" s="232">
        <f>LN(INDEX(Data!$B$2:$B$497,MATCH(N393,Data!$A$2:$A$497,1)))</f>
        <v>9.5669305923259724</v>
      </c>
      <c r="S393" s="116">
        <f>INDEX('Additional data'!$E$2:$E$699,MATCH(DATE(YEAR(N393),MONTH(N393),1),'Additional data'!$D$2:$D$699,0))</f>
        <v>6.31</v>
      </c>
      <c r="T393" s="115">
        <f t="shared" si="75"/>
        <v>0.11163449929124125</v>
      </c>
      <c r="U393" s="115">
        <f t="shared" si="76"/>
        <v>-3.967681715289828E-2</v>
      </c>
      <c r="V393" s="115">
        <f t="shared" si="66"/>
        <v>-1.2998905418060147E-2</v>
      </c>
      <c r="W393" s="116">
        <f t="shared" si="77"/>
        <v>0.26999999999999957</v>
      </c>
      <c r="X393" s="115">
        <f t="shared" si="67"/>
        <v>0.48329518553779716</v>
      </c>
      <c r="Y393" s="115">
        <f t="shared" si="68"/>
        <v>0.10122066292415477</v>
      </c>
      <c r="Z393" s="115">
        <f t="shared" si="70"/>
        <v>0.10807526248771815</v>
      </c>
      <c r="AA393" s="116">
        <f t="shared" si="69"/>
        <v>1.4499999999999993</v>
      </c>
      <c r="AB393" s="115">
        <f t="shared" si="71"/>
        <v>0.37703366745388633</v>
      </c>
      <c r="AC393" s="115">
        <f t="shared" si="72"/>
        <v>1.0122991543803632</v>
      </c>
      <c r="AD393" s="115">
        <f t="shared" si="65"/>
        <v>0.59982168965169969</v>
      </c>
      <c r="AE393" s="235">
        <f t="shared" si="73"/>
        <v>-1.3900000000000006</v>
      </c>
    </row>
    <row r="394" spans="14:31" x14ac:dyDescent="0.2">
      <c r="N394" s="337">
        <v>36707</v>
      </c>
      <c r="O394" s="116">
        <f>INDEX('Additional data'!$B$2:$B$965,MATCH(DATE(YEAR(N394),MONTH(N394),1),'Additional data'!$A$2:$A$965,0))</f>
        <v>31.83</v>
      </c>
      <c r="P394" s="232">
        <f t="shared" si="74"/>
        <v>3.4604092412940015</v>
      </c>
      <c r="Q394" s="232">
        <f>Q393+LN(1+INDEX('Additional data'!$H$2:$H$1196,MATCH(N394,'Additional data'!$G$2:$G$1196,1))+INDEX('Additional data'!$I$2:$I$1196,MATCH(N394,'Additional data'!$G$2:$G$1196,1)))</f>
        <v>3.8064288848143093</v>
      </c>
      <c r="R394" s="232">
        <f>LN(INDEX(Data!$B$2:$B$497,MATCH(N394,Data!$A$2:$A$497,1)))</f>
        <v>9.6410975227367128</v>
      </c>
      <c r="S394" s="116">
        <f>INDEX('Additional data'!$E$2:$E$699,MATCH(DATE(YEAR(N394),MONTH(N394),1),'Additional data'!$D$2:$D$699,0))</f>
        <v>6.23</v>
      </c>
      <c r="T394" s="115">
        <f t="shared" si="75"/>
        <v>0.1007285398347797</v>
      </c>
      <c r="U394" s="115">
        <f t="shared" si="76"/>
        <v>4.9551778829247883E-2</v>
      </c>
      <c r="V394" s="115">
        <f t="shared" si="66"/>
        <v>7.4166930410740406E-2</v>
      </c>
      <c r="W394" s="116">
        <f t="shared" si="77"/>
        <v>-7.9999999999999183E-2</v>
      </c>
      <c r="X394" s="115">
        <f t="shared" si="67"/>
        <v>0.57616734377337364</v>
      </c>
      <c r="Y394" s="115">
        <f t="shared" si="68"/>
        <v>0.1003645392095569</v>
      </c>
      <c r="Z394" s="115">
        <f t="shared" si="70"/>
        <v>0.15498319938312122</v>
      </c>
      <c r="AA394" s="116">
        <f t="shared" si="69"/>
        <v>1.3000000000000007</v>
      </c>
      <c r="AB394" s="115">
        <f t="shared" si="71"/>
        <v>0.54697221046684064</v>
      </c>
      <c r="AC394" s="115">
        <f t="shared" si="72"/>
        <v>1.0304491700700797</v>
      </c>
      <c r="AD394" s="115">
        <f t="shared" si="65"/>
        <v>0.66840538827762153</v>
      </c>
      <c r="AE394" s="235">
        <f t="shared" si="73"/>
        <v>-1.3199999999999994</v>
      </c>
    </row>
    <row r="395" spans="14:31" x14ac:dyDescent="0.2">
      <c r="N395" s="337">
        <v>36738</v>
      </c>
      <c r="O395" s="116">
        <f>INDEX('Additional data'!$B$2:$B$965,MATCH(DATE(YEAR(N395),MONTH(N395),1),'Additional data'!$A$2:$A$965,0))</f>
        <v>29.77</v>
      </c>
      <c r="P395" s="232">
        <f t="shared" si="74"/>
        <v>3.3935011750276849</v>
      </c>
      <c r="Q395" s="232">
        <f>Q394+LN(1+INDEX('Additional data'!$H$2:$H$1196,MATCH(N395,'Additional data'!$G$2:$G$1196,1))+INDEX('Additional data'!$I$2:$I$1196,MATCH(N395,'Additional data'!$G$2:$G$1196,1)))</f>
        <v>3.7862261774967898</v>
      </c>
      <c r="R395" s="232">
        <f>LN(INDEX(Data!$B$2:$B$497,MATCH(N395,Data!$A$2:$A$497,1)))</f>
        <v>9.6276569069991353</v>
      </c>
      <c r="S395" s="116">
        <f>INDEX('Additional data'!$E$2:$E$699,MATCH(DATE(YEAR(N395),MONTH(N395),1),'Additional data'!$D$2:$D$699,0))</f>
        <v>6.2</v>
      </c>
      <c r="T395" s="115">
        <f t="shared" si="75"/>
        <v>-6.6908066266316624E-2</v>
      </c>
      <c r="U395" s="115">
        <f t="shared" si="76"/>
        <v>-2.0202707317519497E-2</v>
      </c>
      <c r="V395" s="115">
        <f t="shared" si="66"/>
        <v>-1.3440615737577488E-2</v>
      </c>
      <c r="W395" s="116">
        <f t="shared" si="77"/>
        <v>-3.0000000000000249E-2</v>
      </c>
      <c r="X395" s="115">
        <f t="shared" si="67"/>
        <v>0.39427501221943828</v>
      </c>
      <c r="Y395" s="115">
        <f t="shared" si="68"/>
        <v>0.11175570348321617</v>
      </c>
      <c r="Z395" s="115">
        <f t="shared" si="70"/>
        <v>0.12376671154328811</v>
      </c>
      <c r="AA395" s="116">
        <f t="shared" si="69"/>
        <v>1.3100000000000005</v>
      </c>
      <c r="AB395" s="115">
        <f t="shared" si="71"/>
        <v>0.5427946735239515</v>
      </c>
      <c r="AC395" s="115">
        <f t="shared" si="72"/>
        <v>0.96948847028039253</v>
      </c>
      <c r="AD395" s="115">
        <f t="shared" si="65"/>
        <v>0.60383890288151676</v>
      </c>
      <c r="AE395" s="235">
        <f t="shared" si="73"/>
        <v>-1.3599999999999994</v>
      </c>
    </row>
    <row r="396" spans="14:31" x14ac:dyDescent="0.2">
      <c r="N396" s="337">
        <v>36769</v>
      </c>
      <c r="O396" s="116">
        <f>INDEX('Additional data'!$B$2:$B$965,MATCH(DATE(YEAR(N396),MONTH(N396),1),'Additional data'!$A$2:$A$965,0))</f>
        <v>31.22</v>
      </c>
      <c r="P396" s="232">
        <f t="shared" si="74"/>
        <v>3.4410589150872859</v>
      </c>
      <c r="Q396" s="232">
        <f>Q395+LN(1+INDEX('Additional data'!$H$2:$H$1196,MATCH(N396,'Additional data'!$G$2:$G$1196,1))+INDEX('Additional data'!$I$2:$I$1196,MATCH(N396,'Additional data'!$G$2:$G$1196,1)))</f>
        <v>3.8588258699111333</v>
      </c>
      <c r="R396" s="232">
        <f>LN(INDEX(Data!$B$2:$B$497,MATCH(N396,Data!$A$2:$A$497,1)))</f>
        <v>9.6447530923510989</v>
      </c>
      <c r="S396" s="116">
        <f>INDEX('Additional data'!$E$2:$E$699,MATCH(DATE(YEAR(N396),MONTH(N396),1),'Additional data'!$D$2:$D$699,0))</f>
        <v>6.49</v>
      </c>
      <c r="T396" s="115">
        <f t="shared" si="75"/>
        <v>4.7557740059601006E-2</v>
      </c>
      <c r="U396" s="115">
        <f t="shared" si="76"/>
        <v>7.2599692414343497E-2</v>
      </c>
      <c r="V396" s="115">
        <f t="shared" si="66"/>
        <v>1.7096185351963555E-2</v>
      </c>
      <c r="W396" s="116">
        <f t="shared" si="77"/>
        <v>0.29000000000000004</v>
      </c>
      <c r="X396" s="115">
        <f t="shared" si="67"/>
        <v>0.3842315421734841</v>
      </c>
      <c r="Y396" s="115">
        <f t="shared" si="68"/>
        <v>0.19420373195237417</v>
      </c>
      <c r="Z396" s="115">
        <f t="shared" si="70"/>
        <v>0.16654057524596055</v>
      </c>
      <c r="AA396" s="116">
        <f t="shared" si="69"/>
        <v>1.5700000000000003</v>
      </c>
      <c r="AB396" s="115">
        <f t="shared" si="71"/>
        <v>0.54902187787206014</v>
      </c>
      <c r="AC396" s="115">
        <f t="shared" si="72"/>
        <v>1.0319398316429207</v>
      </c>
      <c r="AD396" s="115">
        <f t="shared" ref="AD396:AD459" si="78">R396-R336</f>
        <v>0.61292952442900628</v>
      </c>
      <c r="AE396" s="235">
        <f t="shared" si="73"/>
        <v>-1.0899999999999999</v>
      </c>
    </row>
    <row r="397" spans="14:31" x14ac:dyDescent="0.2">
      <c r="N397" s="337">
        <v>36799</v>
      </c>
      <c r="O397" s="116">
        <f>INDEX('Additional data'!$B$2:$B$965,MATCH(DATE(YEAR(N397),MONTH(N397),1),'Additional data'!$A$2:$A$965,0))</f>
        <v>33.880000000000003</v>
      </c>
      <c r="P397" s="232">
        <f t="shared" si="74"/>
        <v>3.5228248697838538</v>
      </c>
      <c r="Q397" s="232">
        <f>Q396+LN(1+INDEX('Additional data'!$H$2:$H$1196,MATCH(N397,'Additional data'!$G$2:$G$1196,1))+INDEX('Additional data'!$I$2:$I$1196,MATCH(N397,'Additional data'!$G$2:$G$1196,1)))</f>
        <v>3.8082691462939811</v>
      </c>
      <c r="R397" s="232">
        <f>LN(INDEX(Data!$B$2:$B$497,MATCH(N397,Data!$A$2:$A$497,1)))</f>
        <v>9.6468058317907737</v>
      </c>
      <c r="S397" s="116">
        <f>INDEX('Additional data'!$E$2:$E$699,MATCH(DATE(YEAR(N397),MONTH(N397),1),'Additional data'!$D$2:$D$699,0))</f>
        <v>6.57</v>
      </c>
      <c r="T397" s="115">
        <f t="shared" si="75"/>
        <v>8.1765954696567889E-2</v>
      </c>
      <c r="U397" s="115">
        <f t="shared" si="76"/>
        <v>-5.0556723617152244E-2</v>
      </c>
      <c r="V397" s="115">
        <f t="shared" si="66"/>
        <v>2.0527394396747667E-3</v>
      </c>
      <c r="W397" s="116">
        <f t="shared" si="77"/>
        <v>8.0000000000000071E-2</v>
      </c>
      <c r="X397" s="115">
        <f t="shared" si="67"/>
        <v>0.34978358125945253</v>
      </c>
      <c r="Y397" s="115">
        <f t="shared" si="68"/>
        <v>0.16773480386431183</v>
      </c>
      <c r="Z397" s="115">
        <f t="shared" si="70"/>
        <v>0.18089344128104301</v>
      </c>
      <c r="AA397" s="116">
        <f t="shared" si="69"/>
        <v>1.5600000000000005</v>
      </c>
      <c r="AB397" s="115">
        <f t="shared" si="71"/>
        <v>0.61975628109328218</v>
      </c>
      <c r="AC397" s="115">
        <f t="shared" si="72"/>
        <v>0.94418366703666212</v>
      </c>
      <c r="AD397" s="115">
        <f t="shared" si="78"/>
        <v>0.61136661600506237</v>
      </c>
      <c r="AE397" s="235">
        <f t="shared" si="73"/>
        <v>-0.91999999999999993</v>
      </c>
    </row>
    <row r="398" spans="14:31" x14ac:dyDescent="0.2">
      <c r="N398" s="337">
        <v>36830</v>
      </c>
      <c r="O398" s="116">
        <f>INDEX('Additional data'!$B$2:$B$965,MATCH(DATE(YEAR(N398),MONTH(N398),1),'Additional data'!$A$2:$A$965,0))</f>
        <v>33.08</v>
      </c>
      <c r="P398" s="232">
        <f t="shared" si="74"/>
        <v>3.4989288701554906</v>
      </c>
      <c r="Q398" s="232">
        <f>Q397+LN(1+INDEX('Additional data'!$H$2:$H$1196,MATCH(N398,'Additional data'!$G$2:$G$1196,1))+INDEX('Additional data'!$I$2:$I$1196,MATCH(N398,'Additional data'!$G$2:$G$1196,1)))</f>
        <v>3.7858190174563893</v>
      </c>
      <c r="R398" s="232">
        <f>LN(INDEX(Data!$B$2:$B$497,MATCH(N398,Data!$A$2:$A$497,1)))</f>
        <v>9.6354373084814995</v>
      </c>
      <c r="S398" s="116">
        <f>INDEX('Additional data'!$E$2:$E$699,MATCH(DATE(YEAR(N398),MONTH(N398),1),'Additional data'!$D$2:$D$699,0))</f>
        <v>6.41</v>
      </c>
      <c r="T398" s="115">
        <f t="shared" si="75"/>
        <v>-2.3895999628363196E-2</v>
      </c>
      <c r="U398" s="115">
        <f t="shared" si="76"/>
        <v>-2.2450128837591787E-2</v>
      </c>
      <c r="V398" s="115">
        <f t="shared" si="66"/>
        <v>-1.1368523309274181E-2</v>
      </c>
      <c r="W398" s="116">
        <f t="shared" si="77"/>
        <v>-0.16000000000000014</v>
      </c>
      <c r="X398" s="115">
        <f t="shared" si="67"/>
        <v>0.37921061682050849</v>
      </c>
      <c r="Y398" s="115">
        <f t="shared" si="68"/>
        <v>8.2497686927955449E-2</v>
      </c>
      <c r="Z398" s="115">
        <f t="shared" si="70"/>
        <v>0.16460365199899307</v>
      </c>
      <c r="AA398" s="116">
        <f t="shared" si="69"/>
        <v>1.1000000000000005</v>
      </c>
      <c r="AB398" s="115">
        <f t="shared" si="71"/>
        <v>0.64016245167465691</v>
      </c>
      <c r="AC398" s="115">
        <f t="shared" si="72"/>
        <v>0.93218799610292935</v>
      </c>
      <c r="AD398" s="115">
        <f t="shared" si="78"/>
        <v>0.62475592169671579</v>
      </c>
      <c r="AE398" s="235">
        <f t="shared" si="73"/>
        <v>-1.0599999999999996</v>
      </c>
    </row>
    <row r="399" spans="14:31" x14ac:dyDescent="0.2">
      <c r="N399" s="337">
        <v>36860</v>
      </c>
      <c r="O399" s="116">
        <f>INDEX('Additional data'!$B$2:$B$965,MATCH(DATE(YEAR(N399),MONTH(N399),1),'Additional data'!$A$2:$A$965,0))</f>
        <v>34.4</v>
      </c>
      <c r="P399" s="232">
        <f t="shared" si="74"/>
        <v>3.5380565643793527</v>
      </c>
      <c r="Q399" s="232">
        <f>Q398+LN(1+INDEX('Additional data'!$H$2:$H$1196,MATCH(N399,'Additional data'!$G$2:$G$1196,1))+INDEX('Additional data'!$I$2:$I$1196,MATCH(N399,'Additional data'!$G$2:$G$1196,1)))</f>
        <v>3.6783451591511565</v>
      </c>
      <c r="R399" s="232">
        <f>LN(INDEX(Data!$B$2:$B$497,MATCH(N399,Data!$A$2:$A$497,1)))</f>
        <v>9.6466216791733022</v>
      </c>
      <c r="S399" s="116">
        <f>INDEX('Additional data'!$E$2:$E$699,MATCH(DATE(YEAR(N399),MONTH(N399),1),'Additional data'!$D$2:$D$699,0))</f>
        <v>6.33</v>
      </c>
      <c r="T399" s="115">
        <f t="shared" si="75"/>
        <v>3.9127694223862086E-2</v>
      </c>
      <c r="U399" s="115">
        <f t="shared" si="76"/>
        <v>-0.10747385830523282</v>
      </c>
      <c r="V399" s="115">
        <f t="shared" si="66"/>
        <v>1.118437069180267E-2</v>
      </c>
      <c r="W399" s="116">
        <f t="shared" si="77"/>
        <v>-8.0000000000000071E-2</v>
      </c>
      <c r="X399" s="115">
        <f t="shared" si="67"/>
        <v>0.32038146008767088</v>
      </c>
      <c r="Y399" s="115">
        <f t="shared" si="68"/>
        <v>-6.1982897006373161E-2</v>
      </c>
      <c r="Z399" s="115">
        <f t="shared" si="70"/>
        <v>0.12331167721858982</v>
      </c>
      <c r="AA399" s="116">
        <f t="shared" si="69"/>
        <v>0.88999999999999968</v>
      </c>
      <c r="AB399" s="115">
        <f t="shared" si="71"/>
        <v>0.64824051641691094</v>
      </c>
      <c r="AC399" s="115">
        <f t="shared" si="72"/>
        <v>0.78184623757052085</v>
      </c>
      <c r="AD399" s="115">
        <f t="shared" si="78"/>
        <v>0.59261937761981365</v>
      </c>
      <c r="AE399" s="235">
        <f t="shared" si="73"/>
        <v>-1.1299999999999999</v>
      </c>
    </row>
    <row r="400" spans="14:31" x14ac:dyDescent="0.2">
      <c r="N400" s="337">
        <v>36891</v>
      </c>
      <c r="O400" s="116">
        <f>INDEX('Additional data'!$B$2:$B$965,MATCH(DATE(YEAR(N400),MONTH(N400),1),'Additional data'!$A$2:$A$965,0))</f>
        <v>28.46</v>
      </c>
      <c r="P400" s="232">
        <f t="shared" si="74"/>
        <v>3.3484995926617063</v>
      </c>
      <c r="Q400" s="232">
        <f>Q399+LN(1+INDEX('Additional data'!$H$2:$H$1196,MATCH(N400,'Additional data'!$G$2:$G$1196,1))+INDEX('Additional data'!$I$2:$I$1196,MATCH(N400,'Additional data'!$G$2:$G$1196,1)))</f>
        <v>3.6950056000442637</v>
      </c>
      <c r="R400" s="232">
        <f>LN(INDEX(Data!$B$2:$B$497,MATCH(N400,Data!$A$2:$A$497,1)))</f>
        <v>9.6268521074745745</v>
      </c>
      <c r="S400" s="116">
        <f>INDEX('Additional data'!$E$2:$E$699,MATCH(DATE(YEAR(N400),MONTH(N400),1),'Additional data'!$D$2:$D$699,0))</f>
        <v>6.2</v>
      </c>
      <c r="T400" s="115">
        <f t="shared" si="75"/>
        <v>-0.18955697171764641</v>
      </c>
      <c r="U400" s="115">
        <f t="shared" si="76"/>
        <v>1.6660440893107253E-2</v>
      </c>
      <c r="V400" s="115">
        <f t="shared" si="66"/>
        <v>-1.9769571698727617E-2</v>
      </c>
      <c r="W400" s="116">
        <f t="shared" si="77"/>
        <v>-0.12999999999999989</v>
      </c>
      <c r="X400" s="115">
        <f t="shared" si="67"/>
        <v>8.7330855603254154E-2</v>
      </c>
      <c r="Y400" s="115">
        <f t="shared" si="68"/>
        <v>-0.1232089947703372</v>
      </c>
      <c r="Z400" s="115">
        <f t="shared" si="70"/>
        <v>4.9004671379176301E-2</v>
      </c>
      <c r="AA400" s="116">
        <f t="shared" si="69"/>
        <v>0.54999999999999982</v>
      </c>
      <c r="AB400" s="115">
        <f t="shared" si="71"/>
        <v>0.40195756329848686</v>
      </c>
      <c r="AC400" s="115">
        <f t="shared" si="72"/>
        <v>0.7833225431385884</v>
      </c>
      <c r="AD400" s="115">
        <f t="shared" si="78"/>
        <v>0.54898083541280407</v>
      </c>
      <c r="AE400" s="235">
        <f t="shared" si="73"/>
        <v>-1.2299999999999995</v>
      </c>
    </row>
    <row r="401" spans="14:31" x14ac:dyDescent="0.2">
      <c r="N401" s="337">
        <v>36922</v>
      </c>
      <c r="O401" s="116">
        <f>INDEX('Additional data'!$B$2:$B$965,MATCH(DATE(YEAR(N401),MONTH(N401),1),'Additional data'!$A$2:$A$965,0))</f>
        <v>29.58</v>
      </c>
      <c r="P401" s="232">
        <f t="shared" si="74"/>
        <v>3.3870984572826535</v>
      </c>
      <c r="Q401" s="232">
        <f>Q400+LN(1+INDEX('Additional data'!$H$2:$H$1196,MATCH(N401,'Additional data'!$G$2:$G$1196,1))+INDEX('Additional data'!$I$2:$I$1196,MATCH(N401,'Additional data'!$G$2:$G$1196,1)))</f>
        <v>3.73220504103337</v>
      </c>
      <c r="R401" s="232">
        <f>LN(INDEX(Data!$B$2:$B$497,MATCH(N401,Data!$A$2:$A$497,1)))</f>
        <v>9.6694721158678121</v>
      </c>
      <c r="S401" s="116">
        <f>INDEX('Additional data'!$E$2:$E$699,MATCH(DATE(YEAR(N401),MONTH(N401),1),'Additional data'!$D$2:$D$699,0))</f>
        <v>5.91</v>
      </c>
      <c r="T401" s="115">
        <f t="shared" si="75"/>
        <v>3.8598864620947193E-2</v>
      </c>
      <c r="U401" s="115">
        <f t="shared" si="76"/>
        <v>3.7199440989106325E-2</v>
      </c>
      <c r="V401" s="115">
        <f t="shared" ref="V401:V464" si="79">R401-R400</f>
        <v>4.2620008393237541E-2</v>
      </c>
      <c r="W401" s="116">
        <f t="shared" si="77"/>
        <v>-0.29000000000000004</v>
      </c>
      <c r="X401" s="115">
        <f t="shared" ref="X401:X464" si="80">P401-P389</f>
        <v>8.4617048559656016E-2</v>
      </c>
      <c r="Y401" s="115">
        <f t="shared" ref="Y401:Y464" si="81">Q401-Q389</f>
        <v>-4.1744137483215482E-2</v>
      </c>
      <c r="Z401" s="115">
        <f t="shared" si="70"/>
        <v>9.8796507005888046E-2</v>
      </c>
      <c r="AA401" s="116">
        <f t="shared" ref="AA401:AA464" si="82">S401-S389</f>
        <v>0.25</v>
      </c>
      <c r="AB401" s="115">
        <f t="shared" si="71"/>
        <v>0.44899529656529902</v>
      </c>
      <c r="AC401" s="115">
        <f t="shared" si="72"/>
        <v>0.79397742890558254</v>
      </c>
      <c r="AD401" s="115">
        <f t="shared" si="78"/>
        <v>0.55860959639129959</v>
      </c>
      <c r="AE401" s="235">
        <f t="shared" si="73"/>
        <v>-1.5499999999999998</v>
      </c>
    </row>
    <row r="402" spans="14:31" x14ac:dyDescent="0.2">
      <c r="N402" s="337">
        <v>36950</v>
      </c>
      <c r="O402" s="116">
        <f>INDEX('Additional data'!$B$2:$B$965,MATCH(DATE(YEAR(N402),MONTH(N402),1),'Additional data'!$A$2:$A$965,0))</f>
        <v>29.61</v>
      </c>
      <c r="P402" s="232">
        <f t="shared" si="74"/>
        <v>3.3881121421135001</v>
      </c>
      <c r="Q402" s="232">
        <f>Q401+LN(1+INDEX('Additional data'!$H$2:$H$1196,MATCH(N402,'Additional data'!$G$2:$G$1196,1))+INDEX('Additional data'!$I$2:$I$1196,MATCH(N402,'Additional data'!$G$2:$G$1196,1)))</f>
        <v>3.630725872083516</v>
      </c>
      <c r="R402" s="232">
        <f>LN(INDEX(Data!$B$2:$B$497,MATCH(N402,Data!$A$2:$A$497,1)))</f>
        <v>9.6671724484245729</v>
      </c>
      <c r="S402" s="116">
        <f>INDEX('Additional data'!$E$2:$E$699,MATCH(DATE(YEAR(N402),MONTH(N402),1),'Additional data'!$D$2:$D$699,0))</f>
        <v>5.59</v>
      </c>
      <c r="T402" s="115">
        <f t="shared" si="75"/>
        <v>1.0136848308466284E-3</v>
      </c>
      <c r="U402" s="115">
        <f t="shared" si="76"/>
        <v>-0.10147916894985398</v>
      </c>
      <c r="V402" s="115">
        <f t="shared" si="79"/>
        <v>-2.2996674432391728E-3</v>
      </c>
      <c r="W402" s="116">
        <f t="shared" si="77"/>
        <v>-0.32000000000000028</v>
      </c>
      <c r="X402" s="115">
        <f t="shared" si="80"/>
        <v>8.8195958393946228E-3</v>
      </c>
      <c r="Y402" s="115">
        <f t="shared" si="81"/>
        <v>-0.17171357683269672</v>
      </c>
      <c r="Z402" s="115">
        <f t="shared" si="70"/>
        <v>7.7574060509400411E-2</v>
      </c>
      <c r="AA402" s="116">
        <f t="shared" si="82"/>
        <v>-0.20999999999999996</v>
      </c>
      <c r="AB402" s="115">
        <f t="shared" si="71"/>
        <v>0.43999572250117236</v>
      </c>
      <c r="AC402" s="115">
        <f t="shared" si="72"/>
        <v>0.67544450538990075</v>
      </c>
      <c r="AD402" s="115">
        <f t="shared" si="78"/>
        <v>0.55191228269866066</v>
      </c>
      <c r="AE402" s="235">
        <f t="shared" si="73"/>
        <v>-1.88</v>
      </c>
    </row>
    <row r="403" spans="14:31" x14ac:dyDescent="0.2">
      <c r="N403" s="337">
        <v>36981</v>
      </c>
      <c r="O403" s="116">
        <f>INDEX('Additional data'!$B$2:$B$965,MATCH(DATE(YEAR(N403),MONTH(N403),1),'Additional data'!$A$2:$A$965,0))</f>
        <v>27.24</v>
      </c>
      <c r="P403" s="232">
        <f t="shared" si="74"/>
        <v>3.3046864812813115</v>
      </c>
      <c r="Q403" s="232">
        <f>Q402+LN(1+INDEX('Additional data'!$H$2:$H$1196,MATCH(N403,'Additional data'!$G$2:$G$1196,1))+INDEX('Additional data'!$I$2:$I$1196,MATCH(N403,'Additional data'!$G$2:$G$1196,1)))</f>
        <v>3.5599814675577584</v>
      </c>
      <c r="R403" s="232">
        <f>LN(INDEX(Data!$B$2:$B$497,MATCH(N403,Data!$A$2:$A$497,1)))</f>
        <v>9.6177402072920763</v>
      </c>
      <c r="S403" s="116">
        <f>INDEX('Additional data'!$E$2:$E$699,MATCH(DATE(YEAR(N403),MONTH(N403),1),'Additional data'!$D$2:$D$699,0))</f>
        <v>5.14</v>
      </c>
      <c r="T403" s="115">
        <f t="shared" si="75"/>
        <v>-8.3425660832188608E-2</v>
      </c>
      <c r="U403" s="115">
        <f t="shared" si="76"/>
        <v>-7.0744404525757698E-2</v>
      </c>
      <c r="V403" s="115">
        <f t="shared" si="79"/>
        <v>-4.9432241132496557E-2</v>
      </c>
      <c r="W403" s="116">
        <f t="shared" si="77"/>
        <v>-0.45000000000000018</v>
      </c>
      <c r="X403" s="115">
        <f t="shared" si="80"/>
        <v>-9.2837495014534976E-2</v>
      </c>
      <c r="Y403" s="115">
        <f t="shared" si="81"/>
        <v>-0.29770345558443267</v>
      </c>
      <c r="Z403" s="115">
        <f t="shared" si="70"/>
        <v>2.2815079040425346E-2</v>
      </c>
      <c r="AA403" s="116">
        <f t="shared" si="82"/>
        <v>-0.75</v>
      </c>
      <c r="AB403" s="115">
        <f t="shared" si="71"/>
        <v>0.24316646718931745</v>
      </c>
      <c r="AC403" s="115">
        <f t="shared" si="72"/>
        <v>0.59346346893815527</v>
      </c>
      <c r="AD403" s="115">
        <f t="shared" si="78"/>
        <v>0.52679166438669611</v>
      </c>
      <c r="AE403" s="235">
        <f t="shared" si="73"/>
        <v>-2.3900000000000006</v>
      </c>
    </row>
    <row r="404" spans="14:31" x14ac:dyDescent="0.2">
      <c r="N404" s="337">
        <v>37011</v>
      </c>
      <c r="O404" s="116">
        <f>INDEX('Additional data'!$B$2:$B$965,MATCH(DATE(YEAR(N404),MONTH(N404),1),'Additional data'!$A$2:$A$965,0))</f>
        <v>27.41</v>
      </c>
      <c r="P404" s="232">
        <f t="shared" si="74"/>
        <v>3.3109079103146946</v>
      </c>
      <c r="Q404" s="232">
        <f>Q403+LN(1+INDEX('Additional data'!$H$2:$H$1196,MATCH(N404,'Additional data'!$G$2:$G$1196,1))+INDEX('Additional data'!$I$2:$I$1196,MATCH(N404,'Additional data'!$G$2:$G$1196,1)))</f>
        <v>3.6399010907336318</v>
      </c>
      <c r="R404" s="232">
        <f>LN(INDEX(Data!$B$2:$B$497,MATCH(N404,Data!$A$2:$A$497,1)))</f>
        <v>9.6731678138719506</v>
      </c>
      <c r="S404" s="116">
        <f>INDEX('Additional data'!$E$2:$E$699,MATCH(DATE(YEAR(N404),MONTH(N404),1),'Additional data'!$D$2:$D$699,0))</f>
        <v>4.8600000000000003</v>
      </c>
      <c r="T404" s="115">
        <f t="shared" si="75"/>
        <v>6.2214290333830746E-3</v>
      </c>
      <c r="U404" s="115">
        <f t="shared" si="76"/>
        <v>7.9919623175873422E-2</v>
      </c>
      <c r="V404" s="115">
        <f t="shared" si="79"/>
        <v>5.5427606579874222E-2</v>
      </c>
      <c r="W404" s="116">
        <f t="shared" si="77"/>
        <v>-0.27999999999999936</v>
      </c>
      <c r="X404" s="115">
        <f t="shared" si="80"/>
        <v>6.286170814671399E-2</v>
      </c>
      <c r="Y404" s="115">
        <f t="shared" si="81"/>
        <v>-0.15665283240432792</v>
      </c>
      <c r="Z404" s="115">
        <f t="shared" si="70"/>
        <v>9.3238316127917997E-2</v>
      </c>
      <c r="AA404" s="116">
        <f t="shared" si="82"/>
        <v>-1.1799999999999997</v>
      </c>
      <c r="AB404" s="115">
        <f t="shared" si="71"/>
        <v>0.15093319336665489</v>
      </c>
      <c r="AC404" s="115">
        <f t="shared" si="72"/>
        <v>0.64849537660624978</v>
      </c>
      <c r="AD404" s="115">
        <f t="shared" si="78"/>
        <v>0.54027019903842444</v>
      </c>
      <c r="AE404" s="235">
        <f t="shared" si="73"/>
        <v>-2.71</v>
      </c>
    </row>
    <row r="405" spans="14:31" x14ac:dyDescent="0.2">
      <c r="N405" s="337">
        <v>37042</v>
      </c>
      <c r="O405" s="116">
        <f>INDEX('Additional data'!$B$2:$B$965,MATCH(DATE(YEAR(N405),MONTH(N405),1),'Additional data'!$A$2:$A$965,0))</f>
        <v>28.64</v>
      </c>
      <c r="P405" s="232">
        <f t="shared" si="74"/>
        <v>3.3548043420924447</v>
      </c>
      <c r="Q405" s="232">
        <f>Q404+LN(1+INDEX('Additional data'!$H$2:$H$1196,MATCH(N405,'Additional data'!$G$2:$G$1196,1))+INDEX('Additional data'!$I$2:$I$1196,MATCH(N405,'Additional data'!$G$2:$G$1196,1)))</f>
        <v>3.6498514215867996</v>
      </c>
      <c r="R405" s="232">
        <f>LN(INDEX(Data!$B$2:$B$497,MATCH(N405,Data!$A$2:$A$497,1)))</f>
        <v>9.6890311583693727</v>
      </c>
      <c r="S405" s="116">
        <f>INDEX('Additional data'!$E$2:$E$699,MATCH(DATE(YEAR(N405),MONTH(N405),1),'Additional data'!$D$2:$D$699,0))</f>
        <v>4.8899999999999997</v>
      </c>
      <c r="T405" s="115">
        <f t="shared" si="75"/>
        <v>4.3896431777750156E-2</v>
      </c>
      <c r="U405" s="115">
        <f t="shared" si="76"/>
        <v>9.9503308531678769E-3</v>
      </c>
      <c r="V405" s="115">
        <f t="shared" si="79"/>
        <v>1.5863344497422105E-2</v>
      </c>
      <c r="W405" s="116">
        <f t="shared" si="77"/>
        <v>2.9999999999999361E-2</v>
      </c>
      <c r="X405" s="115">
        <f t="shared" si="80"/>
        <v>-4.8763593667771055E-3</v>
      </c>
      <c r="Y405" s="115">
        <f t="shared" si="81"/>
        <v>-0.10702568439826177</v>
      </c>
      <c r="Z405" s="115">
        <f t="shared" si="70"/>
        <v>0.12210056604340025</v>
      </c>
      <c r="AA405" s="116">
        <f t="shared" si="82"/>
        <v>-1.42</v>
      </c>
      <c r="AB405" s="115">
        <f t="shared" si="71"/>
        <v>0.29844744672201884</v>
      </c>
      <c r="AC405" s="115">
        <f t="shared" si="72"/>
        <v>0.63102511188342536</v>
      </c>
      <c r="AD405" s="115">
        <f t="shared" si="78"/>
        <v>0.57453010616737998</v>
      </c>
      <c r="AE405" s="235">
        <f t="shared" si="73"/>
        <v>-2.66</v>
      </c>
    </row>
    <row r="406" spans="14:31" x14ac:dyDescent="0.2">
      <c r="N406" s="337">
        <v>37072</v>
      </c>
      <c r="O406" s="116">
        <f>INDEX('Additional data'!$B$2:$B$965,MATCH(DATE(YEAR(N406),MONTH(N406),1),'Additional data'!$A$2:$A$965,0))</f>
        <v>27.6</v>
      </c>
      <c r="P406" s="232">
        <f t="shared" si="74"/>
        <v>3.3178157727231046</v>
      </c>
      <c r="Q406" s="232">
        <f>Q405+LN(1+INDEX('Additional data'!$H$2:$H$1196,MATCH(N406,'Additional data'!$G$2:$G$1196,1))+INDEX('Additional data'!$I$2:$I$1196,MATCH(N406,'Additional data'!$G$2:$G$1196,1)))</f>
        <v>3.6331120975825018</v>
      </c>
      <c r="R406" s="232">
        <f>LN(INDEX(Data!$B$2:$B$497,MATCH(N406,Data!$A$2:$A$497,1)))</f>
        <v>9.7258530742082652</v>
      </c>
      <c r="S406" s="116">
        <f>INDEX('Additional data'!$E$2:$E$699,MATCH(DATE(YEAR(N406),MONTH(N406),1),'Additional data'!$D$2:$D$699,0))</f>
        <v>4.97</v>
      </c>
      <c r="T406" s="115">
        <f t="shared" si="75"/>
        <v>-3.6988569369340141E-2</v>
      </c>
      <c r="U406" s="115">
        <f t="shared" si="76"/>
        <v>-1.6739324004297895E-2</v>
      </c>
      <c r="V406" s="115">
        <f t="shared" si="79"/>
        <v>3.6821915838892494E-2</v>
      </c>
      <c r="W406" s="116">
        <f t="shared" si="77"/>
        <v>8.0000000000000071E-2</v>
      </c>
      <c r="X406" s="115">
        <f t="shared" si="80"/>
        <v>-0.14259346857089694</v>
      </c>
      <c r="Y406" s="115">
        <f t="shared" si="81"/>
        <v>-0.17331678723180755</v>
      </c>
      <c r="Z406" s="115">
        <f t="shared" si="70"/>
        <v>8.4755551471552337E-2</v>
      </c>
      <c r="AA406" s="116">
        <f t="shared" si="82"/>
        <v>-1.2600000000000007</v>
      </c>
      <c r="AB406" s="115">
        <f t="shared" si="71"/>
        <v>0.29983289023429371</v>
      </c>
      <c r="AC406" s="115">
        <f t="shared" si="72"/>
        <v>0.62161256326558822</v>
      </c>
      <c r="AD406" s="115">
        <f t="shared" si="78"/>
        <v>0.61929668349580602</v>
      </c>
      <c r="AE406" s="235">
        <f t="shared" si="73"/>
        <v>-2.6000000000000005</v>
      </c>
    </row>
    <row r="407" spans="14:31" x14ac:dyDescent="0.2">
      <c r="N407" s="337">
        <v>37103</v>
      </c>
      <c r="O407" s="116">
        <f>INDEX('Additional data'!$B$2:$B$965,MATCH(DATE(YEAR(N407),MONTH(N407),1),'Additional data'!$A$2:$A$965,0))</f>
        <v>26.45</v>
      </c>
      <c r="P407" s="232">
        <f t="shared" si="74"/>
        <v>3.2752561583043085</v>
      </c>
      <c r="Q407" s="232">
        <f>Q406+LN(1+INDEX('Additional data'!$H$2:$H$1196,MATCH(N407,'Additional data'!$G$2:$G$1196,1))+INDEX('Additional data'!$I$2:$I$1196,MATCH(N407,'Additional data'!$G$2:$G$1196,1)))</f>
        <v>3.6146425812988405</v>
      </c>
      <c r="R407" s="232">
        <f>LN(INDEX(Data!$B$2:$B$497,MATCH(N407,Data!$A$2:$A$497,1)))</f>
        <v>9.6799160971840426</v>
      </c>
      <c r="S407" s="116">
        <f>INDEX('Additional data'!$E$2:$E$699,MATCH(DATE(YEAR(N407),MONTH(N407),1),'Additional data'!$D$2:$D$699,0))</f>
        <v>5.04</v>
      </c>
      <c r="T407" s="115">
        <f t="shared" si="75"/>
        <v>-4.2559614418796077E-2</v>
      </c>
      <c r="U407" s="115">
        <f t="shared" si="76"/>
        <v>-1.8469516283661225E-2</v>
      </c>
      <c r="V407" s="115">
        <f t="shared" si="79"/>
        <v>-4.5936977024222614E-2</v>
      </c>
      <c r="W407" s="116">
        <f t="shared" si="77"/>
        <v>7.0000000000000284E-2</v>
      </c>
      <c r="X407" s="115">
        <f t="shared" si="80"/>
        <v>-0.11824501672337639</v>
      </c>
      <c r="Y407" s="115">
        <f t="shared" si="81"/>
        <v>-0.17158359619794927</v>
      </c>
      <c r="Z407" s="115">
        <f t="shared" si="70"/>
        <v>5.2259190184907212E-2</v>
      </c>
      <c r="AA407" s="116">
        <f t="shared" si="82"/>
        <v>-1.1600000000000001</v>
      </c>
      <c r="AB407" s="115">
        <f t="shared" si="71"/>
        <v>0.21561055900666481</v>
      </c>
      <c r="AC407" s="115">
        <f t="shared" si="72"/>
        <v>0.65981922417548367</v>
      </c>
      <c r="AD407" s="115">
        <f t="shared" si="78"/>
        <v>0.60084681709495591</v>
      </c>
      <c r="AE407" s="235">
        <f t="shared" si="73"/>
        <v>-2.5199999999999996</v>
      </c>
    </row>
    <row r="408" spans="14:31" x14ac:dyDescent="0.2">
      <c r="N408" s="337">
        <v>37134</v>
      </c>
      <c r="O408" s="116">
        <f>INDEX('Additional data'!$B$2:$B$965,MATCH(DATE(YEAR(N408),MONTH(N408),1),'Additional data'!$A$2:$A$965,0))</f>
        <v>27.47</v>
      </c>
      <c r="P408" s="232">
        <f t="shared" si="74"/>
        <v>3.3130945001071823</v>
      </c>
      <c r="Q408" s="232">
        <f>Q407+LN(1+INDEX('Additional data'!$H$2:$H$1196,MATCH(N408,'Additional data'!$G$2:$G$1196,1))+INDEX('Additional data'!$I$2:$I$1196,MATCH(N408,'Additional data'!$G$2:$G$1196,1)))</f>
        <v>3.5518092721272714</v>
      </c>
      <c r="R408" s="232">
        <f>LN(INDEX(Data!$B$2:$B$497,MATCH(N408,Data!$A$2:$A$497,1)))</f>
        <v>9.6672854837073103</v>
      </c>
      <c r="S408" s="116">
        <f>INDEX('Additional data'!$E$2:$E$699,MATCH(DATE(YEAR(N408),MONTH(N408),1),'Additional data'!$D$2:$D$699,0))</f>
        <v>4.95</v>
      </c>
      <c r="T408" s="115">
        <f t="shared" si="75"/>
        <v>3.7838341802873821E-2</v>
      </c>
      <c r="U408" s="115">
        <f t="shared" si="76"/>
        <v>-6.2833309171569152E-2</v>
      </c>
      <c r="V408" s="115">
        <f t="shared" si="79"/>
        <v>-1.2630613476732222E-2</v>
      </c>
      <c r="W408" s="116">
        <f t="shared" si="77"/>
        <v>-8.9999999999999858E-2</v>
      </c>
      <c r="X408" s="115">
        <f t="shared" si="80"/>
        <v>-0.12796441498010358</v>
      </c>
      <c r="Y408" s="115">
        <f t="shared" si="81"/>
        <v>-0.30701659778386192</v>
      </c>
      <c r="Z408" s="115">
        <f t="shared" si="70"/>
        <v>2.2532391356211434E-2</v>
      </c>
      <c r="AA408" s="116">
        <f t="shared" si="82"/>
        <v>-1.54</v>
      </c>
      <c r="AB408" s="115">
        <f t="shared" si="71"/>
        <v>0.22387188346585241</v>
      </c>
      <c r="AC408" s="115">
        <f t="shared" si="72"/>
        <v>0.56568106517550198</v>
      </c>
      <c r="AD408" s="115">
        <f t="shared" si="78"/>
        <v>0.547044889287573</v>
      </c>
      <c r="AE408" s="235">
        <f t="shared" si="73"/>
        <v>-1.9699999999999998</v>
      </c>
    </row>
    <row r="409" spans="14:31" x14ac:dyDescent="0.2">
      <c r="N409" s="337">
        <v>37164</v>
      </c>
      <c r="O409" s="116">
        <f>INDEX('Additional data'!$B$2:$B$965,MATCH(DATE(YEAR(N409),MONTH(N409),1),'Additional data'!$A$2:$A$965,0))</f>
        <v>25.88</v>
      </c>
      <c r="P409" s="232">
        <f t="shared" si="74"/>
        <v>3.2534704696326999</v>
      </c>
      <c r="Q409" s="232">
        <f>Q408+LN(1+INDEX('Additional data'!$H$2:$H$1196,MATCH(N409,'Additional data'!$G$2:$G$1196,1))+INDEX('Additional data'!$I$2:$I$1196,MATCH(N409,'Additional data'!$G$2:$G$1196,1)))</f>
        <v>3.4579380565172007</v>
      </c>
      <c r="R409" s="232">
        <f>LN(INDEX(Data!$B$2:$B$497,MATCH(N409,Data!$A$2:$A$497,1)))</f>
        <v>9.5981847155934368</v>
      </c>
      <c r="S409" s="116">
        <f>INDEX('Additional data'!$E$2:$E$699,MATCH(DATE(YEAR(N409),MONTH(N409),1),'Additional data'!$D$2:$D$699,0))</f>
        <v>4.55</v>
      </c>
      <c r="T409" s="115">
        <f t="shared" si="75"/>
        <v>-5.9624030474482392E-2</v>
      </c>
      <c r="U409" s="115">
        <f t="shared" si="76"/>
        <v>-9.3871215610070724E-2</v>
      </c>
      <c r="V409" s="115">
        <f t="shared" si="79"/>
        <v>-6.9100768113873556E-2</v>
      </c>
      <c r="W409" s="116">
        <f t="shared" si="77"/>
        <v>-0.40000000000000036</v>
      </c>
      <c r="X409" s="115">
        <f t="shared" si="80"/>
        <v>-0.26935440015115386</v>
      </c>
      <c r="Y409" s="115">
        <f t="shared" si="81"/>
        <v>-0.3503310897767804</v>
      </c>
      <c r="Z409" s="115">
        <f t="shared" si="70"/>
        <v>-4.8621116197336889E-2</v>
      </c>
      <c r="AA409" s="116">
        <f t="shared" si="82"/>
        <v>-2.0200000000000005</v>
      </c>
      <c r="AB409" s="115">
        <f t="shared" si="71"/>
        <v>7.5833392781096798E-2</v>
      </c>
      <c r="AC409" s="115">
        <f t="shared" si="72"/>
        <v>0.41874312862873886</v>
      </c>
      <c r="AD409" s="115">
        <f t="shared" si="78"/>
        <v>0.46432589972470417</v>
      </c>
      <c r="AE409" s="235">
        <f t="shared" si="73"/>
        <v>-2.3600000000000003</v>
      </c>
    </row>
    <row r="410" spans="14:31" x14ac:dyDescent="0.2">
      <c r="N410" s="337">
        <v>37195</v>
      </c>
      <c r="O410" s="116">
        <f>INDEX('Additional data'!$B$2:$B$965,MATCH(DATE(YEAR(N410),MONTH(N410),1),'Additional data'!$A$2:$A$965,0))</f>
        <v>22.21</v>
      </c>
      <c r="P410" s="232">
        <f t="shared" si="74"/>
        <v>3.1005426379063361</v>
      </c>
      <c r="Q410" s="232">
        <f>Q409+LN(1+INDEX('Additional data'!$H$2:$H$1196,MATCH(N410,'Additional data'!$G$2:$G$1196,1))+INDEX('Additional data'!$I$2:$I$1196,MATCH(N410,'Additional data'!$G$2:$G$1196,1)))</f>
        <v>3.4845799874636216</v>
      </c>
      <c r="R410" s="232">
        <f>LN(INDEX(Data!$B$2:$B$497,MATCH(N410,Data!$A$2:$A$497,1)))</f>
        <v>9.6639501026032626</v>
      </c>
      <c r="S410" s="116">
        <f>INDEX('Additional data'!$E$2:$E$699,MATCH(DATE(YEAR(N410),MONTH(N410),1),'Additional data'!$D$2:$D$699,0))</f>
        <v>4.3600000000000003</v>
      </c>
      <c r="T410" s="115">
        <f t="shared" si="75"/>
        <v>-0.15292783172636382</v>
      </c>
      <c r="U410" s="115">
        <f t="shared" si="76"/>
        <v>2.6641930946420977E-2</v>
      </c>
      <c r="V410" s="115">
        <f t="shared" si="79"/>
        <v>6.5765387009825815E-2</v>
      </c>
      <c r="W410" s="116">
        <f t="shared" si="77"/>
        <v>-0.1899999999999995</v>
      </c>
      <c r="X410" s="115">
        <f t="shared" si="80"/>
        <v>-0.39838623224915448</v>
      </c>
      <c r="Y410" s="115">
        <f t="shared" si="81"/>
        <v>-0.30123902999276764</v>
      </c>
      <c r="Z410" s="115">
        <f t="shared" si="70"/>
        <v>2.8512794121763108E-2</v>
      </c>
      <c r="AA410" s="116">
        <f t="shared" si="82"/>
        <v>-2.0499999999999998</v>
      </c>
      <c r="AB410" s="115">
        <f t="shared" si="71"/>
        <v>-0.11432516556432581</v>
      </c>
      <c r="AC410" s="115">
        <f t="shared" si="72"/>
        <v>0.43256755586454565</v>
      </c>
      <c r="AD410" s="115">
        <f t="shared" si="78"/>
        <v>0.49387979415593719</v>
      </c>
      <c r="AE410" s="235">
        <f t="shared" si="73"/>
        <v>-2.34</v>
      </c>
    </row>
    <row r="411" spans="14:31" x14ac:dyDescent="0.2">
      <c r="N411" s="337">
        <v>37225</v>
      </c>
      <c r="O411" s="116">
        <f>INDEX('Additional data'!$B$2:$B$965,MATCH(DATE(YEAR(N411),MONTH(N411),1),'Additional data'!$A$2:$A$965,0))</f>
        <v>19.670000000000002</v>
      </c>
      <c r="P411" s="232">
        <f t="shared" si="74"/>
        <v>2.9790946324009679</v>
      </c>
      <c r="Q411" s="232">
        <f>Q410+LN(1+INDEX('Additional data'!$H$2:$H$1196,MATCH(N411,'Additional data'!$G$2:$G$1196,1))+INDEX('Additional data'!$I$2:$I$1196,MATCH(N411,'Additional data'!$G$2:$G$1196,1)))</f>
        <v>3.558759385637873</v>
      </c>
      <c r="R411" s="232">
        <f>LN(INDEX(Data!$B$2:$B$497,MATCH(N411,Data!$A$2:$A$497,1)))</f>
        <v>9.6971422424155644</v>
      </c>
      <c r="S411" s="116">
        <f>INDEX('Additional data'!$E$2:$E$699,MATCH(DATE(YEAR(N411),MONTH(N411),1),'Additional data'!$D$2:$D$699,0))</f>
        <v>4.28</v>
      </c>
      <c r="T411" s="115">
        <f t="shared" si="75"/>
        <v>-0.12144800550536816</v>
      </c>
      <c r="U411" s="115">
        <f t="shared" si="76"/>
        <v>7.4179398174251343E-2</v>
      </c>
      <c r="V411" s="115">
        <f t="shared" si="79"/>
        <v>3.3192139812301846E-2</v>
      </c>
      <c r="W411" s="116">
        <f t="shared" si="77"/>
        <v>-8.0000000000000071E-2</v>
      </c>
      <c r="X411" s="115">
        <f t="shared" si="80"/>
        <v>-0.55896193197838473</v>
      </c>
      <c r="Y411" s="115">
        <f t="shared" si="81"/>
        <v>-0.11958577351328348</v>
      </c>
      <c r="Z411" s="115">
        <f t="shared" si="70"/>
        <v>5.0520563242262284E-2</v>
      </c>
      <c r="AA411" s="116">
        <f t="shared" si="82"/>
        <v>-2.0499999999999998</v>
      </c>
      <c r="AB411" s="115">
        <f t="shared" si="71"/>
        <v>-0.18680226767634611</v>
      </c>
      <c r="AC411" s="115">
        <f t="shared" si="72"/>
        <v>0.44227093485443225</v>
      </c>
      <c r="AD411" s="115">
        <f t="shared" si="78"/>
        <v>0.50826046809795145</v>
      </c>
      <c r="AE411" s="235">
        <f t="shared" si="73"/>
        <v>-2.17</v>
      </c>
    </row>
    <row r="412" spans="14:31" x14ac:dyDescent="0.2">
      <c r="N412" s="337">
        <v>37256</v>
      </c>
      <c r="O412" s="116">
        <f>INDEX('Additional data'!$B$2:$B$965,MATCH(DATE(YEAR(N412),MONTH(N412),1),'Additional data'!$A$2:$A$965,0))</f>
        <v>19.329999999999998</v>
      </c>
      <c r="P412" s="232">
        <f t="shared" si="74"/>
        <v>2.9616582932202395</v>
      </c>
      <c r="Q412" s="232">
        <f>Q411+LN(1+INDEX('Additional data'!$H$2:$H$1196,MATCH(N412,'Additional data'!$G$2:$G$1196,1))+INDEX('Additional data'!$I$2:$I$1196,MATCH(N412,'Additional data'!$G$2:$G$1196,1)))</f>
        <v>3.5762062992415937</v>
      </c>
      <c r="R412" s="232">
        <f>LN(INDEX(Data!$B$2:$B$497,MATCH(N412,Data!$A$2:$A$497,1)))</f>
        <v>9.7233854110170128</v>
      </c>
      <c r="S412" s="116">
        <f>INDEX('Additional data'!$E$2:$E$699,MATCH(DATE(YEAR(N412),MONTH(N412),1),'Additional data'!$D$2:$D$699,0))</f>
        <v>4.25</v>
      </c>
      <c r="T412" s="115">
        <f t="shared" si="75"/>
        <v>-1.74363391807284E-2</v>
      </c>
      <c r="U412" s="115">
        <f t="shared" si="76"/>
        <v>1.7446913603720748E-2</v>
      </c>
      <c r="V412" s="115">
        <f t="shared" si="79"/>
        <v>2.6243168601448374E-2</v>
      </c>
      <c r="W412" s="116">
        <f t="shared" si="77"/>
        <v>-3.0000000000000249E-2</v>
      </c>
      <c r="X412" s="115">
        <f t="shared" si="80"/>
        <v>-0.38684129944146672</v>
      </c>
      <c r="Y412" s="115">
        <f t="shared" si="81"/>
        <v>-0.11879930080266998</v>
      </c>
      <c r="Z412" s="115">
        <f t="shared" ref="Z412:Z475" si="83">R412-R400</f>
        <v>9.6533303542438276E-2</v>
      </c>
      <c r="AA412" s="116">
        <f t="shared" si="82"/>
        <v>-1.9500000000000002</v>
      </c>
      <c r="AB412" s="115">
        <f t="shared" si="71"/>
        <v>-0.27269710249634738</v>
      </c>
      <c r="AC412" s="115">
        <f t="shared" si="72"/>
        <v>0.47219536996926559</v>
      </c>
      <c r="AD412" s="115">
        <f t="shared" si="78"/>
        <v>0.5114862545768375</v>
      </c>
      <c r="AE412" s="235">
        <f t="shared" si="73"/>
        <v>-1.88</v>
      </c>
    </row>
    <row r="413" spans="14:31" x14ac:dyDescent="0.2">
      <c r="N413" s="337">
        <v>37287</v>
      </c>
      <c r="O413" s="116">
        <f>INDEX('Additional data'!$B$2:$B$965,MATCH(DATE(YEAR(N413),MONTH(N413),1),'Additional data'!$A$2:$A$965,0))</f>
        <v>19.670000000000002</v>
      </c>
      <c r="P413" s="232">
        <f t="shared" si="74"/>
        <v>2.9790946324009679</v>
      </c>
      <c r="Q413" s="232">
        <f>Q412+LN(1+INDEX('Additional data'!$H$2:$H$1196,MATCH(N413,'Additional data'!$G$2:$G$1196,1))+INDEX('Additional data'!$I$2:$I$1196,MATCH(N413,'Additional data'!$G$2:$G$1196,1)))</f>
        <v>3.5631210596929384</v>
      </c>
      <c r="R413" s="232">
        <f>LN(INDEX(Data!$B$2:$B$497,MATCH(N413,Data!$A$2:$A$497,1)))</f>
        <v>9.7364675082026739</v>
      </c>
      <c r="S413" s="116">
        <f>INDEX('Additional data'!$E$2:$E$699,MATCH(DATE(YEAR(N413),MONTH(N413),1),'Additional data'!$D$2:$D$699,0))</f>
        <v>4.26</v>
      </c>
      <c r="T413" s="115">
        <f t="shared" si="75"/>
        <v>1.74363391807284E-2</v>
      </c>
      <c r="U413" s="115">
        <f t="shared" si="76"/>
        <v>-1.308523954865537E-2</v>
      </c>
      <c r="V413" s="115">
        <f t="shared" si="79"/>
        <v>1.3082097185661112E-2</v>
      </c>
      <c r="W413" s="116">
        <f t="shared" si="77"/>
        <v>9.9999999999997868E-3</v>
      </c>
      <c r="X413" s="115">
        <f t="shared" si="80"/>
        <v>-0.40800382488168552</v>
      </c>
      <c r="Y413" s="115">
        <f t="shared" si="81"/>
        <v>-0.16908398134043168</v>
      </c>
      <c r="Z413" s="115">
        <f t="shared" si="83"/>
        <v>6.6995392334861847E-2</v>
      </c>
      <c r="AA413" s="116">
        <f t="shared" si="82"/>
        <v>-1.6500000000000004</v>
      </c>
      <c r="AB413" s="115">
        <f t="shared" si="71"/>
        <v>-0.24655817674625657</v>
      </c>
      <c r="AC413" s="115">
        <f t="shared" si="72"/>
        <v>0.40642280814160392</v>
      </c>
      <c r="AD413" s="115">
        <f t="shared" si="78"/>
        <v>0.52319144957439789</v>
      </c>
      <c r="AE413" s="235">
        <f t="shared" si="73"/>
        <v>-1.5600000000000005</v>
      </c>
    </row>
    <row r="414" spans="14:31" x14ac:dyDescent="0.2">
      <c r="N414" s="337">
        <v>37315</v>
      </c>
      <c r="O414" s="116">
        <f>INDEX('Additional data'!$B$2:$B$965,MATCH(DATE(YEAR(N414),MONTH(N414),1),'Additional data'!$A$2:$A$965,0))</f>
        <v>20.74</v>
      </c>
      <c r="P414" s="232">
        <f t="shared" si="74"/>
        <v>3.0320642028013811</v>
      </c>
      <c r="Q414" s="232">
        <f>Q413+LN(1+INDEX('Additional data'!$H$2:$H$1196,MATCH(N414,'Additional data'!$G$2:$G$1196,1))+INDEX('Additional data'!$I$2:$I$1196,MATCH(N414,'Additional data'!$G$2:$G$1196,1)))</f>
        <v>3.5411821521741844</v>
      </c>
      <c r="R414" s="232">
        <f>LN(INDEX(Data!$B$2:$B$497,MATCH(N414,Data!$A$2:$A$497,1)))</f>
        <v>9.7258297833580389</v>
      </c>
      <c r="S414" s="116">
        <f>INDEX('Additional data'!$E$2:$E$699,MATCH(DATE(YEAR(N414),MONTH(N414),1),'Additional data'!$D$2:$D$699,0))</f>
        <v>4.3099999999999996</v>
      </c>
      <c r="T414" s="115">
        <f t="shared" si="75"/>
        <v>5.2969570400413168E-2</v>
      </c>
      <c r="U414" s="115">
        <f t="shared" si="76"/>
        <v>-2.1938907518753936E-2</v>
      </c>
      <c r="V414" s="115">
        <f t="shared" si="79"/>
        <v>-1.0637724844634988E-2</v>
      </c>
      <c r="W414" s="116">
        <f t="shared" si="77"/>
        <v>4.9999999999999822E-2</v>
      </c>
      <c r="X414" s="115">
        <f t="shared" si="80"/>
        <v>-0.35604793931211898</v>
      </c>
      <c r="Y414" s="115">
        <f t="shared" si="81"/>
        <v>-8.9543719909331632E-2</v>
      </c>
      <c r="Z414" s="115">
        <f t="shared" si="83"/>
        <v>5.8657334933466032E-2</v>
      </c>
      <c r="AA414" s="116">
        <f t="shared" si="82"/>
        <v>-1.2800000000000002</v>
      </c>
      <c r="AB414" s="115">
        <f t="shared" si="71"/>
        <v>-6.8478435104954993E-2</v>
      </c>
      <c r="AC414" s="115">
        <f t="shared" si="72"/>
        <v>0.38538430586601402</v>
      </c>
      <c r="AD414" s="115">
        <f t="shared" si="78"/>
        <v>0.50188240797563921</v>
      </c>
      <c r="AE414" s="235">
        <f t="shared" si="73"/>
        <v>-1.6000000000000005</v>
      </c>
    </row>
    <row r="415" spans="14:31" x14ac:dyDescent="0.2">
      <c r="N415" s="337">
        <v>37346</v>
      </c>
      <c r="O415" s="116">
        <f>INDEX('Additional data'!$B$2:$B$965,MATCH(DATE(YEAR(N415),MONTH(N415),1),'Additional data'!$A$2:$A$965,0))</f>
        <v>24.42</v>
      </c>
      <c r="P415" s="232">
        <f t="shared" si="74"/>
        <v>3.1954024686825586</v>
      </c>
      <c r="Q415" s="232">
        <f>Q414+LN(1+INDEX('Additional data'!$H$2:$H$1196,MATCH(N415,'Additional data'!$G$2:$G$1196,1))+INDEX('Additional data'!$I$2:$I$1196,MATCH(N415,'Additional data'!$G$2:$G$1196,1)))</f>
        <v>3.5839542440180536</v>
      </c>
      <c r="R415" s="232">
        <f>LN(INDEX(Data!$B$2:$B$497,MATCH(N415,Data!$A$2:$A$497,1)))</f>
        <v>9.7336347961512573</v>
      </c>
      <c r="S415" s="116">
        <f>INDEX('Additional data'!$E$2:$E$699,MATCH(DATE(YEAR(N415),MONTH(N415),1),'Additional data'!$D$2:$D$699,0))</f>
        <v>4.46</v>
      </c>
      <c r="T415" s="115">
        <f t="shared" si="75"/>
        <v>0.1633382658811775</v>
      </c>
      <c r="U415" s="115">
        <f t="shared" si="76"/>
        <v>4.2772091843869209E-2</v>
      </c>
      <c r="V415" s="115">
        <f t="shared" si="79"/>
        <v>7.8050127932183244E-3</v>
      </c>
      <c r="W415" s="116">
        <f t="shared" si="77"/>
        <v>0.15000000000000036</v>
      </c>
      <c r="X415" s="115">
        <f t="shared" si="80"/>
        <v>-0.10928401259875287</v>
      </c>
      <c r="Y415" s="115">
        <f t="shared" si="81"/>
        <v>2.3972776460295275E-2</v>
      </c>
      <c r="Z415" s="115">
        <f t="shared" si="83"/>
        <v>0.11589458885918091</v>
      </c>
      <c r="AA415" s="116">
        <f t="shared" si="82"/>
        <v>-0.67999999999999972</v>
      </c>
      <c r="AB415" s="115">
        <f t="shared" si="71"/>
        <v>0.15135633485001687</v>
      </c>
      <c r="AC415" s="115">
        <f t="shared" si="72"/>
        <v>0.47514318893421992</v>
      </c>
      <c r="AD415" s="115">
        <f t="shared" si="78"/>
        <v>0.51661676942183377</v>
      </c>
      <c r="AE415" s="235">
        <f t="shared" si="73"/>
        <v>-1.5899999999999999</v>
      </c>
    </row>
    <row r="416" spans="14:31" x14ac:dyDescent="0.2">
      <c r="N416" s="337">
        <v>37376</v>
      </c>
      <c r="O416" s="116">
        <f>INDEX('Additional data'!$B$2:$B$965,MATCH(DATE(YEAR(N416),MONTH(N416),1),'Additional data'!$A$2:$A$965,0))</f>
        <v>26.27</v>
      </c>
      <c r="P416" s="232">
        <f t="shared" si="74"/>
        <v>3.2684276036974484</v>
      </c>
      <c r="Q416" s="232">
        <f>Q415+LN(1+INDEX('Additional data'!$H$2:$H$1196,MATCH(N416,'Additional data'!$G$2:$G$1196,1))+INDEX('Additional data'!$I$2:$I$1196,MATCH(N416,'Additional data'!$G$2:$G$1196,1)))</f>
        <v>3.532029171153134</v>
      </c>
      <c r="R416" s="232">
        <f>LN(INDEX(Data!$B$2:$B$497,MATCH(N416,Data!$A$2:$A$497,1)))</f>
        <v>9.7157099384947756</v>
      </c>
      <c r="S416" s="116">
        <f>INDEX('Additional data'!$E$2:$E$699,MATCH(DATE(YEAR(N416),MONTH(N416),1),'Additional data'!$D$2:$D$699,0))</f>
        <v>4.59</v>
      </c>
      <c r="T416" s="115">
        <f t="shared" si="75"/>
        <v>7.302513501488983E-2</v>
      </c>
      <c r="U416" s="115">
        <f t="shared" si="76"/>
        <v>-5.1925072864919652E-2</v>
      </c>
      <c r="V416" s="115">
        <f t="shared" si="79"/>
        <v>-1.7924857656481663E-2</v>
      </c>
      <c r="W416" s="116">
        <f t="shared" si="77"/>
        <v>0.12999999999999989</v>
      </c>
      <c r="X416" s="115">
        <f t="shared" si="80"/>
        <v>-4.2480306617246111E-2</v>
      </c>
      <c r="Y416" s="115">
        <f t="shared" si="81"/>
        <v>-0.1078719195804978</v>
      </c>
      <c r="Z416" s="115">
        <f t="shared" si="83"/>
        <v>4.2542124622825028E-2</v>
      </c>
      <c r="AA416" s="116">
        <f t="shared" si="82"/>
        <v>-0.27000000000000046</v>
      </c>
      <c r="AB416" s="115">
        <f t="shared" si="71"/>
        <v>0.28679425452295915</v>
      </c>
      <c r="AC416" s="115">
        <f t="shared" si="72"/>
        <v>0.37948835320797514</v>
      </c>
      <c r="AD416" s="115">
        <f t="shared" si="78"/>
        <v>0.47220562014016032</v>
      </c>
      <c r="AE416" s="235">
        <f t="shared" si="73"/>
        <v>-1.4500000000000002</v>
      </c>
    </row>
    <row r="417" spans="14:31" x14ac:dyDescent="0.2">
      <c r="N417" s="337">
        <v>37407</v>
      </c>
      <c r="O417" s="116">
        <f>INDEX('Additional data'!$B$2:$B$965,MATCH(DATE(YEAR(N417),MONTH(N417),1),'Additional data'!$A$2:$A$965,0))</f>
        <v>27.02</v>
      </c>
      <c r="P417" s="232">
        <f t="shared" si="74"/>
        <v>3.2965773325320527</v>
      </c>
      <c r="Q417" s="232">
        <f>Q416+LN(1+INDEX('Additional data'!$H$2:$H$1196,MATCH(N417,'Additional data'!$G$2:$G$1196,1))+INDEX('Additional data'!$I$2:$I$1196,MATCH(N417,'Additional data'!$G$2:$G$1196,1)))</f>
        <v>3.5197541402775214</v>
      </c>
      <c r="R417" s="232">
        <f>LN(INDEX(Data!$B$2:$B$497,MATCH(N417,Data!$A$2:$A$497,1)))</f>
        <v>9.7247853180860222</v>
      </c>
      <c r="S417" s="116">
        <f>INDEX('Additional data'!$E$2:$E$699,MATCH(DATE(YEAR(N417),MONTH(N417),1),'Additional data'!$D$2:$D$699,0))</f>
        <v>4.84</v>
      </c>
      <c r="T417" s="115">
        <f t="shared" si="75"/>
        <v>2.8149728834604204E-2</v>
      </c>
      <c r="U417" s="115">
        <f t="shared" si="76"/>
        <v>-1.2275030875612547E-2</v>
      </c>
      <c r="V417" s="115">
        <f t="shared" si="79"/>
        <v>9.0753795912466018E-3</v>
      </c>
      <c r="W417" s="116">
        <f t="shared" si="77"/>
        <v>0.25</v>
      </c>
      <c r="X417" s="115">
        <f t="shared" si="80"/>
        <v>-5.8227009560392062E-2</v>
      </c>
      <c r="Y417" s="115">
        <f t="shared" si="81"/>
        <v>-0.13009728130927822</v>
      </c>
      <c r="Z417" s="115">
        <f t="shared" si="83"/>
        <v>3.5754159716649525E-2</v>
      </c>
      <c r="AA417" s="116">
        <f t="shared" si="82"/>
        <v>-4.9999999999999822E-2</v>
      </c>
      <c r="AB417" s="115">
        <f t="shared" si="71"/>
        <v>0.260183077259172</v>
      </c>
      <c r="AC417" s="115">
        <f t="shared" si="72"/>
        <v>0.29750070992106226</v>
      </c>
      <c r="AD417" s="115">
        <f t="shared" si="78"/>
        <v>0.43076578144488487</v>
      </c>
      <c r="AE417" s="235">
        <f t="shared" si="73"/>
        <v>-1.0300000000000002</v>
      </c>
    </row>
    <row r="418" spans="14:31" x14ac:dyDescent="0.2">
      <c r="N418" s="337">
        <v>37437</v>
      </c>
      <c r="O418" s="116">
        <f>INDEX('Additional data'!$B$2:$B$965,MATCH(DATE(YEAR(N418),MONTH(N418),1),'Additional data'!$A$2:$A$965,0))</f>
        <v>25.52</v>
      </c>
      <c r="P418" s="232">
        <f t="shared" si="74"/>
        <v>3.2394624584765892</v>
      </c>
      <c r="Q418" s="232">
        <f>Q417+LN(1+INDEX('Additional data'!$H$2:$H$1196,MATCH(N418,'Additional data'!$G$2:$G$1196,1))+INDEX('Additional data'!$I$2:$I$1196,MATCH(N418,'Additional data'!$G$2:$G$1196,1)))</f>
        <v>3.4461076001092228</v>
      </c>
      <c r="R418" s="232">
        <f>LN(INDEX(Data!$B$2:$B$497,MATCH(N418,Data!$A$2:$A$497,1)))</f>
        <v>9.6797967890286323</v>
      </c>
      <c r="S418" s="116">
        <f>INDEX('Additional data'!$E$2:$E$699,MATCH(DATE(YEAR(N418),MONTH(N418),1),'Additional data'!$D$2:$D$699,0))</f>
        <v>5.07</v>
      </c>
      <c r="T418" s="115">
        <f t="shared" si="75"/>
        <v>-5.7114874055463449E-2</v>
      </c>
      <c r="U418" s="115">
        <f t="shared" si="76"/>
        <v>-7.3646540168298635E-2</v>
      </c>
      <c r="V418" s="115">
        <f t="shared" si="79"/>
        <v>-4.4988529057389925E-2</v>
      </c>
      <c r="W418" s="116">
        <f t="shared" si="77"/>
        <v>0.23000000000000043</v>
      </c>
      <c r="X418" s="115">
        <f t="shared" si="80"/>
        <v>-7.8353314246515371E-2</v>
      </c>
      <c r="Y418" s="115">
        <f t="shared" si="81"/>
        <v>-0.18700449747327896</v>
      </c>
      <c r="Z418" s="115">
        <f t="shared" si="83"/>
        <v>-4.6056285179632894E-2</v>
      </c>
      <c r="AA418" s="116">
        <f t="shared" si="82"/>
        <v>0.10000000000000053</v>
      </c>
      <c r="AB418" s="115">
        <f t="shared" si="71"/>
        <v>0.28611590141903598</v>
      </c>
      <c r="AC418" s="115">
        <f t="shared" si="72"/>
        <v>0.18012440689143849</v>
      </c>
      <c r="AD418" s="115">
        <f t="shared" si="78"/>
        <v>0.33548512119954133</v>
      </c>
      <c r="AE418" s="235">
        <f t="shared" si="73"/>
        <v>-0.27999999999999936</v>
      </c>
    </row>
    <row r="419" spans="14:31" x14ac:dyDescent="0.2">
      <c r="N419" s="337">
        <v>37468</v>
      </c>
      <c r="O419" s="116">
        <f>INDEX('Additional data'!$B$2:$B$965,MATCH(DATE(YEAR(N419),MONTH(N419),1),'Additional data'!$A$2:$A$965,0))</f>
        <v>26.94</v>
      </c>
      <c r="P419" s="232">
        <f t="shared" si="74"/>
        <v>3.2936121709822181</v>
      </c>
      <c r="Q419" s="232">
        <f>Q418+LN(1+INDEX('Additional data'!$H$2:$H$1196,MATCH(N419,'Additional data'!$G$2:$G$1196,1))+INDEX('Additional data'!$I$2:$I$1196,MATCH(N419,'Additional data'!$G$2:$G$1196,1)))</f>
        <v>3.362291114016112</v>
      </c>
      <c r="R419" s="232">
        <f>LN(INDEX(Data!$B$2:$B$497,MATCH(N419,Data!$A$2:$A$497,1)))</f>
        <v>9.6378302118400967</v>
      </c>
      <c r="S419" s="116">
        <f>INDEX('Additional data'!$E$2:$E$699,MATCH(DATE(YEAR(N419),MONTH(N419),1),'Additional data'!$D$2:$D$699,0))</f>
        <v>4.9800000000000004</v>
      </c>
      <c r="T419" s="115">
        <f t="shared" si="75"/>
        <v>5.4149712505628944E-2</v>
      </c>
      <c r="U419" s="115">
        <f t="shared" si="76"/>
        <v>-8.3816486093110765E-2</v>
      </c>
      <c r="V419" s="115">
        <f t="shared" si="79"/>
        <v>-4.1966577188535581E-2</v>
      </c>
      <c r="W419" s="116">
        <f t="shared" si="77"/>
        <v>-8.9999999999999858E-2</v>
      </c>
      <c r="X419" s="115">
        <f t="shared" si="80"/>
        <v>1.835601267790965E-2</v>
      </c>
      <c r="Y419" s="115">
        <f t="shared" si="81"/>
        <v>-0.2523514672827285</v>
      </c>
      <c r="Z419" s="115">
        <f t="shared" si="83"/>
        <v>-4.2085885343945861E-2</v>
      </c>
      <c r="AA419" s="116">
        <f t="shared" si="82"/>
        <v>-5.9999999999999609E-2</v>
      </c>
      <c r="AB419" s="115">
        <f t="shared" si="71"/>
        <v>0.31655316269384848</v>
      </c>
      <c r="AC419" s="115">
        <f t="shared" si="72"/>
        <v>2.1757189534031607E-2</v>
      </c>
      <c r="AD419" s="115">
        <f t="shared" si="78"/>
        <v>0.29259188141595516</v>
      </c>
      <c r="AE419" s="235">
        <f t="shared" si="73"/>
        <v>-0.20999999999999996</v>
      </c>
    </row>
    <row r="420" spans="14:31" x14ac:dyDescent="0.2">
      <c r="N420" s="337">
        <v>37499</v>
      </c>
      <c r="O420" s="116">
        <f>INDEX('Additional data'!$B$2:$B$965,MATCH(DATE(YEAR(N420),MONTH(N420),1),'Additional data'!$A$2:$A$965,0))</f>
        <v>28.38</v>
      </c>
      <c r="P420" s="232">
        <f t="shared" si="74"/>
        <v>3.3456846717318967</v>
      </c>
      <c r="Q420" s="232">
        <f>Q419+LN(1+INDEX('Additional data'!$H$2:$H$1196,MATCH(N420,'Additional data'!$G$2:$G$1196,1))+INDEX('Additional data'!$I$2:$I$1196,MATCH(N420,'Additional data'!$G$2:$G$1196,1)))</f>
        <v>3.368670720980151</v>
      </c>
      <c r="R420" s="232">
        <f>LN(INDEX(Data!$B$2:$B$497,MATCH(N420,Data!$A$2:$A$497,1)))</f>
        <v>9.6557512508326511</v>
      </c>
      <c r="S420" s="116">
        <f>INDEX('Additional data'!$E$2:$E$699,MATCH(DATE(YEAR(N420),MONTH(N420),1),'Additional data'!$D$2:$D$699,0))</f>
        <v>4.96</v>
      </c>
      <c r="T420" s="115">
        <f t="shared" si="75"/>
        <v>5.2072500749678508E-2</v>
      </c>
      <c r="U420" s="115">
        <f t="shared" si="76"/>
        <v>6.3796069640389419E-3</v>
      </c>
      <c r="V420" s="115">
        <f t="shared" si="79"/>
        <v>1.7921038992554372E-2</v>
      </c>
      <c r="W420" s="116">
        <f t="shared" si="77"/>
        <v>-2.0000000000000462E-2</v>
      </c>
      <c r="X420" s="115">
        <f t="shared" si="80"/>
        <v>3.2590171624714337E-2</v>
      </c>
      <c r="Y420" s="115">
        <f t="shared" si="81"/>
        <v>-0.18313855114712041</v>
      </c>
      <c r="Z420" s="115">
        <f t="shared" si="83"/>
        <v>-1.1534232874659267E-2</v>
      </c>
      <c r="AA420" s="116">
        <f t="shared" si="82"/>
        <v>9.9999999999997868E-3</v>
      </c>
      <c r="AB420" s="115">
        <f t="shared" si="71"/>
        <v>0.35345853750719325</v>
      </c>
      <c r="AC420" s="115">
        <f t="shared" si="72"/>
        <v>6.5734826913388833E-2</v>
      </c>
      <c r="AD420" s="115">
        <f t="shared" si="78"/>
        <v>0.36315830704002927</v>
      </c>
      <c r="AE420" s="235">
        <f t="shared" si="73"/>
        <v>5.9999999999999609E-2</v>
      </c>
    </row>
    <row r="421" spans="14:31" x14ac:dyDescent="0.2">
      <c r="N421" s="337">
        <v>37529</v>
      </c>
      <c r="O421" s="116">
        <f>INDEX('Additional data'!$B$2:$B$965,MATCH(DATE(YEAR(N421),MONTH(N421),1),'Additional data'!$A$2:$A$965,0))</f>
        <v>29.67</v>
      </c>
      <c r="P421" s="232">
        <f t="shared" si="74"/>
        <v>3.3901364343027307</v>
      </c>
      <c r="Q421" s="232">
        <f>Q420+LN(1+INDEX('Additional data'!$H$2:$H$1196,MATCH(N421,'Additional data'!$G$2:$G$1196,1))+INDEX('Additional data'!$I$2:$I$1196,MATCH(N421,'Additional data'!$G$2:$G$1196,1)))</f>
        <v>3.2610855103002132</v>
      </c>
      <c r="R421" s="232">
        <f>LN(INDEX(Data!$B$2:$B$497,MATCH(N421,Data!$A$2:$A$497,1)))</f>
        <v>9.6139925710907832</v>
      </c>
      <c r="S421" s="116">
        <f>INDEX('Additional data'!$E$2:$E$699,MATCH(DATE(YEAR(N421),MONTH(N421),1),'Additional data'!$D$2:$D$699,0))</f>
        <v>4.92</v>
      </c>
      <c r="T421" s="115">
        <f t="shared" si="75"/>
        <v>4.4451762570834052E-2</v>
      </c>
      <c r="U421" s="115">
        <f t="shared" si="76"/>
        <v>-0.10758521067993776</v>
      </c>
      <c r="V421" s="115">
        <f t="shared" si="79"/>
        <v>-4.1758679741867866E-2</v>
      </c>
      <c r="W421" s="116">
        <f t="shared" si="77"/>
        <v>-4.0000000000000036E-2</v>
      </c>
      <c r="X421" s="115">
        <f t="shared" si="80"/>
        <v>0.13666596467003078</v>
      </c>
      <c r="Y421" s="115">
        <f t="shared" si="81"/>
        <v>-0.19685254621698745</v>
      </c>
      <c r="Z421" s="115">
        <f t="shared" si="83"/>
        <v>1.5807855497346424E-2</v>
      </c>
      <c r="AA421" s="116">
        <f t="shared" si="82"/>
        <v>0.37000000000000011</v>
      </c>
      <c r="AB421" s="115">
        <f t="shared" si="71"/>
        <v>0.40495967468825622</v>
      </c>
      <c r="AC421" s="115">
        <f t="shared" si="72"/>
        <v>-9.8041663416291058E-2</v>
      </c>
      <c r="AD421" s="115">
        <f t="shared" si="78"/>
        <v>0.25045054089449792</v>
      </c>
      <c r="AE421" s="235">
        <f t="shared" si="73"/>
        <v>0.15000000000000036</v>
      </c>
    </row>
    <row r="422" spans="14:31" x14ac:dyDescent="0.2">
      <c r="N422" s="337">
        <v>37560</v>
      </c>
      <c r="O422" s="116">
        <f>INDEX('Additional data'!$B$2:$B$965,MATCH(DATE(YEAR(N422),MONTH(N422),1),'Additional data'!$A$2:$A$965,0))</f>
        <v>28.85</v>
      </c>
      <c r="P422" s="232">
        <f t="shared" si="74"/>
        <v>3.3621099929541085</v>
      </c>
      <c r="Q422" s="232">
        <f>Q421+LN(1+INDEX('Additional data'!$H$2:$H$1196,MATCH(N422,'Additional data'!$G$2:$G$1196,1))+INDEX('Additional data'!$I$2:$I$1196,MATCH(N422,'Additional data'!$G$2:$G$1196,1)))</f>
        <v>3.3378613491022628</v>
      </c>
      <c r="R422" s="232">
        <f>LN(INDEX(Data!$B$2:$B$497,MATCH(N422,Data!$A$2:$A$497,1)))</f>
        <v>9.6393159307819793</v>
      </c>
      <c r="S422" s="116">
        <f>INDEX('Additional data'!$E$2:$E$699,MATCH(DATE(YEAR(N422),MONTH(N422),1),'Additional data'!$D$2:$D$699,0))</f>
        <v>4.9000000000000004</v>
      </c>
      <c r="T422" s="115">
        <f t="shared" si="75"/>
        <v>-2.80264413486222E-2</v>
      </c>
      <c r="U422" s="115">
        <f t="shared" si="76"/>
        <v>7.6775838802049634E-2</v>
      </c>
      <c r="V422" s="115">
        <f t="shared" si="79"/>
        <v>2.5323359691196146E-2</v>
      </c>
      <c r="W422" s="116">
        <f t="shared" si="77"/>
        <v>-1.9999999999999574E-2</v>
      </c>
      <c r="X422" s="115">
        <f t="shared" si="80"/>
        <v>0.2615673550477724</v>
      </c>
      <c r="Y422" s="115">
        <f t="shared" si="81"/>
        <v>-0.14671863836135879</v>
      </c>
      <c r="Z422" s="115">
        <f t="shared" si="83"/>
        <v>-2.4634171821283246E-2</v>
      </c>
      <c r="AA422" s="116">
        <f t="shared" si="82"/>
        <v>0.54</v>
      </c>
      <c r="AB422" s="115">
        <f t="shared" si="71"/>
        <v>0.30528262004030671</v>
      </c>
      <c r="AC422" s="115">
        <f t="shared" si="72"/>
        <v>1.3118602247589539E-2</v>
      </c>
      <c r="AD422" s="115">
        <f t="shared" si="78"/>
        <v>0.38595438425560147</v>
      </c>
      <c r="AE422" s="235">
        <f t="shared" si="73"/>
        <v>7.0000000000000284E-2</v>
      </c>
    </row>
    <row r="423" spans="14:31" x14ac:dyDescent="0.2">
      <c r="N423" s="337">
        <v>37590</v>
      </c>
      <c r="O423" s="116">
        <f>INDEX('Additional data'!$B$2:$B$965,MATCH(DATE(YEAR(N423),MONTH(N423),1),'Additional data'!$A$2:$A$965,0))</f>
        <v>26.27</v>
      </c>
      <c r="P423" s="232">
        <f t="shared" si="74"/>
        <v>3.2684276036974484</v>
      </c>
      <c r="Q423" s="232">
        <f>Q422+LN(1+INDEX('Additional data'!$H$2:$H$1196,MATCH(N423,'Additional data'!$G$2:$G$1196,1))+INDEX('Additional data'!$I$2:$I$1196,MATCH(N423,'Additional data'!$G$2:$G$1196,1)))</f>
        <v>3.3968846895517242</v>
      </c>
      <c r="R423" s="232">
        <f>LN(INDEX(Data!$B$2:$B$497,MATCH(N423,Data!$A$2:$A$497,1)))</f>
        <v>9.6539131381241123</v>
      </c>
      <c r="S423" s="116">
        <f>INDEX('Additional data'!$E$2:$E$699,MATCH(DATE(YEAR(N423),MONTH(N423),1),'Additional data'!$D$2:$D$699,0))</f>
        <v>4.84</v>
      </c>
      <c r="T423" s="115">
        <f t="shared" si="75"/>
        <v>-9.3682389256660059E-2</v>
      </c>
      <c r="U423" s="115">
        <f t="shared" si="76"/>
        <v>5.9023340449461337E-2</v>
      </c>
      <c r="V423" s="115">
        <f t="shared" si="79"/>
        <v>1.459720734213299E-2</v>
      </c>
      <c r="W423" s="116">
        <f t="shared" si="77"/>
        <v>-6.0000000000000497E-2</v>
      </c>
      <c r="X423" s="115">
        <f t="shared" si="80"/>
        <v>0.2893329712964805</v>
      </c>
      <c r="Y423" s="115">
        <f t="shared" si="81"/>
        <v>-0.16187469608614879</v>
      </c>
      <c r="Z423" s="115">
        <f t="shared" si="83"/>
        <v>-4.3229104291452103E-2</v>
      </c>
      <c r="AA423" s="116">
        <f t="shared" si="82"/>
        <v>0.55999999999999961</v>
      </c>
      <c r="AB423" s="115">
        <f t="shared" si="71"/>
        <v>0.26423125173132789</v>
      </c>
      <c r="AC423" s="115">
        <f t="shared" si="72"/>
        <v>3.8900608917249002E-2</v>
      </c>
      <c r="AD423" s="115">
        <f t="shared" si="78"/>
        <v>0.39311732265943711</v>
      </c>
      <c r="AE423" s="235">
        <f t="shared" si="73"/>
        <v>-0.11000000000000032</v>
      </c>
    </row>
    <row r="424" spans="14:31" x14ac:dyDescent="0.2">
      <c r="N424" s="337">
        <v>37621</v>
      </c>
      <c r="O424" s="116">
        <f>INDEX('Additional data'!$B$2:$B$965,MATCH(DATE(YEAR(N424),MONTH(N424),1),'Additional data'!$A$2:$A$965,0))</f>
        <v>29.42</v>
      </c>
      <c r="P424" s="232">
        <f t="shared" si="74"/>
        <v>3.3816747151732915</v>
      </c>
      <c r="Q424" s="232">
        <f>Q423+LN(1+INDEX('Additional data'!$H$2:$H$1196,MATCH(N424,'Additional data'!$G$2:$G$1196,1))+INDEX('Additional data'!$I$2:$I$1196,MATCH(N424,'Additional data'!$G$2:$G$1196,1)))</f>
        <v>3.338725775378192</v>
      </c>
      <c r="R424" s="232">
        <f>LN(INDEX(Data!$B$2:$B$497,MATCH(N424,Data!$A$2:$A$497,1)))</f>
        <v>9.6389554399830466</v>
      </c>
      <c r="S424" s="116">
        <f>INDEX('Additional data'!$E$2:$E$699,MATCH(DATE(YEAR(N424),MONTH(N424),1),'Additional data'!$D$2:$D$699,0))</f>
        <v>4.83</v>
      </c>
      <c r="T424" s="115">
        <f t="shared" si="75"/>
        <v>0.1132471114758431</v>
      </c>
      <c r="U424" s="115">
        <f t="shared" si="76"/>
        <v>-5.8158914173532139E-2</v>
      </c>
      <c r="V424" s="115">
        <f t="shared" si="79"/>
        <v>-1.4957698141065734E-2</v>
      </c>
      <c r="W424" s="116">
        <f t="shared" si="77"/>
        <v>-9.9999999999997868E-3</v>
      </c>
      <c r="X424" s="115">
        <f t="shared" si="80"/>
        <v>0.420016421953052</v>
      </c>
      <c r="Y424" s="115">
        <f t="shared" si="81"/>
        <v>-0.23748052386340168</v>
      </c>
      <c r="Z424" s="115">
        <f t="shared" si="83"/>
        <v>-8.4429971033966211E-2</v>
      </c>
      <c r="AA424" s="116">
        <f t="shared" si="82"/>
        <v>0.58000000000000007</v>
      </c>
      <c r="AB424" s="115">
        <f t="shared" si="71"/>
        <v>0.4736813559273072</v>
      </c>
      <c r="AC424" s="115">
        <f t="shared" si="72"/>
        <v>-3.7196450387296132E-2</v>
      </c>
      <c r="AD424" s="115">
        <f t="shared" si="78"/>
        <v>0.31892693002931516</v>
      </c>
      <c r="AE424" s="235">
        <f t="shared" si="73"/>
        <v>-0.24000000000000021</v>
      </c>
    </row>
    <row r="425" spans="14:31" x14ac:dyDescent="0.2">
      <c r="N425" s="337">
        <v>37652</v>
      </c>
      <c r="O425" s="116">
        <f>INDEX('Additional data'!$B$2:$B$965,MATCH(DATE(YEAR(N425),MONTH(N425),1),'Additional data'!$A$2:$A$965,0))</f>
        <v>32.94</v>
      </c>
      <c r="P425" s="232">
        <f t="shared" si="74"/>
        <v>3.4946877247494941</v>
      </c>
      <c r="Q425" s="232">
        <f>Q424+LN(1+INDEX('Additional data'!$H$2:$H$1196,MATCH(N425,'Additional data'!$G$2:$G$1196,1))+INDEX('Additional data'!$I$2:$I$1196,MATCH(N425,'Additional data'!$G$2:$G$1196,1)))</f>
        <v>3.3137156123740241</v>
      </c>
      <c r="R425" s="232">
        <f>LN(INDEX(Data!$B$2:$B$497,MATCH(N425,Data!$A$2:$A$497,1)))</f>
        <v>9.6255398800353564</v>
      </c>
      <c r="S425" s="116">
        <f>INDEX('Additional data'!$E$2:$E$699,MATCH(DATE(YEAR(N425),MONTH(N425),1),'Additional data'!$D$2:$D$699,0))</f>
        <v>4.8</v>
      </c>
      <c r="T425" s="115">
        <f t="shared" si="75"/>
        <v>0.11301300957620253</v>
      </c>
      <c r="U425" s="115">
        <f t="shared" si="76"/>
        <v>-2.5010163004167918E-2</v>
      </c>
      <c r="V425" s="115">
        <f t="shared" si="79"/>
        <v>-1.341555994769017E-2</v>
      </c>
      <c r="W425" s="116">
        <f t="shared" si="77"/>
        <v>-3.0000000000000249E-2</v>
      </c>
      <c r="X425" s="115">
        <f t="shared" si="80"/>
        <v>0.51559309234852613</v>
      </c>
      <c r="Y425" s="115">
        <f t="shared" si="81"/>
        <v>-0.24940544731891423</v>
      </c>
      <c r="Z425" s="115">
        <f t="shared" si="83"/>
        <v>-0.11092762816731749</v>
      </c>
      <c r="AA425" s="116">
        <f t="shared" si="82"/>
        <v>0.54</v>
      </c>
      <c r="AB425" s="115">
        <f t="shared" si="71"/>
        <v>0.67868038214219162</v>
      </c>
      <c r="AC425" s="115">
        <f t="shared" si="72"/>
        <v>-6.7989858147191384E-2</v>
      </c>
      <c r="AD425" s="115">
        <f t="shared" si="78"/>
        <v>0.2930615245245356</v>
      </c>
      <c r="AE425" s="235">
        <f t="shared" si="73"/>
        <v>-0.19000000000000039</v>
      </c>
    </row>
    <row r="426" spans="14:31" x14ac:dyDescent="0.2">
      <c r="N426" s="337">
        <v>37680</v>
      </c>
      <c r="O426" s="116">
        <f>INDEX('Additional data'!$B$2:$B$965,MATCH(DATE(YEAR(N426),MONTH(N426),1),'Additional data'!$A$2:$A$965,0))</f>
        <v>35.869999999999997</v>
      </c>
      <c r="P426" s="232">
        <f t="shared" si="74"/>
        <v>3.579901291544191</v>
      </c>
      <c r="Q426" s="232">
        <f>Q425+LN(1+INDEX('Additional data'!$H$2:$H$1196,MATCH(N426,'Additional data'!$G$2:$G$1196,1))+INDEX('Additional data'!$I$2:$I$1196,MATCH(N426,'Additional data'!$G$2:$G$1196,1)))</f>
        <v>3.2956534695556154</v>
      </c>
      <c r="R426" s="232">
        <f>LN(INDEX(Data!$B$2:$B$497,MATCH(N426,Data!$A$2:$A$497,1)))</f>
        <v>9.5743784414507012</v>
      </c>
      <c r="S426" s="116">
        <f>INDEX('Additional data'!$E$2:$E$699,MATCH(DATE(YEAR(N426),MONTH(N426),1),'Additional data'!$D$2:$D$699,0))</f>
        <v>4.75</v>
      </c>
      <c r="T426" s="115">
        <f t="shared" si="75"/>
        <v>8.5213566794696938E-2</v>
      </c>
      <c r="U426" s="115">
        <f t="shared" si="76"/>
        <v>-1.8062142818408677E-2</v>
      </c>
      <c r="V426" s="115">
        <f t="shared" si="79"/>
        <v>-5.1161438584655272E-2</v>
      </c>
      <c r="W426" s="116">
        <f t="shared" si="77"/>
        <v>-4.9999999999999822E-2</v>
      </c>
      <c r="X426" s="115">
        <f t="shared" si="80"/>
        <v>0.5478370887428099</v>
      </c>
      <c r="Y426" s="115">
        <f t="shared" si="81"/>
        <v>-0.24552868261856897</v>
      </c>
      <c r="Z426" s="115">
        <f t="shared" si="83"/>
        <v>-0.15145134190733778</v>
      </c>
      <c r="AA426" s="116">
        <f t="shared" si="82"/>
        <v>0.44000000000000039</v>
      </c>
      <c r="AB426" s="115">
        <f t="shared" si="71"/>
        <v>0.80356958302557535</v>
      </c>
      <c r="AC426" s="115">
        <f t="shared" si="72"/>
        <v>-0.15762819945482187</v>
      </c>
      <c r="AD426" s="115">
        <f t="shared" si="78"/>
        <v>0.23107308723007414</v>
      </c>
      <c r="AE426" s="235">
        <f t="shared" si="73"/>
        <v>-0.21999999999999975</v>
      </c>
    </row>
    <row r="427" spans="14:31" x14ac:dyDescent="0.2">
      <c r="N427" s="337">
        <v>37711</v>
      </c>
      <c r="O427" s="116">
        <f>INDEX('Additional data'!$B$2:$B$965,MATCH(DATE(YEAR(N427),MONTH(N427),1),'Additional data'!$A$2:$A$965,0))</f>
        <v>33.549999999999997</v>
      </c>
      <c r="P427" s="232">
        <f t="shared" si="74"/>
        <v>3.5130368634176907</v>
      </c>
      <c r="Q427" s="232">
        <f>Q426+LN(1+INDEX('Additional data'!$H$2:$H$1196,MATCH(N427,'Additional data'!$G$2:$G$1196,1))+INDEX('Additional data'!$I$2:$I$1196,MATCH(N427,'Additional data'!$G$2:$G$1196,1)))</f>
        <v>3.3074832213091923</v>
      </c>
      <c r="R427" s="232">
        <f>LN(INDEX(Data!$B$2:$B$497,MATCH(N427,Data!$A$2:$A$497,1)))</f>
        <v>9.6082951480115497</v>
      </c>
      <c r="S427" s="116">
        <f>INDEX('Additional data'!$E$2:$E$699,MATCH(DATE(YEAR(N427),MONTH(N427),1),'Additional data'!$D$2:$D$699,0))</f>
        <v>4.76</v>
      </c>
      <c r="T427" s="115">
        <f t="shared" si="75"/>
        <v>-6.6864428126500286E-2</v>
      </c>
      <c r="U427" s="115">
        <f t="shared" si="76"/>
        <v>1.1829751753576812E-2</v>
      </c>
      <c r="V427" s="115">
        <f t="shared" si="79"/>
        <v>3.3916706560848553E-2</v>
      </c>
      <c r="W427" s="116">
        <f t="shared" si="77"/>
        <v>9.9999999999997868E-3</v>
      </c>
      <c r="X427" s="115">
        <f t="shared" si="80"/>
        <v>0.31763439473513211</v>
      </c>
      <c r="Y427" s="115">
        <f t="shared" si="81"/>
        <v>-0.27647102270886137</v>
      </c>
      <c r="Z427" s="115">
        <f t="shared" si="83"/>
        <v>-0.12533964813970755</v>
      </c>
      <c r="AA427" s="116">
        <f t="shared" si="82"/>
        <v>0.29999999999999982</v>
      </c>
      <c r="AB427" s="115">
        <f t="shared" si="71"/>
        <v>0.80365421708170226</v>
      </c>
      <c r="AC427" s="115">
        <f t="shared" si="72"/>
        <v>-0.19601616386186249</v>
      </c>
      <c r="AD427" s="115">
        <f t="shared" si="78"/>
        <v>0.23840725680776664</v>
      </c>
      <c r="AE427" s="235">
        <f t="shared" si="73"/>
        <v>-0.20000000000000018</v>
      </c>
    </row>
    <row r="428" spans="14:31" x14ac:dyDescent="0.2">
      <c r="N428" s="337">
        <v>37741</v>
      </c>
      <c r="O428" s="116">
        <f>INDEX('Additional data'!$B$2:$B$965,MATCH(DATE(YEAR(N428),MONTH(N428),1),'Additional data'!$A$2:$A$965,0))</f>
        <v>28.25</v>
      </c>
      <c r="P428" s="232">
        <f t="shared" si="74"/>
        <v>3.34109345759245</v>
      </c>
      <c r="Q428" s="232">
        <f>Q427+LN(1+INDEX('Additional data'!$H$2:$H$1196,MATCH(N428,'Additional data'!$G$2:$G$1196,1))+INDEX('Additional data'!$I$2:$I$1196,MATCH(N428,'Additional data'!$G$2:$G$1196,1)))</f>
        <v>3.3870335000672012</v>
      </c>
      <c r="R428" s="232">
        <f>LN(INDEX(Data!$B$2:$B$497,MATCH(N428,Data!$A$2:$A$497,1)))</f>
        <v>9.6512481036984514</v>
      </c>
      <c r="S428" s="116">
        <f>INDEX('Additional data'!$E$2:$E$699,MATCH(DATE(YEAR(N428),MONTH(N428),1),'Additional data'!$D$2:$D$699,0))</f>
        <v>4.79</v>
      </c>
      <c r="T428" s="115">
        <f t="shared" si="75"/>
        <v>-0.1719434058252407</v>
      </c>
      <c r="U428" s="115">
        <f t="shared" si="76"/>
        <v>7.9550278758008908E-2</v>
      </c>
      <c r="V428" s="115">
        <f t="shared" si="79"/>
        <v>4.2952955686901717E-2</v>
      </c>
      <c r="W428" s="116">
        <f t="shared" si="77"/>
        <v>3.0000000000000249E-2</v>
      </c>
      <c r="X428" s="115">
        <f t="shared" si="80"/>
        <v>7.2665853895001575E-2</v>
      </c>
      <c r="Y428" s="115">
        <f t="shared" si="81"/>
        <v>-0.14499567108593281</v>
      </c>
      <c r="Z428" s="115">
        <f t="shared" si="83"/>
        <v>-6.4461834796324169E-2</v>
      </c>
      <c r="AA428" s="116">
        <f t="shared" si="82"/>
        <v>0.20000000000000018</v>
      </c>
      <c r="AB428" s="115">
        <f t="shared" si="71"/>
        <v>0.60413191299582003</v>
      </c>
      <c r="AC428" s="115">
        <f t="shared" si="72"/>
        <v>-0.12809796933356132</v>
      </c>
      <c r="AD428" s="115">
        <f t="shared" si="78"/>
        <v>0.27054067946319549</v>
      </c>
      <c r="AE428" s="235">
        <f t="shared" si="73"/>
        <v>-0.12999999999999989</v>
      </c>
    </row>
    <row r="429" spans="14:31" x14ac:dyDescent="0.2">
      <c r="N429" s="337">
        <v>37772</v>
      </c>
      <c r="O429" s="116">
        <f>INDEX('Additional data'!$B$2:$B$965,MATCH(DATE(YEAR(N429),MONTH(N429),1),'Additional data'!$A$2:$A$965,0))</f>
        <v>28.14</v>
      </c>
      <c r="P429" s="232">
        <f t="shared" si="74"/>
        <v>3.3371920516862432</v>
      </c>
      <c r="Q429" s="232">
        <f>Q428+LN(1+INDEX('Additional data'!$H$2:$H$1196,MATCH(N429,'Additional data'!$G$2:$G$1196,1))+INDEX('Additional data'!$I$2:$I$1196,MATCH(N429,'Additional data'!$G$2:$G$1196,1)))</f>
        <v>3.4466222914788585</v>
      </c>
      <c r="R429" s="232">
        <f>LN(INDEX(Data!$B$2:$B$497,MATCH(N429,Data!$A$2:$A$497,1)))</f>
        <v>9.6563133772812026</v>
      </c>
      <c r="S429" s="116">
        <f>INDEX('Additional data'!$E$2:$E$699,MATCH(DATE(YEAR(N429),MONTH(N429),1),'Additional data'!$D$2:$D$699,0))</f>
        <v>4.78</v>
      </c>
      <c r="T429" s="115">
        <f t="shared" si="75"/>
        <v>-3.9014059062068007E-3</v>
      </c>
      <c r="U429" s="115">
        <f t="shared" si="76"/>
        <v>5.9588791411657294E-2</v>
      </c>
      <c r="V429" s="115">
        <f t="shared" si="79"/>
        <v>5.0652735827512174E-3</v>
      </c>
      <c r="W429" s="116">
        <f t="shared" si="77"/>
        <v>-9.9999999999997868E-3</v>
      </c>
      <c r="X429" s="115">
        <f t="shared" si="80"/>
        <v>4.0614719154190571E-2</v>
      </c>
      <c r="Y429" s="115">
        <f t="shared" si="81"/>
        <v>-7.3131848798662968E-2</v>
      </c>
      <c r="Z429" s="115">
        <f t="shared" si="83"/>
        <v>-6.8471940804819553E-2</v>
      </c>
      <c r="AA429" s="116">
        <f t="shared" si="82"/>
        <v>-5.9999999999999609E-2</v>
      </c>
      <c r="AB429" s="115">
        <f t="shared" si="71"/>
        <v>0.63851901239663</v>
      </c>
      <c r="AC429" s="115">
        <f t="shared" si="72"/>
        <v>-4.1446258372214828E-2</v>
      </c>
      <c r="AD429" s="115">
        <f t="shared" si="78"/>
        <v>0.29493573855083177</v>
      </c>
      <c r="AE429" s="235">
        <f t="shared" si="73"/>
        <v>-0.17999999999999972</v>
      </c>
    </row>
    <row r="430" spans="14:31" x14ac:dyDescent="0.2">
      <c r="N430" s="337">
        <v>37802</v>
      </c>
      <c r="O430" s="116">
        <f>INDEX('Additional data'!$B$2:$B$965,MATCH(DATE(YEAR(N430),MONTH(N430),1),'Additional data'!$A$2:$A$965,0))</f>
        <v>30.72</v>
      </c>
      <c r="P430" s="232">
        <f t="shared" si="74"/>
        <v>3.4249139082794713</v>
      </c>
      <c r="Q430" s="232">
        <f>Q429+LN(1+INDEX('Additional data'!$H$2:$H$1196,MATCH(N430,'Additional data'!$G$2:$G$1196,1))+INDEX('Additional data'!$I$2:$I$1196,MATCH(N430,'Additional data'!$G$2:$G$1196,1)))</f>
        <v>3.461707928896899</v>
      </c>
      <c r="R430" s="232">
        <f>LN(INDEX(Data!$B$2:$B$497,MATCH(N430,Data!$A$2:$A$497,1)))</f>
        <v>9.6688909775161687</v>
      </c>
      <c r="S430" s="116">
        <f>INDEX('Additional data'!$E$2:$E$699,MATCH(DATE(YEAR(N430),MONTH(N430),1),'Additional data'!$D$2:$D$699,0))</f>
        <v>4.67</v>
      </c>
      <c r="T430" s="115">
        <f t="shared" si="75"/>
        <v>8.7721856593228065E-2</v>
      </c>
      <c r="U430" s="115">
        <f t="shared" si="76"/>
        <v>1.5085637418040587E-2</v>
      </c>
      <c r="V430" s="115">
        <f t="shared" si="79"/>
        <v>1.2577600234966013E-2</v>
      </c>
      <c r="W430" s="116">
        <f t="shared" si="77"/>
        <v>-0.11000000000000032</v>
      </c>
      <c r="X430" s="115">
        <f t="shared" si="80"/>
        <v>0.18545144980288208</v>
      </c>
      <c r="Y430" s="115">
        <f t="shared" si="81"/>
        <v>1.5600328787676254E-2</v>
      </c>
      <c r="Z430" s="115">
        <f t="shared" si="83"/>
        <v>-1.0905811512463615E-2</v>
      </c>
      <c r="AA430" s="116">
        <f t="shared" si="82"/>
        <v>-0.40000000000000036</v>
      </c>
      <c r="AB430" s="115">
        <f t="shared" si="71"/>
        <v>0.81044205413682713</v>
      </c>
      <c r="AC430" s="115">
        <f t="shared" si="72"/>
        <v>-6.1727764791465578E-2</v>
      </c>
      <c r="AD430" s="115">
        <f t="shared" si="78"/>
        <v>0.31500452769743781</v>
      </c>
      <c r="AE430" s="235">
        <f t="shared" si="73"/>
        <v>-0.65000000000000036</v>
      </c>
    </row>
    <row r="431" spans="14:31" x14ac:dyDescent="0.2">
      <c r="N431" s="337">
        <v>37833</v>
      </c>
      <c r="O431" s="116">
        <f>INDEX('Additional data'!$B$2:$B$965,MATCH(DATE(YEAR(N431),MONTH(N431),1),'Additional data'!$A$2:$A$965,0))</f>
        <v>30.76</v>
      </c>
      <c r="P431" s="232">
        <f t="shared" si="74"/>
        <v>3.4262151446374434</v>
      </c>
      <c r="Q431" s="232">
        <f>Q430+LN(1+INDEX('Additional data'!$H$2:$H$1196,MATCH(N431,'Additional data'!$G$2:$G$1196,1))+INDEX('Additional data'!$I$2:$I$1196,MATCH(N431,'Additional data'!$G$2:$G$1196,1)))</f>
        <v>3.4854244555142153</v>
      </c>
      <c r="R431" s="232">
        <f>LN(INDEX(Data!$B$2:$B$497,MATCH(N431,Data!$A$2:$A$497,1)))</f>
        <v>9.7043400297905489</v>
      </c>
      <c r="S431" s="116">
        <f>INDEX('Additional data'!$E$2:$E$699,MATCH(DATE(YEAR(N431),MONTH(N431),1),'Additional data'!$D$2:$D$699,0))</f>
        <v>4.72</v>
      </c>
      <c r="T431" s="115">
        <f t="shared" si="75"/>
        <v>1.3012363579720798E-3</v>
      </c>
      <c r="U431" s="115">
        <f t="shared" si="76"/>
        <v>2.3716526617316269E-2</v>
      </c>
      <c r="V431" s="115">
        <f t="shared" si="79"/>
        <v>3.5449052274380222E-2</v>
      </c>
      <c r="W431" s="116">
        <f t="shared" si="77"/>
        <v>4.9999999999999822E-2</v>
      </c>
      <c r="X431" s="115">
        <f t="shared" si="80"/>
        <v>0.13260297365522522</v>
      </c>
      <c r="Y431" s="115">
        <f t="shared" si="81"/>
        <v>0.12313334149810329</v>
      </c>
      <c r="Z431" s="115">
        <f t="shared" si="83"/>
        <v>6.6509817950452188E-2</v>
      </c>
      <c r="AA431" s="116">
        <f t="shared" si="82"/>
        <v>-0.26000000000000068</v>
      </c>
      <c r="AB431" s="115">
        <f t="shared" si="71"/>
        <v>0.78145979390754716</v>
      </c>
      <c r="AC431" s="115">
        <f t="shared" si="72"/>
        <v>-1.7604428396486682E-2</v>
      </c>
      <c r="AD431" s="115">
        <f t="shared" si="78"/>
        <v>0.33463118580028883</v>
      </c>
      <c r="AE431" s="235">
        <f t="shared" si="73"/>
        <v>-0.45000000000000018</v>
      </c>
    </row>
    <row r="432" spans="14:31" x14ac:dyDescent="0.2">
      <c r="N432" s="337">
        <v>37864</v>
      </c>
      <c r="O432" s="116">
        <f>INDEX('Additional data'!$B$2:$B$965,MATCH(DATE(YEAR(N432),MONTH(N432),1),'Additional data'!$A$2:$A$965,0))</f>
        <v>31.59</v>
      </c>
      <c r="P432" s="232">
        <f t="shared" si="74"/>
        <v>3.4528406148139936</v>
      </c>
      <c r="Q432" s="232">
        <f>Q431+LN(1+INDEX('Additional data'!$H$2:$H$1196,MATCH(N432,'Additional data'!$G$2:$G$1196,1))+INDEX('Additional data'!$I$2:$I$1196,MATCH(N432,'Additional data'!$G$2:$G$1196,1)))</f>
        <v>3.5091409821315316</v>
      </c>
      <c r="R432" s="232">
        <f>LN(INDEX(Data!$B$2:$B$497,MATCH(N432,Data!$A$2:$A$497,1)))</f>
        <v>9.7388648823150206</v>
      </c>
      <c r="S432" s="116">
        <f>INDEX('Additional data'!$E$2:$E$699,MATCH(DATE(YEAR(N432),MONTH(N432),1),'Additional data'!$D$2:$D$699,0))</f>
        <v>4.82</v>
      </c>
      <c r="T432" s="115">
        <f t="shared" si="75"/>
        <v>2.6625470176550259E-2</v>
      </c>
      <c r="U432" s="115">
        <f t="shared" si="76"/>
        <v>2.3716526617316269E-2</v>
      </c>
      <c r="V432" s="115">
        <f t="shared" si="79"/>
        <v>3.4524852524471683E-2</v>
      </c>
      <c r="W432" s="116">
        <f t="shared" si="77"/>
        <v>0.10000000000000053</v>
      </c>
      <c r="X432" s="115">
        <f t="shared" si="80"/>
        <v>0.10715594308209697</v>
      </c>
      <c r="Y432" s="115">
        <f t="shared" si="81"/>
        <v>0.14047026115138062</v>
      </c>
      <c r="Z432" s="115">
        <f t="shared" si="83"/>
        <v>8.3113631482369499E-2</v>
      </c>
      <c r="AA432" s="116">
        <f t="shared" si="82"/>
        <v>-0.13999999999999968</v>
      </c>
      <c r="AB432" s="115">
        <f t="shared" si="71"/>
        <v>0.8605754467054938</v>
      </c>
      <c r="AC432" s="115">
        <f t="shared" si="72"/>
        <v>0.17595187751272823</v>
      </c>
      <c r="AD432" s="115">
        <f t="shared" si="78"/>
        <v>0.45939031550516773</v>
      </c>
      <c r="AE432" s="235">
        <f t="shared" si="73"/>
        <v>-0.37000000000000011</v>
      </c>
    </row>
    <row r="433" spans="14:31" x14ac:dyDescent="0.2">
      <c r="N433" s="337">
        <v>37894</v>
      </c>
      <c r="O433" s="116">
        <f>INDEX('Additional data'!$B$2:$B$965,MATCH(DATE(YEAR(N433),MONTH(N433),1),'Additional data'!$A$2:$A$965,0))</f>
        <v>28.29</v>
      </c>
      <c r="P433" s="232">
        <f t="shared" si="74"/>
        <v>3.3425083853134758</v>
      </c>
      <c r="Q433" s="232">
        <f>Q432+LN(1+INDEX('Additional data'!$H$2:$H$1196,MATCH(N433,'Additional data'!$G$2:$G$1196,1))+INDEX('Additional data'!$I$2:$I$1196,MATCH(N433,'Additional data'!$G$2:$G$1196,1)))</f>
        <v>3.4974731772638497</v>
      </c>
      <c r="R433" s="232">
        <f>LN(INDEX(Data!$B$2:$B$497,MATCH(N433,Data!$A$2:$A$497,1)))</f>
        <v>9.7374884566311142</v>
      </c>
      <c r="S433" s="116">
        <f>INDEX('Additional data'!$E$2:$E$699,MATCH(DATE(YEAR(N433),MONTH(N433),1),'Additional data'!$D$2:$D$699,0))</f>
        <v>4.91</v>
      </c>
      <c r="T433" s="115">
        <f t="shared" si="75"/>
        <v>-0.1103322295005178</v>
      </c>
      <c r="U433" s="115">
        <f t="shared" si="76"/>
        <v>-1.166780486768193E-2</v>
      </c>
      <c r="V433" s="115">
        <f t="shared" si="79"/>
        <v>-1.3764256839063904E-3</v>
      </c>
      <c r="W433" s="116">
        <f t="shared" si="77"/>
        <v>8.9999999999999858E-2</v>
      </c>
      <c r="X433" s="115">
        <f t="shared" si="80"/>
        <v>-4.7628048989254879E-2</v>
      </c>
      <c r="Y433" s="115">
        <f t="shared" si="81"/>
        <v>0.23638766696363644</v>
      </c>
      <c r="Z433" s="115">
        <f t="shared" si="83"/>
        <v>0.12349588554033097</v>
      </c>
      <c r="AA433" s="116">
        <f t="shared" si="82"/>
        <v>-9.9999999999997868E-3</v>
      </c>
      <c r="AB433" s="115">
        <f t="shared" si="71"/>
        <v>0.63779708547678027</v>
      </c>
      <c r="AC433" s="115">
        <f t="shared" si="72"/>
        <v>9.9901813715777887E-2</v>
      </c>
      <c r="AD433" s="115">
        <f t="shared" si="78"/>
        <v>0.42226568327552272</v>
      </c>
      <c r="AE433" s="235">
        <f t="shared" si="73"/>
        <v>-0.12000000000000011</v>
      </c>
    </row>
    <row r="434" spans="14:31" x14ac:dyDescent="0.2">
      <c r="N434" s="337">
        <v>37925</v>
      </c>
      <c r="O434" s="116">
        <f>INDEX('Additional data'!$B$2:$B$965,MATCH(DATE(YEAR(N434),MONTH(N434),1),'Additional data'!$A$2:$A$965,0))</f>
        <v>30.33</v>
      </c>
      <c r="P434" s="232">
        <f t="shared" si="74"/>
        <v>3.4121373217004898</v>
      </c>
      <c r="Q434" s="232">
        <f>Q433+LN(1+INDEX('Additional data'!$H$2:$H$1196,MATCH(N434,'Additional data'!$G$2:$G$1196,1))+INDEX('Additional data'!$I$2:$I$1196,MATCH(N434,'Additional data'!$G$2:$G$1196,1)))</f>
        <v>3.5571561794250233</v>
      </c>
      <c r="R434" s="232">
        <f>LN(INDEX(Data!$B$2:$B$497,MATCH(N434,Data!$A$2:$A$497,1)))</f>
        <v>9.771709022749528</v>
      </c>
      <c r="S434" s="116">
        <f>INDEX('Additional data'!$E$2:$E$699,MATCH(DATE(YEAR(N434),MONTH(N434),1),'Additional data'!$D$2:$D$699,0))</f>
        <v>4.97</v>
      </c>
      <c r="T434" s="115">
        <f t="shared" si="75"/>
        <v>6.9628936387013951E-2</v>
      </c>
      <c r="U434" s="115">
        <f t="shared" si="76"/>
        <v>5.9683002161173615E-2</v>
      </c>
      <c r="V434" s="115">
        <f t="shared" si="79"/>
        <v>3.4220566118413842E-2</v>
      </c>
      <c r="W434" s="116">
        <f t="shared" si="77"/>
        <v>5.9999999999999609E-2</v>
      </c>
      <c r="X434" s="115">
        <f t="shared" si="80"/>
        <v>5.0027328746381272E-2</v>
      </c>
      <c r="Y434" s="115">
        <f t="shared" si="81"/>
        <v>0.21929483032276043</v>
      </c>
      <c r="Z434" s="115">
        <f t="shared" si="83"/>
        <v>0.13239309196754867</v>
      </c>
      <c r="AA434" s="116">
        <f t="shared" si="82"/>
        <v>6.9999999999999396E-2</v>
      </c>
      <c r="AB434" s="115">
        <f t="shared" si="71"/>
        <v>0.74560380080121336</v>
      </c>
      <c r="AC434" s="115">
        <f t="shared" si="72"/>
        <v>8.9126352228389827E-2</v>
      </c>
      <c r="AD434" s="115">
        <f t="shared" si="78"/>
        <v>0.43303700342348783</v>
      </c>
      <c r="AE434" s="235">
        <f t="shared" si="73"/>
        <v>0.13999999999999968</v>
      </c>
    </row>
    <row r="435" spans="14:31" x14ac:dyDescent="0.2">
      <c r="N435" s="337">
        <v>37955</v>
      </c>
      <c r="O435" s="116">
        <f>INDEX('Additional data'!$B$2:$B$965,MATCH(DATE(YEAR(N435),MONTH(N435),1),'Additional data'!$A$2:$A$965,0))</f>
        <v>31.09</v>
      </c>
      <c r="P435" s="232">
        <f t="shared" si="74"/>
        <v>3.4368862240706624</v>
      </c>
      <c r="Q435" s="232">
        <f>Q434+LN(1+INDEX('Additional data'!$H$2:$H$1196,MATCH(N435,'Additional data'!$G$2:$G$1196,1))+INDEX('Additional data'!$I$2:$I$1196,MATCH(N435,'Additional data'!$G$2:$G$1196,1)))</f>
        <v>3.5712563038038048</v>
      </c>
      <c r="R435" s="232">
        <f>LN(INDEX(Data!$B$2:$B$497,MATCH(N435,Data!$A$2:$A$497,1)))</f>
        <v>9.7500765490808412</v>
      </c>
      <c r="S435" s="116">
        <f>INDEX('Additional data'!$E$2:$E$699,MATCH(DATE(YEAR(N435),MONTH(N435),1),'Additional data'!$D$2:$D$699,0))</f>
        <v>5.31</v>
      </c>
      <c r="T435" s="115">
        <f t="shared" si="75"/>
        <v>2.4748902370172576E-2</v>
      </c>
      <c r="U435" s="115">
        <f t="shared" si="76"/>
        <v>1.4100124378781498E-2</v>
      </c>
      <c r="V435" s="115">
        <f t="shared" si="79"/>
        <v>-2.1632473668686814E-2</v>
      </c>
      <c r="W435" s="116">
        <f t="shared" si="77"/>
        <v>0.33999999999999986</v>
      </c>
      <c r="X435" s="115">
        <f t="shared" si="80"/>
        <v>0.16845862037321391</v>
      </c>
      <c r="Y435" s="115">
        <f t="shared" si="81"/>
        <v>0.17437161425208059</v>
      </c>
      <c r="Z435" s="115">
        <f t="shared" si="83"/>
        <v>9.6163410956728868E-2</v>
      </c>
      <c r="AA435" s="116">
        <f t="shared" si="82"/>
        <v>0.46999999999999975</v>
      </c>
      <c r="AB435" s="115">
        <f t="shared" si="71"/>
        <v>0.88354241272943357</v>
      </c>
      <c r="AC435" s="115">
        <f t="shared" si="72"/>
        <v>4.1379073281091028E-2</v>
      </c>
      <c r="AD435" s="115">
        <f t="shared" si="78"/>
        <v>0.36037733816147011</v>
      </c>
      <c r="AE435" s="235">
        <f t="shared" si="73"/>
        <v>0.42999999999999972</v>
      </c>
    </row>
    <row r="436" spans="14:31" x14ac:dyDescent="0.2">
      <c r="N436" s="337">
        <v>37986</v>
      </c>
      <c r="O436" s="116">
        <f>INDEX('Additional data'!$B$2:$B$965,MATCH(DATE(YEAR(N436),MONTH(N436),1),'Additional data'!$A$2:$A$965,0))</f>
        <v>32.15</v>
      </c>
      <c r="P436" s="232">
        <f t="shared" si="74"/>
        <v>3.4704124506836282</v>
      </c>
      <c r="Q436" s="232">
        <f>Q435+LN(1+INDEX('Additional data'!$H$2:$H$1196,MATCH(N436,'Additional data'!$G$2:$G$1196,1))+INDEX('Additional data'!$I$2:$I$1196,MATCH(N436,'Additional data'!$G$2:$G$1196,1)))</f>
        <v>3.6140283956476735</v>
      </c>
      <c r="R436" s="232">
        <f>LN(INDEX(Data!$B$2:$B$497,MATCH(N436,Data!$A$2:$A$497,1)))</f>
        <v>9.7862043544401356</v>
      </c>
      <c r="S436" s="116">
        <f>INDEX('Additional data'!$E$2:$E$699,MATCH(DATE(YEAR(N436),MONTH(N436),1),'Additional data'!$D$2:$D$699,0))</f>
        <v>5.47</v>
      </c>
      <c r="T436" s="115">
        <f t="shared" si="75"/>
        <v>3.3526226612965893E-2</v>
      </c>
      <c r="U436" s="115">
        <f t="shared" si="76"/>
        <v>4.2772091843868765E-2</v>
      </c>
      <c r="V436" s="115">
        <f t="shared" si="79"/>
        <v>3.6127805359294385E-2</v>
      </c>
      <c r="W436" s="116">
        <f t="shared" si="77"/>
        <v>0.16000000000000014</v>
      </c>
      <c r="X436" s="115">
        <f t="shared" si="80"/>
        <v>8.8737735510336702E-2</v>
      </c>
      <c r="Y436" s="115">
        <f t="shared" si="81"/>
        <v>0.27530262026948149</v>
      </c>
      <c r="Z436" s="115">
        <f t="shared" si="83"/>
        <v>0.14724891445708899</v>
      </c>
      <c r="AA436" s="116">
        <f t="shared" si="82"/>
        <v>0.63999999999999968</v>
      </c>
      <c r="AB436" s="115">
        <f t="shared" si="71"/>
        <v>1.0473812046137154</v>
      </c>
      <c r="AC436" s="115">
        <f t="shared" si="72"/>
        <v>2.0894715489944815E-2</v>
      </c>
      <c r="AD436" s="115">
        <f t="shared" si="78"/>
        <v>0.38478918067524859</v>
      </c>
      <c r="AE436" s="235">
        <f t="shared" si="73"/>
        <v>0.66999999999999993</v>
      </c>
    </row>
    <row r="437" spans="14:31" x14ac:dyDescent="0.2">
      <c r="N437" s="337">
        <v>38017</v>
      </c>
      <c r="O437" s="116">
        <f>INDEX('Additional data'!$B$2:$B$965,MATCH(DATE(YEAR(N437),MONTH(N437),1),'Additional data'!$A$2:$A$965,0))</f>
        <v>34.270000000000003</v>
      </c>
      <c r="P437" s="232">
        <f t="shared" si="74"/>
        <v>3.5342703358865175</v>
      </c>
      <c r="Q437" s="232">
        <f>Q436+LN(1+INDEX('Additional data'!$H$2:$H$1196,MATCH(N437,'Additional data'!$G$2:$G$1196,1))+INDEX('Additional data'!$I$2:$I$1196,MATCH(N437,'Additional data'!$G$2:$G$1196,1)))</f>
        <v>3.6359855629997155</v>
      </c>
      <c r="R437" s="232">
        <f>LN(INDEX(Data!$B$2:$B$497,MATCH(N437,Data!$A$2:$A$497,1)))</f>
        <v>9.7795328424662351</v>
      </c>
      <c r="S437" s="116">
        <f>INDEX('Additional data'!$E$2:$E$699,MATCH(DATE(YEAR(N437),MONTH(N437),1),'Additional data'!$D$2:$D$699,0))</f>
        <v>5.55</v>
      </c>
      <c r="T437" s="115">
        <f t="shared" si="75"/>
        <v>6.3857885202889264E-2</v>
      </c>
      <c r="U437" s="115">
        <f t="shared" si="76"/>
        <v>2.1957167352042006E-2</v>
      </c>
      <c r="V437" s="115">
        <f t="shared" si="79"/>
        <v>-6.6715119739004791E-3</v>
      </c>
      <c r="W437" s="116">
        <f t="shared" si="77"/>
        <v>8.0000000000000071E-2</v>
      </c>
      <c r="X437" s="115">
        <f t="shared" si="80"/>
        <v>3.9582611137023438E-2</v>
      </c>
      <c r="Y437" s="115">
        <f t="shared" si="81"/>
        <v>0.32226995062569141</v>
      </c>
      <c r="Z437" s="115">
        <f t="shared" si="83"/>
        <v>0.15399296243087868</v>
      </c>
      <c r="AA437" s="116">
        <f t="shared" si="82"/>
        <v>0.75</v>
      </c>
      <c r="AB437" s="115">
        <f t="shared" si="71"/>
        <v>1.0109445761945723</v>
      </c>
      <c r="AC437" s="115">
        <f t="shared" si="72"/>
        <v>5.2671225147156164E-3</v>
      </c>
      <c r="AD437" s="115">
        <f t="shared" si="78"/>
        <v>0.35808101539968185</v>
      </c>
      <c r="AE437" s="235">
        <f t="shared" si="73"/>
        <v>0.75999999999999979</v>
      </c>
    </row>
    <row r="438" spans="14:31" x14ac:dyDescent="0.2">
      <c r="N438" s="337">
        <v>38046</v>
      </c>
      <c r="O438" s="116">
        <f>INDEX('Additional data'!$B$2:$B$965,MATCH(DATE(YEAR(N438),MONTH(N438),1),'Additional data'!$A$2:$A$965,0))</f>
        <v>34.74</v>
      </c>
      <c r="P438" s="232">
        <f t="shared" si="74"/>
        <v>3.5478917608129588</v>
      </c>
      <c r="Q438" s="232">
        <f>Q437+LN(1+INDEX('Additional data'!$H$2:$H$1196,MATCH(N438,'Additional data'!$G$2:$G$1196,1))+INDEX('Additional data'!$I$2:$I$1196,MATCH(N438,'Additional data'!$G$2:$G$1196,1)))</f>
        <v>3.6504800091501681</v>
      </c>
      <c r="R438" s="232">
        <f>LN(INDEX(Data!$B$2:$B$497,MATCH(N438,Data!$A$2:$A$497,1)))</f>
        <v>9.8101732446536829</v>
      </c>
      <c r="S438" s="116">
        <f>INDEX('Additional data'!$E$2:$E$699,MATCH(DATE(YEAR(N438),MONTH(N438),1),'Additional data'!$D$2:$D$699,0))</f>
        <v>5.57</v>
      </c>
      <c r="T438" s="115">
        <f t="shared" si="75"/>
        <v>1.362142492644125E-2</v>
      </c>
      <c r="U438" s="115">
        <f t="shared" si="76"/>
        <v>1.4494446150452589E-2</v>
      </c>
      <c r="V438" s="115">
        <f t="shared" si="79"/>
        <v>3.0640402187447791E-2</v>
      </c>
      <c r="W438" s="116">
        <f t="shared" si="77"/>
        <v>2.0000000000000462E-2</v>
      </c>
      <c r="X438" s="115">
        <f t="shared" si="80"/>
        <v>-3.200953073123225E-2</v>
      </c>
      <c r="Y438" s="115">
        <f t="shared" si="81"/>
        <v>0.35482653959455268</v>
      </c>
      <c r="Z438" s="115">
        <f t="shared" si="83"/>
        <v>0.23579480320298174</v>
      </c>
      <c r="AA438" s="116">
        <f t="shared" si="82"/>
        <v>0.82000000000000028</v>
      </c>
      <c r="AB438" s="115">
        <f t="shared" si="71"/>
        <v>1.0621521247210666</v>
      </c>
      <c r="AC438" s="115">
        <f t="shared" si="72"/>
        <v>5.7775010863384324E-2</v>
      </c>
      <c r="AD438" s="115">
        <f t="shared" si="78"/>
        <v>0.38911824138232731</v>
      </c>
      <c r="AE438" s="235">
        <f t="shared" si="73"/>
        <v>0.80000000000000071</v>
      </c>
    </row>
    <row r="439" spans="14:31" x14ac:dyDescent="0.2">
      <c r="N439" s="337">
        <v>38077</v>
      </c>
      <c r="O439" s="116">
        <f>INDEX('Additional data'!$B$2:$B$965,MATCH(DATE(YEAR(N439),MONTH(N439),1),'Additional data'!$A$2:$A$965,0))</f>
        <v>36.76</v>
      </c>
      <c r="P439" s="232">
        <f t="shared" si="74"/>
        <v>3.6044102974874863</v>
      </c>
      <c r="Q439" s="232">
        <f>Q438+LN(1+INDEX('Additional data'!$H$2:$H$1196,MATCH(N439,'Additional data'!$G$2:$G$1196,1))+INDEX('Additional data'!$I$2:$I$1196,MATCH(N439,'Additional data'!$G$2:$G$1196,1)))</f>
        <v>3.6381037380821128</v>
      </c>
      <c r="R439" s="232">
        <f>LN(INDEX(Data!$B$2:$B$497,MATCH(N439,Data!$A$2:$A$497,1)))</f>
        <v>9.8298832612062288</v>
      </c>
      <c r="S439" s="116">
        <f>INDEX('Additional data'!$E$2:$E$699,MATCH(DATE(YEAR(N439),MONTH(N439),1),'Additional data'!$D$2:$D$699,0))</f>
        <v>5.51</v>
      </c>
      <c r="T439" s="115">
        <f t="shared" si="75"/>
        <v>5.6518536674527553E-2</v>
      </c>
      <c r="U439" s="115">
        <f t="shared" si="76"/>
        <v>-1.2376271068055278E-2</v>
      </c>
      <c r="V439" s="115">
        <f t="shared" si="79"/>
        <v>1.9710016552545895E-2</v>
      </c>
      <c r="W439" s="116">
        <f t="shared" si="77"/>
        <v>-6.0000000000000497E-2</v>
      </c>
      <c r="X439" s="115">
        <f t="shared" si="80"/>
        <v>9.1373434069795589E-2</v>
      </c>
      <c r="Y439" s="115">
        <f t="shared" si="81"/>
        <v>0.33062051677292059</v>
      </c>
      <c r="Z439" s="115">
        <f t="shared" si="83"/>
        <v>0.22158811319467908</v>
      </c>
      <c r="AA439" s="116">
        <f t="shared" si="82"/>
        <v>0.75</v>
      </c>
      <c r="AB439" s="115">
        <f t="shared" si="71"/>
        <v>0.91928760102898099</v>
      </c>
      <c r="AC439" s="115">
        <f t="shared" si="72"/>
        <v>7.0437859188650087E-3</v>
      </c>
      <c r="AD439" s="115">
        <f t="shared" si="78"/>
        <v>0.36710464821884337</v>
      </c>
      <c r="AE439" s="235">
        <f t="shared" si="73"/>
        <v>0.70000000000000018</v>
      </c>
    </row>
    <row r="440" spans="14:31" x14ac:dyDescent="0.2">
      <c r="N440" s="337">
        <v>38107</v>
      </c>
      <c r="O440" s="116">
        <f>INDEX('Additional data'!$B$2:$B$965,MATCH(DATE(YEAR(N440),MONTH(N440),1),'Additional data'!$A$2:$A$965,0))</f>
        <v>36.69</v>
      </c>
      <c r="P440" s="232">
        <f t="shared" si="74"/>
        <v>3.6025042383671906</v>
      </c>
      <c r="Q440" s="232">
        <f>Q439+LN(1+INDEX('Additional data'!$H$2:$H$1196,MATCH(N440,'Additional data'!$G$2:$G$1196,1))+INDEX('Additional data'!$I$2:$I$1196,MATCH(N440,'Additional data'!$G$2:$G$1196,1)))</f>
        <v>3.6206523444683572</v>
      </c>
      <c r="R440" s="232">
        <f>LN(INDEX(Data!$B$2:$B$497,MATCH(N440,Data!$A$2:$A$497,1)))</f>
        <v>9.8286089835489179</v>
      </c>
      <c r="S440" s="116">
        <f>INDEX('Additional data'!$E$2:$E$699,MATCH(DATE(YEAR(N440),MONTH(N440),1),'Additional data'!$D$2:$D$699,0))</f>
        <v>5.54</v>
      </c>
      <c r="T440" s="115">
        <f t="shared" si="75"/>
        <v>-1.9060591202957333E-3</v>
      </c>
      <c r="U440" s="115">
        <f t="shared" si="76"/>
        <v>-1.7451393613755695E-2</v>
      </c>
      <c r="V440" s="115">
        <f t="shared" si="79"/>
        <v>-1.2742776573109182E-3</v>
      </c>
      <c r="W440" s="116">
        <f t="shared" si="77"/>
        <v>3.0000000000000249E-2</v>
      </c>
      <c r="X440" s="115">
        <f t="shared" si="80"/>
        <v>0.26141078077474056</v>
      </c>
      <c r="Y440" s="115">
        <f t="shared" si="81"/>
        <v>0.23361884440115599</v>
      </c>
      <c r="Z440" s="115">
        <f t="shared" si="83"/>
        <v>0.17736087985046645</v>
      </c>
      <c r="AA440" s="116">
        <f t="shared" si="82"/>
        <v>0.75</v>
      </c>
      <c r="AB440" s="115">
        <f t="shared" si="71"/>
        <v>0.74948826701479465</v>
      </c>
      <c r="AC440" s="115">
        <f t="shared" si="72"/>
        <v>-5.6432046006170022E-2</v>
      </c>
      <c r="AD440" s="115">
        <f t="shared" si="78"/>
        <v>0.30524779385584999</v>
      </c>
      <c r="AE440" s="235">
        <f t="shared" si="73"/>
        <v>0.78000000000000025</v>
      </c>
    </row>
    <row r="441" spans="14:31" x14ac:dyDescent="0.2">
      <c r="N441" s="337">
        <v>38138</v>
      </c>
      <c r="O441" s="116">
        <f>INDEX('Additional data'!$B$2:$B$965,MATCH(DATE(YEAR(N441),MONTH(N441),1),'Additional data'!$A$2:$A$965,0))</f>
        <v>40.28</v>
      </c>
      <c r="P441" s="232">
        <f t="shared" si="74"/>
        <v>3.6958550678503617</v>
      </c>
      <c r="Q441" s="232">
        <f>Q440+LN(1+INDEX('Additional data'!$H$2:$H$1196,MATCH(N441,'Additional data'!$G$2:$G$1196,1))+INDEX('Additional data'!$I$2:$I$1196,MATCH(N441,'Additional data'!$G$2:$G$1196,1)))</f>
        <v>3.6329760941571889</v>
      </c>
      <c r="R441" s="232">
        <f>LN(INDEX(Data!$B$2:$B$497,MATCH(N441,Data!$A$2:$A$497,1)))</f>
        <v>9.8446572418552218</v>
      </c>
      <c r="S441" s="116">
        <f>INDEX('Additional data'!$E$2:$E$699,MATCH(DATE(YEAR(N441),MONTH(N441),1),'Additional data'!$D$2:$D$699,0))</f>
        <v>5.51</v>
      </c>
      <c r="T441" s="115">
        <f t="shared" si="75"/>
        <v>9.3350829483171083E-2</v>
      </c>
      <c r="U441" s="115">
        <f t="shared" si="76"/>
        <v>1.2323749688831764E-2</v>
      </c>
      <c r="V441" s="115">
        <f t="shared" si="79"/>
        <v>1.6048258306303964E-2</v>
      </c>
      <c r="W441" s="116">
        <f t="shared" si="77"/>
        <v>-3.0000000000000249E-2</v>
      </c>
      <c r="X441" s="115">
        <f t="shared" si="80"/>
        <v>0.35866301616411844</v>
      </c>
      <c r="Y441" s="115">
        <f t="shared" si="81"/>
        <v>0.18635380267833046</v>
      </c>
      <c r="Z441" s="115">
        <f t="shared" si="83"/>
        <v>0.18834386457401919</v>
      </c>
      <c r="AA441" s="116">
        <f t="shared" si="82"/>
        <v>0.72999999999999954</v>
      </c>
      <c r="AB441" s="115">
        <f t="shared" si="71"/>
        <v>0.819469551928937</v>
      </c>
      <c r="AC441" s="115">
        <f t="shared" si="72"/>
        <v>-2.2680348903717729E-2</v>
      </c>
      <c r="AD441" s="115">
        <f t="shared" si="78"/>
        <v>0.38580191201696756</v>
      </c>
      <c r="AE441" s="235">
        <f t="shared" si="73"/>
        <v>0.64999999999999947</v>
      </c>
    </row>
    <row r="442" spans="14:31" x14ac:dyDescent="0.2">
      <c r="N442" s="337">
        <v>38168</v>
      </c>
      <c r="O442" s="116">
        <f>INDEX('Additional data'!$B$2:$B$965,MATCH(DATE(YEAR(N442),MONTH(N442),1),'Additional data'!$A$2:$A$965,0))</f>
        <v>38.020000000000003</v>
      </c>
      <c r="P442" s="232">
        <f t="shared" si="74"/>
        <v>3.6381123370602833</v>
      </c>
      <c r="Q442" s="232">
        <f>Q441+LN(1+INDEX('Additional data'!$H$2:$H$1196,MATCH(N442,'Additional data'!$G$2:$G$1196,1))+INDEX('Additional data'!$I$2:$I$1196,MATCH(N442,'Additional data'!$G$2:$G$1196,1)))</f>
        <v>3.652092211349419</v>
      </c>
      <c r="R442" s="232">
        <f>LN(INDEX(Data!$B$2:$B$497,MATCH(N442,Data!$A$2:$A$497,1)))</f>
        <v>9.8707683705513478</v>
      </c>
      <c r="S442" s="116">
        <f>INDEX('Additional data'!$E$2:$E$699,MATCH(DATE(YEAR(N442),MONTH(N442),1),'Additional data'!$D$2:$D$699,0))</f>
        <v>5.49</v>
      </c>
      <c r="T442" s="115">
        <f t="shared" si="75"/>
        <v>-5.7742730790078411E-2</v>
      </c>
      <c r="U442" s="115">
        <f t="shared" si="76"/>
        <v>1.9116117192230053E-2</v>
      </c>
      <c r="V442" s="115">
        <f t="shared" si="79"/>
        <v>2.6111128696125974E-2</v>
      </c>
      <c r="W442" s="116">
        <f t="shared" si="77"/>
        <v>-1.9999999999999574E-2</v>
      </c>
      <c r="X442" s="115">
        <f t="shared" si="80"/>
        <v>0.21319842878081197</v>
      </c>
      <c r="Y442" s="115">
        <f t="shared" si="81"/>
        <v>0.19038428245251993</v>
      </c>
      <c r="Z442" s="115">
        <f t="shared" si="83"/>
        <v>0.20187739303517915</v>
      </c>
      <c r="AA442" s="116">
        <f t="shared" si="82"/>
        <v>0.82000000000000028</v>
      </c>
      <c r="AB442" s="115">
        <f t="shared" si="71"/>
        <v>0.75387043953965538</v>
      </c>
      <c r="AC442" s="115">
        <f t="shared" si="72"/>
        <v>-5.3972134255333426E-2</v>
      </c>
      <c r="AD442" s="115">
        <f t="shared" si="78"/>
        <v>0.3846540471977562</v>
      </c>
      <c r="AE442" s="235">
        <f t="shared" si="73"/>
        <v>0.5600000000000005</v>
      </c>
    </row>
    <row r="443" spans="14:31" x14ac:dyDescent="0.2">
      <c r="N443" s="337">
        <v>38199</v>
      </c>
      <c r="O443" s="116">
        <f>INDEX('Additional data'!$B$2:$B$965,MATCH(DATE(YEAR(N443),MONTH(N443),1),'Additional data'!$A$2:$A$965,0))</f>
        <v>40.69</v>
      </c>
      <c r="P443" s="232">
        <f t="shared" si="74"/>
        <v>3.7059823620135983</v>
      </c>
      <c r="Q443" s="232">
        <f>Q442+LN(1+INDEX('Additional data'!$H$2:$H$1196,MATCH(N443,'Additional data'!$G$2:$G$1196,1))+INDEX('Additional data'!$I$2:$I$1196,MATCH(N443,'Additional data'!$G$2:$G$1196,1)))</f>
        <v>3.6118950215980061</v>
      </c>
      <c r="R443" s="232">
        <f>LN(INDEX(Data!$B$2:$B$497,MATCH(N443,Data!$A$2:$A$497,1)))</f>
        <v>9.8764579212436399</v>
      </c>
      <c r="S443" s="116">
        <f>INDEX('Additional data'!$E$2:$E$699,MATCH(DATE(YEAR(N443),MONTH(N443),1),'Additional data'!$D$2:$D$699,0))</f>
        <v>5.46</v>
      </c>
      <c r="T443" s="115">
        <f t="shared" si="75"/>
        <v>6.7870024953315067E-2</v>
      </c>
      <c r="U443" s="115">
        <f t="shared" si="76"/>
        <v>-4.0197189751412843E-2</v>
      </c>
      <c r="V443" s="115">
        <f t="shared" si="79"/>
        <v>5.6895506922920447E-3</v>
      </c>
      <c r="W443" s="116">
        <f t="shared" si="77"/>
        <v>-3.0000000000000249E-2</v>
      </c>
      <c r="X443" s="115">
        <f t="shared" si="80"/>
        <v>0.27976721737615495</v>
      </c>
      <c r="Y443" s="115">
        <f t="shared" si="81"/>
        <v>0.12647056608379081</v>
      </c>
      <c r="Z443" s="115">
        <f t="shared" si="83"/>
        <v>0.17211789145309098</v>
      </c>
      <c r="AA443" s="116">
        <f t="shared" si="82"/>
        <v>0.74000000000000021</v>
      </c>
      <c r="AB443" s="115">
        <f t="shared" si="71"/>
        <v>0.70675619920535171</v>
      </c>
      <c r="AC443" s="115">
        <f t="shared" si="72"/>
        <v>-6.2575452415567501E-2</v>
      </c>
      <c r="AD443" s="115">
        <f t="shared" si="78"/>
        <v>0.37256772578779263</v>
      </c>
      <c r="AE443" s="235">
        <f t="shared" si="73"/>
        <v>0.57000000000000028</v>
      </c>
    </row>
    <row r="444" spans="14:31" x14ac:dyDescent="0.2">
      <c r="N444" s="337">
        <v>38230</v>
      </c>
      <c r="O444" s="116">
        <f>INDEX('Additional data'!$B$2:$B$965,MATCH(DATE(YEAR(N444),MONTH(N444),1),'Additional data'!$A$2:$A$965,0))</f>
        <v>44.94</v>
      </c>
      <c r="P444" s="232">
        <f t="shared" si="74"/>
        <v>3.8053282667571833</v>
      </c>
      <c r="Q444" s="232">
        <f>Q443+LN(1+INDEX('Additional data'!$H$2:$H$1196,MATCH(N444,'Additional data'!$G$2:$G$1196,1))+INDEX('Additional data'!$I$2:$I$1196,MATCH(N444,'Additional data'!$G$2:$G$1196,1)))</f>
        <v>3.6136934035393855</v>
      </c>
      <c r="R444" s="232">
        <f>LN(INDEX(Data!$B$2:$B$497,MATCH(N444,Data!$A$2:$A$497,1)))</f>
        <v>9.8869012572941646</v>
      </c>
      <c r="S444" s="116">
        <f>INDEX('Additional data'!$E$2:$E$699,MATCH(DATE(YEAR(N444),MONTH(N444),1),'Additional data'!$D$2:$D$699,0))</f>
        <v>5.44</v>
      </c>
      <c r="T444" s="115">
        <f t="shared" si="75"/>
        <v>9.9345904743584956E-2</v>
      </c>
      <c r="U444" s="115">
        <f t="shared" si="76"/>
        <v>1.7983819413793789E-3</v>
      </c>
      <c r="V444" s="115">
        <f t="shared" si="79"/>
        <v>1.0443336050524721E-2</v>
      </c>
      <c r="W444" s="116">
        <f t="shared" si="77"/>
        <v>-1.9999999999999574E-2</v>
      </c>
      <c r="X444" s="115">
        <f t="shared" si="80"/>
        <v>0.35248765194318965</v>
      </c>
      <c r="Y444" s="115">
        <f t="shared" si="81"/>
        <v>0.10455242140785392</v>
      </c>
      <c r="Z444" s="115">
        <f t="shared" si="83"/>
        <v>0.14803637497914401</v>
      </c>
      <c r="AA444" s="116">
        <f t="shared" si="82"/>
        <v>0.62000000000000011</v>
      </c>
      <c r="AB444" s="115">
        <f t="shared" si="71"/>
        <v>0.74850089384338148</v>
      </c>
      <c r="AC444" s="115">
        <f t="shared" si="72"/>
        <v>-5.0928734419373622E-2</v>
      </c>
      <c r="AD444" s="115">
        <f t="shared" si="78"/>
        <v>0.40868874018902623</v>
      </c>
      <c r="AE444" s="235">
        <f t="shared" si="73"/>
        <v>0.52000000000000046</v>
      </c>
    </row>
    <row r="445" spans="14:31" x14ac:dyDescent="0.2">
      <c r="N445" s="337">
        <v>38260</v>
      </c>
      <c r="O445" s="116">
        <f>INDEX('Additional data'!$B$2:$B$965,MATCH(DATE(YEAR(N445),MONTH(N445),1),'Additional data'!$A$2:$A$965,0))</f>
        <v>45.95</v>
      </c>
      <c r="P445" s="232">
        <f t="shared" si="74"/>
        <v>3.827553848801696</v>
      </c>
      <c r="Q445" s="232">
        <f>Q444+LN(1+INDEX('Additional data'!$H$2:$H$1196,MATCH(N445,'Additional data'!$G$2:$G$1196,1))+INDEX('Additional data'!$I$2:$I$1196,MATCH(N445,'Additional data'!$G$2:$G$1196,1)))</f>
        <v>3.6306488441887992</v>
      </c>
      <c r="R445" s="232">
        <f>LN(INDEX(Data!$B$2:$B$497,MATCH(N445,Data!$A$2:$A$497,1)))</f>
        <v>9.9239390379058214</v>
      </c>
      <c r="S445" s="116">
        <f>INDEX('Additional data'!$E$2:$E$699,MATCH(DATE(YEAR(N445),MONTH(N445),1),'Additional data'!$D$2:$D$699,0))</f>
        <v>5.42</v>
      </c>
      <c r="T445" s="115">
        <f t="shared" si="75"/>
        <v>2.2225582044512748E-2</v>
      </c>
      <c r="U445" s="115">
        <f t="shared" si="76"/>
        <v>1.6955440649413678E-2</v>
      </c>
      <c r="V445" s="115">
        <f t="shared" si="79"/>
        <v>3.7037780611656856E-2</v>
      </c>
      <c r="W445" s="116">
        <f t="shared" si="77"/>
        <v>-2.0000000000000462E-2</v>
      </c>
      <c r="X445" s="115">
        <f t="shared" si="80"/>
        <v>0.4850454634882202</v>
      </c>
      <c r="Y445" s="115">
        <f t="shared" si="81"/>
        <v>0.13317566692494953</v>
      </c>
      <c r="Z445" s="115">
        <f t="shared" si="83"/>
        <v>0.18645058127470726</v>
      </c>
      <c r="AA445" s="116">
        <f t="shared" si="82"/>
        <v>0.50999999999999979</v>
      </c>
      <c r="AB445" s="115">
        <f t="shared" si="71"/>
        <v>0.65451256027729476</v>
      </c>
      <c r="AC445" s="115">
        <f t="shared" si="72"/>
        <v>-9.8854982408700387E-3</v>
      </c>
      <c r="AD445" s="115">
        <f t="shared" si="78"/>
        <v>0.45802664739609078</v>
      </c>
      <c r="AE445" s="235">
        <f t="shared" si="73"/>
        <v>0.41000000000000014</v>
      </c>
    </row>
    <row r="446" spans="14:31" x14ac:dyDescent="0.2">
      <c r="N446" s="337">
        <v>38291</v>
      </c>
      <c r="O446" s="116">
        <f>INDEX('Additional data'!$B$2:$B$965,MATCH(DATE(YEAR(N446),MONTH(N446),1),'Additional data'!$A$2:$A$965,0))</f>
        <v>53.13</v>
      </c>
      <c r="P446" s="232">
        <f t="shared" si="74"/>
        <v>3.972741740462852</v>
      </c>
      <c r="Q446" s="232">
        <f>Q445+LN(1+INDEX('Additional data'!$H$2:$H$1196,MATCH(N446,'Additional data'!$G$2:$G$1196,1))+INDEX('Additional data'!$I$2:$I$1196,MATCH(N446,'Additional data'!$G$2:$G$1196,1)))</f>
        <v>3.6458329795138393</v>
      </c>
      <c r="R446" s="232">
        <f>LN(INDEX(Data!$B$2:$B$497,MATCH(N446,Data!$A$2:$A$497,1)))</f>
        <v>9.9548706853880837</v>
      </c>
      <c r="S446" s="116">
        <f>INDEX('Additional data'!$E$2:$E$699,MATCH(DATE(YEAR(N446),MONTH(N446),1),'Additional data'!$D$2:$D$699,0))</f>
        <v>5.41</v>
      </c>
      <c r="T446" s="115">
        <f t="shared" si="75"/>
        <v>0.14518789166115598</v>
      </c>
      <c r="U446" s="115">
        <f t="shared" si="76"/>
        <v>1.5184135325040149E-2</v>
      </c>
      <c r="V446" s="115">
        <f t="shared" si="79"/>
        <v>3.0931647482262292E-2</v>
      </c>
      <c r="W446" s="116">
        <f t="shared" si="77"/>
        <v>-9.9999999999997868E-3</v>
      </c>
      <c r="X446" s="115">
        <f t="shared" si="80"/>
        <v>0.56060441876236222</v>
      </c>
      <c r="Y446" s="115">
        <f t="shared" si="81"/>
        <v>8.8676800088816066E-2</v>
      </c>
      <c r="Z446" s="115">
        <f t="shared" si="83"/>
        <v>0.18316166263855571</v>
      </c>
      <c r="AA446" s="116">
        <f t="shared" si="82"/>
        <v>0.44000000000000039</v>
      </c>
      <c r="AB446" s="115">
        <f t="shared" si="71"/>
        <v>0.85302348712786991</v>
      </c>
      <c r="AC446" s="115">
        <f t="shared" si="72"/>
        <v>-5.7488351014594485E-2</v>
      </c>
      <c r="AD446" s="115">
        <f t="shared" si="78"/>
        <v>0.48403702890557732</v>
      </c>
      <c r="AE446" s="235">
        <f t="shared" si="73"/>
        <v>0.10000000000000053</v>
      </c>
    </row>
    <row r="447" spans="14:31" x14ac:dyDescent="0.2">
      <c r="N447" s="337">
        <v>38321</v>
      </c>
      <c r="O447" s="116">
        <f>INDEX('Additional data'!$B$2:$B$965,MATCH(DATE(YEAR(N447),MONTH(N447),1),'Additional data'!$A$2:$A$965,0))</f>
        <v>48.46</v>
      </c>
      <c r="P447" s="232">
        <f t="shared" si="74"/>
        <v>3.8807387153883797</v>
      </c>
      <c r="Q447" s="232">
        <f>Q446+LN(1+INDEX('Additional data'!$H$2:$H$1196,MATCH(N447,'Additional data'!$G$2:$G$1196,1))+INDEX('Additional data'!$I$2:$I$1196,MATCH(N447,'Additional data'!$G$2:$G$1196,1)))</f>
        <v>3.6915708711876931</v>
      </c>
      <c r="R447" s="232">
        <f>LN(INDEX(Data!$B$2:$B$497,MATCH(N447,Data!$A$2:$A$497,1)))</f>
        <v>10.000106330297998</v>
      </c>
      <c r="S447" s="116">
        <f>INDEX('Additional data'!$E$2:$E$699,MATCH(DATE(YEAR(N447),MONTH(N447),1),'Additional data'!$D$2:$D$699,0))</f>
        <v>5.43</v>
      </c>
      <c r="T447" s="115">
        <f t="shared" si="75"/>
        <v>-9.2003025074472333E-2</v>
      </c>
      <c r="U447" s="115">
        <f t="shared" si="76"/>
        <v>4.5737891673853781E-2</v>
      </c>
      <c r="V447" s="115">
        <f t="shared" si="79"/>
        <v>4.523564490991383E-2</v>
      </c>
      <c r="W447" s="116">
        <f t="shared" si="77"/>
        <v>1.9999999999999574E-2</v>
      </c>
      <c r="X447" s="115">
        <f t="shared" si="80"/>
        <v>0.44385249131771731</v>
      </c>
      <c r="Y447" s="115">
        <f t="shared" si="81"/>
        <v>0.12031456738388835</v>
      </c>
      <c r="Z447" s="115">
        <f t="shared" si="83"/>
        <v>0.25002978121715635</v>
      </c>
      <c r="AA447" s="116">
        <f t="shared" si="82"/>
        <v>0.12000000000000011</v>
      </c>
      <c r="AB447" s="115">
        <f t="shared" si="71"/>
        <v>0.66306361109669787</v>
      </c>
      <c r="AC447" s="115">
        <f t="shared" si="72"/>
        <v>-4.8757184969836498E-2</v>
      </c>
      <c r="AD447" s="115">
        <f t="shared" si="78"/>
        <v>0.47679632834328523</v>
      </c>
      <c r="AE447" s="235">
        <f t="shared" si="73"/>
        <v>-1.0000000000000675E-2</v>
      </c>
    </row>
    <row r="448" spans="14:31" x14ac:dyDescent="0.2">
      <c r="N448" s="337">
        <v>38352</v>
      </c>
      <c r="O448" s="116">
        <f>INDEX('Additional data'!$B$2:$B$965,MATCH(DATE(YEAR(N448),MONTH(N448),1),'Additional data'!$A$2:$A$965,0))</f>
        <v>43.33</v>
      </c>
      <c r="P448" s="232">
        <f t="shared" si="74"/>
        <v>3.7688452357518178</v>
      </c>
      <c r="Q448" s="232">
        <f>Q447+LN(1+INDEX('Additional data'!$H$2:$H$1196,MATCH(N448,'Additional data'!$G$2:$G$1196,1))+INDEX('Additional data'!$I$2:$I$1196,MATCH(N448,'Additional data'!$G$2:$G$1196,1)))</f>
        <v>3.726744946195347</v>
      </c>
      <c r="R448" s="232">
        <f>LN(INDEX(Data!$B$2:$B$497,MATCH(N448,Data!$A$2:$A$497,1)))</f>
        <v>10.029684029064112</v>
      </c>
      <c r="S448" s="116">
        <f>INDEX('Additional data'!$E$2:$E$699,MATCH(DATE(YEAR(N448),MONTH(N448),1),'Additional data'!$D$2:$D$699,0))</f>
        <v>5.41</v>
      </c>
      <c r="T448" s="115">
        <f t="shared" si="75"/>
        <v>-0.11189347963656182</v>
      </c>
      <c r="U448" s="115">
        <f t="shared" si="76"/>
        <v>3.5174075007653904E-2</v>
      </c>
      <c r="V448" s="115">
        <f t="shared" si="79"/>
        <v>2.9577698766114935E-2</v>
      </c>
      <c r="W448" s="116">
        <f t="shared" si="77"/>
        <v>-1.9999999999999574E-2</v>
      </c>
      <c r="X448" s="115">
        <f t="shared" si="80"/>
        <v>0.2984327850681896</v>
      </c>
      <c r="Y448" s="115">
        <f t="shared" si="81"/>
        <v>0.11271655054767349</v>
      </c>
      <c r="Z448" s="115">
        <f t="shared" si="83"/>
        <v>0.2434796746239769</v>
      </c>
      <c r="AA448" s="116">
        <f t="shared" si="82"/>
        <v>-5.9999999999999609E-2</v>
      </c>
      <c r="AB448" s="115">
        <f t="shared" si="71"/>
        <v>0.50767649869336573</v>
      </c>
      <c r="AC448" s="115">
        <f t="shared" si="72"/>
        <v>-9.1469648619253885E-2</v>
      </c>
      <c r="AD448" s="115">
        <f t="shared" si="78"/>
        <v>0.45183659296871426</v>
      </c>
      <c r="AE448" s="235">
        <f t="shared" si="73"/>
        <v>-0.24000000000000021</v>
      </c>
    </row>
    <row r="449" spans="14:31" x14ac:dyDescent="0.2">
      <c r="N449" s="337">
        <v>38383</v>
      </c>
      <c r="O449" s="116">
        <f>INDEX('Additional data'!$B$2:$B$965,MATCH(DATE(YEAR(N449),MONTH(N449),1),'Additional data'!$A$2:$A$965,0))</f>
        <v>46.84</v>
      </c>
      <c r="P449" s="232">
        <f t="shared" si="74"/>
        <v>3.8467375387295166</v>
      </c>
      <c r="Q449" s="232">
        <f>Q448+LN(1+INDEX('Additional data'!$H$2:$H$1196,MATCH(N449,'Additional data'!$G$2:$G$1196,1))+INDEX('Additional data'!$I$2:$I$1196,MATCH(N449,'Additional data'!$G$2:$G$1196,1)))</f>
        <v>3.7005036349901199</v>
      </c>
      <c r="R449" s="232">
        <f>LN(INDEX(Data!$B$2:$B$497,MATCH(N449,Data!$A$2:$A$497,1)))</f>
        <v>10.042885080694404</v>
      </c>
      <c r="S449" s="116">
        <f>INDEX('Additional data'!$E$2:$E$699,MATCH(DATE(YEAR(N449),MONTH(N449),1),'Additional data'!$D$2:$D$699,0))</f>
        <v>5.42</v>
      </c>
      <c r="T449" s="115">
        <f t="shared" si="75"/>
        <v>7.789230297769878E-2</v>
      </c>
      <c r="U449" s="115">
        <f t="shared" si="76"/>
        <v>-2.6241311205227102E-2</v>
      </c>
      <c r="V449" s="115">
        <f t="shared" si="79"/>
        <v>1.3201051630291616E-2</v>
      </c>
      <c r="W449" s="116">
        <f t="shared" si="77"/>
        <v>9.9999999999997868E-3</v>
      </c>
      <c r="X449" s="115">
        <f t="shared" si="80"/>
        <v>0.31246720284299911</v>
      </c>
      <c r="Y449" s="115">
        <f t="shared" si="81"/>
        <v>6.451807199040438E-2</v>
      </c>
      <c r="Z449" s="115">
        <f t="shared" si="83"/>
        <v>0.263352238228169</v>
      </c>
      <c r="AA449" s="116">
        <f t="shared" si="82"/>
        <v>-0.12999999999999989</v>
      </c>
      <c r="AB449" s="115">
        <f t="shared" ref="AB449:AB512" si="84">P449-P389</f>
        <v>0.54425613000651918</v>
      </c>
      <c r="AC449" s="115">
        <f t="shared" ref="AC449:AC512" si="85">Q449-Q389</f>
        <v>-7.3445543526465595E-2</v>
      </c>
      <c r="AD449" s="115">
        <f t="shared" si="78"/>
        <v>0.47220947183248008</v>
      </c>
      <c r="AE449" s="235">
        <f t="shared" ref="AE449:AE512" si="86">S449-S389</f>
        <v>-0.24000000000000021</v>
      </c>
    </row>
    <row r="450" spans="14:31" x14ac:dyDescent="0.2">
      <c r="N450" s="337">
        <v>38411</v>
      </c>
      <c r="O450" s="116">
        <f>INDEX('Additional data'!$B$2:$B$965,MATCH(DATE(YEAR(N450),MONTH(N450),1),'Additional data'!$A$2:$A$965,0))</f>
        <v>47.97</v>
      </c>
      <c r="P450" s="232">
        <f t="shared" si="74"/>
        <v>3.8705758155139725</v>
      </c>
      <c r="Q450" s="232">
        <f>Q449+LN(1+INDEX('Additional data'!$H$2:$H$1196,MATCH(N450,'Additional data'!$G$2:$G$1196,1))+INDEX('Additional data'!$I$2:$I$1196,MATCH(N450,'Additional data'!$G$2:$G$1196,1)))</f>
        <v>3.720698342275639</v>
      </c>
      <c r="R450" s="232">
        <f>LN(INDEX(Data!$B$2:$B$497,MATCH(N450,Data!$A$2:$A$497,1)))</f>
        <v>10.060706491865865</v>
      </c>
      <c r="S450" s="116">
        <f>INDEX('Additional data'!$E$2:$E$699,MATCH(DATE(YEAR(N450),MONTH(N450),1),'Additional data'!$D$2:$D$699,0))</f>
        <v>5.63</v>
      </c>
      <c r="T450" s="115">
        <f t="shared" si="75"/>
        <v>2.3838276784455825E-2</v>
      </c>
      <c r="U450" s="115">
        <f t="shared" si="76"/>
        <v>2.0194707285519087E-2</v>
      </c>
      <c r="V450" s="115">
        <f t="shared" si="79"/>
        <v>1.7821411171460966E-2</v>
      </c>
      <c r="W450" s="116">
        <f t="shared" si="77"/>
        <v>0.20999999999999996</v>
      </c>
      <c r="X450" s="115">
        <f t="shared" si="80"/>
        <v>0.32268405470101369</v>
      </c>
      <c r="Y450" s="115">
        <f t="shared" si="81"/>
        <v>7.0218333125470878E-2</v>
      </c>
      <c r="Z450" s="115">
        <f t="shared" si="83"/>
        <v>0.25053324721218218</v>
      </c>
      <c r="AA450" s="116">
        <f t="shared" si="82"/>
        <v>5.9999999999999609E-2</v>
      </c>
      <c r="AB450" s="115">
        <f t="shared" si="84"/>
        <v>0.49128326923986698</v>
      </c>
      <c r="AC450" s="115">
        <f t="shared" si="85"/>
        <v>-8.1741106640573769E-2</v>
      </c>
      <c r="AD450" s="115">
        <f t="shared" si="78"/>
        <v>0.47110810395069258</v>
      </c>
      <c r="AE450" s="235">
        <f t="shared" si="86"/>
        <v>-0.16999999999999993</v>
      </c>
    </row>
    <row r="451" spans="14:31" x14ac:dyDescent="0.2">
      <c r="N451" s="337">
        <v>38442</v>
      </c>
      <c r="O451" s="116">
        <f>INDEX('Additional data'!$B$2:$B$965,MATCH(DATE(YEAR(N451),MONTH(N451),1),'Additional data'!$A$2:$A$965,0))</f>
        <v>54.31</v>
      </c>
      <c r="P451" s="232">
        <f t="shared" si="74"/>
        <v>3.994708372046754</v>
      </c>
      <c r="Q451" s="232">
        <f>Q450+LN(1+INDEX('Additional data'!$H$2:$H$1196,MATCH(N451,'Additional data'!$G$2:$G$1196,1))+INDEX('Additional data'!$I$2:$I$1196,MATCH(N451,'Additional data'!$G$2:$G$1196,1)))</f>
        <v>3.7032469486618833</v>
      </c>
      <c r="R451" s="232">
        <f>LN(INDEX(Data!$B$2:$B$497,MATCH(N451,Data!$A$2:$A$497,1)))</f>
        <v>10.053234263397904</v>
      </c>
      <c r="S451" s="116">
        <f>INDEX('Additional data'!$E$2:$E$699,MATCH(DATE(YEAR(N451),MONTH(N451),1),'Additional data'!$D$2:$D$699,0))</f>
        <v>5.81</v>
      </c>
      <c r="T451" s="115">
        <f t="shared" si="75"/>
        <v>0.12413255653278155</v>
      </c>
      <c r="U451" s="115">
        <f t="shared" si="76"/>
        <v>-1.7451393613755695E-2</v>
      </c>
      <c r="V451" s="115">
        <f t="shared" si="79"/>
        <v>-7.4722284679609174E-3</v>
      </c>
      <c r="W451" s="116">
        <f t="shared" si="77"/>
        <v>0.17999999999999972</v>
      </c>
      <c r="X451" s="115">
        <f t="shared" si="80"/>
        <v>0.39029807455926768</v>
      </c>
      <c r="Y451" s="115">
        <f t="shared" si="81"/>
        <v>6.5143210579770461E-2</v>
      </c>
      <c r="Z451" s="115">
        <f t="shared" si="83"/>
        <v>0.22335100219167536</v>
      </c>
      <c r="AA451" s="116">
        <f t="shared" si="82"/>
        <v>0.29999999999999982</v>
      </c>
      <c r="AB451" s="115">
        <f t="shared" si="84"/>
        <v>0.59718439575090754</v>
      </c>
      <c r="AC451" s="115">
        <f t="shared" si="85"/>
        <v>-0.15443797448030772</v>
      </c>
      <c r="AD451" s="115">
        <f t="shared" si="78"/>
        <v>0.45830913514625315</v>
      </c>
      <c r="AE451" s="235">
        <f t="shared" si="86"/>
        <v>-8.0000000000000071E-2</v>
      </c>
    </row>
    <row r="452" spans="14:31" x14ac:dyDescent="0.2">
      <c r="N452" s="337">
        <v>38472</v>
      </c>
      <c r="O452" s="116">
        <f>INDEX('Additional data'!$B$2:$B$965,MATCH(DATE(YEAR(N452),MONTH(N452),1),'Additional data'!$A$2:$A$965,0))</f>
        <v>53.04</v>
      </c>
      <c r="P452" s="232">
        <f t="shared" si="74"/>
        <v>3.9710463458776069</v>
      </c>
      <c r="Q452" s="232">
        <f>Q451+LN(1+INDEX('Additional data'!$H$2:$H$1196,MATCH(N452,'Additional data'!$G$2:$G$1196,1))+INDEX('Additional data'!$I$2:$I$1196,MATCH(N452,'Additional data'!$G$2:$G$1196,1)))</f>
        <v>3.6789542560928385</v>
      </c>
      <c r="R452" s="232">
        <f>LN(INDEX(Data!$B$2:$B$497,MATCH(N452,Data!$A$2:$A$497,1)))</f>
        <v>10.01468964789561</v>
      </c>
      <c r="S452" s="116">
        <f>INDEX('Additional data'!$E$2:$E$699,MATCH(DATE(YEAR(N452),MONTH(N452),1),'Additional data'!$D$2:$D$699,0))</f>
        <v>5.75</v>
      </c>
      <c r="T452" s="115">
        <f t="shared" si="75"/>
        <v>-2.3662026169147143E-2</v>
      </c>
      <c r="U452" s="115">
        <f t="shared" si="76"/>
        <v>-2.429269256904476E-2</v>
      </c>
      <c r="V452" s="115">
        <f t="shared" si="79"/>
        <v>-3.8544615502294377E-2</v>
      </c>
      <c r="W452" s="116">
        <f t="shared" si="77"/>
        <v>-5.9999999999999609E-2</v>
      </c>
      <c r="X452" s="115">
        <f t="shared" si="80"/>
        <v>0.36854210751041627</v>
      </c>
      <c r="Y452" s="115">
        <f t="shared" si="81"/>
        <v>5.8301911624481395E-2</v>
      </c>
      <c r="Z452" s="115">
        <f t="shared" si="83"/>
        <v>0.1860806643466919</v>
      </c>
      <c r="AA452" s="116">
        <f t="shared" si="82"/>
        <v>0.20999999999999996</v>
      </c>
      <c r="AB452" s="115">
        <f t="shared" si="84"/>
        <v>0.72300014370962629</v>
      </c>
      <c r="AC452" s="115">
        <f t="shared" si="85"/>
        <v>-0.11759966704512115</v>
      </c>
      <c r="AD452" s="115">
        <f t="shared" si="78"/>
        <v>0.43476015015157721</v>
      </c>
      <c r="AE452" s="235">
        <f t="shared" si="86"/>
        <v>-0.29000000000000004</v>
      </c>
    </row>
    <row r="453" spans="14:31" x14ac:dyDescent="0.2">
      <c r="N453" s="337">
        <v>38503</v>
      </c>
      <c r="O453" s="116">
        <f>INDEX('Additional data'!$B$2:$B$965,MATCH(DATE(YEAR(N453),MONTH(N453),1),'Additional data'!$A$2:$A$965,0))</f>
        <v>49.83</v>
      </c>
      <c r="P453" s="232">
        <f t="shared" ref="P453:P516" si="87">LN(O453)</f>
        <v>3.9086172122933132</v>
      </c>
      <c r="Q453" s="232">
        <f>Q452+LN(1+INDEX('Additional data'!$H$2:$H$1196,MATCH(N453,'Additional data'!$G$2:$G$1196,1))+INDEX('Additional data'!$I$2:$I$1196,MATCH(N453,'Additional data'!$G$2:$G$1196,1)))</f>
        <v>3.7171167171871873</v>
      </c>
      <c r="R453" s="232">
        <f>LN(INDEX(Data!$B$2:$B$497,MATCH(N453,Data!$A$2:$A$497,1)))</f>
        <v>10.048219255602341</v>
      </c>
      <c r="S453" s="116">
        <f>INDEX('Additional data'!$E$2:$E$699,MATCH(DATE(YEAR(N453),MONTH(N453),1),'Additional data'!$D$2:$D$699,0))</f>
        <v>5.68</v>
      </c>
      <c r="T453" s="115">
        <f t="shared" si="75"/>
        <v>-6.2429133584293695E-2</v>
      </c>
      <c r="U453" s="115">
        <f t="shared" si="76"/>
        <v>3.8162461094348732E-2</v>
      </c>
      <c r="V453" s="115">
        <f t="shared" si="79"/>
        <v>3.3529607706730857E-2</v>
      </c>
      <c r="W453" s="116">
        <f t="shared" si="77"/>
        <v>-7.0000000000000284E-2</v>
      </c>
      <c r="X453" s="115">
        <f t="shared" si="80"/>
        <v>0.2127621444429515</v>
      </c>
      <c r="Y453" s="115">
        <f t="shared" si="81"/>
        <v>8.4140623029998363E-2</v>
      </c>
      <c r="Z453" s="115">
        <f t="shared" si="83"/>
        <v>0.2035620137471188</v>
      </c>
      <c r="AA453" s="116">
        <f t="shared" si="82"/>
        <v>0.16999999999999993</v>
      </c>
      <c r="AB453" s="115">
        <f t="shared" si="84"/>
        <v>0.54893651083409134</v>
      </c>
      <c r="AC453" s="115">
        <f t="shared" si="85"/>
        <v>-3.9760388797874135E-2</v>
      </c>
      <c r="AD453" s="115">
        <f t="shared" si="78"/>
        <v>0.48128866327636821</v>
      </c>
      <c r="AE453" s="235">
        <f t="shared" si="86"/>
        <v>-0.62999999999999989</v>
      </c>
    </row>
    <row r="454" spans="14:31" x14ac:dyDescent="0.2">
      <c r="N454" s="337">
        <v>38533</v>
      </c>
      <c r="O454" s="116">
        <f>INDEX('Additional data'!$B$2:$B$965,MATCH(DATE(YEAR(N454),MONTH(N454),1),'Additional data'!$A$2:$A$965,0))</f>
        <v>56.26</v>
      </c>
      <c r="P454" s="232">
        <f t="shared" si="87"/>
        <v>4.029983803061711</v>
      </c>
      <c r="Q454" s="232">
        <f>Q453+LN(1+INDEX('Additional data'!$H$2:$H$1196,MATCH(N454,'Additional data'!$G$2:$G$1196,1))+INDEX('Additional data'!$I$2:$I$1196,MATCH(N454,'Additional data'!$G$2:$G$1196,1)))</f>
        <v>3.7251840882649461</v>
      </c>
      <c r="R454" s="232">
        <f>LN(INDEX(Data!$B$2:$B$497,MATCH(N454,Data!$A$2:$A$497,1)))</f>
        <v>10.091885030149056</v>
      </c>
      <c r="S454" s="116">
        <f>INDEX('Additional data'!$E$2:$E$699,MATCH(DATE(YEAR(N454),MONTH(N454),1),'Additional data'!$D$2:$D$699,0))</f>
        <v>5.66</v>
      </c>
      <c r="T454" s="115">
        <f t="shared" ref="T454:T517" si="88">P454-P453</f>
        <v>0.12136659076839784</v>
      </c>
      <c r="U454" s="115">
        <f t="shared" ref="U454:U517" si="89">Q454-Q453</f>
        <v>8.0673710777587893E-3</v>
      </c>
      <c r="V454" s="115">
        <f t="shared" si="79"/>
        <v>4.3665774546715497E-2</v>
      </c>
      <c r="W454" s="116">
        <f t="shared" ref="W454:W517" si="90">S454-S453</f>
        <v>-1.9999999999999574E-2</v>
      </c>
      <c r="X454" s="115">
        <f t="shared" si="80"/>
        <v>0.39187146600142775</v>
      </c>
      <c r="Y454" s="115">
        <f t="shared" si="81"/>
        <v>7.3091876915527099E-2</v>
      </c>
      <c r="Z454" s="115">
        <f t="shared" si="83"/>
        <v>0.22111665959770832</v>
      </c>
      <c r="AA454" s="116">
        <f t="shared" si="82"/>
        <v>0.16999999999999993</v>
      </c>
      <c r="AB454" s="115">
        <f t="shared" si="84"/>
        <v>0.56957456176770949</v>
      </c>
      <c r="AC454" s="115">
        <f t="shared" si="85"/>
        <v>-8.124479654936323E-2</v>
      </c>
      <c r="AD454" s="115">
        <f t="shared" si="78"/>
        <v>0.4507875074123433</v>
      </c>
      <c r="AE454" s="235">
        <f t="shared" si="86"/>
        <v>-0.57000000000000028</v>
      </c>
    </row>
    <row r="455" spans="14:31" x14ac:dyDescent="0.2">
      <c r="N455" s="337">
        <v>38564</v>
      </c>
      <c r="O455" s="116">
        <f>INDEX('Additional data'!$B$2:$B$965,MATCH(DATE(YEAR(N455),MONTH(N455),1),'Additional data'!$A$2:$A$965,0))</f>
        <v>58.7</v>
      </c>
      <c r="P455" s="232">
        <f t="shared" si="87"/>
        <v>4.0724397268340509</v>
      </c>
      <c r="Q455" s="232">
        <f>Q454+LN(1+INDEX('Additional data'!$H$2:$H$1196,MATCH(N455,'Additional data'!$G$2:$G$1196,1))+INDEX('Additional data'!$I$2:$I$1196,MATCH(N455,'Additional data'!$G$2:$G$1196,1)))</f>
        <v>3.7659420807371138</v>
      </c>
      <c r="R455" s="232">
        <f>LN(INDEX(Data!$B$2:$B$497,MATCH(N455,Data!$A$2:$A$497,1)))</f>
        <v>10.11917783713589</v>
      </c>
      <c r="S455" s="116">
        <f>INDEX('Additional data'!$E$2:$E$699,MATCH(DATE(YEAR(N455),MONTH(N455),1),'Additional data'!$D$2:$D$699,0))</f>
        <v>5.65</v>
      </c>
      <c r="T455" s="115">
        <f t="shared" si="88"/>
        <v>4.2455923772339865E-2</v>
      </c>
      <c r="U455" s="115">
        <f t="shared" si="89"/>
        <v>4.0757992472167714E-2</v>
      </c>
      <c r="V455" s="115">
        <f t="shared" si="79"/>
        <v>2.7292806986833895E-2</v>
      </c>
      <c r="W455" s="116">
        <f t="shared" si="90"/>
        <v>-9.9999999999997868E-3</v>
      </c>
      <c r="X455" s="115">
        <f t="shared" si="80"/>
        <v>0.36645736482045255</v>
      </c>
      <c r="Y455" s="115">
        <f t="shared" si="81"/>
        <v>0.15404705913910766</v>
      </c>
      <c r="Z455" s="115">
        <f t="shared" si="83"/>
        <v>0.24271991589225017</v>
      </c>
      <c r="AA455" s="116">
        <f t="shared" si="82"/>
        <v>0.19000000000000039</v>
      </c>
      <c r="AB455" s="115">
        <f t="shared" si="84"/>
        <v>0.67893855180636598</v>
      </c>
      <c r="AC455" s="115">
        <f t="shared" si="85"/>
        <v>-2.0284096759676018E-2</v>
      </c>
      <c r="AD455" s="115">
        <f t="shared" si="78"/>
        <v>0.49152093013675469</v>
      </c>
      <c r="AE455" s="235">
        <f t="shared" si="86"/>
        <v>-0.54999999999999982</v>
      </c>
    </row>
    <row r="456" spans="14:31" x14ac:dyDescent="0.2">
      <c r="N456" s="337">
        <v>38595</v>
      </c>
      <c r="O456" s="116">
        <f>INDEX('Additional data'!$B$2:$B$965,MATCH(DATE(YEAR(N456),MONTH(N456),1),'Additional data'!$A$2:$A$965,0))</f>
        <v>64.97</v>
      </c>
      <c r="P456" s="232">
        <f t="shared" si="87"/>
        <v>4.1739256248924397</v>
      </c>
      <c r="Q456" s="232">
        <f>Q455+LN(1+INDEX('Additional data'!$H$2:$H$1196,MATCH(N456,'Additional data'!$G$2:$G$1196,1))+INDEX('Additional data'!$I$2:$I$1196,MATCH(N456,'Additional data'!$G$2:$G$1196,1)))</f>
        <v>3.7569013360849648</v>
      </c>
      <c r="R456" s="232">
        <f>LN(INDEX(Data!$B$2:$B$497,MATCH(N456,Data!$A$2:$A$497,1)))</f>
        <v>10.140674511968841</v>
      </c>
      <c r="S456" s="116">
        <f>INDEX('Additional data'!$E$2:$E$699,MATCH(DATE(YEAR(N456),MONTH(N456),1),'Additional data'!$D$2:$D$699,0))</f>
        <v>5.62</v>
      </c>
      <c r="T456" s="115">
        <f t="shared" si="88"/>
        <v>0.10148589805838881</v>
      </c>
      <c r="U456" s="115">
        <f t="shared" si="89"/>
        <v>-9.0407446521489909E-3</v>
      </c>
      <c r="V456" s="115">
        <f t="shared" si="79"/>
        <v>2.1496674832951257E-2</v>
      </c>
      <c r="W456" s="116">
        <f t="shared" si="90"/>
        <v>-3.0000000000000249E-2</v>
      </c>
      <c r="X456" s="115">
        <f t="shared" si="80"/>
        <v>0.3685973581352564</v>
      </c>
      <c r="Y456" s="115">
        <f t="shared" si="81"/>
        <v>0.14320793254557929</v>
      </c>
      <c r="Z456" s="115">
        <f t="shared" si="83"/>
        <v>0.25377325467467671</v>
      </c>
      <c r="AA456" s="116">
        <f t="shared" si="82"/>
        <v>0.17999999999999972</v>
      </c>
      <c r="AB456" s="115">
        <f t="shared" si="84"/>
        <v>0.73286670980515378</v>
      </c>
      <c r="AC456" s="115">
        <f t="shared" si="85"/>
        <v>-0.10192453382616851</v>
      </c>
      <c r="AD456" s="115">
        <f t="shared" si="78"/>
        <v>0.49592141961774239</v>
      </c>
      <c r="AE456" s="235">
        <f t="shared" si="86"/>
        <v>-0.87000000000000011</v>
      </c>
    </row>
    <row r="457" spans="14:31" x14ac:dyDescent="0.2">
      <c r="N457" s="337">
        <v>38625</v>
      </c>
      <c r="O457" s="116">
        <f>INDEX('Additional data'!$B$2:$B$965,MATCH(DATE(YEAR(N457),MONTH(N457),1),'Additional data'!$A$2:$A$965,0))</f>
        <v>65.569999999999993</v>
      </c>
      <c r="P457" s="232">
        <f t="shared" si="87"/>
        <v>4.183118274275528</v>
      </c>
      <c r="Q457" s="232">
        <f>Q456+LN(1+INDEX('Additional data'!$H$2:$H$1196,MATCH(N457,'Additional data'!$G$2:$G$1196,1))+INDEX('Additional data'!$I$2:$I$1196,MATCH(N457,'Additional data'!$G$2:$G$1196,1)))</f>
        <v>3.7645718423891843</v>
      </c>
      <c r="R457" s="232">
        <f>LN(INDEX(Data!$B$2:$B$497,MATCH(N457,Data!$A$2:$A$497,1)))</f>
        <v>10.18713532312456</v>
      </c>
      <c r="S457" s="116">
        <f>INDEX('Additional data'!$E$2:$E$699,MATCH(DATE(YEAR(N457),MONTH(N457),1),'Additional data'!$D$2:$D$699,0))</f>
        <v>5.62</v>
      </c>
      <c r="T457" s="115">
        <f t="shared" si="88"/>
        <v>9.1926493830882805E-3</v>
      </c>
      <c r="U457" s="115">
        <f t="shared" si="89"/>
        <v>7.6705063042195043E-3</v>
      </c>
      <c r="V457" s="115">
        <f t="shared" si="79"/>
        <v>4.6460811155718318E-2</v>
      </c>
      <c r="W457" s="116">
        <f t="shared" si="90"/>
        <v>0</v>
      </c>
      <c r="X457" s="115">
        <f t="shared" si="80"/>
        <v>0.35556442547383194</v>
      </c>
      <c r="Y457" s="115">
        <f t="shared" si="81"/>
        <v>0.13392299820038511</v>
      </c>
      <c r="Z457" s="115">
        <f t="shared" si="83"/>
        <v>0.26319628521873817</v>
      </c>
      <c r="AA457" s="116">
        <f t="shared" si="82"/>
        <v>0.20000000000000018</v>
      </c>
      <c r="AB457" s="115">
        <f t="shared" si="84"/>
        <v>0.66029340449167417</v>
      </c>
      <c r="AC457" s="115">
        <f t="shared" si="85"/>
        <v>-4.3697303904796758E-2</v>
      </c>
      <c r="AD457" s="115">
        <f t="shared" si="78"/>
        <v>0.54032949133378594</v>
      </c>
      <c r="AE457" s="235">
        <f t="shared" si="86"/>
        <v>-0.95000000000000018</v>
      </c>
    </row>
    <row r="458" spans="14:31" x14ac:dyDescent="0.2">
      <c r="N458" s="337">
        <v>38656</v>
      </c>
      <c r="O458" s="116">
        <f>INDEX('Additional data'!$B$2:$B$965,MATCH(DATE(YEAR(N458),MONTH(N458),1),'Additional data'!$A$2:$A$965,0))</f>
        <v>62.37</v>
      </c>
      <c r="P458" s="232">
        <f t="shared" si="87"/>
        <v>4.1330843905380314</v>
      </c>
      <c r="Q458" s="232">
        <f>Q457+LN(1+INDEX('Additional data'!$H$2:$H$1196,MATCH(N458,'Additional data'!$G$2:$G$1196,1))+INDEX('Additional data'!$I$2:$I$1196,MATCH(N458,'Additional data'!$G$2:$G$1196,1)))</f>
        <v>3.7467133240878714</v>
      </c>
      <c r="R458" s="232">
        <f>LN(INDEX(Data!$B$2:$B$497,MATCH(N458,Data!$A$2:$A$497,1)))</f>
        <v>10.148069294843493</v>
      </c>
      <c r="S458" s="116">
        <f>INDEX('Additional data'!$E$2:$E$699,MATCH(DATE(YEAR(N458),MONTH(N458),1),'Additional data'!$D$2:$D$699,0))</f>
        <v>5.63</v>
      </c>
      <c r="T458" s="115">
        <f t="shared" si="88"/>
        <v>-5.003388373749651E-2</v>
      </c>
      <c r="U458" s="115">
        <f t="shared" si="89"/>
        <v>-1.7858518301312909E-2</v>
      </c>
      <c r="V458" s="115">
        <f t="shared" si="79"/>
        <v>-3.9066028281066423E-2</v>
      </c>
      <c r="W458" s="116">
        <f t="shared" si="90"/>
        <v>9.9999999999997868E-3</v>
      </c>
      <c r="X458" s="115">
        <f t="shared" si="80"/>
        <v>0.16034265007517945</v>
      </c>
      <c r="Y458" s="115">
        <f t="shared" si="81"/>
        <v>0.10088034457403205</v>
      </c>
      <c r="Z458" s="115">
        <f t="shared" si="83"/>
        <v>0.19319860945540945</v>
      </c>
      <c r="AA458" s="116">
        <f t="shared" si="82"/>
        <v>0.21999999999999975</v>
      </c>
      <c r="AB458" s="115">
        <f t="shared" si="84"/>
        <v>0.63415552038254086</v>
      </c>
      <c r="AC458" s="115">
        <f t="shared" si="85"/>
        <v>-3.910569336851788E-2</v>
      </c>
      <c r="AD458" s="115">
        <f t="shared" si="78"/>
        <v>0.5126319863619937</v>
      </c>
      <c r="AE458" s="235">
        <f t="shared" si="86"/>
        <v>-0.78000000000000025</v>
      </c>
    </row>
    <row r="459" spans="14:31" x14ac:dyDescent="0.2">
      <c r="N459" s="337">
        <v>38686</v>
      </c>
      <c r="O459" s="116">
        <f>INDEX('Additional data'!$B$2:$B$965,MATCH(DATE(YEAR(N459),MONTH(N459),1),'Additional data'!$A$2:$A$965,0))</f>
        <v>58.3</v>
      </c>
      <c r="P459" s="232">
        <f t="shared" si="87"/>
        <v>4.0656020933564463</v>
      </c>
      <c r="Q459" s="232">
        <f>Q458+LN(1+INDEX('Additional data'!$H$2:$H$1196,MATCH(N459,'Additional data'!$G$2:$G$1196,1))+INDEX('Additional data'!$I$2:$I$1196,MATCH(N459,'Additional data'!$G$2:$G$1196,1)))</f>
        <v>3.7851645104621241</v>
      </c>
      <c r="R459" s="232">
        <f>LN(INDEX(Data!$B$2:$B$497,MATCH(N459,Data!$A$2:$A$497,1)))</f>
        <v>10.191117061106452</v>
      </c>
      <c r="S459" s="116">
        <f>INDEX('Additional data'!$E$2:$E$699,MATCH(DATE(YEAR(N459),MONTH(N459),1),'Additional data'!$D$2:$D$699,0))</f>
        <v>5.63</v>
      </c>
      <c r="T459" s="115">
        <f t="shared" si="88"/>
        <v>-6.748229718158516E-2</v>
      </c>
      <c r="U459" s="115">
        <f t="shared" si="89"/>
        <v>3.845118637425271E-2</v>
      </c>
      <c r="V459" s="115">
        <f t="shared" si="79"/>
        <v>4.3047766262958476E-2</v>
      </c>
      <c r="W459" s="116">
        <f t="shared" si="90"/>
        <v>0</v>
      </c>
      <c r="X459" s="115">
        <f t="shared" si="80"/>
        <v>0.18486337796806662</v>
      </c>
      <c r="Y459" s="115">
        <f t="shared" si="81"/>
        <v>9.3593639274430984E-2</v>
      </c>
      <c r="Z459" s="115">
        <f t="shared" si="83"/>
        <v>0.1910107308084541</v>
      </c>
      <c r="AA459" s="116">
        <f t="shared" si="82"/>
        <v>0.20000000000000018</v>
      </c>
      <c r="AB459" s="115">
        <f t="shared" si="84"/>
        <v>0.52754552897709361</v>
      </c>
      <c r="AC459" s="115">
        <f t="shared" si="85"/>
        <v>0.10681935131096765</v>
      </c>
      <c r="AD459" s="115">
        <f t="shared" si="78"/>
        <v>0.5444953819331495</v>
      </c>
      <c r="AE459" s="235">
        <f t="shared" si="86"/>
        <v>-0.70000000000000018</v>
      </c>
    </row>
    <row r="460" spans="14:31" x14ac:dyDescent="0.2">
      <c r="N460" s="337">
        <v>38717</v>
      </c>
      <c r="O460" s="116">
        <f>INDEX('Additional data'!$B$2:$B$965,MATCH(DATE(YEAR(N460),MONTH(N460),1),'Additional data'!$A$2:$A$965,0))</f>
        <v>59.43</v>
      </c>
      <c r="P460" s="232">
        <f t="shared" si="87"/>
        <v>4.0847991493785694</v>
      </c>
      <c r="Q460" s="232">
        <f>Q459+LN(1+INDEX('Additional data'!$H$2:$H$1196,MATCH(N460,'Additional data'!$G$2:$G$1196,1))+INDEX('Additional data'!$I$2:$I$1196,MATCH(N460,'Additional data'!$G$2:$G$1196,1)))</f>
        <v>3.7859641906326886</v>
      </c>
      <c r="R460" s="232">
        <f>LN(INDEX(Data!$B$2:$B$497,MATCH(N460,Data!$A$2:$A$497,1)))</f>
        <v>10.221029850243575</v>
      </c>
      <c r="S460" s="116">
        <f>INDEX('Additional data'!$E$2:$E$699,MATCH(DATE(YEAR(N460),MONTH(N460),1),'Additional data'!$D$2:$D$699,0))</f>
        <v>5.63</v>
      </c>
      <c r="T460" s="115">
        <f t="shared" si="88"/>
        <v>1.9197056022123071E-2</v>
      </c>
      <c r="U460" s="115">
        <f t="shared" si="89"/>
        <v>7.9968017056453178E-4</v>
      </c>
      <c r="V460" s="115">
        <f t="shared" si="79"/>
        <v>2.9912789137123141E-2</v>
      </c>
      <c r="W460" s="116">
        <f t="shared" si="90"/>
        <v>0</v>
      </c>
      <c r="X460" s="115">
        <f t="shared" si="80"/>
        <v>0.31595391362675151</v>
      </c>
      <c r="Y460" s="115">
        <f t="shared" si="81"/>
        <v>5.9219244437341612E-2</v>
      </c>
      <c r="Z460" s="115">
        <f t="shared" si="83"/>
        <v>0.19134582117946231</v>
      </c>
      <c r="AA460" s="116">
        <f t="shared" si="82"/>
        <v>0.21999999999999975</v>
      </c>
      <c r="AB460" s="115">
        <f t="shared" si="84"/>
        <v>0.73629955671686309</v>
      </c>
      <c r="AC460" s="115">
        <f t="shared" si="85"/>
        <v>9.0958590588424926E-2</v>
      </c>
      <c r="AD460" s="115">
        <f t="shared" ref="AD460:AD523" si="91">R460-R400</f>
        <v>0.59417774276900026</v>
      </c>
      <c r="AE460" s="235">
        <f t="shared" si="86"/>
        <v>-0.57000000000000028</v>
      </c>
    </row>
    <row r="461" spans="14:31" x14ac:dyDescent="0.2">
      <c r="N461" s="337">
        <v>38748</v>
      </c>
      <c r="O461" s="116">
        <f>INDEX('Additional data'!$B$2:$B$965,MATCH(DATE(YEAR(N461),MONTH(N461),1),'Additional data'!$A$2:$A$965,0))</f>
        <v>65.510000000000005</v>
      </c>
      <c r="P461" s="232">
        <f t="shared" si="87"/>
        <v>4.1822028027437854</v>
      </c>
      <c r="Q461" s="232">
        <f>Q460+LN(1+INDEX('Additional data'!$H$2:$H$1196,MATCH(N461,'Additional data'!$G$2:$G$1196,1))+INDEX('Additional data'!$I$2:$I$1196,MATCH(N461,'Additional data'!$G$2:$G$1196,1)))</f>
        <v>3.8192055244124905</v>
      </c>
      <c r="R461" s="232">
        <f>LN(INDEX(Data!$B$2:$B$497,MATCH(N461,Data!$A$2:$A$497,1)))</f>
        <v>10.256836396130758</v>
      </c>
      <c r="S461" s="116">
        <f>INDEX('Additional data'!$E$2:$E$699,MATCH(DATE(YEAR(N461),MONTH(N461),1),'Additional data'!$D$2:$D$699,0))</f>
        <v>5.63</v>
      </c>
      <c r="T461" s="115">
        <f t="shared" si="88"/>
        <v>9.7403653365216059E-2</v>
      </c>
      <c r="U461" s="115">
        <f t="shared" si="89"/>
        <v>3.3241333779801874E-2</v>
      </c>
      <c r="V461" s="115">
        <f t="shared" si="79"/>
        <v>3.5806545887183461E-2</v>
      </c>
      <c r="W461" s="116">
        <f t="shared" si="90"/>
        <v>0</v>
      </c>
      <c r="X461" s="115">
        <f t="shared" si="80"/>
        <v>0.33546526401426879</v>
      </c>
      <c r="Y461" s="115">
        <f t="shared" si="81"/>
        <v>0.11870188942237059</v>
      </c>
      <c r="Z461" s="115">
        <f t="shared" si="83"/>
        <v>0.21395131543635415</v>
      </c>
      <c r="AA461" s="116">
        <f t="shared" si="82"/>
        <v>0.20999999999999996</v>
      </c>
      <c r="AB461" s="115">
        <f t="shared" si="84"/>
        <v>0.79510434546113196</v>
      </c>
      <c r="AC461" s="115">
        <f t="shared" si="85"/>
        <v>8.7000483379120475E-2</v>
      </c>
      <c r="AD461" s="115">
        <f t="shared" si="91"/>
        <v>0.58736428026294618</v>
      </c>
      <c r="AE461" s="235">
        <f t="shared" si="86"/>
        <v>-0.28000000000000025</v>
      </c>
    </row>
    <row r="462" spans="14:31" x14ac:dyDescent="0.2">
      <c r="N462" s="337">
        <v>38776</v>
      </c>
      <c r="O462" s="116">
        <f>INDEX('Additional data'!$B$2:$B$965,MATCH(DATE(YEAR(N462),MONTH(N462),1),'Additional data'!$A$2:$A$965,0))</f>
        <v>61.63</v>
      </c>
      <c r="P462" s="232">
        <f t="shared" si="87"/>
        <v>4.1211487649741514</v>
      </c>
      <c r="Q462" s="232">
        <f>Q461+LN(1+INDEX('Additional data'!$H$2:$H$1196,MATCH(N462,'Additional data'!$G$2:$G$1196,1))+INDEX('Additional data'!$I$2:$I$1196,MATCH(N462,'Additional data'!$G$2:$G$1196,1)))</f>
        <v>3.8196054444338174</v>
      </c>
      <c r="R462" s="232">
        <f>LN(INDEX(Data!$B$2:$B$497,MATCH(N462,Data!$A$2:$A$497,1)))</f>
        <v>10.263815326759504</v>
      </c>
      <c r="S462" s="116">
        <f>INDEX('Additional data'!$E$2:$E$699,MATCH(DATE(YEAR(N462),MONTH(N462),1),'Additional data'!$D$2:$D$699,0))</f>
        <v>5.61</v>
      </c>
      <c r="T462" s="115">
        <f t="shared" si="88"/>
        <v>-6.1054037769634029E-2</v>
      </c>
      <c r="U462" s="115">
        <f t="shared" si="89"/>
        <v>3.9992002132693827E-4</v>
      </c>
      <c r="V462" s="115">
        <f t="shared" si="79"/>
        <v>6.978930628745772E-3</v>
      </c>
      <c r="W462" s="116">
        <f t="shared" si="90"/>
        <v>-1.9999999999999574E-2</v>
      </c>
      <c r="X462" s="115">
        <f t="shared" si="80"/>
        <v>0.25057294946017894</v>
      </c>
      <c r="Y462" s="115">
        <f t="shared" si="81"/>
        <v>9.8907102158178439E-2</v>
      </c>
      <c r="Z462" s="115">
        <f t="shared" si="83"/>
        <v>0.20310883489363896</v>
      </c>
      <c r="AA462" s="116">
        <f t="shared" si="82"/>
        <v>-1.9999999999999574E-2</v>
      </c>
      <c r="AB462" s="115">
        <f t="shared" si="84"/>
        <v>0.7330366228606513</v>
      </c>
      <c r="AC462" s="115">
        <f t="shared" si="85"/>
        <v>0.18887957235030139</v>
      </c>
      <c r="AD462" s="115">
        <f t="shared" si="91"/>
        <v>0.59664287833493113</v>
      </c>
      <c r="AE462" s="235">
        <f t="shared" si="86"/>
        <v>2.0000000000000462E-2</v>
      </c>
    </row>
    <row r="463" spans="14:31" x14ac:dyDescent="0.2">
      <c r="N463" s="337">
        <v>38807</v>
      </c>
      <c r="O463" s="116">
        <f>INDEX('Additional data'!$B$2:$B$965,MATCH(DATE(YEAR(N463),MONTH(N463),1),'Additional data'!$A$2:$A$965,0))</f>
        <v>62.9</v>
      </c>
      <c r="P463" s="232">
        <f t="shared" si="87"/>
        <v>4.1415461637063951</v>
      </c>
      <c r="Q463" s="232">
        <f>Q462+LN(1+INDEX('Additional data'!$H$2:$H$1196,MATCH(N463,'Additional data'!$G$2:$G$1196,1))+INDEX('Additional data'!$I$2:$I$1196,MATCH(N463,'Additional data'!$G$2:$G$1196,1)))</f>
        <v>3.8378382126948773</v>
      </c>
      <c r="R463" s="232">
        <f>LN(INDEX(Data!$B$2:$B$497,MATCH(N463,Data!$A$2:$A$497,1)))</f>
        <v>10.310762788041416</v>
      </c>
      <c r="S463" s="116">
        <f>INDEX('Additional data'!$E$2:$E$699,MATCH(DATE(YEAR(N463),MONTH(N463),1),'Additional data'!$D$2:$D$699,0))</f>
        <v>5.61</v>
      </c>
      <c r="T463" s="115">
        <f t="shared" si="88"/>
        <v>2.0397398732243666E-2</v>
      </c>
      <c r="U463" s="115">
        <f t="shared" si="89"/>
        <v>1.8232768261059906E-2</v>
      </c>
      <c r="V463" s="115">
        <f t="shared" si="79"/>
        <v>4.6947461281911629E-2</v>
      </c>
      <c r="W463" s="116">
        <f t="shared" si="90"/>
        <v>0</v>
      </c>
      <c r="X463" s="115">
        <f t="shared" si="80"/>
        <v>0.14683779165964106</v>
      </c>
      <c r="Y463" s="115">
        <f t="shared" si="81"/>
        <v>0.13459126403299404</v>
      </c>
      <c r="Z463" s="115">
        <f t="shared" si="83"/>
        <v>0.2575285246435115</v>
      </c>
      <c r="AA463" s="116">
        <f t="shared" si="82"/>
        <v>-0.19999999999999929</v>
      </c>
      <c r="AB463" s="115">
        <f t="shared" si="84"/>
        <v>0.83685968242508357</v>
      </c>
      <c r="AC463" s="115">
        <f t="shared" si="85"/>
        <v>0.277856745137119</v>
      </c>
      <c r="AD463" s="115">
        <f t="shared" si="91"/>
        <v>0.69302258074933931</v>
      </c>
      <c r="AE463" s="235">
        <f t="shared" si="86"/>
        <v>0.47000000000000064</v>
      </c>
    </row>
    <row r="464" spans="14:31" x14ac:dyDescent="0.2">
      <c r="N464" s="337">
        <v>38837</v>
      </c>
      <c r="O464" s="116">
        <f>INDEX('Additional data'!$B$2:$B$965,MATCH(DATE(YEAR(N464),MONTH(N464),1),'Additional data'!$A$2:$A$965,0))</f>
        <v>69.69</v>
      </c>
      <c r="P464" s="232">
        <f t="shared" si="87"/>
        <v>4.2440568354504276</v>
      </c>
      <c r="Q464" s="232">
        <f>Q463+LN(1+INDEX('Additional data'!$H$2:$H$1196,MATCH(N464,'Additional data'!$G$2:$G$1196,1))+INDEX('Additional data'!$I$2:$I$1196,MATCH(N464,'Additional data'!$G$2:$G$1196,1)))</f>
        <v>3.8486792358727522</v>
      </c>
      <c r="R464" s="232">
        <f>LN(INDEX(Data!$B$2:$B$497,MATCH(N464,Data!$A$2:$A$497,1)))</f>
        <v>10.334523879017457</v>
      </c>
      <c r="S464" s="116">
        <f>INDEX('Additional data'!$E$2:$E$699,MATCH(DATE(YEAR(N464),MONTH(N464),1),'Additional data'!$D$2:$D$699,0))</f>
        <v>5.69</v>
      </c>
      <c r="T464" s="115">
        <f t="shared" si="88"/>
        <v>0.1025106717440325</v>
      </c>
      <c r="U464" s="115">
        <f t="shared" si="89"/>
        <v>1.0841023177874831E-2</v>
      </c>
      <c r="V464" s="115">
        <f t="shared" si="79"/>
        <v>2.3761090976041288E-2</v>
      </c>
      <c r="W464" s="116">
        <f t="shared" si="90"/>
        <v>8.0000000000000071E-2</v>
      </c>
      <c r="X464" s="115">
        <f t="shared" si="80"/>
        <v>0.2730104895728207</v>
      </c>
      <c r="Y464" s="115">
        <f t="shared" si="81"/>
        <v>0.16972497977991363</v>
      </c>
      <c r="Z464" s="115">
        <f t="shared" si="83"/>
        <v>0.31983423112184717</v>
      </c>
      <c r="AA464" s="116">
        <f t="shared" si="82"/>
        <v>-5.9999999999999609E-2</v>
      </c>
      <c r="AB464" s="115">
        <f t="shared" si="84"/>
        <v>0.933148925135733</v>
      </c>
      <c r="AC464" s="115">
        <f t="shared" si="85"/>
        <v>0.20877814513912041</v>
      </c>
      <c r="AD464" s="115">
        <f t="shared" si="91"/>
        <v>0.66135606514550638</v>
      </c>
      <c r="AE464" s="235">
        <f t="shared" si="86"/>
        <v>0.83000000000000007</v>
      </c>
    </row>
    <row r="465" spans="14:31" x14ac:dyDescent="0.2">
      <c r="N465" s="337">
        <v>38868</v>
      </c>
      <c r="O465" s="116">
        <f>INDEX('Additional data'!$B$2:$B$965,MATCH(DATE(YEAR(N465),MONTH(N465),1),'Additional data'!$A$2:$A$965,0))</f>
        <v>70.94</v>
      </c>
      <c r="P465" s="232">
        <f t="shared" si="87"/>
        <v>4.2618344493454758</v>
      </c>
      <c r="Q465" s="232">
        <f>Q464+LN(1+INDEX('Additional data'!$H$2:$H$1196,MATCH(N465,'Additional data'!$G$2:$G$1196,1))+INDEX('Additional data'!$I$2:$I$1196,MATCH(N465,'Additional data'!$G$2:$G$1196,1)))</f>
        <v>3.8168789233229545</v>
      </c>
      <c r="R465" s="232">
        <f>LN(INDEX(Data!$B$2:$B$497,MATCH(N465,Data!$A$2:$A$497,1)))</f>
        <v>10.290186777742873</v>
      </c>
      <c r="S465" s="116">
        <f>INDEX('Additional data'!$E$2:$E$699,MATCH(DATE(YEAR(N465),MONTH(N465),1),'Additional data'!$D$2:$D$699,0))</f>
        <v>5.87</v>
      </c>
      <c r="T465" s="115">
        <f t="shared" si="88"/>
        <v>1.7777613895048283E-2</v>
      </c>
      <c r="U465" s="115">
        <f t="shared" si="89"/>
        <v>-3.1800312549797649E-2</v>
      </c>
      <c r="V465" s="115">
        <f t="shared" ref="V465:V528" si="92">R465-R464</f>
        <v>-4.4337101274583901E-2</v>
      </c>
      <c r="W465" s="116">
        <f t="shared" si="90"/>
        <v>0.17999999999999972</v>
      </c>
      <c r="X465" s="115">
        <f t="shared" ref="X465:X528" si="93">P465-P453</f>
        <v>0.35321723705216268</v>
      </c>
      <c r="Y465" s="115">
        <f t="shared" ref="Y465:Y528" si="94">Q465-Q453</f>
        <v>9.9762206135767251E-2</v>
      </c>
      <c r="Z465" s="115">
        <f t="shared" si="83"/>
        <v>0.24196752214053241</v>
      </c>
      <c r="AA465" s="116">
        <f t="shared" ref="AA465:AA528" si="95">S465-S453</f>
        <v>0.19000000000000039</v>
      </c>
      <c r="AB465" s="115">
        <f t="shared" si="84"/>
        <v>0.90703010725303113</v>
      </c>
      <c r="AC465" s="115">
        <f t="shared" si="85"/>
        <v>0.16702750173615488</v>
      </c>
      <c r="AD465" s="115">
        <f t="shared" si="91"/>
        <v>0.60115561937350037</v>
      </c>
      <c r="AE465" s="235">
        <f t="shared" si="86"/>
        <v>0.98000000000000043</v>
      </c>
    </row>
    <row r="466" spans="14:31" x14ac:dyDescent="0.2">
      <c r="N466" s="337">
        <v>38898</v>
      </c>
      <c r="O466" s="116">
        <f>INDEX('Additional data'!$B$2:$B$965,MATCH(DATE(YEAR(N466),MONTH(N466),1),'Additional data'!$A$2:$A$965,0))</f>
        <v>70.959999999999994</v>
      </c>
      <c r="P466" s="232">
        <f t="shared" si="87"/>
        <v>4.2621163380013236</v>
      </c>
      <c r="Q466" s="232">
        <f>Q465+LN(1+INDEX('Additional data'!$H$2:$H$1196,MATCH(N466,'Additional data'!$G$2:$G$1196,1))+INDEX('Additional data'!$I$2:$I$1196,MATCH(N466,'Additional data'!$G$2:$G$1196,1)))</f>
        <v>3.8173787983646057</v>
      </c>
      <c r="R466" s="232">
        <f>LN(INDEX(Data!$B$2:$B$497,MATCH(N466,Data!$A$2:$A$497,1)))</f>
        <v>10.308579424333619</v>
      </c>
      <c r="S466" s="116">
        <f>INDEX('Additional data'!$E$2:$E$699,MATCH(DATE(YEAR(N466),MONTH(N466),1),'Additional data'!$D$2:$D$699,0))</f>
        <v>5.96</v>
      </c>
      <c r="T466" s="115">
        <f t="shared" si="88"/>
        <v>2.818886558477729E-4</v>
      </c>
      <c r="U466" s="115">
        <f t="shared" si="89"/>
        <v>4.9987504165116547E-4</v>
      </c>
      <c r="V466" s="115">
        <f t="shared" si="92"/>
        <v>1.8392646590745798E-2</v>
      </c>
      <c r="W466" s="116">
        <f t="shared" si="90"/>
        <v>8.9999999999999858E-2</v>
      </c>
      <c r="X466" s="115">
        <f t="shared" si="93"/>
        <v>0.23213253493961261</v>
      </c>
      <c r="Y466" s="115">
        <f t="shared" si="94"/>
        <v>9.2194710099659627E-2</v>
      </c>
      <c r="Z466" s="115">
        <f t="shared" si="83"/>
        <v>0.21669439418456271</v>
      </c>
      <c r="AA466" s="116">
        <f t="shared" si="95"/>
        <v>0.29999999999999982</v>
      </c>
      <c r="AB466" s="115">
        <f t="shared" si="84"/>
        <v>0.94430056527821904</v>
      </c>
      <c r="AC466" s="115">
        <f t="shared" si="85"/>
        <v>0.18426670078210394</v>
      </c>
      <c r="AD466" s="115">
        <f t="shared" si="91"/>
        <v>0.58272635012535368</v>
      </c>
      <c r="AE466" s="235">
        <f t="shared" si="86"/>
        <v>0.99000000000000021</v>
      </c>
    </row>
    <row r="467" spans="14:31" x14ac:dyDescent="0.2">
      <c r="N467" s="337">
        <v>38929</v>
      </c>
      <c r="O467" s="116">
        <f>INDEX('Additional data'!$B$2:$B$965,MATCH(DATE(YEAR(N467),MONTH(N467),1),'Additional data'!$A$2:$A$965,0))</f>
        <v>74.41</v>
      </c>
      <c r="P467" s="232">
        <f t="shared" si="87"/>
        <v>4.3095903414091694</v>
      </c>
      <c r="Q467" s="232">
        <f>Q466+LN(1+INDEX('Additional data'!$H$2:$H$1196,MATCH(N467,'Additional data'!$G$2:$G$1196,1))+INDEX('Additional data'!$I$2:$I$1196,MATCH(N467,'Additional data'!$G$2:$G$1196,1)))</f>
        <v>3.8136719364332792</v>
      </c>
      <c r="R467" s="232">
        <f>LN(INDEX(Data!$B$2:$B$497,MATCH(N467,Data!$A$2:$A$497,1)))</f>
        <v>10.293314452106946</v>
      </c>
      <c r="S467" s="116">
        <f>INDEX('Additional data'!$E$2:$E$699,MATCH(DATE(YEAR(N467),MONTH(N467),1),'Additional data'!$D$2:$D$699,0))</f>
        <v>6.05</v>
      </c>
      <c r="T467" s="115">
        <f t="shared" si="88"/>
        <v>4.74740034078458E-2</v>
      </c>
      <c r="U467" s="115">
        <f t="shared" si="89"/>
        <v>-3.7068619313265216E-3</v>
      </c>
      <c r="V467" s="115">
        <f t="shared" si="92"/>
        <v>-1.5264972226672668E-2</v>
      </c>
      <c r="W467" s="116">
        <f t="shared" si="90"/>
        <v>8.9999999999999858E-2</v>
      </c>
      <c r="X467" s="115">
        <f t="shared" si="93"/>
        <v>0.23715061457511855</v>
      </c>
      <c r="Y467" s="115">
        <f t="shared" si="94"/>
        <v>4.7729855696165391E-2</v>
      </c>
      <c r="Z467" s="115">
        <f t="shared" si="83"/>
        <v>0.17413661497105615</v>
      </c>
      <c r="AA467" s="116">
        <f t="shared" si="95"/>
        <v>0.39999999999999947</v>
      </c>
      <c r="AB467" s="115">
        <f t="shared" si="84"/>
        <v>1.0343341831048609</v>
      </c>
      <c r="AC467" s="115">
        <f t="shared" si="85"/>
        <v>0.19902935513443865</v>
      </c>
      <c r="AD467" s="115">
        <f t="shared" si="91"/>
        <v>0.61339835492290362</v>
      </c>
      <c r="AE467" s="235">
        <f t="shared" si="86"/>
        <v>1.0099999999999998</v>
      </c>
    </row>
    <row r="468" spans="14:31" x14ac:dyDescent="0.2">
      <c r="N468" s="337">
        <v>38960</v>
      </c>
      <c r="O468" s="116">
        <f>INDEX('Additional data'!$B$2:$B$965,MATCH(DATE(YEAR(N468),MONTH(N468),1),'Additional data'!$A$2:$A$965,0))</f>
        <v>73.05</v>
      </c>
      <c r="P468" s="232">
        <f t="shared" si="87"/>
        <v>4.2911441381967084</v>
      </c>
      <c r="Q468" s="232">
        <f>Q467+LN(1+INDEX('Additional data'!$H$2:$H$1196,MATCH(N468,'Additional data'!$G$2:$G$1196,1))+INDEX('Additional data'!$I$2:$I$1196,MATCH(N468,'Additional data'!$G$2:$G$1196,1)))</f>
        <v>3.8378766251300966</v>
      </c>
      <c r="R468" s="232">
        <f>LN(INDEX(Data!$B$2:$B$497,MATCH(N468,Data!$A$2:$A$497,1)))</f>
        <v>10.32457197491178</v>
      </c>
      <c r="S468" s="116">
        <f>INDEX('Additional data'!$E$2:$E$699,MATCH(DATE(YEAR(N468),MONTH(N468),1),'Additional data'!$D$2:$D$699,0))</f>
        <v>6.19</v>
      </c>
      <c r="T468" s="115">
        <f t="shared" si="88"/>
        <v>-1.8446203212461043E-2</v>
      </c>
      <c r="U468" s="115">
        <f t="shared" si="89"/>
        <v>2.4204688696817467E-2</v>
      </c>
      <c r="V468" s="115">
        <f t="shared" si="92"/>
        <v>3.1257522804834181E-2</v>
      </c>
      <c r="W468" s="116">
        <f t="shared" si="90"/>
        <v>0.14000000000000057</v>
      </c>
      <c r="X468" s="115">
        <f t="shared" si="93"/>
        <v>0.11721851330426869</v>
      </c>
      <c r="Y468" s="115">
        <f t="shared" si="94"/>
        <v>8.0975289045131849E-2</v>
      </c>
      <c r="Z468" s="115">
        <f t="shared" si="83"/>
        <v>0.18389746294293907</v>
      </c>
      <c r="AA468" s="116">
        <f t="shared" si="95"/>
        <v>0.57000000000000028</v>
      </c>
      <c r="AB468" s="115">
        <f t="shared" si="84"/>
        <v>0.97804963808952605</v>
      </c>
      <c r="AC468" s="115">
        <f t="shared" si="85"/>
        <v>0.28606735300282526</v>
      </c>
      <c r="AD468" s="115">
        <f t="shared" si="91"/>
        <v>0.65728649120447002</v>
      </c>
      <c r="AE468" s="235">
        <f t="shared" si="86"/>
        <v>1.2400000000000002</v>
      </c>
    </row>
    <row r="469" spans="14:31" x14ac:dyDescent="0.2">
      <c r="N469" s="337">
        <v>38990</v>
      </c>
      <c r="O469" s="116">
        <f>INDEX('Additional data'!$B$2:$B$965,MATCH(DATE(YEAR(N469),MONTH(N469),1),'Additional data'!$A$2:$A$965,0))</f>
        <v>63.87</v>
      </c>
      <c r="P469" s="232">
        <f t="shared" si="87"/>
        <v>4.1568497675734974</v>
      </c>
      <c r="Q469" s="232">
        <f>Q468+LN(1+INDEX('Additional data'!$H$2:$H$1196,MATCH(N469,'Additional data'!$G$2:$G$1196,1))+INDEX('Additional data'!$I$2:$I$1196,MATCH(N469,'Additional data'!$G$2:$G$1196,1)))</f>
        <v>3.8601272340649162</v>
      </c>
      <c r="R469" s="232">
        <f>LN(INDEX(Data!$B$2:$B$497,MATCH(N469,Data!$A$2:$A$497,1)))</f>
        <v>10.336975818367705</v>
      </c>
      <c r="S469" s="116">
        <f>INDEX('Additional data'!$E$2:$E$699,MATCH(DATE(YEAR(N469),MONTH(N469),1),'Additional data'!$D$2:$D$699,0))</f>
        <v>6.21</v>
      </c>
      <c r="T469" s="115">
        <f t="shared" si="88"/>
        <v>-0.13429437062321092</v>
      </c>
      <c r="U469" s="115">
        <f t="shared" si="89"/>
        <v>2.225060893481956E-2</v>
      </c>
      <c r="V469" s="115">
        <f t="shared" si="92"/>
        <v>1.2403843455924601E-2</v>
      </c>
      <c r="W469" s="116">
        <f t="shared" si="90"/>
        <v>1.9999999999999574E-2</v>
      </c>
      <c r="X469" s="115">
        <f t="shared" si="93"/>
        <v>-2.6268506702030514E-2</v>
      </c>
      <c r="Y469" s="115">
        <f t="shared" si="94"/>
        <v>9.5555391675731904E-2</v>
      </c>
      <c r="Z469" s="115">
        <f t="shared" si="83"/>
        <v>0.14984049524314536</v>
      </c>
      <c r="AA469" s="116">
        <f t="shared" si="95"/>
        <v>0.58999999999999986</v>
      </c>
      <c r="AB469" s="115">
        <f t="shared" si="84"/>
        <v>0.90337929794079752</v>
      </c>
      <c r="AC469" s="115">
        <f t="shared" si="85"/>
        <v>0.40218917754771555</v>
      </c>
      <c r="AD469" s="115">
        <f t="shared" si="91"/>
        <v>0.73879110277426818</v>
      </c>
      <c r="AE469" s="235">
        <f t="shared" si="86"/>
        <v>1.6600000000000001</v>
      </c>
    </row>
    <row r="470" spans="14:31" x14ac:dyDescent="0.2">
      <c r="N470" s="337">
        <v>39021</v>
      </c>
      <c r="O470" s="116">
        <f>INDEX('Additional data'!$B$2:$B$965,MATCH(DATE(YEAR(N470),MONTH(N470),1),'Additional data'!$A$2:$A$965,0))</f>
        <v>58.88</v>
      </c>
      <c r="P470" s="232">
        <f t="shared" si="87"/>
        <v>4.0755014744206211</v>
      </c>
      <c r="Q470" s="232">
        <f>Q469+LN(1+INDEX('Additional data'!$H$2:$H$1196,MATCH(N470,'Additional data'!$G$2:$G$1196,1))+INDEX('Additional data'!$I$2:$I$1196,MATCH(N470,'Additional data'!$G$2:$G$1196,1)))</f>
        <v>3.8957839112729511</v>
      </c>
      <c r="R470" s="232">
        <f>LN(INDEX(Data!$B$2:$B$497,MATCH(N470,Data!$A$2:$A$497,1)))</f>
        <v>10.383903658304517</v>
      </c>
      <c r="S470" s="116">
        <f>INDEX('Additional data'!$E$2:$E$699,MATCH(DATE(YEAR(N470),MONTH(N470),1),'Additional data'!$D$2:$D$699,0))</f>
        <v>6.28</v>
      </c>
      <c r="T470" s="115">
        <f t="shared" si="88"/>
        <v>-8.1348293152876394E-2</v>
      </c>
      <c r="U470" s="115">
        <f t="shared" si="89"/>
        <v>3.5656677208034893E-2</v>
      </c>
      <c r="V470" s="115">
        <f t="shared" si="92"/>
        <v>4.6927839936811822E-2</v>
      </c>
      <c r="W470" s="116">
        <f t="shared" si="90"/>
        <v>7.0000000000000284E-2</v>
      </c>
      <c r="X470" s="115">
        <f t="shared" si="93"/>
        <v>-5.7582916117410399E-2</v>
      </c>
      <c r="Y470" s="115">
        <f t="shared" si="94"/>
        <v>0.14907058718507971</v>
      </c>
      <c r="Z470" s="115">
        <f t="shared" si="83"/>
        <v>0.2358343634610236</v>
      </c>
      <c r="AA470" s="116">
        <f t="shared" si="95"/>
        <v>0.65000000000000036</v>
      </c>
      <c r="AB470" s="115">
        <f t="shared" si="84"/>
        <v>0.97495883651428494</v>
      </c>
      <c r="AC470" s="115">
        <f t="shared" si="85"/>
        <v>0.41120392380932946</v>
      </c>
      <c r="AD470" s="115">
        <f t="shared" si="91"/>
        <v>0.71995355570125419</v>
      </c>
      <c r="AE470" s="235">
        <f t="shared" si="86"/>
        <v>1.92</v>
      </c>
    </row>
    <row r="471" spans="14:31" x14ac:dyDescent="0.2">
      <c r="N471" s="337">
        <v>39051</v>
      </c>
      <c r="O471" s="116">
        <f>INDEX('Additional data'!$B$2:$B$965,MATCH(DATE(YEAR(N471),MONTH(N471),1),'Additional data'!$A$2:$A$965,0))</f>
        <v>59.37</v>
      </c>
      <c r="P471" s="232">
        <f t="shared" si="87"/>
        <v>4.0837890482825836</v>
      </c>
      <c r="Q471" s="232">
        <f>Q470+LN(1+INDEX('Additional data'!$H$2:$H$1196,MATCH(N471,'Additional data'!$G$2:$G$1196,1))+INDEX('Additional data'!$I$2:$I$1196,MATCH(N471,'Additional data'!$G$2:$G$1196,1)))</f>
        <v>3.9167623176581428</v>
      </c>
      <c r="R471" s="232">
        <f>LN(INDEX(Data!$B$2:$B$497,MATCH(N471,Data!$A$2:$A$497,1)))</f>
        <v>10.40836115813296</v>
      </c>
      <c r="S471" s="116">
        <f>INDEX('Additional data'!$E$2:$E$699,MATCH(DATE(YEAR(N471),MONTH(N471),1),'Additional data'!$D$2:$D$699,0))</f>
        <v>6.37</v>
      </c>
      <c r="T471" s="115">
        <f t="shared" si="88"/>
        <v>8.2875738619625494E-3</v>
      </c>
      <c r="U471" s="115">
        <f t="shared" si="89"/>
        <v>2.0978406385191661E-2</v>
      </c>
      <c r="V471" s="115">
        <f t="shared" si="92"/>
        <v>2.4457499828443474E-2</v>
      </c>
      <c r="W471" s="116">
        <f t="shared" si="90"/>
        <v>8.9999999999999858E-2</v>
      </c>
      <c r="X471" s="115">
        <f t="shared" si="93"/>
        <v>1.8186954926137311E-2</v>
      </c>
      <c r="Y471" s="115">
        <f t="shared" si="94"/>
        <v>0.13159780719601866</v>
      </c>
      <c r="Z471" s="115">
        <f t="shared" si="83"/>
        <v>0.2172440970265086</v>
      </c>
      <c r="AA471" s="116">
        <f t="shared" si="95"/>
        <v>0.74000000000000021</v>
      </c>
      <c r="AB471" s="115">
        <f t="shared" si="84"/>
        <v>1.1046944158816157</v>
      </c>
      <c r="AC471" s="115">
        <f t="shared" si="85"/>
        <v>0.35800293202026978</v>
      </c>
      <c r="AD471" s="115">
        <f t="shared" si="91"/>
        <v>0.71121891571739582</v>
      </c>
      <c r="AE471" s="235">
        <f t="shared" si="86"/>
        <v>2.09</v>
      </c>
    </row>
    <row r="472" spans="14:31" x14ac:dyDescent="0.2">
      <c r="N472" s="337">
        <v>39082</v>
      </c>
      <c r="O472" s="116">
        <f>INDEX('Additional data'!$B$2:$B$965,MATCH(DATE(YEAR(N472),MONTH(N472),1),'Additional data'!$A$2:$A$965,0))</f>
        <v>62.03</v>
      </c>
      <c r="P472" s="232">
        <f t="shared" si="87"/>
        <v>4.1276181389850262</v>
      </c>
      <c r="Q472" s="232">
        <f>Q471+LN(1+INDEX('Additional data'!$H$2:$H$1196,MATCH(N472,'Additional data'!$G$2:$G$1196,1))+INDEX('Additional data'!$I$2:$I$1196,MATCH(N472,'Additional data'!$G$2:$G$1196,1)))</f>
        <v>3.9291848376566998</v>
      </c>
      <c r="R472" s="232">
        <f>LN(INDEX(Data!$B$2:$B$497,MATCH(N472,Data!$A$2:$A$497,1)))</f>
        <v>10.443897978205669</v>
      </c>
      <c r="S472" s="116">
        <f>INDEX('Additional data'!$E$2:$E$699,MATCH(DATE(YEAR(N472),MONTH(N472),1),'Additional data'!$D$2:$D$699,0))</f>
        <v>6.39</v>
      </c>
      <c r="T472" s="115">
        <f t="shared" si="88"/>
        <v>4.3829090702442564E-2</v>
      </c>
      <c r="U472" s="115">
        <f t="shared" si="89"/>
        <v>1.2422519998557036E-2</v>
      </c>
      <c r="V472" s="115">
        <f t="shared" si="92"/>
        <v>3.5536820072708863E-2</v>
      </c>
      <c r="W472" s="116">
        <f t="shared" si="90"/>
        <v>1.9999999999999574E-2</v>
      </c>
      <c r="X472" s="115">
        <f t="shared" si="93"/>
        <v>4.2818989606456803E-2</v>
      </c>
      <c r="Y472" s="115">
        <f t="shared" si="94"/>
        <v>0.14322064702401116</v>
      </c>
      <c r="Z472" s="115">
        <f t="shared" si="83"/>
        <v>0.22286812796209432</v>
      </c>
      <c r="AA472" s="116">
        <f t="shared" si="95"/>
        <v>0.75999999999999979</v>
      </c>
      <c r="AB472" s="115">
        <f t="shared" si="84"/>
        <v>1.1659598457647866</v>
      </c>
      <c r="AC472" s="115">
        <f t="shared" si="85"/>
        <v>0.35297853841510607</v>
      </c>
      <c r="AD472" s="115">
        <f t="shared" si="91"/>
        <v>0.72051256718865631</v>
      </c>
      <c r="AE472" s="235">
        <f t="shared" si="86"/>
        <v>2.1399999999999997</v>
      </c>
    </row>
    <row r="473" spans="14:31" x14ac:dyDescent="0.2">
      <c r="N473" s="337">
        <v>39113</v>
      </c>
      <c r="O473" s="116">
        <f>INDEX('Additional data'!$B$2:$B$965,MATCH(DATE(YEAR(N473),MONTH(N473),1),'Additional data'!$A$2:$A$965,0))</f>
        <v>54.57</v>
      </c>
      <c r="P473" s="232">
        <f t="shared" si="87"/>
        <v>3.9994842811981406</v>
      </c>
      <c r="Q473" s="232">
        <f>Q472+LN(1+INDEX('Additional data'!$H$2:$H$1196,MATCH(N473,'Additional data'!$G$2:$G$1196,1))+INDEX('Additional data'!$I$2:$I$1196,MATCH(N473,'Additional data'!$G$2:$G$1196,1)))</f>
        <v>3.9472212001427982</v>
      </c>
      <c r="R473" s="232">
        <f>LN(INDEX(Data!$B$2:$B$497,MATCH(N473,Data!$A$2:$A$497,1)))</f>
        <v>10.463838670050476</v>
      </c>
      <c r="S473" s="116">
        <f>INDEX('Additional data'!$E$2:$E$699,MATCH(DATE(YEAR(N473),MONTH(N473),1),'Additional data'!$D$2:$D$699,0))</f>
        <v>6.43</v>
      </c>
      <c r="T473" s="115">
        <f t="shared" si="88"/>
        <v>-0.12813385778688557</v>
      </c>
      <c r="U473" s="115">
        <f t="shared" si="89"/>
        <v>1.8036362486098412E-2</v>
      </c>
      <c r="V473" s="115">
        <f t="shared" si="92"/>
        <v>1.994069184480729E-2</v>
      </c>
      <c r="W473" s="116">
        <f t="shared" si="90"/>
        <v>4.0000000000000036E-2</v>
      </c>
      <c r="X473" s="115">
        <f t="shared" si="93"/>
        <v>-0.18271852154564483</v>
      </c>
      <c r="Y473" s="115">
        <f t="shared" si="94"/>
        <v>0.1280156757303077</v>
      </c>
      <c r="Z473" s="115">
        <f t="shared" si="83"/>
        <v>0.20700227391971815</v>
      </c>
      <c r="AA473" s="116">
        <f t="shared" si="95"/>
        <v>0.79999999999999982</v>
      </c>
      <c r="AB473" s="115">
        <f t="shared" si="84"/>
        <v>1.0203896487971726</v>
      </c>
      <c r="AC473" s="115">
        <f t="shared" si="85"/>
        <v>0.38410014044985985</v>
      </c>
      <c r="AD473" s="115">
        <f t="shared" si="91"/>
        <v>0.72737116184780248</v>
      </c>
      <c r="AE473" s="235">
        <f t="shared" si="86"/>
        <v>2.17</v>
      </c>
    </row>
    <row r="474" spans="14:31" x14ac:dyDescent="0.2">
      <c r="N474" s="337">
        <v>39141</v>
      </c>
      <c r="O474" s="116">
        <f>INDEX('Additional data'!$B$2:$B$965,MATCH(DATE(YEAR(N474),MONTH(N474),1),'Additional data'!$A$2:$A$965,0))</f>
        <v>59.26</v>
      </c>
      <c r="P474" s="232">
        <f t="shared" si="87"/>
        <v>4.0819345421454187</v>
      </c>
      <c r="Q474" s="232">
        <f>Q473+LN(1+INDEX('Additional data'!$H$2:$H$1196,MATCH(N474,'Additional data'!$G$2:$G$1196,1))+INDEX('Additional data'!$I$2:$I$1196,MATCH(N474,'Additional data'!$G$2:$G$1196,1)))</f>
        <v>3.9312950495925389</v>
      </c>
      <c r="R474" s="232">
        <f>LN(INDEX(Data!$B$2:$B$497,MATCH(N474,Data!$A$2:$A$497,1)))</f>
        <v>10.479641822708491</v>
      </c>
      <c r="S474" s="116">
        <f>INDEX('Additional data'!$E$2:$E$699,MATCH(DATE(YEAR(N474),MONTH(N474),1),'Additional data'!$D$2:$D$699,0))</f>
        <v>6.37</v>
      </c>
      <c r="T474" s="115">
        <f t="shared" si="88"/>
        <v>8.2450260947278142E-2</v>
      </c>
      <c r="U474" s="115">
        <f t="shared" si="89"/>
        <v>-1.5926150550259255E-2</v>
      </c>
      <c r="V474" s="115">
        <f t="shared" si="92"/>
        <v>1.5803152658014241E-2</v>
      </c>
      <c r="W474" s="116">
        <f t="shared" si="90"/>
        <v>-5.9999999999999609E-2</v>
      </c>
      <c r="X474" s="115">
        <f t="shared" si="93"/>
        <v>-3.9214222828732659E-2</v>
      </c>
      <c r="Y474" s="115">
        <f t="shared" si="94"/>
        <v>0.11168960515872151</v>
      </c>
      <c r="Z474" s="115">
        <f t="shared" si="83"/>
        <v>0.21582649594898662</v>
      </c>
      <c r="AA474" s="116">
        <f t="shared" si="95"/>
        <v>0.75999999999999979</v>
      </c>
      <c r="AB474" s="115">
        <f t="shared" si="84"/>
        <v>1.0498703393440376</v>
      </c>
      <c r="AC474" s="115">
        <f t="shared" si="85"/>
        <v>0.39011289741835453</v>
      </c>
      <c r="AD474" s="115">
        <f t="shared" si="91"/>
        <v>0.75381203935045171</v>
      </c>
      <c r="AE474" s="235">
        <f t="shared" si="86"/>
        <v>2.0600000000000005</v>
      </c>
    </row>
    <row r="475" spans="14:31" x14ac:dyDescent="0.2">
      <c r="N475" s="337">
        <v>39172</v>
      </c>
      <c r="O475" s="116">
        <f>INDEX('Additional data'!$B$2:$B$965,MATCH(DATE(YEAR(N475),MONTH(N475),1),'Additional data'!$A$2:$A$965,0))</f>
        <v>60.56</v>
      </c>
      <c r="P475" s="232">
        <f t="shared" si="87"/>
        <v>4.1036346091291938</v>
      </c>
      <c r="Q475" s="232">
        <f>Q474+LN(1+INDEX('Additional data'!$H$2:$H$1196,MATCH(N475,'Additional data'!$G$2:$G$1196,1))+INDEX('Additional data'!$I$2:$I$1196,MATCH(N475,'Additional data'!$G$2:$G$1196,1)))</f>
        <v>3.9426305592562847</v>
      </c>
      <c r="R475" s="232">
        <f>LN(INDEX(Data!$B$2:$B$497,MATCH(N475,Data!$A$2:$A$497,1)))</f>
        <v>10.512358131379138</v>
      </c>
      <c r="S475" s="116">
        <f>INDEX('Additional data'!$E$2:$E$699,MATCH(DATE(YEAR(N475),MONTH(N475),1),'Additional data'!$D$2:$D$699,0))</f>
        <v>6.43</v>
      </c>
      <c r="T475" s="115">
        <f t="shared" si="88"/>
        <v>2.1700066983775024E-2</v>
      </c>
      <c r="U475" s="115">
        <f t="shared" si="89"/>
        <v>1.1335509663745746E-2</v>
      </c>
      <c r="V475" s="115">
        <f t="shared" si="92"/>
        <v>3.271630867064701E-2</v>
      </c>
      <c r="W475" s="116">
        <f t="shared" si="90"/>
        <v>5.9999999999999609E-2</v>
      </c>
      <c r="X475" s="115">
        <f t="shared" si="93"/>
        <v>-3.7911554577201301E-2</v>
      </c>
      <c r="Y475" s="115">
        <f t="shared" si="94"/>
        <v>0.10479234656140735</v>
      </c>
      <c r="Z475" s="115">
        <f t="shared" si="83"/>
        <v>0.201595343337722</v>
      </c>
      <c r="AA475" s="116">
        <f t="shared" si="95"/>
        <v>0.8199999999999994</v>
      </c>
      <c r="AB475" s="115">
        <f t="shared" si="84"/>
        <v>0.90823214044663514</v>
      </c>
      <c r="AC475" s="115">
        <f t="shared" si="85"/>
        <v>0.35867631523823107</v>
      </c>
      <c r="AD475" s="115">
        <f t="shared" si="91"/>
        <v>0.7787233352278804</v>
      </c>
      <c r="AE475" s="235">
        <f t="shared" si="86"/>
        <v>1.9699999999999998</v>
      </c>
    </row>
    <row r="476" spans="14:31" x14ac:dyDescent="0.2">
      <c r="N476" s="337">
        <v>39202</v>
      </c>
      <c r="O476" s="116">
        <f>INDEX('Additional data'!$B$2:$B$965,MATCH(DATE(YEAR(N476),MONTH(N476),1),'Additional data'!$A$2:$A$965,0))</f>
        <v>63.97</v>
      </c>
      <c r="P476" s="232">
        <f t="shared" si="87"/>
        <v>4.1584142234620458</v>
      </c>
      <c r="Q476" s="232">
        <f>Q475+LN(1+INDEX('Additional data'!$H$2:$H$1196,MATCH(N476,'Additional data'!$G$2:$G$1196,1))+INDEX('Additional data'!$I$2:$I$1196,MATCH(N476,'Additional data'!$G$2:$G$1196,1)))</f>
        <v>3.9811779688685234</v>
      </c>
      <c r="R476" s="232">
        <f>LN(INDEX(Data!$B$2:$B$497,MATCH(N476,Data!$A$2:$A$497,1)))</f>
        <v>10.542360975220804</v>
      </c>
      <c r="S476" s="116">
        <f>INDEX('Additional data'!$E$2:$E$699,MATCH(DATE(YEAR(N476),MONTH(N476),1),'Additional data'!$D$2:$D$699,0))</f>
        <v>6.48</v>
      </c>
      <c r="T476" s="115">
        <f t="shared" si="88"/>
        <v>5.4779614332852056E-2</v>
      </c>
      <c r="U476" s="115">
        <f t="shared" si="89"/>
        <v>3.8547409612238681E-2</v>
      </c>
      <c r="V476" s="115">
        <f t="shared" si="92"/>
        <v>3.0002843841666405E-2</v>
      </c>
      <c r="W476" s="116">
        <f t="shared" si="90"/>
        <v>5.0000000000000711E-2</v>
      </c>
      <c r="X476" s="115">
        <f t="shared" si="93"/>
        <v>-8.5642611988381745E-2</v>
      </c>
      <c r="Y476" s="115">
        <f t="shared" si="94"/>
        <v>0.1324987329957712</v>
      </c>
      <c r="Z476" s="115">
        <f t="shared" ref="Z476:Z539" si="96">R476-R464</f>
        <v>0.20783709620334712</v>
      </c>
      <c r="AA476" s="116">
        <f t="shared" si="95"/>
        <v>0.79</v>
      </c>
      <c r="AB476" s="115">
        <f t="shared" si="84"/>
        <v>0.88998661976459736</v>
      </c>
      <c r="AC476" s="115">
        <f t="shared" si="85"/>
        <v>0.4491487977153894</v>
      </c>
      <c r="AD476" s="115">
        <f t="shared" si="91"/>
        <v>0.82665103672602847</v>
      </c>
      <c r="AE476" s="235">
        <f t="shared" si="86"/>
        <v>1.8900000000000006</v>
      </c>
    </row>
    <row r="477" spans="14:31" x14ac:dyDescent="0.2">
      <c r="N477" s="337">
        <v>39233</v>
      </c>
      <c r="O477" s="116">
        <f>INDEX('Additional data'!$B$2:$B$965,MATCH(DATE(YEAR(N477),MONTH(N477),1),'Additional data'!$A$2:$A$965,0))</f>
        <v>63.46</v>
      </c>
      <c r="P477" s="232">
        <f t="shared" si="87"/>
        <v>4.1504097861550493</v>
      </c>
      <c r="Q477" s="232">
        <f>Q476+LN(1+INDEX('Additional data'!$H$2:$H$1196,MATCH(N477,'Additional data'!$G$2:$G$1196,1))+INDEX('Additional data'!$I$2:$I$1196,MATCH(N477,'Additional data'!$G$2:$G$1196,1)))</f>
        <v>4.0169311385743409</v>
      </c>
      <c r="R477" s="232">
        <f>LN(INDEX(Data!$B$2:$B$497,MATCH(N477,Data!$A$2:$A$497,1)))</f>
        <v>10.573781091686214</v>
      </c>
      <c r="S477" s="116">
        <f>INDEX('Additional data'!$E$2:$E$699,MATCH(DATE(YEAR(N477),MONTH(N477),1),'Additional data'!$D$2:$D$699,0))</f>
        <v>6.37</v>
      </c>
      <c r="T477" s="115">
        <f t="shared" si="88"/>
        <v>-8.0044373069965147E-3</v>
      </c>
      <c r="U477" s="115">
        <f t="shared" si="89"/>
        <v>3.5753169705817545E-2</v>
      </c>
      <c r="V477" s="115">
        <f t="shared" si="92"/>
        <v>3.142011646541043E-2</v>
      </c>
      <c r="W477" s="116">
        <f t="shared" si="90"/>
        <v>-0.11000000000000032</v>
      </c>
      <c r="X477" s="115">
        <f t="shared" si="93"/>
        <v>-0.11142466319042654</v>
      </c>
      <c r="Y477" s="115">
        <f t="shared" si="94"/>
        <v>0.20005221525138639</v>
      </c>
      <c r="Z477" s="115">
        <f t="shared" si="96"/>
        <v>0.28359431394334145</v>
      </c>
      <c r="AA477" s="116">
        <f t="shared" si="95"/>
        <v>0.5</v>
      </c>
      <c r="AB477" s="115">
        <f t="shared" si="84"/>
        <v>0.85383245362299665</v>
      </c>
      <c r="AC477" s="115">
        <f t="shared" si="85"/>
        <v>0.49717699829681949</v>
      </c>
      <c r="AD477" s="115">
        <f t="shared" si="91"/>
        <v>0.84899577360019229</v>
      </c>
      <c r="AE477" s="235">
        <f t="shared" si="86"/>
        <v>1.5300000000000002</v>
      </c>
    </row>
    <row r="478" spans="14:31" x14ac:dyDescent="0.2">
      <c r="N478" s="337">
        <v>39263</v>
      </c>
      <c r="O478" s="116">
        <f>INDEX('Additional data'!$B$2:$B$965,MATCH(DATE(YEAR(N478),MONTH(N478),1),'Additional data'!$A$2:$A$965,0))</f>
        <v>67.48</v>
      </c>
      <c r="P478" s="232">
        <f t="shared" si="87"/>
        <v>4.2118312576777672</v>
      </c>
      <c r="Q478" s="232">
        <f>Q477+LN(1+INDEX('Additional data'!$H$2:$H$1196,MATCH(N478,'Additional data'!$G$2:$G$1196,1))+INDEX('Additional data'!$I$2:$I$1196,MATCH(N478,'Additional data'!$G$2:$G$1196,1)))</f>
        <v>4.0012081781091045</v>
      </c>
      <c r="R478" s="232">
        <f>LN(INDEX(Data!$B$2:$B$497,MATCH(N478,Data!$A$2:$A$497,1)))</f>
        <v>10.573105427351836</v>
      </c>
      <c r="S478" s="116">
        <f>INDEX('Additional data'!$E$2:$E$699,MATCH(DATE(YEAR(N478),MONTH(N478),1),'Additional data'!$D$2:$D$699,0))</f>
        <v>6.42</v>
      </c>
      <c r="T478" s="115">
        <f t="shared" si="88"/>
        <v>6.142147152271793E-2</v>
      </c>
      <c r="U478" s="115">
        <f t="shared" si="89"/>
        <v>-1.5722960465236469E-2</v>
      </c>
      <c r="V478" s="115">
        <f t="shared" si="92"/>
        <v>-6.7566433437882267E-4</v>
      </c>
      <c r="W478" s="116">
        <f t="shared" si="90"/>
        <v>4.9999999999999822E-2</v>
      </c>
      <c r="X478" s="115">
        <f t="shared" si="93"/>
        <v>-5.0285080323556386E-2</v>
      </c>
      <c r="Y478" s="115">
        <f t="shared" si="94"/>
        <v>0.18382937974449876</v>
      </c>
      <c r="Z478" s="115">
        <f t="shared" si="96"/>
        <v>0.26452600301821683</v>
      </c>
      <c r="AA478" s="116">
        <f t="shared" si="95"/>
        <v>0.45999999999999996</v>
      </c>
      <c r="AB478" s="115">
        <f t="shared" si="84"/>
        <v>0.97236879920117802</v>
      </c>
      <c r="AC478" s="115">
        <f t="shared" si="85"/>
        <v>0.55510057799988166</v>
      </c>
      <c r="AD478" s="115">
        <f t="shared" si="91"/>
        <v>0.8933086383232034</v>
      </c>
      <c r="AE478" s="235">
        <f t="shared" si="86"/>
        <v>1.3499999999999996</v>
      </c>
    </row>
    <row r="479" spans="14:31" x14ac:dyDescent="0.2">
      <c r="N479" s="337">
        <v>39294</v>
      </c>
      <c r="O479" s="116">
        <f>INDEX('Additional data'!$B$2:$B$965,MATCH(DATE(YEAR(N479),MONTH(N479),1),'Additional data'!$A$2:$A$965,0))</f>
        <v>74.180000000000007</v>
      </c>
      <c r="P479" s="232">
        <f t="shared" si="87"/>
        <v>4.3064945720614451</v>
      </c>
      <c r="Q479" s="232">
        <f>Q478+LN(1+INDEX('Additional data'!$H$2:$H$1196,MATCH(N479,'Additional data'!$G$2:$G$1196,1))+INDEX('Additional data'!$I$2:$I$1196,MATCH(N479,'Additional data'!$G$2:$G$1196,1)))</f>
        <v>3.9674445479562954</v>
      </c>
      <c r="R479" s="232">
        <f>LN(INDEX(Data!$B$2:$B$497,MATCH(N479,Data!$A$2:$A$497,1)))</f>
        <v>10.553485579715938</v>
      </c>
      <c r="S479" s="116">
        <f>INDEX('Additional data'!$E$2:$E$699,MATCH(DATE(YEAR(N479),MONTH(N479),1),'Additional data'!$D$2:$D$699,0))</f>
        <v>6.47</v>
      </c>
      <c r="T479" s="115">
        <f t="shared" si="88"/>
        <v>9.4663314383677921E-2</v>
      </c>
      <c r="U479" s="115">
        <f t="shared" si="89"/>
        <v>-3.3763630152809032E-2</v>
      </c>
      <c r="V479" s="115">
        <f t="shared" si="92"/>
        <v>-1.9619847635897969E-2</v>
      </c>
      <c r="W479" s="116">
        <f t="shared" si="90"/>
        <v>4.9999999999999822E-2</v>
      </c>
      <c r="X479" s="115">
        <f t="shared" si="93"/>
        <v>-3.0957693477242643E-3</v>
      </c>
      <c r="Y479" s="115">
        <f t="shared" si="94"/>
        <v>0.15377261152301624</v>
      </c>
      <c r="Z479" s="115">
        <f t="shared" si="96"/>
        <v>0.26017112760899153</v>
      </c>
      <c r="AA479" s="116">
        <f t="shared" si="95"/>
        <v>0.41999999999999993</v>
      </c>
      <c r="AB479" s="115">
        <f t="shared" si="84"/>
        <v>1.012882401079227</v>
      </c>
      <c r="AC479" s="115">
        <f t="shared" si="85"/>
        <v>0.60515343394018339</v>
      </c>
      <c r="AD479" s="115">
        <f t="shared" si="91"/>
        <v>0.91565536787584101</v>
      </c>
      <c r="AE479" s="235">
        <f t="shared" si="86"/>
        <v>1.4899999999999993</v>
      </c>
    </row>
    <row r="480" spans="14:31" x14ac:dyDescent="0.2">
      <c r="N480" s="337">
        <v>39325</v>
      </c>
      <c r="O480" s="116">
        <f>INDEX('Additional data'!$B$2:$B$965,MATCH(DATE(YEAR(N480),MONTH(N480),1),'Additional data'!$A$2:$A$965,0))</f>
        <v>72.39</v>
      </c>
      <c r="P480" s="232">
        <f t="shared" si="87"/>
        <v>4.2820681683050497</v>
      </c>
      <c r="Q480" s="232">
        <f>Q479+LN(1+INDEX('Additional data'!$H$2:$H$1196,MATCH(N480,'Additional data'!$G$2:$G$1196,1))+INDEX('Additional data'!$I$2:$I$1196,MATCH(N480,'Additional data'!$G$2:$G$1196,1)))</f>
        <v>3.9809528979810875</v>
      </c>
      <c r="R480" s="232">
        <f>LN(INDEX(Data!$B$2:$B$497,MATCH(N480,Data!$A$2:$A$497,1)))</f>
        <v>10.570317759445311</v>
      </c>
      <c r="S480" s="116">
        <f>INDEX('Additional data'!$E$2:$E$699,MATCH(DATE(YEAR(N480),MONTH(N480),1),'Additional data'!$D$2:$D$699,0))</f>
        <v>6.75</v>
      </c>
      <c r="T480" s="115">
        <f t="shared" si="88"/>
        <v>-2.4426403756395487E-2</v>
      </c>
      <c r="U480" s="115">
        <f t="shared" si="89"/>
        <v>1.3508350024792115E-2</v>
      </c>
      <c r="V480" s="115">
        <f t="shared" si="92"/>
        <v>1.6832179729373564E-2</v>
      </c>
      <c r="W480" s="116">
        <f t="shared" si="90"/>
        <v>0.28000000000000025</v>
      </c>
      <c r="X480" s="115">
        <f t="shared" si="93"/>
        <v>-9.0759698916587084E-3</v>
      </c>
      <c r="Y480" s="115">
        <f t="shared" si="94"/>
        <v>0.14307627285099089</v>
      </c>
      <c r="Z480" s="115">
        <f t="shared" si="96"/>
        <v>0.24574578453353091</v>
      </c>
      <c r="AA480" s="116">
        <f t="shared" si="95"/>
        <v>0.55999999999999961</v>
      </c>
      <c r="AB480" s="115">
        <f t="shared" si="84"/>
        <v>0.93638349657315301</v>
      </c>
      <c r="AC480" s="115">
        <f t="shared" si="85"/>
        <v>0.61228217700093657</v>
      </c>
      <c r="AD480" s="115">
        <f t="shared" si="91"/>
        <v>0.9145665086126602</v>
      </c>
      <c r="AE480" s="235">
        <f t="shared" si="86"/>
        <v>1.79</v>
      </c>
    </row>
    <row r="481" spans="14:31" x14ac:dyDescent="0.2">
      <c r="N481" s="337">
        <v>39355</v>
      </c>
      <c r="O481" s="116">
        <f>INDEX('Additional data'!$B$2:$B$965,MATCH(DATE(YEAR(N481),MONTH(N481),1),'Additional data'!$A$2:$A$965,0))</f>
        <v>79.930000000000007</v>
      </c>
      <c r="P481" s="232">
        <f t="shared" si="87"/>
        <v>4.3811512516379274</v>
      </c>
      <c r="Q481" s="232">
        <f>Q480+LN(1+INDEX('Additional data'!$H$2:$H$1196,MATCH(N481,'Additional data'!$G$2:$G$1196,1))+INDEX('Additional data'!$I$2:$I$1196,MATCH(N481,'Additional data'!$G$2:$G$1196,1)))</f>
        <v>4.0157407234667515</v>
      </c>
      <c r="R481" s="232">
        <f>LN(INDEX(Data!$B$2:$B$497,MATCH(N481,Data!$A$2:$A$497,1)))</f>
        <v>10.626481988876526</v>
      </c>
      <c r="S481" s="116">
        <f>INDEX('Additional data'!$E$2:$E$699,MATCH(DATE(YEAR(N481),MONTH(N481),1),'Additional data'!$D$2:$D$699,0))</f>
        <v>6.94</v>
      </c>
      <c r="T481" s="115">
        <f t="shared" si="88"/>
        <v>9.9083083332877742E-2</v>
      </c>
      <c r="U481" s="115">
        <f t="shared" si="89"/>
        <v>3.4787825485663948E-2</v>
      </c>
      <c r="V481" s="115">
        <f t="shared" si="92"/>
        <v>5.6164229431214352E-2</v>
      </c>
      <c r="W481" s="116">
        <f t="shared" si="90"/>
        <v>0.19000000000000039</v>
      </c>
      <c r="X481" s="115">
        <f t="shared" si="93"/>
        <v>0.22430148406442996</v>
      </c>
      <c r="Y481" s="115">
        <f t="shared" si="94"/>
        <v>0.15561348940183528</v>
      </c>
      <c r="Z481" s="115">
        <f t="shared" si="96"/>
        <v>0.28950617050882066</v>
      </c>
      <c r="AA481" s="116">
        <f t="shared" si="95"/>
        <v>0.73000000000000043</v>
      </c>
      <c r="AB481" s="115">
        <f t="shared" si="84"/>
        <v>0.9910148173351967</v>
      </c>
      <c r="AC481" s="115">
        <f t="shared" si="85"/>
        <v>0.75465521316653827</v>
      </c>
      <c r="AD481" s="115">
        <f t="shared" si="91"/>
        <v>1.0124894177857424</v>
      </c>
      <c r="AE481" s="235">
        <f t="shared" si="86"/>
        <v>2.0200000000000005</v>
      </c>
    </row>
    <row r="482" spans="14:31" x14ac:dyDescent="0.2">
      <c r="N482" s="337">
        <v>39386</v>
      </c>
      <c r="O482" s="116">
        <f>INDEX('Additional data'!$B$2:$B$965,MATCH(DATE(YEAR(N482),MONTH(N482),1),'Additional data'!$A$2:$A$965,0))</f>
        <v>86.2</v>
      </c>
      <c r="P482" s="232">
        <f t="shared" si="87"/>
        <v>4.4566701776696478</v>
      </c>
      <c r="Q482" s="232">
        <f>Q481+LN(1+INDEX('Additional data'!$H$2:$H$1196,MATCH(N482,'Additional data'!$G$2:$G$1196,1))+INDEX('Additional data'!$I$2:$I$1196,MATCH(N482,'Additional data'!$G$2:$G$1196,1)))</f>
        <v>4.0366212010461071</v>
      </c>
      <c r="R482" s="232">
        <f>LN(INDEX(Data!$B$2:$B$497,MATCH(N482,Data!$A$2:$A$497,1)))</f>
        <v>10.656751155212678</v>
      </c>
      <c r="S482" s="116">
        <f>INDEX('Additional data'!$E$2:$E$699,MATCH(DATE(YEAR(N482),MONTH(N482),1),'Additional data'!$D$2:$D$699,0))</f>
        <v>6.91</v>
      </c>
      <c r="T482" s="115">
        <f t="shared" si="88"/>
        <v>7.551892603172039E-2</v>
      </c>
      <c r="U482" s="115">
        <f t="shared" si="89"/>
        <v>2.0880477579355627E-2</v>
      </c>
      <c r="V482" s="115">
        <f t="shared" si="92"/>
        <v>3.0269166336152509E-2</v>
      </c>
      <c r="W482" s="116">
        <f t="shared" si="90"/>
        <v>-3.0000000000000249E-2</v>
      </c>
      <c r="X482" s="115">
        <f t="shared" si="93"/>
        <v>0.38116870324902674</v>
      </c>
      <c r="Y482" s="115">
        <f t="shared" si="94"/>
        <v>0.14083728977315602</v>
      </c>
      <c r="Z482" s="115">
        <f t="shared" si="96"/>
        <v>0.27284749690816135</v>
      </c>
      <c r="AA482" s="116">
        <f t="shared" si="95"/>
        <v>0.62999999999999989</v>
      </c>
      <c r="AB482" s="115">
        <f t="shared" si="84"/>
        <v>1.0945601847155393</v>
      </c>
      <c r="AC482" s="115">
        <f t="shared" si="85"/>
        <v>0.69875985194384427</v>
      </c>
      <c r="AD482" s="115">
        <f t="shared" si="91"/>
        <v>1.0174352244306988</v>
      </c>
      <c r="AE482" s="235">
        <f t="shared" si="86"/>
        <v>2.0099999999999998</v>
      </c>
    </row>
    <row r="483" spans="14:31" x14ac:dyDescent="0.2">
      <c r="N483" s="337">
        <v>39416</v>
      </c>
      <c r="O483" s="116">
        <f>INDEX('Additional data'!$B$2:$B$965,MATCH(DATE(YEAR(N483),MONTH(N483),1),'Additional data'!$A$2:$A$965,0))</f>
        <v>94.62</v>
      </c>
      <c r="P483" s="232">
        <f t="shared" si="87"/>
        <v>4.5498688702030021</v>
      </c>
      <c r="Q483" s="232">
        <f>Q482+LN(1+INDEX('Additional data'!$H$2:$H$1196,MATCH(N483,'Additional data'!$G$2:$G$1196,1))+INDEX('Additional data'!$I$2:$I$1196,MATCH(N483,'Additional data'!$G$2:$G$1196,1)))</f>
        <v>3.9909960230198314</v>
      </c>
      <c r="R483" s="232">
        <f>LN(INDEX(Data!$B$2:$B$497,MATCH(N483,Data!$A$2:$A$497,1)))</f>
        <v>10.632923676848723</v>
      </c>
      <c r="S483" s="116">
        <f>INDEX('Additional data'!$E$2:$E$699,MATCH(DATE(YEAR(N483),MONTH(N483),1),'Additional data'!$D$2:$D$699,0))</f>
        <v>7.15</v>
      </c>
      <c r="T483" s="115">
        <f t="shared" si="88"/>
        <v>9.3198692533354333E-2</v>
      </c>
      <c r="U483" s="115">
        <f t="shared" si="89"/>
        <v>-4.5625178026275748E-2</v>
      </c>
      <c r="V483" s="115">
        <f t="shared" si="92"/>
        <v>-2.3827478363955379E-2</v>
      </c>
      <c r="W483" s="116">
        <f t="shared" si="90"/>
        <v>0.24000000000000021</v>
      </c>
      <c r="X483" s="115">
        <f t="shared" si="93"/>
        <v>0.46607982192041852</v>
      </c>
      <c r="Y483" s="115">
        <f t="shared" si="94"/>
        <v>7.4233705361688607E-2</v>
      </c>
      <c r="Z483" s="115">
        <f t="shared" si="96"/>
        <v>0.22456251871576249</v>
      </c>
      <c r="AA483" s="116">
        <f t="shared" si="95"/>
        <v>0.78000000000000025</v>
      </c>
      <c r="AB483" s="115">
        <f t="shared" si="84"/>
        <v>1.2814412665055537</v>
      </c>
      <c r="AC483" s="115">
        <f t="shared" si="85"/>
        <v>0.59411133346810718</v>
      </c>
      <c r="AD483" s="115">
        <f t="shared" si="91"/>
        <v>0.97901053872461041</v>
      </c>
      <c r="AE483" s="235">
        <f t="shared" si="86"/>
        <v>2.3100000000000005</v>
      </c>
    </row>
    <row r="484" spans="14:31" x14ac:dyDescent="0.2">
      <c r="N484" s="337">
        <v>39447</v>
      </c>
      <c r="O484" s="116">
        <f>INDEX('Additional data'!$B$2:$B$965,MATCH(DATE(YEAR(N484),MONTH(N484),1),'Additional data'!$A$2:$A$965,0))</f>
        <v>91.73</v>
      </c>
      <c r="P484" s="232">
        <f t="shared" si="87"/>
        <v>4.5188494795215641</v>
      </c>
      <c r="Q484" s="232">
        <f>Q483+LN(1+INDEX('Additional data'!$H$2:$H$1196,MATCH(N484,'Additional data'!$G$2:$G$1196,1))+INDEX('Additional data'!$I$2:$I$1196,MATCH(N484,'Additional data'!$G$2:$G$1196,1)))</f>
        <v>3.9849779506942684</v>
      </c>
      <c r="R484" s="232">
        <f>LN(INDEX(Data!$B$2:$B$497,MATCH(N484,Data!$A$2:$A$497,1)))</f>
        <v>10.609017079448174</v>
      </c>
      <c r="S484" s="116">
        <f>INDEX('Additional data'!$E$2:$E$699,MATCH(DATE(YEAR(N484),MONTH(N484),1),'Additional data'!$D$2:$D$699,0))</f>
        <v>7.29</v>
      </c>
      <c r="T484" s="115">
        <f t="shared" si="88"/>
        <v>-3.1019390681437997E-2</v>
      </c>
      <c r="U484" s="115">
        <f t="shared" si="89"/>
        <v>-6.0180723255629509E-3</v>
      </c>
      <c r="V484" s="115">
        <f t="shared" si="92"/>
        <v>-2.390659740054879E-2</v>
      </c>
      <c r="W484" s="116">
        <f t="shared" si="90"/>
        <v>0.13999999999999968</v>
      </c>
      <c r="X484" s="115">
        <f t="shared" si="93"/>
        <v>0.39123134053653796</v>
      </c>
      <c r="Y484" s="115">
        <f t="shared" si="94"/>
        <v>5.579311303756862E-2</v>
      </c>
      <c r="Z484" s="115">
        <f t="shared" si="96"/>
        <v>0.16511910124250484</v>
      </c>
      <c r="AA484" s="116">
        <f t="shared" si="95"/>
        <v>0.90000000000000036</v>
      </c>
      <c r="AB484" s="115">
        <f t="shared" si="84"/>
        <v>1.1371747643482726</v>
      </c>
      <c r="AC484" s="115">
        <f t="shared" si="85"/>
        <v>0.64625217531607637</v>
      </c>
      <c r="AD484" s="115">
        <f t="shared" si="91"/>
        <v>0.97006163946512736</v>
      </c>
      <c r="AE484" s="235">
        <f t="shared" si="86"/>
        <v>2.46</v>
      </c>
    </row>
    <row r="485" spans="14:31" x14ac:dyDescent="0.2">
      <c r="N485" s="337">
        <v>39478</v>
      </c>
      <c r="O485" s="116">
        <f>INDEX('Additional data'!$B$2:$B$965,MATCH(DATE(YEAR(N485),MONTH(N485),1),'Additional data'!$A$2:$A$965,0))</f>
        <v>92.95</v>
      </c>
      <c r="P485" s="232">
        <f t="shared" si="87"/>
        <v>4.5320617141674528</v>
      </c>
      <c r="Q485" s="232">
        <f>Q484+LN(1+INDEX('Additional data'!$H$2:$H$1196,MATCH(N485,'Additional data'!$G$2:$G$1196,1))+INDEX('Additional data'!$I$2:$I$1196,MATCH(N485,'Additional data'!$G$2:$G$1196,1)))</f>
        <v>3.9218251356889997</v>
      </c>
      <c r="R485" s="232">
        <f>LN(INDEX(Data!$B$2:$B$497,MATCH(N485,Data!$A$2:$A$497,1)))</f>
        <v>10.489679084779223</v>
      </c>
      <c r="S485" s="116">
        <f>INDEX('Additional data'!$E$2:$E$699,MATCH(DATE(YEAR(N485),MONTH(N485),1),'Additional data'!$D$2:$D$699,0))</f>
        <v>7.18</v>
      </c>
      <c r="T485" s="115">
        <f t="shared" si="88"/>
        <v>1.3212234645888721E-2</v>
      </c>
      <c r="U485" s="115">
        <f t="shared" si="89"/>
        <v>-6.3152815005268703E-2</v>
      </c>
      <c r="V485" s="115">
        <f t="shared" si="92"/>
        <v>-0.11933799466895145</v>
      </c>
      <c r="W485" s="116">
        <f t="shared" si="90"/>
        <v>-0.11000000000000032</v>
      </c>
      <c r="X485" s="115">
        <f t="shared" si="93"/>
        <v>0.53257743296931226</v>
      </c>
      <c r="Y485" s="115">
        <f t="shared" si="94"/>
        <v>-2.5396064453798495E-2</v>
      </c>
      <c r="Z485" s="115">
        <f t="shared" si="96"/>
        <v>2.5840414728746097E-2</v>
      </c>
      <c r="AA485" s="116">
        <f t="shared" si="95"/>
        <v>0.75</v>
      </c>
      <c r="AB485" s="115">
        <f t="shared" si="84"/>
        <v>1.0373739894179588</v>
      </c>
      <c r="AC485" s="115">
        <f t="shared" si="85"/>
        <v>0.60810952331497559</v>
      </c>
      <c r="AD485" s="115">
        <f t="shared" si="91"/>
        <v>0.86413920474386607</v>
      </c>
      <c r="AE485" s="235">
        <f t="shared" si="86"/>
        <v>2.38</v>
      </c>
    </row>
    <row r="486" spans="14:31" x14ac:dyDescent="0.2">
      <c r="N486" s="337">
        <v>39507</v>
      </c>
      <c r="O486" s="116">
        <f>INDEX('Additional data'!$B$2:$B$965,MATCH(DATE(YEAR(N486),MONTH(N486),1),'Additional data'!$A$2:$A$965,0))</f>
        <v>95.35</v>
      </c>
      <c r="P486" s="232">
        <f t="shared" si="87"/>
        <v>4.5575543320464282</v>
      </c>
      <c r="Q486" s="232">
        <f>Q485+LN(1+INDEX('Additional data'!$H$2:$H$1196,MATCH(N486,'Additional data'!$G$2:$G$1196,1))+INDEX('Additional data'!$I$2:$I$1196,MATCH(N486,'Additional data'!$G$2:$G$1196,1)))</f>
        <v>3.891778214336703</v>
      </c>
      <c r="R486" s="232">
        <f>LN(INDEX(Data!$B$2:$B$497,MATCH(N486,Data!$A$2:$A$497,1)))</f>
        <v>10.492299885705116</v>
      </c>
      <c r="S486" s="116">
        <f>INDEX('Additional data'!$E$2:$E$699,MATCH(DATE(YEAR(N486),MONTH(N486),1),'Additional data'!$D$2:$D$699,0))</f>
        <v>7.69</v>
      </c>
      <c r="T486" s="115">
        <f t="shared" si="88"/>
        <v>2.5492617878975388E-2</v>
      </c>
      <c r="U486" s="115">
        <f t="shared" si="89"/>
        <v>-3.0046921352296696E-2</v>
      </c>
      <c r="V486" s="115">
        <f t="shared" si="92"/>
        <v>2.6208009258930076E-3</v>
      </c>
      <c r="W486" s="116">
        <f t="shared" si="90"/>
        <v>0.51000000000000068</v>
      </c>
      <c r="X486" s="115">
        <f t="shared" si="93"/>
        <v>0.4756197899010095</v>
      </c>
      <c r="Y486" s="115">
        <f t="shared" si="94"/>
        <v>-3.9516835255835936E-2</v>
      </c>
      <c r="Z486" s="115">
        <f t="shared" si="96"/>
        <v>1.2658062996624864E-2</v>
      </c>
      <c r="AA486" s="116">
        <f t="shared" si="95"/>
        <v>1.3200000000000003</v>
      </c>
      <c r="AB486" s="115">
        <f t="shared" si="84"/>
        <v>0.97765304050223722</v>
      </c>
      <c r="AC486" s="115">
        <f t="shared" si="85"/>
        <v>0.59612474478108757</v>
      </c>
      <c r="AD486" s="115">
        <f t="shared" si="91"/>
        <v>0.91792144425441435</v>
      </c>
      <c r="AE486" s="235">
        <f t="shared" si="86"/>
        <v>2.9400000000000004</v>
      </c>
    </row>
    <row r="487" spans="14:31" x14ac:dyDescent="0.2">
      <c r="N487" s="337">
        <v>39538</v>
      </c>
      <c r="O487" s="116">
        <f>INDEX('Additional data'!$B$2:$B$965,MATCH(DATE(YEAR(N487),MONTH(N487),1),'Additional data'!$A$2:$A$965,0))</f>
        <v>105.56</v>
      </c>
      <c r="P487" s="232">
        <f t="shared" si="87"/>
        <v>4.6592795116351233</v>
      </c>
      <c r="Q487" s="232">
        <f>Q486+LN(1+INDEX('Additional data'!$H$2:$H$1196,MATCH(N487,'Additional data'!$G$2:$G$1196,1))+INDEX('Additional data'!$I$2:$I$1196,MATCH(N487,'Additional data'!$G$2:$G$1196,1)))</f>
        <v>3.8840484162747617</v>
      </c>
      <c r="R487" s="232">
        <f>LN(INDEX(Data!$B$2:$B$497,MATCH(N487,Data!$A$2:$A$497,1)))</f>
        <v>10.450294224325761</v>
      </c>
      <c r="S487" s="116">
        <f>INDEX('Additional data'!$E$2:$E$699,MATCH(DATE(YEAR(N487),MONTH(N487),1),'Additional data'!$D$2:$D$699,0))</f>
        <v>7.9</v>
      </c>
      <c r="T487" s="115">
        <f t="shared" si="88"/>
        <v>0.10172517958869509</v>
      </c>
      <c r="U487" s="115">
        <f t="shared" si="89"/>
        <v>-7.7297980619412954E-3</v>
      </c>
      <c r="V487" s="115">
        <f t="shared" si="92"/>
        <v>-4.2005661379354464E-2</v>
      </c>
      <c r="W487" s="116">
        <f t="shared" si="90"/>
        <v>0.20999999999999996</v>
      </c>
      <c r="X487" s="115">
        <f t="shared" si="93"/>
        <v>0.55564490250592957</v>
      </c>
      <c r="Y487" s="115">
        <f t="shared" si="94"/>
        <v>-5.8582142981522978E-2</v>
      </c>
      <c r="Z487" s="115">
        <f t="shared" si="96"/>
        <v>-6.206390705337661E-2</v>
      </c>
      <c r="AA487" s="116">
        <f t="shared" si="95"/>
        <v>1.4700000000000006</v>
      </c>
      <c r="AB487" s="115">
        <f t="shared" si="84"/>
        <v>1.1462426482174326</v>
      </c>
      <c r="AC487" s="115">
        <f t="shared" si="85"/>
        <v>0.57656519496556946</v>
      </c>
      <c r="AD487" s="115">
        <f t="shared" si="91"/>
        <v>0.84199907631421134</v>
      </c>
      <c r="AE487" s="235">
        <f t="shared" si="86"/>
        <v>3.1400000000000006</v>
      </c>
    </row>
    <row r="488" spans="14:31" x14ac:dyDescent="0.2">
      <c r="N488" s="337">
        <v>39568</v>
      </c>
      <c r="O488" s="116">
        <f>INDEX('Additional data'!$B$2:$B$965,MATCH(DATE(YEAR(N488),MONTH(N488),1),'Additional data'!$A$2:$A$965,0))</f>
        <v>112.57</v>
      </c>
      <c r="P488" s="232">
        <f t="shared" si="87"/>
        <v>4.7235752503667126</v>
      </c>
      <c r="Q488" s="232">
        <f>Q487+LN(1+INDEX('Additional data'!$H$2:$H$1196,MATCH(N488,'Additional data'!$G$2:$G$1196,1))+INDEX('Additional data'!$I$2:$I$1196,MATCH(N488,'Additional data'!$G$2:$G$1196,1)))</f>
        <v>3.9308365777735208</v>
      </c>
      <c r="R488" s="232">
        <f>LN(INDEX(Data!$B$2:$B$497,MATCH(N488,Data!$A$2:$A$497,1)))</f>
        <v>10.495684892759813</v>
      </c>
      <c r="S488" s="116">
        <f>INDEX('Additional data'!$E$2:$E$699,MATCH(DATE(YEAR(N488),MONTH(N488),1),'Additional data'!$D$2:$D$699,0))</f>
        <v>7.84</v>
      </c>
      <c r="T488" s="115">
        <f t="shared" si="88"/>
        <v>6.4295738731589225E-2</v>
      </c>
      <c r="U488" s="115">
        <f t="shared" si="89"/>
        <v>4.6788161498759084E-2</v>
      </c>
      <c r="V488" s="115">
        <f t="shared" si="92"/>
        <v>4.5390668434052373E-2</v>
      </c>
      <c r="W488" s="116">
        <f t="shared" si="90"/>
        <v>-6.0000000000000497E-2</v>
      </c>
      <c r="X488" s="115">
        <f t="shared" si="93"/>
        <v>0.56516102690466674</v>
      </c>
      <c r="Y488" s="115">
        <f t="shared" si="94"/>
        <v>-5.0341391095002574E-2</v>
      </c>
      <c r="Z488" s="115">
        <f t="shared" si="96"/>
        <v>-4.6676082460990642E-2</v>
      </c>
      <c r="AA488" s="116">
        <f t="shared" si="95"/>
        <v>1.3599999999999994</v>
      </c>
      <c r="AB488" s="115">
        <f t="shared" si="84"/>
        <v>1.3824817927742625</v>
      </c>
      <c r="AC488" s="115">
        <f t="shared" si="85"/>
        <v>0.54380307770631964</v>
      </c>
      <c r="AD488" s="115">
        <f t="shared" si="91"/>
        <v>0.84443678906136199</v>
      </c>
      <c r="AE488" s="235">
        <f t="shared" si="86"/>
        <v>3.05</v>
      </c>
    </row>
    <row r="489" spans="14:31" x14ac:dyDescent="0.2">
      <c r="N489" s="337">
        <v>39599</v>
      </c>
      <c r="O489" s="116">
        <f>INDEX('Additional data'!$B$2:$B$965,MATCH(DATE(YEAR(N489),MONTH(N489),1),'Additional data'!$A$2:$A$965,0))</f>
        <v>125.39</v>
      </c>
      <c r="P489" s="232">
        <f t="shared" si="87"/>
        <v>4.8314288802024468</v>
      </c>
      <c r="Q489" s="232">
        <f>Q488+LN(1+INDEX('Additional data'!$H$2:$H$1196,MATCH(N489,'Additional data'!$G$2:$G$1196,1))+INDEX('Additional data'!$I$2:$I$1196,MATCH(N489,'Additional data'!$G$2:$G$1196,1)))</f>
        <v>3.951129281041283</v>
      </c>
      <c r="R489" s="232">
        <f>LN(INDEX(Data!$B$2:$B$497,MATCH(N489,Data!$A$2:$A$497,1)))</f>
        <v>10.519929294290886</v>
      </c>
      <c r="S489" s="116">
        <f>INDEX('Additional data'!$E$2:$E$699,MATCH(DATE(YEAR(N489),MONTH(N489),1),'Additional data'!$D$2:$D$699,0))</f>
        <v>7.75</v>
      </c>
      <c r="T489" s="115">
        <f t="shared" si="88"/>
        <v>0.10785362983573421</v>
      </c>
      <c r="U489" s="115">
        <f t="shared" si="89"/>
        <v>2.0292703267762224E-2</v>
      </c>
      <c r="V489" s="115">
        <f t="shared" si="92"/>
        <v>2.4244401531072768E-2</v>
      </c>
      <c r="W489" s="116">
        <f t="shared" si="90"/>
        <v>-8.9999999999999858E-2</v>
      </c>
      <c r="X489" s="115">
        <f t="shared" si="93"/>
        <v>0.68101909404739747</v>
      </c>
      <c r="Y489" s="115">
        <f t="shared" si="94"/>
        <v>-6.5801857533057895E-2</v>
      </c>
      <c r="Z489" s="115">
        <f t="shared" si="96"/>
        <v>-5.3851797395328305E-2</v>
      </c>
      <c r="AA489" s="116">
        <f t="shared" si="95"/>
        <v>1.38</v>
      </c>
      <c r="AB489" s="115">
        <f t="shared" si="84"/>
        <v>1.4942368285162035</v>
      </c>
      <c r="AC489" s="115">
        <f t="shared" si="85"/>
        <v>0.50450698956242457</v>
      </c>
      <c r="AD489" s="115">
        <f t="shared" si="91"/>
        <v>0.86361591700968354</v>
      </c>
      <c r="AE489" s="235">
        <f t="shared" si="86"/>
        <v>2.9699999999999998</v>
      </c>
    </row>
    <row r="490" spans="14:31" x14ac:dyDescent="0.2">
      <c r="N490" s="337">
        <v>39629</v>
      </c>
      <c r="O490" s="116">
        <f>INDEX('Additional data'!$B$2:$B$965,MATCH(DATE(YEAR(N490),MONTH(N490),1),'Additional data'!$A$2:$A$965,0))</f>
        <v>133.93</v>
      </c>
      <c r="P490" s="232">
        <f t="shared" si="87"/>
        <v>4.8973172753990308</v>
      </c>
      <c r="Q490" s="232">
        <f>Q489+LN(1+INDEX('Additional data'!$H$2:$H$1196,MATCH(N490,'Additional data'!$G$2:$G$1196,1))+INDEX('Additional data'!$I$2:$I$1196,MATCH(N490,'Additional data'!$G$2:$G$1196,1)))</f>
        <v>3.8649175842222174</v>
      </c>
      <c r="R490" s="232">
        <f>LN(INDEX(Data!$B$2:$B$497,MATCH(N490,Data!$A$2:$A$497,1)))</f>
        <v>10.443960129998015</v>
      </c>
      <c r="S490" s="116">
        <f>INDEX('Additional data'!$E$2:$E$699,MATCH(DATE(YEAR(N490),MONTH(N490),1),'Additional data'!$D$2:$D$699,0))</f>
        <v>7.81</v>
      </c>
      <c r="T490" s="115">
        <f t="shared" si="88"/>
        <v>6.5888395196584071E-2</v>
      </c>
      <c r="U490" s="115">
        <f t="shared" si="89"/>
        <v>-8.6211696819065597E-2</v>
      </c>
      <c r="V490" s="115">
        <f t="shared" si="92"/>
        <v>-7.5969164292871483E-2</v>
      </c>
      <c r="W490" s="116">
        <f t="shared" si="90"/>
        <v>5.9999999999999609E-2</v>
      </c>
      <c r="X490" s="115">
        <f t="shared" si="93"/>
        <v>0.68548601772126361</v>
      </c>
      <c r="Y490" s="115">
        <f t="shared" si="94"/>
        <v>-0.13629059388688702</v>
      </c>
      <c r="Z490" s="115">
        <f t="shared" si="96"/>
        <v>-0.12914529735382096</v>
      </c>
      <c r="AA490" s="116">
        <f t="shared" si="95"/>
        <v>1.3899999999999997</v>
      </c>
      <c r="AB490" s="115">
        <f t="shared" si="84"/>
        <v>1.4724033671195595</v>
      </c>
      <c r="AC490" s="115">
        <f t="shared" si="85"/>
        <v>0.40320965532531838</v>
      </c>
      <c r="AD490" s="115">
        <f t="shared" si="91"/>
        <v>0.77506915248184605</v>
      </c>
      <c r="AE490" s="235">
        <f t="shared" si="86"/>
        <v>3.1399999999999997</v>
      </c>
    </row>
    <row r="491" spans="14:31" x14ac:dyDescent="0.2">
      <c r="N491" s="337">
        <v>39660</v>
      </c>
      <c r="O491" s="116">
        <f>INDEX('Additional data'!$B$2:$B$965,MATCH(DATE(YEAR(N491),MONTH(N491),1),'Additional data'!$A$2:$A$965,0))</f>
        <v>133.44</v>
      </c>
      <c r="P491" s="232">
        <f t="shared" si="87"/>
        <v>4.8936519386104367</v>
      </c>
      <c r="Q491" s="232">
        <f>Q490+LN(1+INDEX('Additional data'!$H$2:$H$1196,MATCH(N491,'Additional data'!$G$2:$G$1196,1))+INDEX('Additional data'!$I$2:$I$1196,MATCH(N491,'Additional data'!$G$2:$G$1196,1)))</f>
        <v>3.8588995118966545</v>
      </c>
      <c r="R491" s="232">
        <f>LN(INDEX(Data!$B$2:$B$497,MATCH(N491,Data!$A$2:$A$497,1)))</f>
        <v>10.390194095710823</v>
      </c>
      <c r="S491" s="116">
        <f>INDEX('Additional data'!$E$2:$E$699,MATCH(DATE(YEAR(N491),MONTH(N491),1),'Additional data'!$D$2:$D$699,0))</f>
        <v>7.75</v>
      </c>
      <c r="T491" s="115">
        <f t="shared" si="88"/>
        <v>-3.6653367885941535E-3</v>
      </c>
      <c r="U491" s="115">
        <f t="shared" si="89"/>
        <v>-6.0180723255629509E-3</v>
      </c>
      <c r="V491" s="115">
        <f t="shared" si="92"/>
        <v>-5.3766034287191289E-2</v>
      </c>
      <c r="W491" s="116">
        <f t="shared" si="90"/>
        <v>-5.9999999999999609E-2</v>
      </c>
      <c r="X491" s="115">
        <f t="shared" si="93"/>
        <v>0.58715736654899153</v>
      </c>
      <c r="Y491" s="115">
        <f t="shared" si="94"/>
        <v>-0.10854503605964094</v>
      </c>
      <c r="Z491" s="115">
        <f t="shared" si="96"/>
        <v>-0.16329148400511428</v>
      </c>
      <c r="AA491" s="116">
        <f t="shared" si="95"/>
        <v>1.2800000000000002</v>
      </c>
      <c r="AB491" s="115">
        <f t="shared" si="84"/>
        <v>1.4674367939729933</v>
      </c>
      <c r="AC491" s="115">
        <f t="shared" si="85"/>
        <v>0.37347505638243916</v>
      </c>
      <c r="AD491" s="115">
        <f t="shared" si="91"/>
        <v>0.68585406592027454</v>
      </c>
      <c r="AE491" s="235">
        <f t="shared" si="86"/>
        <v>3.0300000000000002</v>
      </c>
    </row>
    <row r="492" spans="14:31" x14ac:dyDescent="0.2">
      <c r="N492" s="337">
        <v>39691</v>
      </c>
      <c r="O492" s="116">
        <f>INDEX('Additional data'!$B$2:$B$965,MATCH(DATE(YEAR(N492),MONTH(N492),1),'Additional data'!$A$2:$A$965,0))</f>
        <v>116.61</v>
      </c>
      <c r="P492" s="232">
        <f t="shared" si="87"/>
        <v>4.7588350335322414</v>
      </c>
      <c r="Q492" s="232">
        <f>Q491+LN(1+INDEX('Additional data'!$H$2:$H$1196,MATCH(N492,'Additional data'!$G$2:$G$1196,1))+INDEX('Additional data'!$I$2:$I$1196,MATCH(N492,'Additional data'!$G$2:$G$1196,1)))</f>
        <v>3.8753632379273197</v>
      </c>
      <c r="R492" s="232">
        <f>LN(INDEX(Data!$B$2:$B$497,MATCH(N492,Data!$A$2:$A$497,1)))</f>
        <v>10.429652918548632</v>
      </c>
      <c r="S492" s="116">
        <f>INDEX('Additional data'!$E$2:$E$699,MATCH(DATE(YEAR(N492),MONTH(N492),1),'Additional data'!$D$2:$D$699,0))</f>
        <v>7.31</v>
      </c>
      <c r="T492" s="115">
        <f t="shared" si="88"/>
        <v>-0.13481690507819533</v>
      </c>
      <c r="U492" s="115">
        <f t="shared" si="89"/>
        <v>1.646372603066526E-2</v>
      </c>
      <c r="V492" s="115">
        <f t="shared" si="92"/>
        <v>3.9458822837808327E-2</v>
      </c>
      <c r="W492" s="116">
        <f t="shared" si="90"/>
        <v>-0.44000000000000039</v>
      </c>
      <c r="X492" s="115">
        <f t="shared" si="93"/>
        <v>0.47676686522719169</v>
      </c>
      <c r="Y492" s="115">
        <f t="shared" si="94"/>
        <v>-0.1055896600537678</v>
      </c>
      <c r="Z492" s="115">
        <f t="shared" si="96"/>
        <v>-0.14066484089667952</v>
      </c>
      <c r="AA492" s="116">
        <f t="shared" si="95"/>
        <v>0.55999999999999961</v>
      </c>
      <c r="AB492" s="115">
        <f t="shared" si="84"/>
        <v>1.3059944187182477</v>
      </c>
      <c r="AC492" s="115">
        <f t="shared" si="85"/>
        <v>0.36622225579578815</v>
      </c>
      <c r="AD492" s="115">
        <f t="shared" si="91"/>
        <v>0.69078803623361118</v>
      </c>
      <c r="AE492" s="235">
        <f t="shared" si="86"/>
        <v>2.4899999999999993</v>
      </c>
    </row>
    <row r="493" spans="14:31" x14ac:dyDescent="0.2">
      <c r="N493" s="337">
        <v>39721</v>
      </c>
      <c r="O493" s="116">
        <f>INDEX('Additional data'!$B$2:$B$965,MATCH(DATE(YEAR(N493),MONTH(N493),1),'Additional data'!$A$2:$A$965,0))</f>
        <v>103.9</v>
      </c>
      <c r="P493" s="232">
        <f t="shared" si="87"/>
        <v>4.6434288981051814</v>
      </c>
      <c r="Q493" s="232">
        <f>Q492+LN(1+INDEX('Additional data'!$H$2:$H$1196,MATCH(N493,'Additional data'!$G$2:$G$1196,1))+INDEX('Additional data'!$I$2:$I$1196,MATCH(N493,'Additional data'!$G$2:$G$1196,1)))</f>
        <v>3.7788523375464758</v>
      </c>
      <c r="R493" s="232">
        <f>LN(INDEX(Data!$B$2:$B$497,MATCH(N493,Data!$A$2:$A$497,1)))</f>
        <v>10.317380546036564</v>
      </c>
      <c r="S493" s="116">
        <f>INDEX('Additional data'!$E$2:$E$699,MATCH(DATE(YEAR(N493),MONTH(N493),1),'Additional data'!$D$2:$D$699,0))</f>
        <v>7.27</v>
      </c>
      <c r="T493" s="115">
        <f t="shared" si="88"/>
        <v>-0.11540613542705991</v>
      </c>
      <c r="U493" s="115">
        <f t="shared" si="89"/>
        <v>-9.6510900380843978E-2</v>
      </c>
      <c r="V493" s="115">
        <f t="shared" si="92"/>
        <v>-0.11227237251206823</v>
      </c>
      <c r="W493" s="116">
        <f t="shared" si="90"/>
        <v>-4.0000000000000036E-2</v>
      </c>
      <c r="X493" s="115">
        <f t="shared" si="93"/>
        <v>0.26227764646725404</v>
      </c>
      <c r="Y493" s="115">
        <f t="shared" si="94"/>
        <v>-0.23688838592027572</v>
      </c>
      <c r="Z493" s="115">
        <f t="shared" si="96"/>
        <v>-0.3091014428399621</v>
      </c>
      <c r="AA493" s="116">
        <f t="shared" si="95"/>
        <v>0.32999999999999918</v>
      </c>
      <c r="AB493" s="115">
        <f t="shared" si="84"/>
        <v>1.3009205127917056</v>
      </c>
      <c r="AC493" s="115">
        <f t="shared" si="85"/>
        <v>0.28137916028262611</v>
      </c>
      <c r="AD493" s="115">
        <f t="shared" si="91"/>
        <v>0.57989208940544934</v>
      </c>
      <c r="AE493" s="235">
        <f t="shared" si="86"/>
        <v>2.3599999999999994</v>
      </c>
    </row>
    <row r="494" spans="14:31" x14ac:dyDescent="0.2">
      <c r="N494" s="337">
        <v>39752</v>
      </c>
      <c r="O494" s="116">
        <f>INDEX('Additional data'!$B$2:$B$965,MATCH(DATE(YEAR(N494),MONTH(N494),1),'Additional data'!$A$2:$A$965,0))</f>
        <v>76.650000000000006</v>
      </c>
      <c r="P494" s="232">
        <f t="shared" si="87"/>
        <v>4.3392496053178231</v>
      </c>
      <c r="Q494" s="232">
        <f>Q493+LN(1+INDEX('Additional data'!$H$2:$H$1196,MATCH(N494,'Additional data'!$G$2:$G$1196,1))+INDEX('Additional data'!$I$2:$I$1196,MATCH(N494,'Additional data'!$G$2:$G$1196,1)))</f>
        <v>3.5910759300695574</v>
      </c>
      <c r="R494" s="232">
        <f>LN(INDEX(Data!$B$2:$B$497,MATCH(N494,Data!$A$2:$A$497,1)))</f>
        <v>10.167475766913659</v>
      </c>
      <c r="S494" s="116">
        <f>INDEX('Additional data'!$E$2:$E$699,MATCH(DATE(YEAR(N494),MONTH(N494),1),'Additional data'!$D$2:$D$699,0))</f>
        <v>6.03</v>
      </c>
      <c r="T494" s="115">
        <f t="shared" si="88"/>
        <v>-0.30417929278735834</v>
      </c>
      <c r="U494" s="115">
        <f t="shared" si="89"/>
        <v>-0.18777640747691837</v>
      </c>
      <c r="V494" s="115">
        <f t="shared" si="92"/>
        <v>-0.14990477912290423</v>
      </c>
      <c r="W494" s="116">
        <f t="shared" si="90"/>
        <v>-1.2399999999999993</v>
      </c>
      <c r="X494" s="115">
        <f t="shared" si="93"/>
        <v>-0.11742057235182468</v>
      </c>
      <c r="Y494" s="115">
        <f t="shared" si="94"/>
        <v>-0.44554527097654972</v>
      </c>
      <c r="Z494" s="115">
        <f t="shared" si="96"/>
        <v>-0.48927538829901884</v>
      </c>
      <c r="AA494" s="116">
        <f t="shared" si="95"/>
        <v>-0.87999999999999989</v>
      </c>
      <c r="AB494" s="115">
        <f t="shared" si="84"/>
        <v>0.92711228361733333</v>
      </c>
      <c r="AC494" s="115">
        <f t="shared" si="85"/>
        <v>3.3919750644534119E-2</v>
      </c>
      <c r="AD494" s="115">
        <f t="shared" si="91"/>
        <v>0.39576674416413127</v>
      </c>
      <c r="AE494" s="235">
        <f t="shared" si="86"/>
        <v>1.0600000000000005</v>
      </c>
    </row>
    <row r="495" spans="14:31" x14ac:dyDescent="0.2">
      <c r="N495" s="337">
        <v>39782</v>
      </c>
      <c r="O495" s="116">
        <f>INDEX('Additional data'!$B$2:$B$965,MATCH(DATE(YEAR(N495),MONTH(N495),1),'Additional data'!$A$2:$A$965,0))</f>
        <v>57.44</v>
      </c>
      <c r="P495" s="232">
        <f t="shared" si="87"/>
        <v>4.0507409247399684</v>
      </c>
      <c r="Q495" s="232">
        <f>Q494+LN(1+INDEX('Additional data'!$H$2:$H$1196,MATCH(N495,'Additional data'!$G$2:$G$1196,1))+INDEX('Additional data'!$I$2:$I$1196,MATCH(N495,'Additional data'!$G$2:$G$1196,1)))</f>
        <v>3.5108415373589512</v>
      </c>
      <c r="R495" s="232">
        <f>LN(INDEX(Data!$B$2:$B$497,MATCH(N495,Data!$A$2:$A$497,1)))</f>
        <v>10.092547728749228</v>
      </c>
      <c r="S495" s="116">
        <f>INDEX('Additional data'!$E$2:$E$699,MATCH(DATE(YEAR(N495),MONTH(N495),1),'Additional data'!$D$2:$D$699,0))</f>
        <v>4.76</v>
      </c>
      <c r="T495" s="115">
        <f t="shared" si="88"/>
        <v>-0.28850868057785473</v>
      </c>
      <c r="U495" s="115">
        <f t="shared" si="89"/>
        <v>-8.0234392710606173E-2</v>
      </c>
      <c r="V495" s="115">
        <f t="shared" si="92"/>
        <v>-7.4928038164431499E-2</v>
      </c>
      <c r="W495" s="116">
        <f t="shared" si="90"/>
        <v>-1.2700000000000005</v>
      </c>
      <c r="X495" s="115">
        <f t="shared" si="93"/>
        <v>-0.49912794546303374</v>
      </c>
      <c r="Y495" s="115">
        <f t="shared" si="94"/>
        <v>-0.48015448566088015</v>
      </c>
      <c r="Z495" s="115">
        <f t="shared" si="96"/>
        <v>-0.54037594809949496</v>
      </c>
      <c r="AA495" s="116">
        <f t="shared" si="95"/>
        <v>-2.3900000000000006</v>
      </c>
      <c r="AB495" s="115">
        <f t="shared" si="84"/>
        <v>0.61385470066930603</v>
      </c>
      <c r="AC495" s="115">
        <f t="shared" si="85"/>
        <v>-6.0414766444853552E-2</v>
      </c>
      <c r="AD495" s="115">
        <f t="shared" si="91"/>
        <v>0.34247117966838658</v>
      </c>
      <c r="AE495" s="235">
        <f t="shared" si="86"/>
        <v>-0.54999999999999982</v>
      </c>
    </row>
    <row r="496" spans="14:31" x14ac:dyDescent="0.2">
      <c r="N496" s="337">
        <v>39813</v>
      </c>
      <c r="O496" s="116">
        <f>INDEX('Additional data'!$B$2:$B$965,MATCH(DATE(YEAR(N496),MONTH(N496),1),'Additional data'!$A$2:$A$965,0))</f>
        <v>41.02</v>
      </c>
      <c r="P496" s="232">
        <f t="shared" si="87"/>
        <v>3.7140597526442347</v>
      </c>
      <c r="Q496" s="232">
        <f>Q495+LN(1+INDEX('Additional data'!$H$2:$H$1196,MATCH(N496,'Additional data'!$G$2:$G$1196,1))+INDEX('Additional data'!$I$2:$I$1196,MATCH(N496,'Additional data'!$G$2:$G$1196,1)))</f>
        <v>3.5283867165747003</v>
      </c>
      <c r="R496" s="232">
        <f>LN(INDEX(Data!$B$2:$B$497,MATCH(N496,Data!$A$2:$A$497,1)))</f>
        <v>10.091757631737106</v>
      </c>
      <c r="S496" s="116">
        <f>INDEX('Additional data'!$E$2:$E$699,MATCH(DATE(YEAR(N496),MONTH(N496),1),'Additional data'!$D$2:$D$699,0))</f>
        <v>4.3899999999999997</v>
      </c>
      <c r="T496" s="115">
        <f t="shared" si="88"/>
        <v>-0.33668117209573367</v>
      </c>
      <c r="U496" s="115">
        <f t="shared" si="89"/>
        <v>1.7545179215749052E-2</v>
      </c>
      <c r="V496" s="115">
        <f t="shared" si="92"/>
        <v>-7.9009701212129357E-4</v>
      </c>
      <c r="W496" s="116">
        <f t="shared" si="90"/>
        <v>-0.37000000000000011</v>
      </c>
      <c r="X496" s="115">
        <f t="shared" si="93"/>
        <v>-0.80478972687732941</v>
      </c>
      <c r="Y496" s="115">
        <f t="shared" si="94"/>
        <v>-0.45659123411956815</v>
      </c>
      <c r="Z496" s="115">
        <f t="shared" si="96"/>
        <v>-0.51725944771106747</v>
      </c>
      <c r="AA496" s="116">
        <f t="shared" si="95"/>
        <v>-2.9000000000000004</v>
      </c>
      <c r="AB496" s="115">
        <f t="shared" si="84"/>
        <v>0.24364730196060647</v>
      </c>
      <c r="AC496" s="115">
        <f t="shared" si="85"/>
        <v>-8.5641679072973265E-2</v>
      </c>
      <c r="AD496" s="115">
        <f t="shared" si="91"/>
        <v>0.3055532772969709</v>
      </c>
      <c r="AE496" s="235">
        <f t="shared" si="86"/>
        <v>-1.08</v>
      </c>
    </row>
    <row r="497" spans="14:31" x14ac:dyDescent="0.2">
      <c r="N497" s="337">
        <v>39844</v>
      </c>
      <c r="O497" s="116">
        <f>INDEX('Additional data'!$B$2:$B$965,MATCH(DATE(YEAR(N497),MONTH(N497),1),'Additional data'!$A$2:$A$965,0))</f>
        <v>41.74</v>
      </c>
      <c r="P497" s="232">
        <f t="shared" si="87"/>
        <v>3.7314599016490546</v>
      </c>
      <c r="Q497" s="232">
        <f>Q496+LN(1+INDEX('Additional data'!$H$2:$H$1196,MATCH(N497,'Additional data'!$G$2:$G$1196,1))+INDEX('Additional data'!$I$2:$I$1196,MATCH(N497,'Additional data'!$G$2:$G$1196,1)))</f>
        <v>3.444026367956627</v>
      </c>
      <c r="R497" s="232">
        <f>LN(INDEX(Data!$B$2:$B$497,MATCH(N497,Data!$A$2:$A$497,1)))</f>
        <v>10.041037092831919</v>
      </c>
      <c r="S497" s="116">
        <f>INDEX('Additional data'!$E$2:$E$699,MATCH(DATE(YEAR(N497),MONTH(N497),1),'Additional data'!$D$2:$D$699,0))</f>
        <v>3.74</v>
      </c>
      <c r="T497" s="115">
        <f t="shared" si="88"/>
        <v>1.7400149004819898E-2</v>
      </c>
      <c r="U497" s="115">
        <f t="shared" si="89"/>
        <v>-8.4360348618073289E-2</v>
      </c>
      <c r="V497" s="115">
        <f t="shared" si="92"/>
        <v>-5.072053890518724E-2</v>
      </c>
      <c r="W497" s="116">
        <f t="shared" si="90"/>
        <v>-0.64999999999999947</v>
      </c>
      <c r="X497" s="115">
        <f t="shared" si="93"/>
        <v>-0.80060181251839824</v>
      </c>
      <c r="Y497" s="115">
        <f t="shared" si="94"/>
        <v>-0.47779876773237273</v>
      </c>
      <c r="Z497" s="115">
        <f t="shared" si="96"/>
        <v>-0.44864199194730325</v>
      </c>
      <c r="AA497" s="116">
        <f t="shared" si="95"/>
        <v>-3.4399999999999995</v>
      </c>
      <c r="AB497" s="115">
        <f t="shared" si="84"/>
        <v>0.1971895657625371</v>
      </c>
      <c r="AC497" s="115">
        <f t="shared" si="85"/>
        <v>-0.19195919504308856</v>
      </c>
      <c r="AD497" s="115">
        <f t="shared" si="91"/>
        <v>0.26150425036568414</v>
      </c>
      <c r="AE497" s="235">
        <f t="shared" si="86"/>
        <v>-1.8099999999999996</v>
      </c>
    </row>
    <row r="498" spans="14:31" x14ac:dyDescent="0.2">
      <c r="N498" s="337">
        <v>39872</v>
      </c>
      <c r="O498" s="116">
        <f>INDEX('Additional data'!$B$2:$B$965,MATCH(DATE(YEAR(N498),MONTH(N498),1),'Additional data'!$A$2:$A$965,0))</f>
        <v>39.159999999999997</v>
      </c>
      <c r="P498" s="232">
        <f t="shared" si="87"/>
        <v>3.6676558176623097</v>
      </c>
      <c r="Q498" s="232">
        <f>Q497+LN(1+INDEX('Additional data'!$H$2:$H$1196,MATCH(N498,'Additional data'!$G$2:$G$1196,1))+INDEX('Additional data'!$I$2:$I$1196,MATCH(N498,'Additional data'!$G$2:$G$1196,1)))</f>
        <v>3.3372203636388176</v>
      </c>
      <c r="R498" s="232">
        <f>LN(INDEX(Data!$B$2:$B$497,MATCH(N498,Data!$A$2:$A$497,1)))</f>
        <v>9.9974845523150382</v>
      </c>
      <c r="S498" s="116">
        <f>INDEX('Additional data'!$E$2:$E$699,MATCH(DATE(YEAR(N498),MONTH(N498),1),'Additional data'!$D$2:$D$699,0))</f>
        <v>3.16</v>
      </c>
      <c r="T498" s="115">
        <f t="shared" si="88"/>
        <v>-6.3804083986744864E-2</v>
      </c>
      <c r="U498" s="115">
        <f t="shared" si="89"/>
        <v>-0.1068060043178094</v>
      </c>
      <c r="V498" s="115">
        <f t="shared" si="92"/>
        <v>-4.3552540516881066E-2</v>
      </c>
      <c r="W498" s="116">
        <f t="shared" si="90"/>
        <v>-0.58000000000000007</v>
      </c>
      <c r="X498" s="115">
        <f t="shared" si="93"/>
        <v>-0.88989851438411849</v>
      </c>
      <c r="Y498" s="115">
        <f t="shared" si="94"/>
        <v>-0.55455785069788543</v>
      </c>
      <c r="Z498" s="115">
        <f t="shared" si="96"/>
        <v>-0.49481533339007733</v>
      </c>
      <c r="AA498" s="116">
        <f t="shared" si="95"/>
        <v>-4.53</v>
      </c>
      <c r="AB498" s="115">
        <f t="shared" si="84"/>
        <v>0.11976405684935099</v>
      </c>
      <c r="AC498" s="115">
        <f t="shared" si="85"/>
        <v>-0.31325964551135055</v>
      </c>
      <c r="AD498" s="115">
        <f t="shared" si="91"/>
        <v>0.18731130766135529</v>
      </c>
      <c r="AE498" s="235">
        <f t="shared" si="86"/>
        <v>-2.41</v>
      </c>
    </row>
    <row r="499" spans="14:31" x14ac:dyDescent="0.2">
      <c r="N499" s="337">
        <v>39903</v>
      </c>
      <c r="O499" s="116">
        <f>INDEX('Additional data'!$B$2:$B$965,MATCH(DATE(YEAR(N499),MONTH(N499),1),'Additional data'!$A$2:$A$965,0))</f>
        <v>47.98</v>
      </c>
      <c r="P499" s="232">
        <f t="shared" si="87"/>
        <v>3.8707842574115485</v>
      </c>
      <c r="Q499" s="232">
        <f>Q498+LN(1+INDEX('Additional data'!$H$2:$H$1196,MATCH(N499,'Additional data'!$G$2:$G$1196,1))+INDEX('Additional data'!$I$2:$I$1196,MATCH(N499,'Additional data'!$G$2:$G$1196,1)))</f>
        <v>3.4236732513690167</v>
      </c>
      <c r="R499" s="232">
        <f>LN(INDEX(Data!$B$2:$B$497,MATCH(N499,Data!$A$2:$A$497,1)))</f>
        <v>10.074913171948618</v>
      </c>
      <c r="S499" s="116">
        <f>INDEX('Additional data'!$E$2:$E$699,MATCH(DATE(YEAR(N499),MONTH(N499),1),'Additional data'!$D$2:$D$699,0))</f>
        <v>3.16</v>
      </c>
      <c r="T499" s="115">
        <f t="shared" si="88"/>
        <v>0.20312843974923878</v>
      </c>
      <c r="U499" s="115">
        <f t="shared" si="89"/>
        <v>8.6452887730199102E-2</v>
      </c>
      <c r="V499" s="115">
        <f t="shared" si="92"/>
        <v>7.7428619633579387E-2</v>
      </c>
      <c r="W499" s="116">
        <f t="shared" si="90"/>
        <v>0</v>
      </c>
      <c r="X499" s="115">
        <f t="shared" si="93"/>
        <v>-0.7884952542235748</v>
      </c>
      <c r="Y499" s="115">
        <f t="shared" si="94"/>
        <v>-0.46037516490574504</v>
      </c>
      <c r="Z499" s="115">
        <f t="shared" si="96"/>
        <v>-0.37538105237714348</v>
      </c>
      <c r="AA499" s="116">
        <f t="shared" si="95"/>
        <v>-4.74</v>
      </c>
      <c r="AB499" s="115">
        <f t="shared" si="84"/>
        <v>0.26637395992406221</v>
      </c>
      <c r="AC499" s="115">
        <f t="shared" si="85"/>
        <v>-0.21443048671309617</v>
      </c>
      <c r="AD499" s="115">
        <f t="shared" si="91"/>
        <v>0.24502991074238878</v>
      </c>
      <c r="AE499" s="235">
        <f t="shared" si="86"/>
        <v>-2.3499999999999996</v>
      </c>
    </row>
    <row r="500" spans="14:31" x14ac:dyDescent="0.2">
      <c r="N500" s="337">
        <v>39933</v>
      </c>
      <c r="O500" s="116">
        <f>INDEX('Additional data'!$B$2:$B$965,MATCH(DATE(YEAR(N500),MONTH(N500),1),'Additional data'!$A$2:$A$965,0))</f>
        <v>49.79</v>
      </c>
      <c r="P500" s="232">
        <f t="shared" si="87"/>
        <v>3.9078141606540915</v>
      </c>
      <c r="Q500" s="232">
        <f>Q499+LN(1+INDEX('Additional data'!$H$2:$H$1196,MATCH(N500,'Additional data'!$G$2:$G$1196,1))+INDEX('Additional data'!$I$2:$I$1196,MATCH(N500,'Additional data'!$G$2:$G$1196,1)))</f>
        <v>3.5206184574254955</v>
      </c>
      <c r="R500" s="232">
        <f>LN(INDEX(Data!$B$2:$B$497,MATCH(N500,Data!$A$2:$A$497,1)))</f>
        <v>10.133851215996478</v>
      </c>
      <c r="S500" s="116">
        <f>INDEX('Additional data'!$E$2:$E$699,MATCH(DATE(YEAR(N500),MONTH(N500),1),'Additional data'!$D$2:$D$699,0))</f>
        <v>3.1</v>
      </c>
      <c r="T500" s="115">
        <f t="shared" si="88"/>
        <v>3.7029903242542961E-2</v>
      </c>
      <c r="U500" s="115">
        <f t="shared" si="89"/>
        <v>9.6945206056478828E-2</v>
      </c>
      <c r="V500" s="115">
        <f t="shared" si="92"/>
        <v>5.8938044047859961E-2</v>
      </c>
      <c r="W500" s="116">
        <f t="shared" si="90"/>
        <v>-6.0000000000000053E-2</v>
      </c>
      <c r="X500" s="115">
        <f t="shared" si="93"/>
        <v>-0.81576108971262107</v>
      </c>
      <c r="Y500" s="115">
        <f t="shared" si="94"/>
        <v>-0.41021812034802529</v>
      </c>
      <c r="Z500" s="115">
        <f t="shared" si="96"/>
        <v>-0.36183367676333589</v>
      </c>
      <c r="AA500" s="116">
        <f t="shared" si="95"/>
        <v>-4.74</v>
      </c>
      <c r="AB500" s="115">
        <f t="shared" si="84"/>
        <v>0.3053099222869009</v>
      </c>
      <c r="AC500" s="115">
        <f t="shared" si="85"/>
        <v>-0.10003388704286165</v>
      </c>
      <c r="AD500" s="115">
        <f t="shared" si="91"/>
        <v>0.30524223244755966</v>
      </c>
      <c r="AE500" s="235">
        <f t="shared" si="86"/>
        <v>-2.44</v>
      </c>
    </row>
    <row r="501" spans="14:31" x14ac:dyDescent="0.2">
      <c r="N501" s="337">
        <v>39964</v>
      </c>
      <c r="O501" s="116">
        <f>INDEX('Additional data'!$B$2:$B$965,MATCH(DATE(YEAR(N501),MONTH(N501),1),'Additional data'!$A$2:$A$965,0))</f>
        <v>59.16</v>
      </c>
      <c r="P501" s="232">
        <f t="shared" si="87"/>
        <v>4.0802456378425989</v>
      </c>
      <c r="Q501" s="232">
        <f>Q500+LN(1+INDEX('Additional data'!$H$2:$H$1196,MATCH(N501,'Additional data'!$G$2:$G$1196,1))+INDEX('Additional data'!$I$2:$I$1196,MATCH(N501,'Additional data'!$G$2:$G$1196,1)))</f>
        <v>3.5714066242576008</v>
      </c>
      <c r="R501" s="232">
        <f>LN(INDEX(Data!$B$2:$B$497,MATCH(N501,Data!$A$2:$A$497,1)))</f>
        <v>10.155125845034023</v>
      </c>
      <c r="S501" s="116">
        <f>INDEX('Additional data'!$E$2:$E$699,MATCH(DATE(YEAR(N501),MONTH(N501),1),'Additional data'!$D$2:$D$699,0))</f>
        <v>3.13</v>
      </c>
      <c r="T501" s="115">
        <f t="shared" si="88"/>
        <v>0.17243147718850738</v>
      </c>
      <c r="U501" s="115">
        <f t="shared" si="89"/>
        <v>5.0788166832105297E-2</v>
      </c>
      <c r="V501" s="115">
        <f t="shared" si="92"/>
        <v>2.1274629037545623E-2</v>
      </c>
      <c r="W501" s="116">
        <f t="shared" si="90"/>
        <v>2.9999999999999805E-2</v>
      </c>
      <c r="X501" s="115">
        <f t="shared" si="93"/>
        <v>-0.7511832423598479</v>
      </c>
      <c r="Y501" s="115">
        <f t="shared" si="94"/>
        <v>-0.37972265678368222</v>
      </c>
      <c r="Z501" s="115">
        <f t="shared" si="96"/>
        <v>-0.36480344925686303</v>
      </c>
      <c r="AA501" s="116">
        <f t="shared" si="95"/>
        <v>-4.62</v>
      </c>
      <c r="AB501" s="115">
        <f t="shared" si="84"/>
        <v>0.3843905699922372</v>
      </c>
      <c r="AC501" s="115">
        <f t="shared" si="85"/>
        <v>-6.1569469899588114E-2</v>
      </c>
      <c r="AD501" s="115">
        <f t="shared" si="91"/>
        <v>0.31046860317880132</v>
      </c>
      <c r="AE501" s="235">
        <f t="shared" si="86"/>
        <v>-2.38</v>
      </c>
    </row>
    <row r="502" spans="14:31" x14ac:dyDescent="0.2">
      <c r="N502" s="337">
        <v>39994</v>
      </c>
      <c r="O502" s="116">
        <f>INDEX('Additional data'!$B$2:$B$965,MATCH(DATE(YEAR(N502),MONTH(N502),1),'Additional data'!$A$2:$A$965,0))</f>
        <v>69.680000000000007</v>
      </c>
      <c r="P502" s="232">
        <f t="shared" si="87"/>
        <v>4.2439133325442473</v>
      </c>
      <c r="Q502" s="232">
        <f>Q501+LN(1+INDEX('Additional data'!$H$2:$H$1196,MATCH(N502,'Additional data'!$G$2:$G$1196,1))+INDEX('Additional data'!$I$2:$I$1196,MATCH(N502,'Additional data'!$G$2:$G$1196,1)))</f>
        <v>3.5756974056747572</v>
      </c>
      <c r="R502" s="232">
        <f>LN(INDEX(Data!$B$2:$B$497,MATCH(N502,Data!$A$2:$A$497,1)))</f>
        <v>10.193627476993484</v>
      </c>
      <c r="S502" s="116">
        <f>INDEX('Additional data'!$E$2:$E$699,MATCH(DATE(YEAR(N502),MONTH(N502),1),'Additional data'!$D$2:$D$699,0))</f>
        <v>3.25</v>
      </c>
      <c r="T502" s="115">
        <f t="shared" si="88"/>
        <v>0.16366769470164844</v>
      </c>
      <c r="U502" s="115">
        <f t="shared" si="89"/>
        <v>4.2907814171564418E-3</v>
      </c>
      <c r="V502" s="115">
        <f t="shared" si="92"/>
        <v>3.850163195946088E-2</v>
      </c>
      <c r="W502" s="116">
        <f t="shared" si="90"/>
        <v>0.12000000000000011</v>
      </c>
      <c r="X502" s="115">
        <f t="shared" si="93"/>
        <v>-0.65340394285478354</v>
      </c>
      <c r="Y502" s="115">
        <f t="shared" si="94"/>
        <v>-0.28922017854746018</v>
      </c>
      <c r="Z502" s="115">
        <f t="shared" si="96"/>
        <v>-0.25033265300453067</v>
      </c>
      <c r="AA502" s="116">
        <f t="shared" si="95"/>
        <v>-4.5599999999999996</v>
      </c>
      <c r="AB502" s="115">
        <f t="shared" si="84"/>
        <v>0.60580099548396404</v>
      </c>
      <c r="AC502" s="115">
        <f t="shared" si="85"/>
        <v>-7.6394805674661725E-2</v>
      </c>
      <c r="AD502" s="115">
        <f t="shared" si="91"/>
        <v>0.32285910644213622</v>
      </c>
      <c r="AE502" s="235">
        <f t="shared" si="86"/>
        <v>-2.2400000000000002</v>
      </c>
    </row>
    <row r="503" spans="14:31" x14ac:dyDescent="0.2">
      <c r="N503" s="337">
        <v>40025</v>
      </c>
      <c r="O503" s="116">
        <f>INDEX('Additional data'!$B$2:$B$965,MATCH(DATE(YEAR(N503),MONTH(N503),1),'Additional data'!$A$2:$A$965,0))</f>
        <v>64.09</v>
      </c>
      <c r="P503" s="232">
        <f t="shared" si="87"/>
        <v>4.1602883455161352</v>
      </c>
      <c r="Q503" s="232">
        <f>Q502+LN(1+INDEX('Additional data'!$H$2:$H$1196,MATCH(N503,'Additional data'!$G$2:$G$1196,1))+INDEX('Additional data'!$I$2:$I$1196,MATCH(N503,'Additional data'!$G$2:$G$1196,1)))</f>
        <v>3.6503409486705229</v>
      </c>
      <c r="R503" s="232">
        <f>LN(INDEX(Data!$B$2:$B$497,MATCH(N503,Data!$A$2:$A$497,1)))</f>
        <v>10.267346191837863</v>
      </c>
      <c r="S503" s="116">
        <f>INDEX('Additional data'!$E$2:$E$699,MATCH(DATE(YEAR(N503),MONTH(N503),1),'Additional data'!$D$2:$D$699,0))</f>
        <v>3.14</v>
      </c>
      <c r="T503" s="115">
        <f t="shared" si="88"/>
        <v>-8.3624987028112052E-2</v>
      </c>
      <c r="U503" s="115">
        <f t="shared" si="89"/>
        <v>7.4643542995765699E-2</v>
      </c>
      <c r="V503" s="115">
        <f t="shared" si="92"/>
        <v>7.3718714844378752E-2</v>
      </c>
      <c r="W503" s="116">
        <f t="shared" si="90"/>
        <v>-0.10999999999999988</v>
      </c>
      <c r="X503" s="115">
        <f t="shared" si="93"/>
        <v>-0.73336359309430144</v>
      </c>
      <c r="Y503" s="115">
        <f t="shared" si="94"/>
        <v>-0.20855856322613153</v>
      </c>
      <c r="Z503" s="115">
        <f t="shared" si="96"/>
        <v>-0.12284790387296063</v>
      </c>
      <c r="AA503" s="116">
        <f t="shared" si="95"/>
        <v>-4.6099999999999994</v>
      </c>
      <c r="AB503" s="115">
        <f t="shared" si="84"/>
        <v>0.45430598350253693</v>
      </c>
      <c r="AC503" s="115">
        <f t="shared" si="85"/>
        <v>3.8445927072516817E-2</v>
      </c>
      <c r="AD503" s="115">
        <f t="shared" si="91"/>
        <v>0.39088827059422293</v>
      </c>
      <c r="AE503" s="235">
        <f t="shared" si="86"/>
        <v>-2.3199999999999998</v>
      </c>
    </row>
    <row r="504" spans="14:31" x14ac:dyDescent="0.2">
      <c r="N504" s="337">
        <v>40056</v>
      </c>
      <c r="O504" s="116">
        <f>INDEX('Additional data'!$B$2:$B$965,MATCH(DATE(YEAR(N504),MONTH(N504),1),'Additional data'!$A$2:$A$965,0))</f>
        <v>71.06</v>
      </c>
      <c r="P504" s="232">
        <f t="shared" si="87"/>
        <v>4.2635245905928807</v>
      </c>
      <c r="Q504" s="232">
        <f>Q503+LN(1+INDEX('Additional data'!$H$2:$H$1196,MATCH(N504,'Additional data'!$G$2:$G$1196,1))+INDEX('Additional data'!$I$2:$I$1196,MATCH(N504,'Additional data'!$G$2:$G$1196,1)))</f>
        <v>3.68319528554147</v>
      </c>
      <c r="R504" s="232">
        <f>LN(INDEX(Data!$B$2:$B$497,MATCH(N504,Data!$A$2:$A$497,1)))</f>
        <v>10.330066747862288</v>
      </c>
      <c r="S504" s="116">
        <f>INDEX('Additional data'!$E$2:$E$699,MATCH(DATE(YEAR(N504),MONTH(N504),1),'Additional data'!$D$2:$D$699,0))</f>
        <v>3.3</v>
      </c>
      <c r="T504" s="115">
        <f t="shared" si="88"/>
        <v>0.10323624507674545</v>
      </c>
      <c r="U504" s="115">
        <f t="shared" si="89"/>
        <v>3.2854336870947076E-2</v>
      </c>
      <c r="V504" s="115">
        <f t="shared" si="92"/>
        <v>6.2720556024425278E-2</v>
      </c>
      <c r="W504" s="116">
        <f t="shared" si="90"/>
        <v>0.1599999999999997</v>
      </c>
      <c r="X504" s="115">
        <f t="shared" si="93"/>
        <v>-0.49531044293936066</v>
      </c>
      <c r="Y504" s="115">
        <f t="shared" si="94"/>
        <v>-0.19216795238584972</v>
      </c>
      <c r="Z504" s="115">
        <f t="shared" si="96"/>
        <v>-9.9586170686343678E-2</v>
      </c>
      <c r="AA504" s="116">
        <f t="shared" si="95"/>
        <v>-4.01</v>
      </c>
      <c r="AB504" s="115">
        <f t="shared" si="84"/>
        <v>0.45819632383569742</v>
      </c>
      <c r="AC504" s="115">
        <f t="shared" si="85"/>
        <v>6.9501882002084514E-2</v>
      </c>
      <c r="AD504" s="115">
        <f t="shared" si="91"/>
        <v>0.44316549056812349</v>
      </c>
      <c r="AE504" s="235">
        <f t="shared" si="86"/>
        <v>-2.1400000000000006</v>
      </c>
    </row>
    <row r="505" spans="14:31" x14ac:dyDescent="0.2">
      <c r="N505" s="337">
        <v>40086</v>
      </c>
      <c r="O505" s="116">
        <f>INDEX('Additional data'!$B$2:$B$965,MATCH(DATE(YEAR(N505),MONTH(N505),1),'Additional data'!$A$2:$A$965,0))</f>
        <v>69.459999999999994</v>
      </c>
      <c r="P505" s="232">
        <f t="shared" si="87"/>
        <v>4.2407510473159276</v>
      </c>
      <c r="Q505" s="232">
        <f>Q504+LN(1+INDEX('Additional data'!$H$2:$H$1196,MATCH(N505,'Additional data'!$G$2:$G$1196,1))+INDEX('Additional data'!$I$2:$I$1196,MATCH(N505,'Additional data'!$G$2:$G$1196,1)))</f>
        <v>3.7232810090807558</v>
      </c>
      <c r="R505" s="232">
        <f>LN(INDEX(Data!$B$2:$B$497,MATCH(N505,Data!$A$2:$A$497,1)))</f>
        <v>10.388779468089975</v>
      </c>
      <c r="S505" s="116">
        <f>INDEX('Additional data'!$E$2:$E$699,MATCH(DATE(YEAR(N505),MONTH(N505),1),'Additional data'!$D$2:$D$699,0))</f>
        <v>3.37</v>
      </c>
      <c r="T505" s="115">
        <f t="shared" si="88"/>
        <v>-2.2773543276953134E-2</v>
      </c>
      <c r="U505" s="115">
        <f t="shared" si="89"/>
        <v>4.0085723539285745E-2</v>
      </c>
      <c r="V505" s="115">
        <f t="shared" si="92"/>
        <v>5.8712720227687143E-2</v>
      </c>
      <c r="W505" s="116">
        <f t="shared" si="90"/>
        <v>7.0000000000000284E-2</v>
      </c>
      <c r="X505" s="115">
        <f t="shared" si="93"/>
        <v>-0.40267785078925389</v>
      </c>
      <c r="Y505" s="115">
        <f t="shared" si="94"/>
        <v>-5.5571328465719994E-2</v>
      </c>
      <c r="Z505" s="115">
        <f t="shared" si="96"/>
        <v>7.1398922053411695E-2</v>
      </c>
      <c r="AA505" s="116">
        <f t="shared" si="95"/>
        <v>-3.8999999999999995</v>
      </c>
      <c r="AB505" s="115">
        <f t="shared" si="84"/>
        <v>0.41319719851423153</v>
      </c>
      <c r="AC505" s="115">
        <f t="shared" si="85"/>
        <v>9.2632164891956581E-2</v>
      </c>
      <c r="AD505" s="115">
        <f t="shared" si="91"/>
        <v>0.46484043018415377</v>
      </c>
      <c r="AE505" s="235">
        <f t="shared" si="86"/>
        <v>-2.0499999999999998</v>
      </c>
    </row>
    <row r="506" spans="14:31" x14ac:dyDescent="0.2">
      <c r="N506" s="337">
        <v>40117</v>
      </c>
      <c r="O506" s="116">
        <f>INDEX('Additional data'!$B$2:$B$965,MATCH(DATE(YEAR(N506),MONTH(N506),1),'Additional data'!$A$2:$A$965,0))</f>
        <v>75.819999999999993</v>
      </c>
      <c r="P506" s="232">
        <f t="shared" si="87"/>
        <v>4.3283621100881886</v>
      </c>
      <c r="Q506" s="232">
        <f>Q505+LN(1+INDEX('Additional data'!$H$2:$H$1196,MATCH(N506,'Additional data'!$G$2:$G$1196,1))+INDEX('Additional data'!$I$2:$I$1196,MATCH(N506,'Additional data'!$G$2:$G$1196,1)))</f>
        <v>3.6976554614417831</v>
      </c>
      <c r="R506" s="232">
        <f>LN(INDEX(Data!$B$2:$B$497,MATCH(N506,Data!$A$2:$A$497,1)))</f>
        <v>10.369699188755343</v>
      </c>
      <c r="S506" s="116">
        <f>INDEX('Additional data'!$E$2:$E$699,MATCH(DATE(YEAR(N506),MONTH(N506),1),'Additional data'!$D$2:$D$699,0))</f>
        <v>3.78</v>
      </c>
      <c r="T506" s="115">
        <f t="shared" si="88"/>
        <v>8.761106277226105E-2</v>
      </c>
      <c r="U506" s="115">
        <f t="shared" si="89"/>
        <v>-2.5625547638972623E-2</v>
      </c>
      <c r="V506" s="115">
        <f t="shared" si="92"/>
        <v>-1.9080279334632522E-2</v>
      </c>
      <c r="W506" s="116">
        <f t="shared" si="90"/>
        <v>0.4099999999999997</v>
      </c>
      <c r="X506" s="115">
        <f t="shared" si="93"/>
        <v>-1.0887495229634503E-2</v>
      </c>
      <c r="Y506" s="115">
        <f t="shared" si="94"/>
        <v>0.10657953137222576</v>
      </c>
      <c r="Z506" s="115">
        <f t="shared" si="96"/>
        <v>0.2022234218416834</v>
      </c>
      <c r="AA506" s="116">
        <f t="shared" si="95"/>
        <v>-2.2500000000000004</v>
      </c>
      <c r="AB506" s="115">
        <f t="shared" si="84"/>
        <v>0.35562036962533661</v>
      </c>
      <c r="AC506" s="115">
        <f t="shared" si="85"/>
        <v>5.1822481927943809E-2</v>
      </c>
      <c r="AD506" s="115">
        <f t="shared" si="91"/>
        <v>0.41482850336725896</v>
      </c>
      <c r="AE506" s="235">
        <f t="shared" si="86"/>
        <v>-1.6300000000000003</v>
      </c>
    </row>
    <row r="507" spans="14:31" x14ac:dyDescent="0.2">
      <c r="N507" s="337">
        <v>40147</v>
      </c>
      <c r="O507" s="116">
        <f>INDEX('Additional data'!$B$2:$B$965,MATCH(DATE(YEAR(N507),MONTH(N507),1),'Additional data'!$A$2:$A$965,0))</f>
        <v>78.08</v>
      </c>
      <c r="P507" s="232">
        <f t="shared" si="87"/>
        <v>4.3577339421048373</v>
      </c>
      <c r="Q507" s="232">
        <f>Q506+LN(1+INDEX('Additional data'!$H$2:$H$1196,MATCH(N507,'Additional data'!$G$2:$G$1196,1))+INDEX('Additional data'!$I$2:$I$1196,MATCH(N507,'Additional data'!$G$2:$G$1196,1)))</f>
        <v>3.7524276972887627</v>
      </c>
      <c r="R507" s="232">
        <f>LN(INDEX(Data!$B$2:$B$497,MATCH(N507,Data!$A$2:$A$497,1)))</f>
        <v>10.388956044467733</v>
      </c>
      <c r="S507" s="116">
        <f>INDEX('Additional data'!$E$2:$E$699,MATCH(DATE(YEAR(N507),MONTH(N507),1),'Additional data'!$D$2:$D$699,0))</f>
        <v>3.95</v>
      </c>
      <c r="T507" s="115">
        <f t="shared" si="88"/>
        <v>2.9371832016648725E-2</v>
      </c>
      <c r="U507" s="115">
        <f t="shared" si="89"/>
        <v>5.4772235846979545E-2</v>
      </c>
      <c r="V507" s="115">
        <f t="shared" si="92"/>
        <v>1.925685571239022E-2</v>
      </c>
      <c r="W507" s="116">
        <f t="shared" si="90"/>
        <v>0.17000000000000037</v>
      </c>
      <c r="X507" s="115">
        <f t="shared" si="93"/>
        <v>0.30699301736486895</v>
      </c>
      <c r="Y507" s="115">
        <f t="shared" si="94"/>
        <v>0.24158615992981147</v>
      </c>
      <c r="Z507" s="115">
        <f t="shared" si="96"/>
        <v>0.29640831571850512</v>
      </c>
      <c r="AA507" s="116">
        <f t="shared" si="95"/>
        <v>-0.80999999999999961</v>
      </c>
      <c r="AB507" s="115">
        <f t="shared" si="84"/>
        <v>0.47699522671645767</v>
      </c>
      <c r="AC507" s="115">
        <f t="shared" si="85"/>
        <v>6.0856826101069572E-2</v>
      </c>
      <c r="AD507" s="115">
        <f t="shared" si="91"/>
        <v>0.38884971416973535</v>
      </c>
      <c r="AE507" s="235">
        <f t="shared" si="86"/>
        <v>-1.4799999999999995</v>
      </c>
    </row>
    <row r="508" spans="14:31" x14ac:dyDescent="0.2">
      <c r="N508" s="337">
        <v>40178</v>
      </c>
      <c r="O508" s="116">
        <f>INDEX('Additional data'!$B$2:$B$965,MATCH(DATE(YEAR(N508),MONTH(N508),1),'Additional data'!$A$2:$A$965,0))</f>
        <v>74.3</v>
      </c>
      <c r="P508" s="232">
        <f t="shared" si="87"/>
        <v>4.3081109517237133</v>
      </c>
      <c r="Q508" s="232">
        <f>Q507+LN(1+INDEX('Additional data'!$H$2:$H$1196,MATCH(N508,'Additional data'!$G$2:$G$1196,1))+INDEX('Additional data'!$I$2:$I$1196,MATCH(N508,'Additional data'!$G$2:$G$1196,1)))</f>
        <v>3.7801401358552984</v>
      </c>
      <c r="R508" s="232">
        <f>LN(INDEX(Data!$B$2:$B$497,MATCH(N508,Data!$A$2:$A$497,1)))</f>
        <v>10.425211631800456</v>
      </c>
      <c r="S508" s="116">
        <f>INDEX('Additional data'!$E$2:$E$699,MATCH(DATE(YEAR(N508),MONTH(N508),1),'Additional data'!$D$2:$D$699,0))</f>
        <v>4.1290476190476202</v>
      </c>
      <c r="T508" s="115">
        <f t="shared" si="88"/>
        <v>-4.9622990381124055E-2</v>
      </c>
      <c r="U508" s="115">
        <f t="shared" si="89"/>
        <v>2.7712438566535713E-2</v>
      </c>
      <c r="V508" s="115">
        <f t="shared" si="92"/>
        <v>3.6255587332723493E-2</v>
      </c>
      <c r="W508" s="116">
        <f t="shared" si="90"/>
        <v>0.17904761904762001</v>
      </c>
      <c r="X508" s="115">
        <f t="shared" si="93"/>
        <v>0.59405119907947856</v>
      </c>
      <c r="Y508" s="115">
        <f t="shared" si="94"/>
        <v>0.25175341928059813</v>
      </c>
      <c r="Z508" s="115">
        <f t="shared" si="96"/>
        <v>0.33345400006334991</v>
      </c>
      <c r="AA508" s="116">
        <f t="shared" si="95"/>
        <v>-0.26095238095237949</v>
      </c>
      <c r="AB508" s="115">
        <f t="shared" si="84"/>
        <v>0.53926571597189543</v>
      </c>
      <c r="AC508" s="115">
        <f t="shared" si="85"/>
        <v>5.3395189659951381E-2</v>
      </c>
      <c r="AD508" s="115">
        <f t="shared" si="91"/>
        <v>0.39552760273634391</v>
      </c>
      <c r="AE508" s="235">
        <f t="shared" si="86"/>
        <v>-1.28095238095238</v>
      </c>
    </row>
    <row r="509" spans="14:31" x14ac:dyDescent="0.2">
      <c r="N509" s="337">
        <v>40209</v>
      </c>
      <c r="O509" s="116">
        <f>INDEX('Additional data'!$B$2:$B$965,MATCH(DATE(YEAR(N509),MONTH(N509),1),'Additional data'!$A$2:$A$965,0))</f>
        <v>78.22</v>
      </c>
      <c r="P509" s="232">
        <f t="shared" si="87"/>
        <v>4.3595253693273683</v>
      </c>
      <c r="Q509" s="232">
        <f>Q508+LN(1+INDEX('Additional data'!$H$2:$H$1196,MATCH(N509,'Additional data'!$G$2:$G$1196,1))+INDEX('Additional data'!$I$2:$I$1196,MATCH(N509,'Additional data'!$G$2:$G$1196,1)))</f>
        <v>3.7460661555215471</v>
      </c>
      <c r="R509" s="232">
        <f>LN(INDEX(Data!$B$2:$B$497,MATCH(N509,Data!$A$2:$A$497,1)))</f>
        <v>10.364934411572985</v>
      </c>
      <c r="S509" s="116">
        <f>INDEX('Additional data'!$E$2:$E$699,MATCH(DATE(YEAR(N509),MONTH(N509),1),'Additional data'!$D$2:$D$699,0))</f>
        <v>4.2024999999999997</v>
      </c>
      <c r="T509" s="115">
        <f t="shared" si="88"/>
        <v>5.141441760365506E-2</v>
      </c>
      <c r="U509" s="115">
        <f t="shared" si="89"/>
        <v>-3.4073980333751308E-2</v>
      </c>
      <c r="V509" s="115">
        <f t="shared" si="92"/>
        <v>-6.0277220227471062E-2</v>
      </c>
      <c r="W509" s="116">
        <f t="shared" si="90"/>
        <v>7.3452380952379492E-2</v>
      </c>
      <c r="X509" s="115">
        <f t="shared" si="93"/>
        <v>0.62806546767831373</v>
      </c>
      <c r="Y509" s="115">
        <f t="shared" si="94"/>
        <v>0.30203978756492011</v>
      </c>
      <c r="Z509" s="115">
        <f t="shared" si="96"/>
        <v>0.32389731874106609</v>
      </c>
      <c r="AA509" s="116">
        <f t="shared" si="95"/>
        <v>0.46249999999999947</v>
      </c>
      <c r="AB509" s="115">
        <f t="shared" si="84"/>
        <v>0.51278783059785171</v>
      </c>
      <c r="AC509" s="115">
        <f t="shared" si="85"/>
        <v>4.5562520531427175E-2</v>
      </c>
      <c r="AD509" s="115">
        <f t="shared" si="91"/>
        <v>0.32204933087858123</v>
      </c>
      <c r="AE509" s="235">
        <f t="shared" si="86"/>
        <v>-1.2175000000000002</v>
      </c>
    </row>
    <row r="510" spans="14:31" x14ac:dyDescent="0.2">
      <c r="N510" s="337">
        <v>40237</v>
      </c>
      <c r="O510" s="116">
        <f>INDEX('Additional data'!$B$2:$B$965,MATCH(DATE(YEAR(N510),MONTH(N510),1),'Additional data'!$A$2:$A$965,0))</f>
        <v>76.42</v>
      </c>
      <c r="P510" s="232">
        <f t="shared" si="87"/>
        <v>4.3362444420187538</v>
      </c>
      <c r="Q510" s="232">
        <f>Q509+LN(1+INDEX('Additional data'!$H$2:$H$1196,MATCH(N510,'Additional data'!$G$2:$G$1196,1))+INDEX('Additional data'!$I$2:$I$1196,MATCH(N510,'Additional data'!$G$2:$G$1196,1)))</f>
        <v>3.7794042151320575</v>
      </c>
      <c r="R510" s="232">
        <f>LN(INDEX(Data!$B$2:$B$497,MATCH(N510,Data!$A$2:$A$497,1)))</f>
        <v>10.382960250923171</v>
      </c>
      <c r="S510" s="116">
        <f>INDEX('Additional data'!$E$2:$E$699,MATCH(DATE(YEAR(N510),MONTH(N510),1),'Additional data'!$D$2:$D$699,0))</f>
        <v>4.16</v>
      </c>
      <c r="T510" s="115">
        <f t="shared" si="88"/>
        <v>-2.328092730861453E-2</v>
      </c>
      <c r="U510" s="115">
        <f t="shared" si="89"/>
        <v>3.3338059610510395E-2</v>
      </c>
      <c r="V510" s="115">
        <f t="shared" si="92"/>
        <v>1.8025839350185535E-2</v>
      </c>
      <c r="W510" s="116">
        <f t="shared" si="90"/>
        <v>-4.2499999999999538E-2</v>
      </c>
      <c r="X510" s="115">
        <f t="shared" si="93"/>
        <v>0.66858862435644406</v>
      </c>
      <c r="Y510" s="115">
        <f t="shared" si="94"/>
        <v>0.44218385149323991</v>
      </c>
      <c r="Z510" s="115">
        <f t="shared" si="96"/>
        <v>0.38547569860813269</v>
      </c>
      <c r="AA510" s="116">
        <f t="shared" si="95"/>
        <v>1</v>
      </c>
      <c r="AB510" s="115">
        <f t="shared" si="84"/>
        <v>0.46566862650478136</v>
      </c>
      <c r="AC510" s="115">
        <f t="shared" si="85"/>
        <v>5.8705872856418484E-2</v>
      </c>
      <c r="AD510" s="115">
        <f t="shared" si="91"/>
        <v>0.3222537590573058</v>
      </c>
      <c r="AE510" s="235">
        <f t="shared" si="86"/>
        <v>-1.4699999999999998</v>
      </c>
    </row>
    <row r="511" spans="14:31" x14ac:dyDescent="0.2">
      <c r="N511" s="337">
        <v>40268</v>
      </c>
      <c r="O511" s="116">
        <f>INDEX('Additional data'!$B$2:$B$965,MATCH(DATE(YEAR(N511),MONTH(N511),1),'Additional data'!$A$2:$A$965,0))</f>
        <v>81.239999999999995</v>
      </c>
      <c r="P511" s="232">
        <f t="shared" si="87"/>
        <v>4.397407736712184</v>
      </c>
      <c r="Q511" s="232">
        <f>Q510+LN(1+INDEX('Additional data'!$H$2:$H$1196,MATCH(N511,'Additional data'!$G$2:$G$1196,1))+INDEX('Additional data'!$I$2:$I$1196,MATCH(N511,'Additional data'!$G$2:$G$1196,1)))</f>
        <v>3.8405933834444799</v>
      </c>
      <c r="R511" s="232">
        <f>LN(INDEX(Data!$B$2:$B$497,MATCH(N511,Data!$A$2:$A$497,1)))</f>
        <v>10.439632679738196</v>
      </c>
      <c r="S511" s="116">
        <f>INDEX('Additional data'!$E$2:$E$699,MATCH(DATE(YEAR(N511),MONTH(N511),1),'Additional data'!$D$2:$D$699,0))</f>
        <v>4.3274999999999997</v>
      </c>
      <c r="T511" s="115">
        <f t="shared" si="88"/>
        <v>6.1163294693430181E-2</v>
      </c>
      <c r="U511" s="115">
        <f t="shared" si="89"/>
        <v>6.1189168312422382E-2</v>
      </c>
      <c r="V511" s="115">
        <f t="shared" si="92"/>
        <v>5.66724288150251E-2</v>
      </c>
      <c r="W511" s="116">
        <f t="shared" si="90"/>
        <v>0.16749999999999954</v>
      </c>
      <c r="X511" s="115">
        <f t="shared" si="93"/>
        <v>0.52662347930063547</v>
      </c>
      <c r="Y511" s="115">
        <f t="shared" si="94"/>
        <v>0.41692013207546319</v>
      </c>
      <c r="Z511" s="115">
        <f t="shared" si="96"/>
        <v>0.3647195077895784</v>
      </c>
      <c r="AA511" s="116">
        <f t="shared" si="95"/>
        <v>1.1674999999999995</v>
      </c>
      <c r="AB511" s="115">
        <f t="shared" si="84"/>
        <v>0.40269936466542999</v>
      </c>
      <c r="AC511" s="115">
        <f t="shared" si="85"/>
        <v>0.13734643478259656</v>
      </c>
      <c r="AD511" s="115">
        <f t="shared" si="91"/>
        <v>0.38639841634029182</v>
      </c>
      <c r="AE511" s="235">
        <f t="shared" si="86"/>
        <v>-1.4824999999999999</v>
      </c>
    </row>
    <row r="512" spans="14:31" x14ac:dyDescent="0.2">
      <c r="N512" s="337">
        <v>40298</v>
      </c>
      <c r="O512" s="116">
        <f>INDEX('Additional data'!$B$2:$B$965,MATCH(DATE(YEAR(N512),MONTH(N512),1),'Additional data'!$A$2:$A$965,0))</f>
        <v>84.48</v>
      </c>
      <c r="P512" s="232">
        <f t="shared" si="87"/>
        <v>4.4365148199579512</v>
      </c>
      <c r="Q512" s="232">
        <f>Q511+LN(1+INDEX('Additional data'!$H$2:$H$1196,MATCH(N512,'Additional data'!$G$2:$G$1196,1))+INDEX('Additional data'!$I$2:$I$1196,MATCH(N512,'Additional data'!$G$2:$G$1196,1)))</f>
        <v>3.8603960107406596</v>
      </c>
      <c r="R512" s="232">
        <f>LN(INDEX(Data!$B$2:$B$497,MATCH(N512,Data!$A$2:$A$497,1)))</f>
        <v>10.427785374847224</v>
      </c>
      <c r="S512" s="116">
        <f>INDEX('Additional data'!$E$2:$E$699,MATCH(DATE(YEAR(N512),MONTH(N512),1),'Additional data'!$D$2:$D$699,0))</f>
        <v>4.5449999999999999</v>
      </c>
      <c r="T512" s="115">
        <f t="shared" si="88"/>
        <v>3.9107083245767171E-2</v>
      </c>
      <c r="U512" s="115">
        <f t="shared" si="89"/>
        <v>1.9802627296179764E-2</v>
      </c>
      <c r="V512" s="115">
        <f t="shared" si="92"/>
        <v>-1.184730489097241E-2</v>
      </c>
      <c r="W512" s="116">
        <f t="shared" si="90"/>
        <v>0.21750000000000025</v>
      </c>
      <c r="X512" s="115">
        <f t="shared" si="93"/>
        <v>0.52870065930385968</v>
      </c>
      <c r="Y512" s="115">
        <f t="shared" si="94"/>
        <v>0.33977755331516413</v>
      </c>
      <c r="Z512" s="115">
        <f t="shared" si="96"/>
        <v>0.29393415885074603</v>
      </c>
      <c r="AA512" s="116">
        <f t="shared" si="95"/>
        <v>1.4449999999999998</v>
      </c>
      <c r="AB512" s="115">
        <f t="shared" si="84"/>
        <v>0.46546847408034431</v>
      </c>
      <c r="AC512" s="115">
        <f t="shared" si="85"/>
        <v>0.18144175464782109</v>
      </c>
      <c r="AD512" s="115">
        <f t="shared" si="91"/>
        <v>0.41309572695161378</v>
      </c>
      <c r="AE512" s="235">
        <f t="shared" si="86"/>
        <v>-1.2050000000000001</v>
      </c>
    </row>
    <row r="513" spans="14:31" x14ac:dyDescent="0.2">
      <c r="N513" s="337">
        <v>40329</v>
      </c>
      <c r="O513" s="116">
        <f>INDEX('Additional data'!$B$2:$B$965,MATCH(DATE(YEAR(N513),MONTH(N513),1),'Additional data'!$A$2:$A$965,0))</f>
        <v>73.84</v>
      </c>
      <c r="P513" s="232">
        <f t="shared" si="87"/>
        <v>4.301900590194597</v>
      </c>
      <c r="Q513" s="232">
        <f>Q512+LN(1+INDEX('Additional data'!$H$2:$H$1196,MATCH(N513,'Additional data'!$G$2:$G$1196,1))+INDEX('Additional data'!$I$2:$I$1196,MATCH(N513,'Additional data'!$G$2:$G$1196,1)))</f>
        <v>3.7782093397527126</v>
      </c>
      <c r="R513" s="232">
        <f>LN(INDEX(Data!$B$2:$B$497,MATCH(N513,Data!$A$2:$A$497,1)))</f>
        <v>10.349090087901157</v>
      </c>
      <c r="S513" s="116">
        <f>INDEX('Additional data'!$E$2:$E$699,MATCH(DATE(YEAR(N513),MONTH(N513),1),'Additional data'!$D$2:$D$699,0))</f>
        <v>4.8049999999999997</v>
      </c>
      <c r="T513" s="115">
        <f t="shared" si="88"/>
        <v>-0.13461422976335413</v>
      </c>
      <c r="U513" s="115">
        <f t="shared" si="89"/>
        <v>-8.2186670987947075E-2</v>
      </c>
      <c r="V513" s="115">
        <f t="shared" si="92"/>
        <v>-7.8695286946066645E-2</v>
      </c>
      <c r="W513" s="116">
        <f t="shared" si="90"/>
        <v>0.25999999999999979</v>
      </c>
      <c r="X513" s="115">
        <f t="shared" si="93"/>
        <v>0.22165495235199817</v>
      </c>
      <c r="Y513" s="115">
        <f t="shared" si="94"/>
        <v>0.20680271549511176</v>
      </c>
      <c r="Z513" s="115">
        <f t="shared" si="96"/>
        <v>0.19396424286713376</v>
      </c>
      <c r="AA513" s="116">
        <f t="shared" si="95"/>
        <v>1.6749999999999998</v>
      </c>
      <c r="AB513" s="115">
        <f t="shared" ref="AB513:AB576" si="97">P513-P453</f>
        <v>0.39328337790128387</v>
      </c>
      <c r="AC513" s="115">
        <f t="shared" ref="AC513:AC576" si="98">Q513-Q453</f>
        <v>6.1092622565525279E-2</v>
      </c>
      <c r="AD513" s="115">
        <f t="shared" si="91"/>
        <v>0.30087083229881628</v>
      </c>
      <c r="AE513" s="235">
        <f t="shared" ref="AE513:AE576" si="99">S513-S453</f>
        <v>-0.875</v>
      </c>
    </row>
    <row r="514" spans="14:31" x14ac:dyDescent="0.2">
      <c r="N514" s="337">
        <v>40359</v>
      </c>
      <c r="O514" s="116">
        <f>INDEX('Additional data'!$B$2:$B$965,MATCH(DATE(YEAR(N514),MONTH(N514),1),'Additional data'!$A$2:$A$965,0))</f>
        <v>75.349999999999994</v>
      </c>
      <c r="P514" s="232">
        <f t="shared" si="87"/>
        <v>4.3221439250725044</v>
      </c>
      <c r="Q514" s="232">
        <f>Q513+LN(1+INDEX('Additional data'!$H$2:$H$1196,MATCH(N514,'Additional data'!$G$2:$G$1196,1))+INDEX('Additional data'!$I$2:$I$1196,MATCH(N514,'Additional data'!$G$2:$G$1196,1)))</f>
        <v>3.7211097477121395</v>
      </c>
      <c r="R514" s="232">
        <f>LN(INDEX(Data!$B$2:$B$497,MATCH(N514,Data!$A$2:$A$497,1)))</f>
        <v>10.32269630320152</v>
      </c>
      <c r="S514" s="116">
        <f>INDEX('Additional data'!$E$2:$E$699,MATCH(DATE(YEAR(N514),MONTH(N514),1),'Additional data'!$D$2:$D$699,0))</f>
        <v>4.8875000000000002</v>
      </c>
      <c r="T514" s="115">
        <f t="shared" si="88"/>
        <v>2.0243334877907415E-2</v>
      </c>
      <c r="U514" s="115">
        <f t="shared" si="89"/>
        <v>-5.7099592040573022E-2</v>
      </c>
      <c r="V514" s="115">
        <f t="shared" si="92"/>
        <v>-2.6393784699637379E-2</v>
      </c>
      <c r="W514" s="116">
        <f t="shared" si="90"/>
        <v>8.2500000000000462E-2</v>
      </c>
      <c r="X514" s="115">
        <f t="shared" si="93"/>
        <v>7.8230592528257148E-2</v>
      </c>
      <c r="Y514" s="115">
        <f t="shared" si="94"/>
        <v>0.14541234203738229</v>
      </c>
      <c r="Z514" s="115">
        <f t="shared" si="96"/>
        <v>0.1290688262080355</v>
      </c>
      <c r="AA514" s="116">
        <f t="shared" si="95"/>
        <v>1.6375000000000002</v>
      </c>
      <c r="AB514" s="115">
        <f t="shared" si="97"/>
        <v>0.29216012201079344</v>
      </c>
      <c r="AC514" s="115">
        <f t="shared" si="98"/>
        <v>-4.0743405528065324E-3</v>
      </c>
      <c r="AD514" s="115">
        <f t="shared" si="91"/>
        <v>0.23081127305246341</v>
      </c>
      <c r="AE514" s="235">
        <f t="shared" si="99"/>
        <v>-0.77249999999999996</v>
      </c>
    </row>
    <row r="515" spans="14:31" x14ac:dyDescent="0.2">
      <c r="N515" s="337">
        <v>40390</v>
      </c>
      <c r="O515" s="116">
        <f>INDEX('Additional data'!$B$2:$B$965,MATCH(DATE(YEAR(N515),MONTH(N515),1),'Additional data'!$A$2:$A$965,0))</f>
        <v>76.37</v>
      </c>
      <c r="P515" s="232">
        <f t="shared" si="87"/>
        <v>4.3355899489002931</v>
      </c>
      <c r="Q515" s="232">
        <f>Q514+LN(1+INDEX('Additional data'!$H$2:$H$1196,MATCH(N515,'Additional data'!$G$2:$G$1196,1))+INDEX('Additional data'!$I$2:$I$1196,MATCH(N515,'Additional data'!$G$2:$G$1196,1)))</f>
        <v>3.7881139764926135</v>
      </c>
      <c r="R515" s="232">
        <f>LN(INDEX(Data!$B$2:$B$497,MATCH(N515,Data!$A$2:$A$497,1)))</f>
        <v>10.364122684087286</v>
      </c>
      <c r="S515" s="116">
        <f>INDEX('Additional data'!$E$2:$E$699,MATCH(DATE(YEAR(N515),MONTH(N515),1),'Additional data'!$D$2:$D$699,0))</f>
        <v>4.84</v>
      </c>
      <c r="T515" s="115">
        <f t="shared" si="88"/>
        <v>1.34460238277887E-2</v>
      </c>
      <c r="U515" s="115">
        <f t="shared" si="89"/>
        <v>6.7004228780473962E-2</v>
      </c>
      <c r="V515" s="115">
        <f t="shared" si="92"/>
        <v>4.1426380885766889E-2</v>
      </c>
      <c r="W515" s="116">
        <f t="shared" si="90"/>
        <v>-4.750000000000032E-2</v>
      </c>
      <c r="X515" s="115">
        <f t="shared" si="93"/>
        <v>0.1753016033841579</v>
      </c>
      <c r="Y515" s="115">
        <f t="shared" si="94"/>
        <v>0.13777302782209055</v>
      </c>
      <c r="Z515" s="115">
        <f t="shared" si="96"/>
        <v>9.677649224942364E-2</v>
      </c>
      <c r="AA515" s="116">
        <f t="shared" si="95"/>
        <v>1.6999999999999997</v>
      </c>
      <c r="AB515" s="115">
        <f t="shared" si="97"/>
        <v>0.26315022206624228</v>
      </c>
      <c r="AC515" s="115">
        <f t="shared" si="98"/>
        <v>2.2171895755499715E-2</v>
      </c>
      <c r="AD515" s="115">
        <f t="shared" si="91"/>
        <v>0.2449448469513964</v>
      </c>
      <c r="AE515" s="235">
        <f t="shared" si="99"/>
        <v>-0.8100000000000005</v>
      </c>
    </row>
    <row r="516" spans="14:31" x14ac:dyDescent="0.2">
      <c r="N516" s="337">
        <v>40421</v>
      </c>
      <c r="O516" s="116">
        <f>INDEX('Additional data'!$B$2:$B$965,MATCH(DATE(YEAR(N516),MONTH(N516),1),'Additional data'!$A$2:$A$965,0))</f>
        <v>76.819999999999993</v>
      </c>
      <c r="P516" s="232">
        <f t="shared" si="87"/>
        <v>4.3414650229177587</v>
      </c>
      <c r="Q516" s="232">
        <f>Q515+LN(1+INDEX('Additional data'!$H$2:$H$1196,MATCH(N516,'Additional data'!$G$2:$G$1196,1))+INDEX('Additional data'!$I$2:$I$1196,MATCH(N516,'Additional data'!$G$2:$G$1196,1)))</f>
        <v>3.7392388087104766</v>
      </c>
      <c r="R516" s="232">
        <f>LN(INDEX(Data!$B$2:$B$497,MATCH(N516,Data!$A$2:$A$497,1)))</f>
        <v>10.356979075800568</v>
      </c>
      <c r="S516" s="116">
        <f>INDEX('Additional data'!$E$2:$E$699,MATCH(DATE(YEAR(N516),MONTH(N516),1),'Additional data'!$D$2:$D$699,0))</f>
        <v>4.7424999999999997</v>
      </c>
      <c r="T516" s="115">
        <f t="shared" si="88"/>
        <v>5.8750740174655647E-3</v>
      </c>
      <c r="U516" s="115">
        <f t="shared" si="89"/>
        <v>-4.8875167782136852E-2</v>
      </c>
      <c r="V516" s="115">
        <f t="shared" si="92"/>
        <v>-7.1436082867180062E-3</v>
      </c>
      <c r="W516" s="116">
        <f t="shared" si="90"/>
        <v>-9.7500000000000142E-2</v>
      </c>
      <c r="X516" s="115">
        <f t="shared" si="93"/>
        <v>7.7940432324878017E-2</v>
      </c>
      <c r="Y516" s="115">
        <f t="shared" si="94"/>
        <v>5.6043523169006626E-2</v>
      </c>
      <c r="Z516" s="115">
        <f t="shared" si="96"/>
        <v>2.6912327938280356E-2</v>
      </c>
      <c r="AA516" s="116">
        <f t="shared" si="95"/>
        <v>1.4424999999999999</v>
      </c>
      <c r="AB516" s="115">
        <f t="shared" si="97"/>
        <v>0.16753939802531903</v>
      </c>
      <c r="AC516" s="115">
        <f t="shared" si="98"/>
        <v>-1.7662527374488146E-2</v>
      </c>
      <c r="AD516" s="115">
        <f t="shared" si="91"/>
        <v>0.21630456383172714</v>
      </c>
      <c r="AE516" s="235">
        <f t="shared" si="99"/>
        <v>-0.87750000000000039</v>
      </c>
    </row>
    <row r="517" spans="14:31" x14ac:dyDescent="0.2">
      <c r="N517" s="337">
        <v>40451</v>
      </c>
      <c r="O517" s="116">
        <f>INDEX('Additional data'!$B$2:$B$965,MATCH(DATE(YEAR(N517),MONTH(N517),1),'Additional data'!$A$2:$A$965,0))</f>
        <v>75.31</v>
      </c>
      <c r="P517" s="232">
        <f t="shared" ref="P517:P580" si="100">LN(O517)</f>
        <v>4.32161292811326</v>
      </c>
      <c r="Q517" s="232">
        <f>Q516+LN(1+INDEX('Additional data'!$H$2:$H$1196,MATCH(N517,'Additional data'!$G$2:$G$1196,1))+INDEX('Additional data'!$I$2:$I$1196,MATCH(N517,'Additional data'!$G$2:$G$1196,1)))</f>
        <v>3.8305409671172628</v>
      </c>
      <c r="R517" s="232">
        <f>LN(INDEX(Data!$B$2:$B$497,MATCH(N517,Data!$A$2:$A$497,1)))</f>
        <v>10.40595614921698</v>
      </c>
      <c r="S517" s="116">
        <f>INDEX('Additional data'!$E$2:$E$699,MATCH(DATE(YEAR(N517),MONTH(N517),1),'Additional data'!$D$2:$D$699,0))</f>
        <v>4.8150000000000004</v>
      </c>
      <c r="T517" s="115">
        <f t="shared" si="88"/>
        <v>-1.9852094804498677E-2</v>
      </c>
      <c r="U517" s="115">
        <f t="shared" si="89"/>
        <v>9.1302158406786127E-2</v>
      </c>
      <c r="V517" s="115">
        <f t="shared" si="92"/>
        <v>4.8977073416411443E-2</v>
      </c>
      <c r="W517" s="116">
        <f t="shared" si="90"/>
        <v>7.2500000000000675E-2</v>
      </c>
      <c r="X517" s="115">
        <f t="shared" si="93"/>
        <v>8.0861880797332475E-2</v>
      </c>
      <c r="Y517" s="115">
        <f t="shared" si="94"/>
        <v>0.10725995803650701</v>
      </c>
      <c r="Z517" s="115">
        <f t="shared" si="96"/>
        <v>1.7176681127004656E-2</v>
      </c>
      <c r="AA517" s="116">
        <f t="shared" si="95"/>
        <v>1.4450000000000003</v>
      </c>
      <c r="AB517" s="115">
        <f t="shared" si="97"/>
        <v>0.13849465383773207</v>
      </c>
      <c r="AC517" s="115">
        <f t="shared" si="98"/>
        <v>6.5969124728078476E-2</v>
      </c>
      <c r="AD517" s="115">
        <f t="shared" si="91"/>
        <v>0.21882082609242026</v>
      </c>
      <c r="AE517" s="235">
        <f t="shared" si="99"/>
        <v>-0.80499999999999972</v>
      </c>
    </row>
    <row r="518" spans="14:31" x14ac:dyDescent="0.2">
      <c r="N518" s="337">
        <v>40482</v>
      </c>
      <c r="O518" s="116">
        <f>INDEX('Additional data'!$B$2:$B$965,MATCH(DATE(YEAR(N518),MONTH(N518),1),'Additional data'!$A$2:$A$965,0))</f>
        <v>81.900000000000006</v>
      </c>
      <c r="P518" s="232">
        <f t="shared" si="100"/>
        <v>4.4054989908590239</v>
      </c>
      <c r="Q518" s="232">
        <f>Q517+LN(1+INDEX('Additional data'!$H$2:$H$1196,MATCH(N518,'Additional data'!$G$2:$G$1196,1))+INDEX('Additional data'!$I$2:$I$1196,MATCH(N518,'Additional data'!$G$2:$G$1196,1)))</f>
        <v>3.8686071679237188</v>
      </c>
      <c r="R518" s="232">
        <f>LN(INDEX(Data!$B$2:$B$497,MATCH(N518,Data!$A$2:$A$497,1)))</f>
        <v>10.427432309542347</v>
      </c>
      <c r="S518" s="116">
        <f>INDEX('Additional data'!$E$2:$E$699,MATCH(DATE(YEAR(N518),MONTH(N518),1),'Additional data'!$D$2:$D$699,0))</f>
        <v>4.8099999999999996</v>
      </c>
      <c r="T518" s="115">
        <f t="shared" ref="T518:T581" si="101">P518-P517</f>
        <v>8.3886062745763823E-2</v>
      </c>
      <c r="U518" s="115">
        <f t="shared" ref="U518:U581" si="102">Q518-Q517</f>
        <v>3.8066200806456063E-2</v>
      </c>
      <c r="V518" s="115">
        <f t="shared" si="92"/>
        <v>2.1476160325367033E-2</v>
      </c>
      <c r="W518" s="116">
        <f t="shared" ref="W518:W581" si="103">S518-S517</f>
        <v>-5.0000000000007816E-3</v>
      </c>
      <c r="X518" s="115">
        <f t="shared" si="93"/>
        <v>7.7136880770835248E-2</v>
      </c>
      <c r="Y518" s="115">
        <f t="shared" si="94"/>
        <v>0.17095170648193569</v>
      </c>
      <c r="Z518" s="115">
        <f t="shared" si="96"/>
        <v>5.7733120787004211E-2</v>
      </c>
      <c r="AA518" s="116">
        <f t="shared" si="95"/>
        <v>1.0299999999999998</v>
      </c>
      <c r="AB518" s="115">
        <f t="shared" si="97"/>
        <v>0.27241460032099241</v>
      </c>
      <c r="AC518" s="115">
        <f t="shared" si="98"/>
        <v>0.12189384383584745</v>
      </c>
      <c r="AD518" s="115">
        <f t="shared" si="91"/>
        <v>0.27936301469885372</v>
      </c>
      <c r="AE518" s="235">
        <f t="shared" si="99"/>
        <v>-0.82000000000000028</v>
      </c>
    </row>
    <row r="519" spans="14:31" x14ac:dyDescent="0.2">
      <c r="N519" s="337">
        <v>40512</v>
      </c>
      <c r="O519" s="116">
        <f>INDEX('Additional data'!$B$2:$B$965,MATCH(DATE(YEAR(N519),MONTH(N519),1),'Additional data'!$A$2:$A$965,0))</f>
        <v>84.14</v>
      </c>
      <c r="P519" s="232">
        <f t="shared" si="100"/>
        <v>4.4324820781623746</v>
      </c>
      <c r="Q519" s="232">
        <f>Q518+LN(1+INDEX('Additional data'!$H$2:$H$1196,MATCH(N519,'Additional data'!$G$2:$G$1196,1))+INDEX('Additional data'!$I$2:$I$1196,MATCH(N519,'Additional data'!$G$2:$G$1196,1)))</f>
        <v>3.8745892396012662</v>
      </c>
      <c r="R519" s="232">
        <f>LN(INDEX(Data!$B$2:$B$497,MATCH(N519,Data!$A$2:$A$497,1)))</f>
        <v>10.420436926241354</v>
      </c>
      <c r="S519" s="116">
        <f>INDEX('Additional data'!$E$2:$E$699,MATCH(DATE(YEAR(N519),MONTH(N519),1),'Additional data'!$D$2:$D$699,0))</f>
        <v>5.0149999999999997</v>
      </c>
      <c r="T519" s="115">
        <f t="shared" si="101"/>
        <v>2.698308730335075E-2</v>
      </c>
      <c r="U519" s="115">
        <f t="shared" si="102"/>
        <v>5.9820716775473848E-3</v>
      </c>
      <c r="V519" s="115">
        <f t="shared" si="92"/>
        <v>-6.9953833009925859E-3</v>
      </c>
      <c r="W519" s="116">
        <f t="shared" si="103"/>
        <v>0.20500000000000007</v>
      </c>
      <c r="X519" s="115">
        <f t="shared" si="93"/>
        <v>7.4748136057537273E-2</v>
      </c>
      <c r="Y519" s="115">
        <f t="shared" si="94"/>
        <v>0.12216154231250353</v>
      </c>
      <c r="Z519" s="115">
        <f t="shared" si="96"/>
        <v>3.1480881773621405E-2</v>
      </c>
      <c r="AA519" s="116">
        <f t="shared" si="95"/>
        <v>1.0649999999999995</v>
      </c>
      <c r="AB519" s="115">
        <f t="shared" si="97"/>
        <v>0.36687998480592832</v>
      </c>
      <c r="AC519" s="115">
        <f t="shared" si="98"/>
        <v>8.9424729139142123E-2</v>
      </c>
      <c r="AD519" s="115">
        <f t="shared" si="91"/>
        <v>0.22931986513490266</v>
      </c>
      <c r="AE519" s="235">
        <f t="shared" si="99"/>
        <v>-0.61500000000000021</v>
      </c>
    </row>
    <row r="520" spans="14:31" x14ac:dyDescent="0.2">
      <c r="N520" s="337">
        <v>40543</v>
      </c>
      <c r="O520" s="116">
        <f>INDEX('Additional data'!$B$2:$B$965,MATCH(DATE(YEAR(N520),MONTH(N520),1),'Additional data'!$A$2:$A$965,0))</f>
        <v>89.04</v>
      </c>
      <c r="P520" s="232">
        <f t="shared" si="100"/>
        <v>4.4890857069672894</v>
      </c>
      <c r="Q520" s="232">
        <f>Q519+LN(1+INDEX('Additional data'!$H$2:$H$1196,MATCH(N520,'Additional data'!$G$2:$G$1196,1))+INDEX('Additional data'!$I$2:$I$1196,MATCH(N520,'Additional data'!$G$2:$G$1196,1)))</f>
        <v>3.9406578395709708</v>
      </c>
      <c r="R520" s="232">
        <f>LN(INDEX(Data!$B$2:$B$497,MATCH(N520,Data!$A$2:$A$497,1)))</f>
        <v>10.457739349396086</v>
      </c>
      <c r="S520" s="116">
        <f>INDEX('Additional data'!$E$2:$E$699,MATCH(DATE(YEAR(N520),MONTH(N520),1),'Additional data'!$D$2:$D$699,0))</f>
        <v>5.0250000000000004</v>
      </c>
      <c r="T520" s="115">
        <f t="shared" si="101"/>
        <v>5.6603628804914763E-2</v>
      </c>
      <c r="U520" s="115">
        <f t="shared" si="102"/>
        <v>6.60685999697046E-2</v>
      </c>
      <c r="V520" s="115">
        <f t="shared" si="92"/>
        <v>3.7302423154731201E-2</v>
      </c>
      <c r="W520" s="116">
        <f t="shared" si="103"/>
        <v>1.0000000000000675E-2</v>
      </c>
      <c r="X520" s="115">
        <f t="shared" si="93"/>
        <v>0.18097475524357609</v>
      </c>
      <c r="Y520" s="115">
        <f t="shared" si="94"/>
        <v>0.16051770371567242</v>
      </c>
      <c r="Z520" s="115">
        <f t="shared" si="96"/>
        <v>3.2527717595629113E-2</v>
      </c>
      <c r="AA520" s="116">
        <f t="shared" si="95"/>
        <v>0.89595238095238017</v>
      </c>
      <c r="AB520" s="115">
        <f t="shared" si="97"/>
        <v>0.40428655758872001</v>
      </c>
      <c r="AC520" s="115">
        <f t="shared" si="98"/>
        <v>0.15469364893828219</v>
      </c>
      <c r="AD520" s="115">
        <f t="shared" si="91"/>
        <v>0.23670949915251072</v>
      </c>
      <c r="AE520" s="235">
        <f t="shared" si="99"/>
        <v>-0.60499999999999954</v>
      </c>
    </row>
    <row r="521" spans="14:31" x14ac:dyDescent="0.2">
      <c r="N521" s="337">
        <v>40574</v>
      </c>
      <c r="O521" s="116">
        <f>INDEX('Additional data'!$B$2:$B$965,MATCH(DATE(YEAR(N521),MONTH(N521),1),'Additional data'!$A$2:$A$965,0))</f>
        <v>89.42</v>
      </c>
      <c r="P521" s="232">
        <f t="shared" si="100"/>
        <v>4.4933443708058345</v>
      </c>
      <c r="Q521" s="232">
        <f>Q520+LN(1+INDEX('Additional data'!$H$2:$H$1196,MATCH(N521,'Additional data'!$G$2:$G$1196,1))+INDEX('Additional data'!$I$2:$I$1196,MATCH(N521,'Additional data'!$G$2:$G$1196,1)))</f>
        <v>3.9603624228453063</v>
      </c>
      <c r="R521" s="232">
        <f>LN(INDEX(Data!$B$2:$B$497,MATCH(N521,Data!$A$2:$A$497,1)))</f>
        <v>10.458409690439819</v>
      </c>
      <c r="S521" s="116">
        <f>INDEX('Additional data'!$E$2:$E$699,MATCH(DATE(YEAR(N521),MONTH(N521),1),'Additional data'!$D$2:$D$699,0))</f>
        <v>4.9550000000000001</v>
      </c>
      <c r="T521" s="115">
        <f t="shared" si="101"/>
        <v>4.2586638385451181E-3</v>
      </c>
      <c r="U521" s="115">
        <f t="shared" si="102"/>
        <v>1.9704583274335441E-2</v>
      </c>
      <c r="V521" s="115">
        <f t="shared" si="92"/>
        <v>6.7034104373320247E-4</v>
      </c>
      <c r="W521" s="116">
        <f t="shared" si="103"/>
        <v>-7.0000000000000284E-2</v>
      </c>
      <c r="X521" s="115">
        <f t="shared" si="93"/>
        <v>0.13381900147846615</v>
      </c>
      <c r="Y521" s="115">
        <f t="shared" si="94"/>
        <v>0.21429626732375917</v>
      </c>
      <c r="Z521" s="115">
        <f t="shared" si="96"/>
        <v>9.3475278866833378E-2</v>
      </c>
      <c r="AA521" s="116">
        <f t="shared" si="95"/>
        <v>0.75250000000000039</v>
      </c>
      <c r="AB521" s="115">
        <f t="shared" si="97"/>
        <v>0.31114156806204907</v>
      </c>
      <c r="AC521" s="115">
        <f t="shared" si="98"/>
        <v>0.14115689843281576</v>
      </c>
      <c r="AD521" s="115">
        <f t="shared" si="91"/>
        <v>0.20157329430906046</v>
      </c>
      <c r="AE521" s="235">
        <f t="shared" si="99"/>
        <v>-0.67499999999999982</v>
      </c>
    </row>
    <row r="522" spans="14:31" x14ac:dyDescent="0.2">
      <c r="N522" s="337">
        <v>40602</v>
      </c>
      <c r="O522" s="116">
        <f>INDEX('Additional data'!$B$2:$B$965,MATCH(DATE(YEAR(N522),MONTH(N522),1),'Additional data'!$A$2:$A$965,0))</f>
        <v>89.58</v>
      </c>
      <c r="P522" s="232">
        <f t="shared" si="100"/>
        <v>4.4951320807791539</v>
      </c>
      <c r="Q522" s="232">
        <f>Q521+LN(1+INDEX('Additional data'!$H$2:$H$1196,MATCH(N522,'Additional data'!$G$2:$G$1196,1))+INDEX('Additional data'!$I$2:$I$1196,MATCH(N522,'Additional data'!$G$2:$G$1196,1)))</f>
        <v>3.9946672265372967</v>
      </c>
      <c r="R522" s="232">
        <f>LN(INDEX(Data!$B$2:$B$497,MATCH(N522,Data!$A$2:$A$497,1)))</f>
        <v>10.480106048554912</v>
      </c>
      <c r="S522" s="116">
        <f>INDEX('Additional data'!$E$2:$E$699,MATCH(DATE(YEAR(N522),MONTH(N522),1),'Additional data'!$D$2:$D$699,0))</f>
        <v>4.9175000000000004</v>
      </c>
      <c r="T522" s="115">
        <f t="shared" si="101"/>
        <v>1.7877099733194513E-3</v>
      </c>
      <c r="U522" s="115">
        <f t="shared" si="102"/>
        <v>3.4304803691990404E-2</v>
      </c>
      <c r="V522" s="115">
        <f t="shared" si="92"/>
        <v>2.1696358115093517E-2</v>
      </c>
      <c r="W522" s="116">
        <f t="shared" si="103"/>
        <v>-3.7499999999999645E-2</v>
      </c>
      <c r="X522" s="115">
        <f t="shared" si="93"/>
        <v>0.15888763876040013</v>
      </c>
      <c r="Y522" s="115">
        <f t="shared" si="94"/>
        <v>0.21526301140523918</v>
      </c>
      <c r="Z522" s="115">
        <f t="shared" si="96"/>
        <v>9.714579763174136E-2</v>
      </c>
      <c r="AA522" s="116">
        <f t="shared" si="95"/>
        <v>0.75750000000000028</v>
      </c>
      <c r="AB522" s="115">
        <f t="shared" si="97"/>
        <v>0.37398331580500255</v>
      </c>
      <c r="AC522" s="115">
        <f t="shared" si="98"/>
        <v>0.17506178210347922</v>
      </c>
      <c r="AD522" s="115">
        <f t="shared" si="91"/>
        <v>0.2162907217954082</v>
      </c>
      <c r="AE522" s="235">
        <f t="shared" si="99"/>
        <v>-0.69249999999999989</v>
      </c>
    </row>
    <row r="523" spans="14:31" x14ac:dyDescent="0.2">
      <c r="N523" s="337">
        <v>40633</v>
      </c>
      <c r="O523" s="116">
        <f>INDEX('Additional data'!$B$2:$B$965,MATCH(DATE(YEAR(N523),MONTH(N523),1),'Additional data'!$A$2:$A$965,0))</f>
        <v>102.94</v>
      </c>
      <c r="P523" s="232">
        <f t="shared" si="100"/>
        <v>4.6341462942246086</v>
      </c>
      <c r="Q523" s="232">
        <f>Q522+LN(1+INDEX('Additional data'!$H$2:$H$1196,MATCH(N523,'Additional data'!$G$2:$G$1196,1))+INDEX('Additional data'!$I$2:$I$1196,MATCH(N523,'Additional data'!$G$2:$G$1196,1)))</f>
        <v>3.9992566788711037</v>
      </c>
      <c r="R523" s="232">
        <f>LN(INDEX(Data!$B$2:$B$497,MATCH(N523,Data!$A$2:$A$497,1)))</f>
        <v>10.486529902785485</v>
      </c>
      <c r="S523" s="116">
        <f>INDEX('Additional data'!$E$2:$E$699,MATCH(DATE(YEAR(N523),MONTH(N523),1),'Additional data'!$D$2:$D$699,0))</f>
        <v>4.92</v>
      </c>
      <c r="T523" s="115">
        <f t="shared" si="101"/>
        <v>0.13901421344545462</v>
      </c>
      <c r="U523" s="115">
        <f t="shared" si="102"/>
        <v>4.5894523338070314E-3</v>
      </c>
      <c r="V523" s="115">
        <f t="shared" si="92"/>
        <v>6.4238542305723456E-3</v>
      </c>
      <c r="W523" s="116">
        <f t="shared" si="103"/>
        <v>2.4999999999995026E-3</v>
      </c>
      <c r="X523" s="115">
        <f t="shared" si="93"/>
        <v>0.23673855751242456</v>
      </c>
      <c r="Y523" s="115">
        <f t="shared" si="94"/>
        <v>0.15866329542662383</v>
      </c>
      <c r="Z523" s="115">
        <f t="shared" si="96"/>
        <v>4.6897223047288605E-2</v>
      </c>
      <c r="AA523" s="116">
        <f t="shared" si="95"/>
        <v>0.59250000000000025</v>
      </c>
      <c r="AB523" s="115">
        <f t="shared" si="97"/>
        <v>0.4926001305182135</v>
      </c>
      <c r="AC523" s="115">
        <f t="shared" si="98"/>
        <v>0.16141846617622635</v>
      </c>
      <c r="AD523" s="115">
        <f t="shared" si="91"/>
        <v>0.17576711474406892</v>
      </c>
      <c r="AE523" s="235">
        <f t="shared" si="99"/>
        <v>-0.69000000000000039</v>
      </c>
    </row>
    <row r="524" spans="14:31" x14ac:dyDescent="0.2">
      <c r="N524" s="337">
        <v>40663</v>
      </c>
      <c r="O524" s="116">
        <f>INDEX('Additional data'!$B$2:$B$965,MATCH(DATE(YEAR(N524),MONTH(N524),1),'Additional data'!$A$2:$A$965,0))</f>
        <v>110.04</v>
      </c>
      <c r="P524" s="232">
        <f t="shared" si="100"/>
        <v>4.7008439360563736</v>
      </c>
      <c r="Q524" s="232">
        <f>Q523+LN(1+INDEX('Additional data'!$H$2:$H$1196,MATCH(N524,'Additional data'!$G$2:$G$1196,1))+INDEX('Additional data'!$I$2:$I$1196,MATCH(N524,'Additional data'!$G$2:$G$1196,1)))</f>
        <v>4.0278441357230159</v>
      </c>
      <c r="R524" s="232">
        <f>LN(INDEX(Data!$B$2:$B$497,MATCH(N524,Data!$A$2:$A$497,1)))</f>
        <v>10.480757052126464</v>
      </c>
      <c r="S524" s="116">
        <f>INDEX('Additional data'!$E$2:$E$699,MATCH(DATE(YEAR(N524),MONTH(N524),1),'Additional data'!$D$2:$D$699,0))</f>
        <v>4.9000000000000004</v>
      </c>
      <c r="T524" s="115">
        <f t="shared" si="101"/>
        <v>6.6697641831765075E-2</v>
      </c>
      <c r="U524" s="115">
        <f t="shared" si="102"/>
        <v>2.8587456851912219E-2</v>
      </c>
      <c r="V524" s="115">
        <f t="shared" si="92"/>
        <v>-5.7728506590208895E-3</v>
      </c>
      <c r="W524" s="116">
        <f t="shared" si="103"/>
        <v>-1.9999999999999574E-2</v>
      </c>
      <c r="X524" s="115">
        <f t="shared" si="93"/>
        <v>0.26432911609842247</v>
      </c>
      <c r="Y524" s="115">
        <f t="shared" si="94"/>
        <v>0.16744812498235628</v>
      </c>
      <c r="Z524" s="115">
        <f t="shared" si="96"/>
        <v>5.2971677279240126E-2</v>
      </c>
      <c r="AA524" s="116">
        <f t="shared" si="95"/>
        <v>0.35500000000000043</v>
      </c>
      <c r="AB524" s="115">
        <f t="shared" si="97"/>
        <v>0.45678710060594607</v>
      </c>
      <c r="AC524" s="115">
        <f t="shared" si="98"/>
        <v>0.17916489985026374</v>
      </c>
      <c r="AD524" s="115">
        <f t="shared" ref="AD524:AD587" si="104">R524-R464</f>
        <v>0.14623317310900674</v>
      </c>
      <c r="AE524" s="235">
        <f t="shared" si="99"/>
        <v>-0.79</v>
      </c>
    </row>
    <row r="525" spans="14:31" x14ac:dyDescent="0.2">
      <c r="N525" s="337">
        <v>40694</v>
      </c>
      <c r="O525" s="116">
        <f>INDEX('Additional data'!$B$2:$B$965,MATCH(DATE(YEAR(N525),MONTH(N525),1),'Additional data'!$A$2:$A$965,0))</f>
        <v>101.33</v>
      </c>
      <c r="P525" s="232">
        <f t="shared" si="100"/>
        <v>4.6183825174602262</v>
      </c>
      <c r="Q525" s="232">
        <f>Q524+LN(1+INDEX('Additional data'!$H$2:$H$1196,MATCH(N525,'Additional data'!$G$2:$G$1196,1))+INDEX('Additional data'!$I$2:$I$1196,MATCH(N525,'Additional data'!$G$2:$G$1196,1)))</f>
        <v>4.0150628013582832</v>
      </c>
      <c r="R525" s="232">
        <f>LN(INDEX(Data!$B$2:$B$497,MATCH(N525,Data!$A$2:$A$497,1)))</f>
        <v>10.461725863362075</v>
      </c>
      <c r="S525" s="116">
        <f>INDEX('Additional data'!$E$2:$E$699,MATCH(DATE(YEAR(N525),MONTH(N525),1),'Additional data'!$D$2:$D$699,0))</f>
        <v>5.0025000000000004</v>
      </c>
      <c r="T525" s="115">
        <f t="shared" si="101"/>
        <v>-8.2461418596147418E-2</v>
      </c>
      <c r="U525" s="115">
        <f t="shared" si="102"/>
        <v>-1.2781334364732722E-2</v>
      </c>
      <c r="V525" s="115">
        <f t="shared" si="92"/>
        <v>-1.9031188764389029E-2</v>
      </c>
      <c r="W525" s="116">
        <f t="shared" si="103"/>
        <v>0.10250000000000004</v>
      </c>
      <c r="X525" s="115">
        <f t="shared" si="93"/>
        <v>0.31648192726562918</v>
      </c>
      <c r="Y525" s="115">
        <f t="shared" si="94"/>
        <v>0.23685346160557064</v>
      </c>
      <c r="Z525" s="115">
        <f t="shared" si="96"/>
        <v>0.11263577546091774</v>
      </c>
      <c r="AA525" s="116">
        <f t="shared" si="95"/>
        <v>0.19750000000000068</v>
      </c>
      <c r="AB525" s="115">
        <f t="shared" si="97"/>
        <v>0.35654806811475037</v>
      </c>
      <c r="AC525" s="115">
        <f t="shared" si="98"/>
        <v>0.19818387803532866</v>
      </c>
      <c r="AD525" s="115">
        <f t="shared" si="104"/>
        <v>0.17153908561920161</v>
      </c>
      <c r="AE525" s="235">
        <f t="shared" si="99"/>
        <v>-0.86749999999999972</v>
      </c>
    </row>
    <row r="526" spans="14:31" x14ac:dyDescent="0.2">
      <c r="N526" s="337">
        <v>40724</v>
      </c>
      <c r="O526" s="116">
        <f>INDEX('Additional data'!$B$2:$B$965,MATCH(DATE(YEAR(N526),MONTH(N526),1),'Additional data'!$A$2:$A$965,0))</f>
        <v>96.29</v>
      </c>
      <c r="P526" s="232">
        <f t="shared" si="100"/>
        <v>4.5673644712521924</v>
      </c>
      <c r="Q526" s="232">
        <f>Q525+LN(1+INDEX('Additional data'!$H$2:$H$1196,MATCH(N526,'Additional data'!$G$2:$G$1196,1))+INDEX('Additional data'!$I$2:$I$1196,MATCH(N526,'Additional data'!$G$2:$G$1196,1)))</f>
        <v>3.9975096421106939</v>
      </c>
      <c r="R526" s="232">
        <f>LN(INDEX(Data!$B$2:$B$497,MATCH(N526,Data!$A$2:$A$497,1)))</f>
        <v>10.437566425971857</v>
      </c>
      <c r="S526" s="116">
        <f>INDEX('Additional data'!$E$2:$E$699,MATCH(DATE(YEAR(N526),MONTH(N526),1),'Additional data'!$D$2:$D$699,0))</f>
        <v>4.9924999999999997</v>
      </c>
      <c r="T526" s="115">
        <f t="shared" si="101"/>
        <v>-5.1018046208033851E-2</v>
      </c>
      <c r="U526" s="115">
        <f t="shared" si="102"/>
        <v>-1.7553159247589267E-2</v>
      </c>
      <c r="V526" s="115">
        <f t="shared" si="92"/>
        <v>-2.415943739021742E-2</v>
      </c>
      <c r="W526" s="116">
        <f t="shared" si="103"/>
        <v>-1.0000000000000675E-2</v>
      </c>
      <c r="X526" s="115">
        <f t="shared" si="93"/>
        <v>0.24522054617968791</v>
      </c>
      <c r="Y526" s="115">
        <f t="shared" si="94"/>
        <v>0.27639989439855439</v>
      </c>
      <c r="Z526" s="115">
        <f t="shared" si="96"/>
        <v>0.1148701227703377</v>
      </c>
      <c r="AA526" s="116">
        <f t="shared" si="95"/>
        <v>0.10499999999999954</v>
      </c>
      <c r="AB526" s="115">
        <f t="shared" si="97"/>
        <v>0.30524813325086875</v>
      </c>
      <c r="AC526" s="115">
        <f t="shared" si="98"/>
        <v>0.18013084374608823</v>
      </c>
      <c r="AD526" s="115">
        <f t="shared" si="104"/>
        <v>0.1289870016382384</v>
      </c>
      <c r="AE526" s="235">
        <f t="shared" si="99"/>
        <v>-0.96750000000000025</v>
      </c>
    </row>
    <row r="527" spans="14:31" x14ac:dyDescent="0.2">
      <c r="N527" s="337">
        <v>40755</v>
      </c>
      <c r="O527" s="116">
        <f>INDEX('Additional data'!$B$2:$B$965,MATCH(DATE(YEAR(N527),MONTH(N527),1),'Additional data'!$A$2:$A$965,0))</f>
        <v>97.19</v>
      </c>
      <c r="P527" s="232">
        <f t="shared" si="100"/>
        <v>4.5766678255153792</v>
      </c>
      <c r="Q527" s="232">
        <f>Q526+LN(1+INDEX('Additional data'!$H$2:$H$1196,MATCH(N527,'Additional data'!$G$2:$G$1196,1))+INDEX('Additional data'!$I$2:$I$1196,MATCH(N527,'Additional data'!$G$2:$G$1196,1)))</f>
        <v>3.9737291134452906</v>
      </c>
      <c r="R527" s="232">
        <f>LN(INDEX(Data!$B$2:$B$497,MATCH(N527,Data!$A$2:$A$497,1)))</f>
        <v>10.402968966491658</v>
      </c>
      <c r="S527" s="116">
        <f>INDEX('Additional data'!$E$2:$E$699,MATCH(DATE(YEAR(N527),MONTH(N527),1),'Additional data'!$D$2:$D$699,0))</f>
        <v>4.9550000000000001</v>
      </c>
      <c r="T527" s="115">
        <f t="shared" si="101"/>
        <v>9.3033542631868471E-3</v>
      </c>
      <c r="U527" s="115">
        <f t="shared" si="102"/>
        <v>-2.3780528665403367E-2</v>
      </c>
      <c r="V527" s="115">
        <f t="shared" si="92"/>
        <v>-3.4597459480199433E-2</v>
      </c>
      <c r="W527" s="116">
        <f t="shared" si="103"/>
        <v>-3.7499999999999645E-2</v>
      </c>
      <c r="X527" s="115">
        <f t="shared" si="93"/>
        <v>0.24107787661508606</v>
      </c>
      <c r="Y527" s="115">
        <f t="shared" si="94"/>
        <v>0.18561513695267706</v>
      </c>
      <c r="Z527" s="115">
        <f t="shared" si="96"/>
        <v>3.8846282404371379E-2</v>
      </c>
      <c r="AA527" s="116">
        <f t="shared" si="95"/>
        <v>0.11500000000000021</v>
      </c>
      <c r="AB527" s="115">
        <f t="shared" si="97"/>
        <v>0.26707748410620979</v>
      </c>
      <c r="AC527" s="115">
        <f t="shared" si="98"/>
        <v>0.16005717701201139</v>
      </c>
      <c r="AD527" s="115">
        <f t="shared" si="104"/>
        <v>0.10965451438471163</v>
      </c>
      <c r="AE527" s="235">
        <f t="shared" si="99"/>
        <v>-1.0949999999999998</v>
      </c>
    </row>
    <row r="528" spans="14:31" x14ac:dyDescent="0.2">
      <c r="N528" s="337">
        <v>40786</v>
      </c>
      <c r="O528" s="116">
        <f>INDEX('Additional data'!$B$2:$B$965,MATCH(DATE(YEAR(N528),MONTH(N528),1),'Additional data'!$A$2:$A$965,0))</f>
        <v>86.33</v>
      </c>
      <c r="P528" s="232">
        <f t="shared" si="100"/>
        <v>4.4581771622474315</v>
      </c>
      <c r="Q528" s="232">
        <f>Q527+LN(1+INDEX('Additional data'!$H$2:$H$1196,MATCH(N528,'Additional data'!$G$2:$G$1196,1))+INDEX('Additional data'!$I$2:$I$1196,MATCH(N528,'Additional data'!$G$2:$G$1196,1)))</f>
        <v>3.9123854832042384</v>
      </c>
      <c r="R528" s="232">
        <f>LN(INDEX(Data!$B$2:$B$497,MATCH(N528,Data!$A$2:$A$497,1)))</f>
        <v>10.38271772794071</v>
      </c>
      <c r="S528" s="116">
        <f>INDEX('Additional data'!$E$2:$E$699,MATCH(DATE(YEAR(N528),MONTH(N528),1),'Additional data'!$D$2:$D$699,0))</f>
        <v>4.8574999999999999</v>
      </c>
      <c r="T528" s="115">
        <f t="shared" si="101"/>
        <v>-0.11849066326794766</v>
      </c>
      <c r="U528" s="115">
        <f t="shared" si="102"/>
        <v>-6.1343630241052161E-2</v>
      </c>
      <c r="V528" s="115">
        <f t="shared" si="92"/>
        <v>-2.0251238550947903E-2</v>
      </c>
      <c r="W528" s="116">
        <f t="shared" si="103"/>
        <v>-9.7500000000000142E-2</v>
      </c>
      <c r="X528" s="115">
        <f t="shared" si="93"/>
        <v>0.11671213932967284</v>
      </c>
      <c r="Y528" s="115">
        <f t="shared" si="94"/>
        <v>0.17314667449376175</v>
      </c>
      <c r="Z528" s="115">
        <f t="shared" si="96"/>
        <v>2.5738652140141483E-2</v>
      </c>
      <c r="AA528" s="116">
        <f t="shared" si="95"/>
        <v>0.11500000000000021</v>
      </c>
      <c r="AB528" s="115">
        <f t="shared" si="97"/>
        <v>0.16703302405072318</v>
      </c>
      <c r="AC528" s="115">
        <f t="shared" si="98"/>
        <v>7.4508858074141759E-2</v>
      </c>
      <c r="AD528" s="115">
        <f t="shared" si="104"/>
        <v>5.8145753028929548E-2</v>
      </c>
      <c r="AE528" s="235">
        <f t="shared" si="99"/>
        <v>-1.3325000000000005</v>
      </c>
    </row>
    <row r="529" spans="14:31" x14ac:dyDescent="0.2">
      <c r="N529" s="337">
        <v>40816</v>
      </c>
      <c r="O529" s="116">
        <f>INDEX('Additional data'!$B$2:$B$965,MATCH(DATE(YEAR(N529),MONTH(N529),1),'Additional data'!$A$2:$A$965,0))</f>
        <v>85.61</v>
      </c>
      <c r="P529" s="232">
        <f t="shared" si="100"/>
        <v>4.449802098754394</v>
      </c>
      <c r="Q529" s="232">
        <f>Q528+LN(1+INDEX('Additional data'!$H$2:$H$1196,MATCH(N529,'Additional data'!$G$2:$G$1196,1))+INDEX('Additional data'!$I$2:$I$1196,MATCH(N529,'Additional data'!$G$2:$G$1196,1)))</f>
        <v>3.8335587026582676</v>
      </c>
      <c r="R529" s="232">
        <f>LN(INDEX(Data!$B$2:$B$497,MATCH(N529,Data!$A$2:$A$497,1)))</f>
        <v>10.317915941799919</v>
      </c>
      <c r="S529" s="116">
        <f>INDEX('Additional data'!$E$2:$E$699,MATCH(DATE(YEAR(N529),MONTH(N529),1),'Additional data'!$D$2:$D$699,0))</f>
        <v>4.8099999999999996</v>
      </c>
      <c r="T529" s="115">
        <f t="shared" si="101"/>
        <v>-8.3750634930375156E-3</v>
      </c>
      <c r="U529" s="115">
        <f t="shared" si="102"/>
        <v>-7.8826780545970809E-2</v>
      </c>
      <c r="V529" s="115">
        <f t="shared" ref="V529:V592" si="105">R529-R528</f>
        <v>-6.4801786140790796E-2</v>
      </c>
      <c r="W529" s="116">
        <f t="shared" si="103"/>
        <v>-4.750000000000032E-2</v>
      </c>
      <c r="X529" s="115">
        <f t="shared" ref="X529:X592" si="106">P529-P517</f>
        <v>0.128189170641134</v>
      </c>
      <c r="Y529" s="115">
        <f t="shared" ref="Y529:Y592" si="107">Q529-Q517</f>
        <v>3.0177355410048179E-3</v>
      </c>
      <c r="Z529" s="115">
        <f t="shared" si="96"/>
        <v>-8.8040207417060756E-2</v>
      </c>
      <c r="AA529" s="116">
        <f t="shared" ref="AA529:AA592" si="108">S529-S517</f>
        <v>-5.0000000000007816E-3</v>
      </c>
      <c r="AB529" s="115">
        <f t="shared" si="97"/>
        <v>0.29295233118089659</v>
      </c>
      <c r="AC529" s="115">
        <f t="shared" si="98"/>
        <v>-2.656853140664861E-2</v>
      </c>
      <c r="AD529" s="115">
        <f t="shared" si="104"/>
        <v>-1.9059876567785849E-2</v>
      </c>
      <c r="AE529" s="235">
        <f t="shared" si="99"/>
        <v>-1.4000000000000004</v>
      </c>
    </row>
    <row r="530" spans="14:31" x14ac:dyDescent="0.2">
      <c r="N530" s="337">
        <v>40847</v>
      </c>
      <c r="O530" s="116">
        <f>INDEX('Additional data'!$B$2:$B$965,MATCH(DATE(YEAR(N530),MONTH(N530),1),'Additional data'!$A$2:$A$965,0))</f>
        <v>86.41</v>
      </c>
      <c r="P530" s="232">
        <f t="shared" si="100"/>
        <v>4.4591034098533076</v>
      </c>
      <c r="Q530" s="232">
        <f>Q529+LN(1+INDEX('Additional data'!$H$2:$H$1196,MATCH(N530,'Additional data'!$G$2:$G$1196,1))+INDEX('Additional data'!$I$2:$I$1196,MATCH(N530,'Additional data'!$G$2:$G$1196,1)))</f>
        <v>3.9408872804107919</v>
      </c>
      <c r="R530" s="232">
        <f>LN(INDEX(Data!$B$2:$B$497,MATCH(N530,Data!$A$2:$A$497,1)))</f>
        <v>10.387172172626016</v>
      </c>
      <c r="S530" s="116">
        <f>INDEX('Additional data'!$E$2:$E$699,MATCH(DATE(YEAR(N530),MONTH(N530),1),'Additional data'!$D$2:$D$699,0))</f>
        <v>4.7249999999999996</v>
      </c>
      <c r="T530" s="115">
        <f t="shared" si="101"/>
        <v>9.3013110989135228E-3</v>
      </c>
      <c r="U530" s="115">
        <f t="shared" si="102"/>
        <v>0.10732857775252436</v>
      </c>
      <c r="V530" s="115">
        <f t="shared" si="105"/>
        <v>6.9256230826097109E-2</v>
      </c>
      <c r="W530" s="116">
        <f t="shared" si="103"/>
        <v>-8.4999999999999964E-2</v>
      </c>
      <c r="X530" s="115">
        <f t="shared" si="106"/>
        <v>5.3604418994283698E-2</v>
      </c>
      <c r="Y530" s="115">
        <f t="shared" si="107"/>
        <v>7.2280112487073112E-2</v>
      </c>
      <c r="Z530" s="115">
        <f t="shared" si="96"/>
        <v>-4.026013691633068E-2</v>
      </c>
      <c r="AA530" s="116">
        <f t="shared" si="108"/>
        <v>-8.4999999999999964E-2</v>
      </c>
      <c r="AB530" s="115">
        <f t="shared" si="97"/>
        <v>0.3836019354326865</v>
      </c>
      <c r="AC530" s="115">
        <f t="shared" si="98"/>
        <v>4.5103369137840854E-2</v>
      </c>
      <c r="AD530" s="115">
        <f t="shared" si="104"/>
        <v>3.2685143214994383E-3</v>
      </c>
      <c r="AE530" s="235">
        <f t="shared" si="99"/>
        <v>-1.5550000000000006</v>
      </c>
    </row>
    <row r="531" spans="14:31" x14ac:dyDescent="0.2">
      <c r="N531" s="337">
        <v>40877</v>
      </c>
      <c r="O531" s="116">
        <f>INDEX('Additional data'!$B$2:$B$965,MATCH(DATE(YEAR(N531),MONTH(N531),1),'Additional data'!$A$2:$A$965,0))</f>
        <v>97.21</v>
      </c>
      <c r="P531" s="232">
        <f t="shared" si="100"/>
        <v>4.5768735868329777</v>
      </c>
      <c r="Q531" s="232">
        <f>Q530+LN(1+INDEX('Additional data'!$H$2:$H$1196,MATCH(N531,'Additional data'!$G$2:$G$1196,1))+INDEX('Additional data'!$I$2:$I$1196,MATCH(N531,'Additional data'!$G$2:$G$1196,1)))</f>
        <v>3.9381836288364771</v>
      </c>
      <c r="R531" s="232">
        <f>LN(INDEX(Data!$B$2:$B$497,MATCH(N531,Data!$A$2:$A$497,1)))</f>
        <v>10.3522253158013</v>
      </c>
      <c r="S531" s="116">
        <f>INDEX('Additional data'!$E$2:$E$699,MATCH(DATE(YEAR(N531),MONTH(N531),1),'Additional data'!$D$2:$D$699,0))</f>
        <v>4.6224999999999996</v>
      </c>
      <c r="T531" s="115">
        <f t="shared" si="101"/>
        <v>0.11777017697967018</v>
      </c>
      <c r="U531" s="115">
        <f t="shared" si="102"/>
        <v>-2.703651574314847E-3</v>
      </c>
      <c r="V531" s="115">
        <f t="shared" si="105"/>
        <v>-3.4946856824715766E-2</v>
      </c>
      <c r="W531" s="116">
        <f t="shared" si="103"/>
        <v>-0.10250000000000004</v>
      </c>
      <c r="X531" s="115">
        <f t="shared" si="106"/>
        <v>0.14439150867060313</v>
      </c>
      <c r="Y531" s="115">
        <f t="shared" si="107"/>
        <v>6.359438923521088E-2</v>
      </c>
      <c r="Z531" s="115">
        <f t="shared" si="96"/>
        <v>-6.821161044005386E-2</v>
      </c>
      <c r="AA531" s="116">
        <f t="shared" si="108"/>
        <v>-0.39250000000000007</v>
      </c>
      <c r="AB531" s="115">
        <f t="shared" si="97"/>
        <v>0.49308453855039414</v>
      </c>
      <c r="AC531" s="115">
        <f t="shared" si="98"/>
        <v>2.1421311178334346E-2</v>
      </c>
      <c r="AD531" s="115">
        <f t="shared" si="104"/>
        <v>-5.6135842331659802E-2</v>
      </c>
      <c r="AE531" s="235">
        <f t="shared" si="99"/>
        <v>-1.7475000000000005</v>
      </c>
    </row>
    <row r="532" spans="14:31" x14ac:dyDescent="0.2">
      <c r="N532" s="337">
        <v>40908</v>
      </c>
      <c r="O532" s="116">
        <f>INDEX('Additional data'!$B$2:$B$965,MATCH(DATE(YEAR(N532),MONTH(N532),1),'Additional data'!$A$2:$A$965,0))</f>
        <v>98.57</v>
      </c>
      <c r="P532" s="232">
        <f t="shared" si="100"/>
        <v>4.5907669556773474</v>
      </c>
      <c r="Q532" s="232">
        <f>Q531+LN(1+INDEX('Additional data'!$H$2:$H$1196,MATCH(N532,'Additional data'!$G$2:$G$1196,1))+INDEX('Additional data'!$I$2:$I$1196,MATCH(N532,'Additional data'!$G$2:$G$1196,1)))</f>
        <v>3.945655643675178</v>
      </c>
      <c r="R532" s="232">
        <f>LN(INDEX(Data!$B$2:$B$497,MATCH(N532,Data!$A$2:$A$497,1)))</f>
        <v>10.336352799582672</v>
      </c>
      <c r="S532" s="116">
        <f>INDEX('Additional data'!$E$2:$E$699,MATCH(DATE(YEAR(N532),MONTH(N532),1),'Additional data'!$D$2:$D$699,0))</f>
        <v>4.5075000000000003</v>
      </c>
      <c r="T532" s="115">
        <f t="shared" si="101"/>
        <v>1.3893368844369647E-2</v>
      </c>
      <c r="U532" s="115">
        <f t="shared" si="102"/>
        <v>7.4720148387008578E-3</v>
      </c>
      <c r="V532" s="115">
        <f t="shared" si="105"/>
        <v>-1.5872516218628618E-2</v>
      </c>
      <c r="W532" s="116">
        <f t="shared" si="103"/>
        <v>-0.11499999999999932</v>
      </c>
      <c r="X532" s="115">
        <f t="shared" si="106"/>
        <v>0.10168124871005801</v>
      </c>
      <c r="Y532" s="115">
        <f t="shared" si="107"/>
        <v>4.9978041042071375E-3</v>
      </c>
      <c r="Z532" s="115">
        <f t="shared" si="96"/>
        <v>-0.12138654981341368</v>
      </c>
      <c r="AA532" s="116">
        <f t="shared" si="108"/>
        <v>-0.51750000000000007</v>
      </c>
      <c r="AB532" s="115">
        <f t="shared" si="97"/>
        <v>0.46314881669232122</v>
      </c>
      <c r="AC532" s="115">
        <f t="shared" si="98"/>
        <v>1.6470806018478168E-2</v>
      </c>
      <c r="AD532" s="115">
        <f t="shared" si="104"/>
        <v>-0.10754517862299728</v>
      </c>
      <c r="AE532" s="235">
        <f t="shared" si="99"/>
        <v>-1.8824999999999994</v>
      </c>
    </row>
    <row r="533" spans="14:31" x14ac:dyDescent="0.2">
      <c r="N533" s="337">
        <v>40939</v>
      </c>
      <c r="O533" s="116">
        <f>INDEX('Additional data'!$B$2:$B$965,MATCH(DATE(YEAR(N533),MONTH(N533),1),'Additional data'!$A$2:$A$965,0))</f>
        <v>100.24</v>
      </c>
      <c r="P533" s="232">
        <f t="shared" si="100"/>
        <v>4.6075673105878128</v>
      </c>
      <c r="Q533" s="232">
        <f>Q532+LN(1+INDEX('Additional data'!$H$2:$H$1196,MATCH(N533,'Additional data'!$G$2:$G$1196,1))+INDEX('Additional data'!$I$2:$I$1196,MATCH(N533,'Additional data'!$G$2:$G$1196,1)))</f>
        <v>3.9949218849780959</v>
      </c>
      <c r="R533" s="232">
        <f>LN(INDEX(Data!$B$2:$B$497,MATCH(N533,Data!$A$2:$A$497,1)))</f>
        <v>10.387294867482165</v>
      </c>
      <c r="S533" s="116">
        <f>INDEX('Additional data'!$E$2:$E$699,MATCH(DATE(YEAR(N533),MONTH(N533),1),'Additional data'!$D$2:$D$699,0))</f>
        <v>4.41</v>
      </c>
      <c r="T533" s="115">
        <f t="shared" si="101"/>
        <v>1.6800354910465387E-2</v>
      </c>
      <c r="U533" s="115">
        <f t="shared" si="102"/>
        <v>4.9266241302917901E-2</v>
      </c>
      <c r="V533" s="115">
        <f t="shared" si="105"/>
        <v>5.0942067899493182E-2</v>
      </c>
      <c r="W533" s="116">
        <f t="shared" si="103"/>
        <v>-9.7500000000000142E-2</v>
      </c>
      <c r="X533" s="115">
        <f t="shared" si="106"/>
        <v>0.11422293978197828</v>
      </c>
      <c r="Y533" s="115">
        <f t="shared" si="107"/>
        <v>3.4559462132789598E-2</v>
      </c>
      <c r="Z533" s="115">
        <f t="shared" si="96"/>
        <v>-7.1114822957653701E-2</v>
      </c>
      <c r="AA533" s="116">
        <f t="shared" si="108"/>
        <v>-0.54499999999999993</v>
      </c>
      <c r="AB533" s="115">
        <f t="shared" si="97"/>
        <v>0.60808302938967218</v>
      </c>
      <c r="AC533" s="115">
        <f t="shared" si="98"/>
        <v>4.7700684835297658E-2</v>
      </c>
      <c r="AD533" s="115">
        <f t="shared" si="104"/>
        <v>-7.6543802568311392E-2</v>
      </c>
      <c r="AE533" s="235">
        <f t="shared" si="99"/>
        <v>-2.0199999999999996</v>
      </c>
    </row>
    <row r="534" spans="14:31" x14ac:dyDescent="0.2">
      <c r="N534" s="337">
        <v>40968</v>
      </c>
      <c r="O534" s="116">
        <f>INDEX('Additional data'!$B$2:$B$965,MATCH(DATE(YEAR(N534),MONTH(N534),1),'Additional data'!$A$2:$A$965,0))</f>
        <v>102.25</v>
      </c>
      <c r="P534" s="232">
        <f t="shared" si="100"/>
        <v>4.6274207949229114</v>
      </c>
      <c r="Q534" s="232">
        <f>Q533+LN(1+INDEX('Additional data'!$H$2:$H$1196,MATCH(N534,'Additional data'!$G$2:$G$1196,1))+INDEX('Additional data'!$I$2:$I$1196,MATCH(N534,'Additional data'!$G$2:$G$1196,1)))</f>
        <v>4.0381729269724111</v>
      </c>
      <c r="R534" s="232">
        <f>LN(INDEX(Data!$B$2:$B$497,MATCH(N534,Data!$A$2:$A$497,1)))</f>
        <v>10.411125411753359</v>
      </c>
      <c r="S534" s="116">
        <f>INDEX('Additional data'!$E$2:$E$699,MATCH(DATE(YEAR(N534),MONTH(N534),1),'Additional data'!$D$2:$D$699,0))</f>
        <v>4.37</v>
      </c>
      <c r="T534" s="115">
        <f t="shared" si="101"/>
        <v>1.9853484335098592E-2</v>
      </c>
      <c r="U534" s="115">
        <f t="shared" si="102"/>
        <v>4.3251041994315287E-2</v>
      </c>
      <c r="V534" s="115">
        <f t="shared" si="105"/>
        <v>2.3830544271193688E-2</v>
      </c>
      <c r="W534" s="116">
        <f t="shared" si="103"/>
        <v>-4.0000000000000036E-2</v>
      </c>
      <c r="X534" s="115">
        <f t="shared" si="106"/>
        <v>0.13228871414375742</v>
      </c>
      <c r="Y534" s="115">
        <f t="shared" si="107"/>
        <v>4.350570043511448E-2</v>
      </c>
      <c r="Z534" s="115">
        <f t="shared" si="96"/>
        <v>-6.898063680155353E-2</v>
      </c>
      <c r="AA534" s="116">
        <f t="shared" si="108"/>
        <v>-0.54750000000000032</v>
      </c>
      <c r="AB534" s="115">
        <f t="shared" si="97"/>
        <v>0.54548625277749263</v>
      </c>
      <c r="AC534" s="115">
        <f t="shared" si="98"/>
        <v>0.1068778773798722</v>
      </c>
      <c r="AD534" s="115">
        <f t="shared" si="104"/>
        <v>-6.8516410955131946E-2</v>
      </c>
      <c r="AE534" s="235">
        <f t="shared" si="99"/>
        <v>-2</v>
      </c>
    </row>
    <row r="535" spans="14:31" x14ac:dyDescent="0.2">
      <c r="N535" s="337">
        <v>40999</v>
      </c>
      <c r="O535" s="116">
        <f>INDEX('Additional data'!$B$2:$B$965,MATCH(DATE(YEAR(N535),MONTH(N535),1),'Additional data'!$A$2:$A$965,0))</f>
        <v>106.19</v>
      </c>
      <c r="P535" s="232">
        <f t="shared" si="100"/>
        <v>4.6652299424157544</v>
      </c>
      <c r="Q535" s="232">
        <f>Q534+LN(1+INDEX('Additional data'!$H$2:$H$1196,MATCH(N535,'Additional data'!$G$2:$G$1196,1))+INDEX('Additional data'!$I$2:$I$1196,MATCH(N535,'Additional data'!$G$2:$G$1196,1)))</f>
        <v>4.0688960996152517</v>
      </c>
      <c r="R535" s="232">
        <f>LN(INDEX(Data!$B$2:$B$497,MATCH(N535,Data!$A$2:$A$497,1)))</f>
        <v>10.422525716020253</v>
      </c>
      <c r="S535" s="116">
        <f>INDEX('Additional data'!$E$2:$E$699,MATCH(DATE(YEAR(N535),MONTH(N535),1),'Additional data'!$D$2:$D$699,0))</f>
        <v>4.4424999999999999</v>
      </c>
      <c r="T535" s="115">
        <f t="shared" si="101"/>
        <v>3.7809147492843032E-2</v>
      </c>
      <c r="U535" s="115">
        <f t="shared" si="102"/>
        <v>3.0723172642840524E-2</v>
      </c>
      <c r="V535" s="115">
        <f t="shared" si="105"/>
        <v>1.1400304266894423E-2</v>
      </c>
      <c r="W535" s="116">
        <f t="shared" si="103"/>
        <v>7.2499999999999787E-2</v>
      </c>
      <c r="X535" s="115">
        <f t="shared" si="106"/>
        <v>3.1083648191145841E-2</v>
      </c>
      <c r="Y535" s="115">
        <f t="shared" si="107"/>
        <v>6.9639420744147973E-2</v>
      </c>
      <c r="Z535" s="115">
        <f t="shared" si="96"/>
        <v>-6.4004186765231452E-2</v>
      </c>
      <c r="AA535" s="116">
        <f t="shared" si="108"/>
        <v>-0.47750000000000004</v>
      </c>
      <c r="AB535" s="115">
        <f t="shared" si="97"/>
        <v>0.56159533328656064</v>
      </c>
      <c r="AC535" s="115">
        <f t="shared" si="98"/>
        <v>0.12626554035896698</v>
      </c>
      <c r="AD535" s="115">
        <f t="shared" si="104"/>
        <v>-8.9832415358884532E-2</v>
      </c>
      <c r="AE535" s="235">
        <f t="shared" si="99"/>
        <v>-1.9874999999999998</v>
      </c>
    </row>
    <row r="536" spans="14:31" x14ac:dyDescent="0.2">
      <c r="N536" s="337">
        <v>41029</v>
      </c>
      <c r="O536" s="116">
        <f>INDEX('Additional data'!$B$2:$B$965,MATCH(DATE(YEAR(N536),MONTH(N536),1),'Additional data'!$A$2:$A$965,0))</f>
        <v>103.33</v>
      </c>
      <c r="P536" s="232">
        <f t="shared" si="100"/>
        <v>4.6379277502262637</v>
      </c>
      <c r="Q536" s="232">
        <f>Q535+LN(1+INDEX('Additional data'!$H$2:$H$1196,MATCH(N536,'Additional data'!$G$2:$G$1196,1))+INDEX('Additional data'!$I$2:$I$1196,MATCH(N536,'Additional data'!$G$2:$G$1196,1)))</f>
        <v>4.0603597685929653</v>
      </c>
      <c r="R536" s="232">
        <f>LN(INDEX(Data!$B$2:$B$497,MATCH(N536,Data!$A$2:$A$497,1)))</f>
        <v>10.433491681923426</v>
      </c>
      <c r="S536" s="116">
        <f>INDEX('Additional data'!$E$2:$E$699,MATCH(DATE(YEAR(N536),MONTH(N536),1),'Additional data'!$D$2:$D$699,0))</f>
        <v>4.2024999999999997</v>
      </c>
      <c r="T536" s="115">
        <f t="shared" si="101"/>
        <v>-2.7302192189490704E-2</v>
      </c>
      <c r="U536" s="115">
        <f t="shared" si="102"/>
        <v>-8.5363310222863475E-3</v>
      </c>
      <c r="V536" s="115">
        <f t="shared" si="105"/>
        <v>1.0965965903173114E-2</v>
      </c>
      <c r="W536" s="116">
        <f t="shared" si="103"/>
        <v>-0.24000000000000021</v>
      </c>
      <c r="X536" s="115">
        <f t="shared" si="106"/>
        <v>-6.2916185830109939E-2</v>
      </c>
      <c r="Y536" s="115">
        <f t="shared" si="107"/>
        <v>3.2515632869949407E-2</v>
      </c>
      <c r="Z536" s="115">
        <f t="shared" si="96"/>
        <v>-4.7265370203037449E-2</v>
      </c>
      <c r="AA536" s="116">
        <f t="shared" si="108"/>
        <v>-0.69750000000000068</v>
      </c>
      <c r="AB536" s="115">
        <f t="shared" si="97"/>
        <v>0.47951352676421788</v>
      </c>
      <c r="AC536" s="115">
        <f t="shared" si="98"/>
        <v>7.9181799724441948E-2</v>
      </c>
      <c r="AD536" s="115">
        <f t="shared" si="104"/>
        <v>-0.10886929329737782</v>
      </c>
      <c r="AE536" s="235">
        <f t="shared" si="99"/>
        <v>-2.2775000000000007</v>
      </c>
    </row>
    <row r="537" spans="14:31" x14ac:dyDescent="0.2">
      <c r="N537" s="337">
        <v>41060</v>
      </c>
      <c r="O537" s="116">
        <f>INDEX('Additional data'!$B$2:$B$965,MATCH(DATE(YEAR(N537),MONTH(N537),1),'Additional data'!$A$2:$A$965,0))</f>
        <v>94.7</v>
      </c>
      <c r="P537" s="232">
        <f t="shared" si="100"/>
        <v>4.5507140001920323</v>
      </c>
      <c r="Q537" s="232">
        <f>Q536+LN(1+INDEX('Additional data'!$H$2:$H$1196,MATCH(N537,'Additional data'!$G$2:$G$1196,1))+INDEX('Additional data'!$I$2:$I$1196,MATCH(N537,'Additional data'!$G$2:$G$1196,1)))</f>
        <v>3.9967807869500942</v>
      </c>
      <c r="R537" s="232">
        <f>LN(INDEX(Data!$B$2:$B$497,MATCH(N537,Data!$A$2:$A$497,1)))</f>
        <v>10.362003513970071</v>
      </c>
      <c r="S537" s="116">
        <f>INDEX('Additional data'!$E$2:$E$699,MATCH(DATE(YEAR(N537),MONTH(N537),1),'Additional data'!$D$2:$D$699,0))</f>
        <v>3.6549999999999998</v>
      </c>
      <c r="T537" s="115">
        <f t="shared" si="101"/>
        <v>-8.7213750034231374E-2</v>
      </c>
      <c r="U537" s="115">
        <f t="shared" si="102"/>
        <v>-6.3578981642871124E-2</v>
      </c>
      <c r="V537" s="115">
        <f t="shared" si="105"/>
        <v>-7.1488167953354775E-2</v>
      </c>
      <c r="W537" s="116">
        <f t="shared" si="103"/>
        <v>-0.54749999999999988</v>
      </c>
      <c r="X537" s="115">
        <f t="shared" si="106"/>
        <v>-6.7668517268193895E-2</v>
      </c>
      <c r="Y537" s="115">
        <f t="shared" si="107"/>
        <v>-1.8282014408188996E-2</v>
      </c>
      <c r="Z537" s="115">
        <f t="shared" si="96"/>
        <v>-9.9722349392003196E-2</v>
      </c>
      <c r="AA537" s="116">
        <f t="shared" si="108"/>
        <v>-1.3475000000000006</v>
      </c>
      <c r="AB537" s="115">
        <f t="shared" si="97"/>
        <v>0.40030421403698302</v>
      </c>
      <c r="AC537" s="115">
        <f t="shared" si="98"/>
        <v>-2.0150351624246721E-2</v>
      </c>
      <c r="AD537" s="115">
        <f t="shared" si="104"/>
        <v>-0.21177757771614303</v>
      </c>
      <c r="AE537" s="235">
        <f t="shared" si="99"/>
        <v>-2.7150000000000003</v>
      </c>
    </row>
    <row r="538" spans="14:31" x14ac:dyDescent="0.2">
      <c r="N538" s="337">
        <v>41090</v>
      </c>
      <c r="O538" s="116">
        <f>INDEX('Additional data'!$B$2:$B$965,MATCH(DATE(YEAR(N538),MONTH(N538),1),'Additional data'!$A$2:$A$965,0))</f>
        <v>82.41</v>
      </c>
      <c r="P538" s="232">
        <f t="shared" si="100"/>
        <v>4.4117067887752919</v>
      </c>
      <c r="Q538" s="232">
        <f>Q537+LN(1+INDEX('Additional data'!$H$2:$H$1196,MATCH(N538,'Additional data'!$G$2:$G$1196,1))+INDEX('Additional data'!$I$2:$I$1196,MATCH(N538,'Additional data'!$G$2:$G$1196,1)))</f>
        <v>4.0349432480444429</v>
      </c>
      <c r="R538" s="232">
        <f>LN(INDEX(Data!$B$2:$B$497,MATCH(N538,Data!$A$2:$A$497,1)))</f>
        <v>10.364522155483103</v>
      </c>
      <c r="S538" s="116">
        <f>INDEX('Additional data'!$E$2:$E$699,MATCH(DATE(YEAR(N538),MONTH(N538),1),'Additional data'!$D$2:$D$699,0))</f>
        <v>3.4925000000000002</v>
      </c>
      <c r="T538" s="115">
        <f t="shared" si="101"/>
        <v>-0.13900721141674044</v>
      </c>
      <c r="U538" s="115">
        <f t="shared" si="102"/>
        <v>3.8162461094348732E-2</v>
      </c>
      <c r="V538" s="115">
        <f t="shared" si="105"/>
        <v>2.5186415130313833E-3</v>
      </c>
      <c r="W538" s="116">
        <f t="shared" si="103"/>
        <v>-0.16249999999999964</v>
      </c>
      <c r="X538" s="115">
        <f t="shared" si="106"/>
        <v>-0.15565768247690048</v>
      </c>
      <c r="Y538" s="115">
        <f t="shared" si="107"/>
        <v>3.7433605933749003E-2</v>
      </c>
      <c r="Z538" s="115">
        <f t="shared" si="96"/>
        <v>-7.3044270488754393E-2</v>
      </c>
      <c r="AA538" s="116">
        <f t="shared" si="108"/>
        <v>-1.4999999999999996</v>
      </c>
      <c r="AB538" s="115">
        <f t="shared" si="97"/>
        <v>0.19987553109752465</v>
      </c>
      <c r="AC538" s="115">
        <f t="shared" si="98"/>
        <v>3.373506993533848E-2</v>
      </c>
      <c r="AD538" s="115">
        <f t="shared" si="104"/>
        <v>-0.20858327186873282</v>
      </c>
      <c r="AE538" s="235">
        <f t="shared" si="99"/>
        <v>-2.9274999999999998</v>
      </c>
    </row>
    <row r="539" spans="14:31" x14ac:dyDescent="0.2">
      <c r="N539" s="337">
        <v>41121</v>
      </c>
      <c r="O539" s="116">
        <f>INDEX('Additional data'!$B$2:$B$965,MATCH(DATE(YEAR(N539),MONTH(N539),1),'Additional data'!$A$2:$A$965,0))</f>
        <v>87.93</v>
      </c>
      <c r="P539" s="232">
        <f t="shared" si="100"/>
        <v>4.4765410433909105</v>
      </c>
      <c r="Q539" s="232">
        <f>Q538+LN(1+INDEX('Additional data'!$H$2:$H$1196,MATCH(N539,'Additional data'!$G$2:$G$1196,1))+INDEX('Additional data'!$I$2:$I$1196,MATCH(N539,'Additional data'!$G$2:$G$1196,1)))</f>
        <v>4.0428122064231378</v>
      </c>
      <c r="R539" s="232">
        <f>LN(INDEX(Data!$B$2:$B$497,MATCH(N539,Data!$A$2:$A$497,1)))</f>
        <v>10.401270456904305</v>
      </c>
      <c r="S539" s="116">
        <f>INDEX('Additional data'!$E$2:$E$699,MATCH(DATE(YEAR(N539),MONTH(N539),1),'Additional data'!$D$2:$D$699,0))</f>
        <v>3.5449999999999999</v>
      </c>
      <c r="T539" s="115">
        <f t="shared" si="101"/>
        <v>6.4834254615618647E-2</v>
      </c>
      <c r="U539" s="115">
        <f t="shared" si="102"/>
        <v>7.8689583786948347E-3</v>
      </c>
      <c r="V539" s="115">
        <f t="shared" si="105"/>
        <v>3.6748301421202001E-2</v>
      </c>
      <c r="W539" s="116">
        <f t="shared" si="103"/>
        <v>5.2499999999999769E-2</v>
      </c>
      <c r="X539" s="115">
        <f t="shared" si="106"/>
        <v>-0.10012678212446868</v>
      </c>
      <c r="Y539" s="115">
        <f t="shared" si="107"/>
        <v>6.9083092977847205E-2</v>
      </c>
      <c r="Z539" s="115">
        <f t="shared" si="96"/>
        <v>-1.6985095873529588E-3</v>
      </c>
      <c r="AA539" s="116">
        <f t="shared" si="108"/>
        <v>-1.4100000000000001</v>
      </c>
      <c r="AB539" s="115">
        <f t="shared" si="97"/>
        <v>0.17004647132946538</v>
      </c>
      <c r="AC539" s="115">
        <f t="shared" si="98"/>
        <v>7.5367658466842347E-2</v>
      </c>
      <c r="AD539" s="115">
        <f t="shared" si="104"/>
        <v>-0.15221512281163285</v>
      </c>
      <c r="AE539" s="235">
        <f t="shared" si="99"/>
        <v>-2.9249999999999998</v>
      </c>
    </row>
    <row r="540" spans="14:31" x14ac:dyDescent="0.2">
      <c r="N540" s="337">
        <v>41152</v>
      </c>
      <c r="O540" s="116">
        <f>INDEX('Additional data'!$B$2:$B$965,MATCH(DATE(YEAR(N540),MONTH(N540),1),'Additional data'!$A$2:$A$965,0))</f>
        <v>94.16</v>
      </c>
      <c r="P540" s="232">
        <f t="shared" si="100"/>
        <v>4.5449954629520208</v>
      </c>
      <c r="Q540" s="232">
        <f>Q539+LN(1+INDEX('Additional data'!$H$2:$H$1196,MATCH(N540,'Additional data'!$G$2:$G$1196,1))+INDEX('Additional data'!$I$2:$I$1196,MATCH(N540,'Additional data'!$G$2:$G$1196,1)))</f>
        <v>4.0679925049534358</v>
      </c>
      <c r="R540" s="232">
        <f>LN(INDEX(Data!$B$2:$B$497,MATCH(N540,Data!$A$2:$A$497,1)))</f>
        <v>10.422284195291454</v>
      </c>
      <c r="S540" s="116">
        <f>INDEX('Additional data'!$E$2:$E$699,MATCH(DATE(YEAR(N540),MONTH(N540),1),'Additional data'!$D$2:$D$699,0))</f>
        <v>3.6175000000000002</v>
      </c>
      <c r="T540" s="115">
        <f t="shared" si="101"/>
        <v>6.8454419561110313E-2</v>
      </c>
      <c r="U540" s="115">
        <f t="shared" si="102"/>
        <v>2.5180298530298018E-2</v>
      </c>
      <c r="V540" s="115">
        <f t="shared" si="105"/>
        <v>2.1013738387148706E-2</v>
      </c>
      <c r="W540" s="116">
        <f t="shared" si="103"/>
        <v>7.2500000000000231E-2</v>
      </c>
      <c r="X540" s="115">
        <f t="shared" si="106"/>
        <v>8.6818300704589291E-2</v>
      </c>
      <c r="Y540" s="115">
        <f t="shared" si="107"/>
        <v>0.15560702174919738</v>
      </c>
      <c r="Z540" s="115">
        <f t="shared" ref="Z540:Z603" si="109">R540-R528</f>
        <v>3.956646735074365E-2</v>
      </c>
      <c r="AA540" s="116">
        <f t="shared" si="108"/>
        <v>-1.2399999999999998</v>
      </c>
      <c r="AB540" s="115">
        <f t="shared" si="97"/>
        <v>0.26292729464697118</v>
      </c>
      <c r="AC540" s="115">
        <f t="shared" si="98"/>
        <v>8.7039606972348249E-2</v>
      </c>
      <c r="AD540" s="115">
        <f t="shared" si="104"/>
        <v>-0.14803356415385771</v>
      </c>
      <c r="AE540" s="235">
        <f t="shared" si="99"/>
        <v>-3.1324999999999998</v>
      </c>
    </row>
    <row r="541" spans="14:31" x14ac:dyDescent="0.2">
      <c r="N541" s="337">
        <v>41182</v>
      </c>
      <c r="O541" s="116">
        <f>INDEX('Additional data'!$B$2:$B$965,MATCH(DATE(YEAR(N541),MONTH(N541),1),'Additional data'!$A$2:$A$965,0))</f>
        <v>94.72</v>
      </c>
      <c r="P541" s="232">
        <f t="shared" si="100"/>
        <v>4.5509251711356953</v>
      </c>
      <c r="Q541" s="232">
        <f>Q540+LN(1+INDEX('Additional data'!$H$2:$H$1196,MATCH(N541,'Additional data'!$G$2:$G$1196,1))+INDEX('Additional data'!$I$2:$I$1196,MATCH(N541,'Additional data'!$G$2:$G$1196,1)))</f>
        <v>4.0950238440044666</v>
      </c>
      <c r="R541" s="232">
        <f>LN(INDEX(Data!$B$2:$B$497,MATCH(N541,Data!$A$2:$A$497,1)))</f>
        <v>10.443344598334001</v>
      </c>
      <c r="S541" s="116">
        <f>INDEX('Additional data'!$E$2:$E$699,MATCH(DATE(YEAR(N541),MONTH(N541),1),'Additional data'!$D$2:$D$699,0))</f>
        <v>3.49</v>
      </c>
      <c r="T541" s="115">
        <f t="shared" si="101"/>
        <v>5.9297081836744425E-3</v>
      </c>
      <c r="U541" s="115">
        <f t="shared" si="102"/>
        <v>2.7031339051030834E-2</v>
      </c>
      <c r="V541" s="115">
        <f t="shared" si="105"/>
        <v>2.1060403042547193E-2</v>
      </c>
      <c r="W541" s="116">
        <f t="shared" si="103"/>
        <v>-0.12749999999999995</v>
      </c>
      <c r="X541" s="115">
        <f t="shared" si="106"/>
        <v>0.10112307238130125</v>
      </c>
      <c r="Y541" s="115">
        <f t="shared" si="107"/>
        <v>0.26146514134619903</v>
      </c>
      <c r="Z541" s="115">
        <f t="shared" si="109"/>
        <v>0.12542865653408164</v>
      </c>
      <c r="AA541" s="116">
        <f t="shared" si="108"/>
        <v>-1.3199999999999994</v>
      </c>
      <c r="AB541" s="115">
        <f t="shared" si="97"/>
        <v>0.16977391949776788</v>
      </c>
      <c r="AC541" s="115">
        <f t="shared" si="98"/>
        <v>7.9283120537715135E-2</v>
      </c>
      <c r="AD541" s="115">
        <f t="shared" si="104"/>
        <v>-0.18313739054252487</v>
      </c>
      <c r="AE541" s="235">
        <f t="shared" si="99"/>
        <v>-3.45</v>
      </c>
    </row>
    <row r="542" spans="14:31" x14ac:dyDescent="0.2">
      <c r="N542" s="337">
        <v>41213</v>
      </c>
      <c r="O542" s="116">
        <f>INDEX('Additional data'!$B$2:$B$965,MATCH(DATE(YEAR(N542),MONTH(N542),1),'Additional data'!$A$2:$A$965,0))</f>
        <v>89.57</v>
      </c>
      <c r="P542" s="232">
        <f t="shared" si="100"/>
        <v>4.4950204424871041</v>
      </c>
      <c r="Q542" s="232">
        <f>Q541+LN(1+INDEX('Additional data'!$H$2:$H$1196,MATCH(N542,'Additional data'!$G$2:$G$1196,1))+INDEX('Additional data'!$I$2:$I$1196,MATCH(N542,'Additional data'!$G$2:$G$1196,1)))</f>
        <v>4.0773689087657461</v>
      </c>
      <c r="R542" s="232">
        <f>LN(INDEX(Data!$B$2:$B$497,MATCH(N542,Data!$A$2:$A$497,1)))</f>
        <v>10.472569006376602</v>
      </c>
      <c r="S542" s="116">
        <f>INDEX('Additional data'!$E$2:$E$699,MATCH(DATE(YEAR(N542),MONTH(N542),1),'Additional data'!$D$2:$D$699,0))</f>
        <v>3.1625000000000001</v>
      </c>
      <c r="T542" s="115">
        <f t="shared" si="101"/>
        <v>-5.5904728648591195E-2</v>
      </c>
      <c r="U542" s="115">
        <f t="shared" si="102"/>
        <v>-1.7654935238720526E-2</v>
      </c>
      <c r="V542" s="115">
        <f t="shared" si="105"/>
        <v>2.9224408042601624E-2</v>
      </c>
      <c r="W542" s="116">
        <f t="shared" si="103"/>
        <v>-0.32750000000000012</v>
      </c>
      <c r="X542" s="115">
        <f t="shared" si="106"/>
        <v>3.5917032633796531E-2</v>
      </c>
      <c r="Y542" s="115">
        <f t="shared" si="107"/>
        <v>0.13648162835495414</v>
      </c>
      <c r="Z542" s="115">
        <f t="shared" si="109"/>
        <v>8.5396833750586154E-2</v>
      </c>
      <c r="AA542" s="116">
        <f t="shared" si="108"/>
        <v>-1.5624999999999996</v>
      </c>
      <c r="AB542" s="115">
        <f t="shared" si="97"/>
        <v>3.8350264817456292E-2</v>
      </c>
      <c r="AC542" s="115">
        <f t="shared" si="98"/>
        <v>4.0747707719638981E-2</v>
      </c>
      <c r="AD542" s="115">
        <f t="shared" si="104"/>
        <v>-0.18418214883607575</v>
      </c>
      <c r="AE542" s="235">
        <f t="shared" si="99"/>
        <v>-3.7475000000000001</v>
      </c>
    </row>
    <row r="543" spans="14:31" x14ac:dyDescent="0.2">
      <c r="N543" s="337">
        <v>41243</v>
      </c>
      <c r="O543" s="116">
        <f>INDEX('Additional data'!$B$2:$B$965,MATCH(DATE(YEAR(N543),MONTH(N543),1),'Additional data'!$A$2:$A$965,0))</f>
        <v>86.66</v>
      </c>
      <c r="P543" s="232">
        <f t="shared" si="100"/>
        <v>4.4619924163117632</v>
      </c>
      <c r="Q543" s="232">
        <f>Q542+LN(1+INDEX('Additional data'!$H$2:$H$1196,MATCH(N543,'Additional data'!$G$2:$G$1196,1))+INDEX('Additional data'!$I$2:$I$1196,MATCH(N543,'Additional data'!$G$2:$G$1196,1)))</f>
        <v>4.0852378671444409</v>
      </c>
      <c r="R543" s="232">
        <f>LN(INDEX(Data!$B$2:$B$497,MATCH(N543,Data!$A$2:$A$497,1)))</f>
        <v>10.475217007222447</v>
      </c>
      <c r="S543" s="116">
        <f>INDEX('Additional data'!$E$2:$E$699,MATCH(DATE(YEAR(N543),MONTH(N543),1),'Additional data'!$D$2:$D$699,0))</f>
        <v>3.2425000000000002</v>
      </c>
      <c r="T543" s="115">
        <f t="shared" si="101"/>
        <v>-3.3028026175340841E-2</v>
      </c>
      <c r="U543" s="115">
        <f t="shared" si="102"/>
        <v>7.8689583786948347E-3</v>
      </c>
      <c r="V543" s="115">
        <f t="shared" si="105"/>
        <v>2.6480008458449333E-3</v>
      </c>
      <c r="W543" s="116">
        <f t="shared" si="103"/>
        <v>8.0000000000000071E-2</v>
      </c>
      <c r="X543" s="115">
        <f t="shared" si="106"/>
        <v>-0.11488117052121449</v>
      </c>
      <c r="Y543" s="115">
        <f t="shared" si="107"/>
        <v>0.14705423830796382</v>
      </c>
      <c r="Z543" s="115">
        <f t="shared" si="109"/>
        <v>0.12299169142114685</v>
      </c>
      <c r="AA543" s="116">
        <f t="shared" si="108"/>
        <v>-1.3799999999999994</v>
      </c>
      <c r="AB543" s="115">
        <f t="shared" si="97"/>
        <v>-8.7876453891238882E-2</v>
      </c>
      <c r="AC543" s="115">
        <f t="shared" si="98"/>
        <v>9.4241844124609564E-2</v>
      </c>
      <c r="AD543" s="115">
        <f t="shared" si="104"/>
        <v>-0.15770666962627544</v>
      </c>
      <c r="AE543" s="235">
        <f t="shared" si="99"/>
        <v>-3.9075000000000002</v>
      </c>
    </row>
    <row r="544" spans="14:31" x14ac:dyDescent="0.2">
      <c r="N544" s="337">
        <v>41274</v>
      </c>
      <c r="O544" s="116">
        <f>INDEX('Additional data'!$B$2:$B$965,MATCH(DATE(YEAR(N544),MONTH(N544),1),'Additional data'!$A$2:$A$965,0))</f>
        <v>88.25</v>
      </c>
      <c r="P544" s="232">
        <f t="shared" si="100"/>
        <v>4.4801736958134057</v>
      </c>
      <c r="Q544" s="232">
        <f>Q543+LN(1+INDEX('Additional data'!$H$2:$H$1196,MATCH(N544,'Additional data'!$G$2:$G$1196,1))+INDEX('Additional data'!$I$2:$I$1196,MATCH(N544,'Additional data'!$G$2:$G$1196,1)))</f>
        <v>4.0970676188980182</v>
      </c>
      <c r="R544" s="232">
        <f>LN(INDEX(Data!$B$2:$B$497,MATCH(N544,Data!$A$2:$A$497,1)))</f>
        <v>10.508967549499143</v>
      </c>
      <c r="S544" s="116">
        <f>INDEX('Additional data'!$E$2:$E$699,MATCH(DATE(YEAR(N544),MONTH(N544),1),'Additional data'!$D$2:$D$699,0))</f>
        <v>3.1124999999999998</v>
      </c>
      <c r="T544" s="115">
        <f t="shared" si="101"/>
        <v>1.81812795016425E-2</v>
      </c>
      <c r="U544" s="115">
        <f t="shared" si="102"/>
        <v>1.1829751753577256E-2</v>
      </c>
      <c r="V544" s="115">
        <f t="shared" si="105"/>
        <v>3.3750542276695938E-2</v>
      </c>
      <c r="W544" s="116">
        <f t="shared" si="103"/>
        <v>-0.13000000000000034</v>
      </c>
      <c r="X544" s="115">
        <f t="shared" si="106"/>
        <v>-0.11059325986394164</v>
      </c>
      <c r="Y544" s="115">
        <f t="shared" si="107"/>
        <v>0.15141197522284022</v>
      </c>
      <c r="Z544" s="115">
        <f t="shared" si="109"/>
        <v>0.17261474991647141</v>
      </c>
      <c r="AA544" s="116">
        <f t="shared" si="108"/>
        <v>-1.3950000000000005</v>
      </c>
      <c r="AB544" s="115">
        <f t="shared" si="97"/>
        <v>-3.8675783708158384E-2</v>
      </c>
      <c r="AC544" s="115">
        <f t="shared" si="98"/>
        <v>0.11208966820374977</v>
      </c>
      <c r="AD544" s="115">
        <f t="shared" si="104"/>
        <v>-0.10004952994903071</v>
      </c>
      <c r="AE544" s="235">
        <f t="shared" si="99"/>
        <v>-4.1775000000000002</v>
      </c>
    </row>
    <row r="545" spans="14:31" x14ac:dyDescent="0.2">
      <c r="N545" s="337">
        <v>41305</v>
      </c>
      <c r="O545" s="116">
        <f>INDEX('Additional data'!$B$2:$B$965,MATCH(DATE(YEAR(N545),MONTH(N545),1),'Additional data'!$A$2:$A$965,0))</f>
        <v>94.69</v>
      </c>
      <c r="P545" s="232">
        <f t="shared" si="100"/>
        <v>4.5506083979954086</v>
      </c>
      <c r="Q545" s="232">
        <f>Q544+LN(1+INDEX('Additional data'!$H$2:$H$1196,MATCH(N545,'Additional data'!$G$2:$G$1196,1))+INDEX('Additional data'!$I$2:$I$1196,MATCH(N545,'Additional data'!$G$2:$G$1196,1)))</f>
        <v>4.1512716729115304</v>
      </c>
      <c r="R545" s="232">
        <f>LN(INDEX(Data!$B$2:$B$497,MATCH(N545,Data!$A$2:$A$497,1)))</f>
        <v>10.558516160031651</v>
      </c>
      <c r="S545" s="116">
        <f>INDEX('Additional data'!$E$2:$E$699,MATCH(DATE(YEAR(N545),MONTH(N545),1),'Additional data'!$D$2:$D$699,0))</f>
        <v>3</v>
      </c>
      <c r="T545" s="115">
        <f t="shared" si="101"/>
        <v>7.0434702182002873E-2</v>
      </c>
      <c r="U545" s="115">
        <f t="shared" si="102"/>
        <v>5.4204054013512248E-2</v>
      </c>
      <c r="V545" s="115">
        <f t="shared" si="105"/>
        <v>4.9548610532507809E-2</v>
      </c>
      <c r="W545" s="116">
        <f t="shared" si="103"/>
        <v>-0.11249999999999982</v>
      </c>
      <c r="X545" s="115">
        <f t="shared" si="106"/>
        <v>-5.6958912592404154E-2</v>
      </c>
      <c r="Y545" s="115">
        <f t="shared" si="107"/>
        <v>0.15634978793343457</v>
      </c>
      <c r="Z545" s="115">
        <f t="shared" si="109"/>
        <v>0.17122129254948604</v>
      </c>
      <c r="AA545" s="116">
        <f t="shared" si="108"/>
        <v>-1.4100000000000001</v>
      </c>
      <c r="AB545" s="115">
        <f t="shared" si="97"/>
        <v>1.8546683827955768E-2</v>
      </c>
      <c r="AC545" s="115">
        <f t="shared" si="98"/>
        <v>0.22944653722253072</v>
      </c>
      <c r="AD545" s="115">
        <f t="shared" si="104"/>
        <v>6.8837075252428548E-2</v>
      </c>
      <c r="AE545" s="235">
        <f t="shared" si="99"/>
        <v>-4.18</v>
      </c>
    </row>
    <row r="546" spans="14:31" x14ac:dyDescent="0.2">
      <c r="N546" s="337">
        <v>41333</v>
      </c>
      <c r="O546" s="116">
        <f>INDEX('Additional data'!$B$2:$B$965,MATCH(DATE(YEAR(N546),MONTH(N546),1),'Additional data'!$A$2:$A$965,0))</f>
        <v>95.32</v>
      </c>
      <c r="P546" s="232">
        <f t="shared" si="100"/>
        <v>4.5572396522305416</v>
      </c>
      <c r="Q546" s="232">
        <f>Q545+LN(1+INDEX('Additional data'!$H$2:$H$1196,MATCH(N546,'Additional data'!$G$2:$G$1196,1))+INDEX('Additional data'!$I$2:$I$1196,MATCH(N546,'Additional data'!$G$2:$G$1196,1)))</f>
        <v>4.1639904453193051</v>
      </c>
      <c r="R546" s="232">
        <f>LN(INDEX(Data!$B$2:$B$497,MATCH(N546,Data!$A$2:$A$497,1)))</f>
        <v>10.608989606320824</v>
      </c>
      <c r="S546" s="116">
        <f>INDEX('Additional data'!$E$2:$E$699,MATCH(DATE(YEAR(N546),MONTH(N546),1),'Additional data'!$D$2:$D$699,0))</f>
        <v>2.94</v>
      </c>
      <c r="T546" s="115">
        <f t="shared" si="101"/>
        <v>6.6312542351329995E-3</v>
      </c>
      <c r="U546" s="115">
        <f t="shared" si="102"/>
        <v>1.2718772407774637E-2</v>
      </c>
      <c r="V546" s="115">
        <f t="shared" si="105"/>
        <v>5.0473446289172941E-2</v>
      </c>
      <c r="W546" s="116">
        <f t="shared" si="103"/>
        <v>-6.0000000000000053E-2</v>
      </c>
      <c r="X546" s="115">
        <f t="shared" si="106"/>
        <v>-7.0181142692369747E-2</v>
      </c>
      <c r="Y546" s="115">
        <f t="shared" si="107"/>
        <v>0.12581751834689392</v>
      </c>
      <c r="Z546" s="115">
        <f t="shared" si="109"/>
        <v>0.19786419456746529</v>
      </c>
      <c r="AA546" s="116">
        <f t="shared" si="108"/>
        <v>-1.4300000000000002</v>
      </c>
      <c r="AB546" s="115">
        <f t="shared" si="97"/>
        <v>-3.1467981588662042E-4</v>
      </c>
      <c r="AC546" s="115">
        <f t="shared" si="98"/>
        <v>0.27221223098260205</v>
      </c>
      <c r="AD546" s="115">
        <f t="shared" si="104"/>
        <v>0.11668972061570848</v>
      </c>
      <c r="AE546" s="235">
        <f t="shared" si="99"/>
        <v>-4.75</v>
      </c>
    </row>
    <row r="547" spans="14:31" x14ac:dyDescent="0.2">
      <c r="N547" s="337">
        <v>41364</v>
      </c>
      <c r="O547" s="116">
        <f>INDEX('Additional data'!$B$2:$B$965,MATCH(DATE(YEAR(N547),MONTH(N547),1),'Additional data'!$A$2:$A$965,0))</f>
        <v>93.05</v>
      </c>
      <c r="P547" s="232">
        <f t="shared" si="100"/>
        <v>4.5331369830882595</v>
      </c>
      <c r="Q547" s="232">
        <f>Q546+LN(1+INDEX('Additional data'!$H$2:$H$1196,MATCH(N547,'Additional data'!$G$2:$G$1196,1))+INDEX('Additional data'!$I$2:$I$1196,MATCH(N547,'Additional data'!$G$2:$G$1196,1)))</f>
        <v>4.2035956999116646</v>
      </c>
      <c r="R547" s="232">
        <f>LN(INDEX(Data!$B$2:$B$497,MATCH(N547,Data!$A$2:$A$497,1)))</f>
        <v>10.586338850612581</v>
      </c>
      <c r="S547" s="116">
        <f>INDEX('Additional data'!$E$2:$E$699,MATCH(DATE(YEAR(N547),MONTH(N547),1),'Additional data'!$D$2:$D$699,0))</f>
        <v>3.05</v>
      </c>
      <c r="T547" s="115">
        <f t="shared" si="101"/>
        <v>-2.4102669142282096E-2</v>
      </c>
      <c r="U547" s="115">
        <f t="shared" si="102"/>
        <v>3.9605254592359529E-2</v>
      </c>
      <c r="V547" s="115">
        <f t="shared" si="105"/>
        <v>-2.2650755708243153E-2</v>
      </c>
      <c r="W547" s="116">
        <f t="shared" si="103"/>
        <v>0.10999999999999988</v>
      </c>
      <c r="X547" s="115">
        <f t="shared" si="106"/>
        <v>-0.13209295932749487</v>
      </c>
      <c r="Y547" s="115">
        <f t="shared" si="107"/>
        <v>0.13469960029641292</v>
      </c>
      <c r="Z547" s="115">
        <f t="shared" si="109"/>
        <v>0.16381313459232771</v>
      </c>
      <c r="AA547" s="116">
        <f t="shared" si="108"/>
        <v>-1.3925000000000001</v>
      </c>
      <c r="AB547" s="115">
        <f t="shared" si="97"/>
        <v>-0.12614252854686381</v>
      </c>
      <c r="AC547" s="115">
        <f t="shared" si="98"/>
        <v>0.31954728363690288</v>
      </c>
      <c r="AD547" s="115">
        <f t="shared" si="104"/>
        <v>0.13604462628681979</v>
      </c>
      <c r="AE547" s="235">
        <f t="shared" si="99"/>
        <v>-4.8500000000000005</v>
      </c>
    </row>
    <row r="548" spans="14:31" x14ac:dyDescent="0.2">
      <c r="N548" s="337">
        <v>41394</v>
      </c>
      <c r="O548" s="116">
        <f>INDEX('Additional data'!$B$2:$B$965,MATCH(DATE(YEAR(N548),MONTH(N548),1),'Additional data'!$A$2:$A$965,0))</f>
        <v>92.07</v>
      </c>
      <c r="P548" s="232">
        <f t="shared" si="100"/>
        <v>4.5225491572997543</v>
      </c>
      <c r="Q548" s="232">
        <f>Q547+LN(1+INDEX('Additional data'!$H$2:$H$1196,MATCH(N548,'Additional data'!$G$2:$G$1196,1))+INDEX('Additional data'!$I$2:$I$1196,MATCH(N548,'Additional data'!$G$2:$G$1196,1)))</f>
        <v>4.219075270760051</v>
      </c>
      <c r="R548" s="232">
        <f>LN(INDEX(Data!$B$2:$B$497,MATCH(N548,Data!$A$2:$A$497,1)))</f>
        <v>10.623832495815543</v>
      </c>
      <c r="S548" s="116">
        <f>INDEX('Additional data'!$E$2:$E$699,MATCH(DATE(YEAR(N548),MONTH(N548),1),'Additional data'!$D$2:$D$699,0))</f>
        <v>3.02</v>
      </c>
      <c r="T548" s="115">
        <f t="shared" si="101"/>
        <v>-1.0587825788505256E-2</v>
      </c>
      <c r="U548" s="115">
        <f t="shared" si="102"/>
        <v>1.5479570848386359E-2</v>
      </c>
      <c r="V548" s="115">
        <f t="shared" si="105"/>
        <v>3.7493645202962611E-2</v>
      </c>
      <c r="W548" s="116">
        <f t="shared" si="103"/>
        <v>-2.9999999999999805E-2</v>
      </c>
      <c r="X548" s="115">
        <f t="shared" si="106"/>
        <v>-0.11537859292650943</v>
      </c>
      <c r="Y548" s="115">
        <f t="shared" si="107"/>
        <v>0.15871550216708563</v>
      </c>
      <c r="Z548" s="115">
        <f t="shared" si="109"/>
        <v>0.19034081389211721</v>
      </c>
      <c r="AA548" s="116">
        <f t="shared" si="108"/>
        <v>-1.1824999999999997</v>
      </c>
      <c r="AB548" s="115">
        <f t="shared" si="97"/>
        <v>-0.20102609306695829</v>
      </c>
      <c r="AC548" s="115">
        <f t="shared" si="98"/>
        <v>0.28823869298653015</v>
      </c>
      <c r="AD548" s="115">
        <f t="shared" si="104"/>
        <v>0.12814760305573003</v>
      </c>
      <c r="AE548" s="235">
        <f t="shared" si="99"/>
        <v>-4.82</v>
      </c>
    </row>
    <row r="549" spans="14:31" x14ac:dyDescent="0.2">
      <c r="N549" s="337">
        <v>41425</v>
      </c>
      <c r="O549" s="116">
        <f>INDEX('Additional data'!$B$2:$B$965,MATCH(DATE(YEAR(N549),MONTH(N549),1),'Additional data'!$A$2:$A$965,0))</f>
        <v>94.8</v>
      </c>
      <c r="P549" s="232">
        <f t="shared" si="100"/>
        <v>4.5517694092609764</v>
      </c>
      <c r="Q549" s="232">
        <f>Q548+LN(1+INDEX('Additional data'!$H$2:$H$1196,MATCH(N549,'Additional data'!$G$2:$G$1196,1))+INDEX('Additional data'!$I$2:$I$1196,MATCH(N549,'Additional data'!$G$2:$G$1196,1)))</f>
        <v>4.2466904377930241</v>
      </c>
      <c r="R549" s="232">
        <f>LN(INDEX(Data!$B$2:$B$497,MATCH(N549,Data!$A$2:$A$497,1)))</f>
        <v>10.578986253155586</v>
      </c>
      <c r="S549" s="116">
        <f>INDEX('Additional data'!$E$2:$E$699,MATCH(DATE(YEAR(N549),MONTH(N549),1),'Additional data'!$D$2:$D$699,0))</f>
        <v>2.82</v>
      </c>
      <c r="T549" s="115">
        <f t="shared" si="101"/>
        <v>2.9220251961222132E-2</v>
      </c>
      <c r="U549" s="115">
        <f t="shared" si="102"/>
        <v>2.7615167032973176E-2</v>
      </c>
      <c r="V549" s="115">
        <f t="shared" si="105"/>
        <v>-4.4846242659957625E-2</v>
      </c>
      <c r="W549" s="116">
        <f t="shared" si="103"/>
        <v>-0.20000000000000018</v>
      </c>
      <c r="X549" s="115">
        <f t="shared" si="106"/>
        <v>1.0554090689440798E-3</v>
      </c>
      <c r="Y549" s="115">
        <f t="shared" si="107"/>
        <v>0.24990965084292993</v>
      </c>
      <c r="Z549" s="115">
        <f t="shared" si="109"/>
        <v>0.21698273918551436</v>
      </c>
      <c r="AA549" s="116">
        <f t="shared" si="108"/>
        <v>-0.83499999999999996</v>
      </c>
      <c r="AB549" s="115">
        <f t="shared" si="97"/>
        <v>-0.27965947094147037</v>
      </c>
      <c r="AC549" s="115">
        <f t="shared" si="98"/>
        <v>0.29556115675174111</v>
      </c>
      <c r="AD549" s="115">
        <f t="shared" si="104"/>
        <v>5.9056958864699638E-2</v>
      </c>
      <c r="AE549" s="235">
        <f t="shared" si="99"/>
        <v>-4.93</v>
      </c>
    </row>
    <row r="550" spans="14:31" x14ac:dyDescent="0.2">
      <c r="N550" s="337">
        <v>41455</v>
      </c>
      <c r="O550" s="116">
        <f>INDEX('Additional data'!$B$2:$B$965,MATCH(DATE(YEAR(N550),MONTH(N550),1),'Additional data'!$A$2:$A$965,0))</f>
        <v>95.8</v>
      </c>
      <c r="P550" s="232">
        <f t="shared" si="100"/>
        <v>4.5622626849768144</v>
      </c>
      <c r="Q550" s="232">
        <f>Q549+LN(1+INDEX('Additional data'!$H$2:$H$1196,MATCH(N550,'Additional data'!$G$2:$G$1196,1))+INDEX('Additional data'!$I$2:$I$1196,MATCH(N550,'Additional data'!$G$2:$G$1196,1)))</f>
        <v>4.2346178565587547</v>
      </c>
      <c r="R550" s="232">
        <f>LN(INDEX(Data!$B$2:$B$497,MATCH(N550,Data!$A$2:$A$497,1)))</f>
        <v>10.552429982118623</v>
      </c>
      <c r="S550" s="116">
        <f>INDEX('Additional data'!$E$2:$E$699,MATCH(DATE(YEAR(N550),MONTH(N550),1),'Additional data'!$D$2:$D$699,0))</f>
        <v>2.8</v>
      </c>
      <c r="T550" s="115">
        <f t="shared" si="101"/>
        <v>1.0493275715838024E-2</v>
      </c>
      <c r="U550" s="115">
        <f t="shared" si="102"/>
        <v>-1.2072581234269464E-2</v>
      </c>
      <c r="V550" s="115">
        <f t="shared" si="105"/>
        <v>-2.6556271036962897E-2</v>
      </c>
      <c r="W550" s="116">
        <f t="shared" si="103"/>
        <v>-2.0000000000000018E-2</v>
      </c>
      <c r="X550" s="115">
        <f t="shared" si="106"/>
        <v>0.15055589620152254</v>
      </c>
      <c r="Y550" s="115">
        <f t="shared" si="107"/>
        <v>0.19967460851431174</v>
      </c>
      <c r="Z550" s="115">
        <f t="shared" si="109"/>
        <v>0.18790782663552008</v>
      </c>
      <c r="AA550" s="116">
        <f t="shared" si="108"/>
        <v>-0.69250000000000034</v>
      </c>
      <c r="AB550" s="115">
        <f t="shared" si="97"/>
        <v>-0.33505459042221641</v>
      </c>
      <c r="AC550" s="115">
        <f t="shared" si="98"/>
        <v>0.36970027233653724</v>
      </c>
      <c r="AD550" s="115">
        <f t="shared" si="104"/>
        <v>0.10846985212060822</v>
      </c>
      <c r="AE550" s="235">
        <f t="shared" si="99"/>
        <v>-5.01</v>
      </c>
    </row>
    <row r="551" spans="14:31" x14ac:dyDescent="0.2">
      <c r="N551" s="337">
        <v>41486</v>
      </c>
      <c r="O551" s="116">
        <f>INDEX('Additional data'!$B$2:$B$965,MATCH(DATE(YEAR(N551),MONTH(N551),1),'Additional data'!$A$2:$A$965,0))</f>
        <v>104.61</v>
      </c>
      <c r="P551" s="232">
        <f t="shared" si="100"/>
        <v>4.6502391493556692</v>
      </c>
      <c r="Q551" s="232">
        <f>Q550+LN(1+INDEX('Additional data'!$H$2:$H$1196,MATCH(N551,'Additional data'!$G$2:$G$1196,1))+INDEX('Additional data'!$I$2:$I$1196,MATCH(N551,'Additional data'!$G$2:$G$1196,1)))</f>
        <v>4.2895794146327288</v>
      </c>
      <c r="R551" s="232">
        <f>LN(INDEX(Data!$B$2:$B$497,MATCH(N551,Data!$A$2:$A$497,1)))</f>
        <v>10.60560258667358</v>
      </c>
      <c r="S551" s="116">
        <f>INDEX('Additional data'!$E$2:$E$699,MATCH(DATE(YEAR(N551),MONTH(N551),1),'Additional data'!$D$2:$D$699,0))</f>
        <v>2.76</v>
      </c>
      <c r="T551" s="115">
        <f t="shared" si="101"/>
        <v>8.7976464378854757E-2</v>
      </c>
      <c r="U551" s="115">
        <f t="shared" si="102"/>
        <v>5.4961558073974182E-2</v>
      </c>
      <c r="V551" s="115">
        <f t="shared" si="105"/>
        <v>5.3172604554957204E-2</v>
      </c>
      <c r="W551" s="116">
        <f t="shared" si="103"/>
        <v>-4.0000000000000036E-2</v>
      </c>
      <c r="X551" s="115">
        <f t="shared" si="106"/>
        <v>0.17369810596475865</v>
      </c>
      <c r="Y551" s="115">
        <f t="shared" si="107"/>
        <v>0.24676720820959108</v>
      </c>
      <c r="Z551" s="115">
        <f t="shared" si="109"/>
        <v>0.20433212976927528</v>
      </c>
      <c r="AA551" s="116">
        <f t="shared" si="108"/>
        <v>-0.78500000000000014</v>
      </c>
      <c r="AB551" s="115">
        <f t="shared" si="97"/>
        <v>-0.2434127892547675</v>
      </c>
      <c r="AC551" s="115">
        <f t="shared" si="98"/>
        <v>0.43067990273607437</v>
      </c>
      <c r="AD551" s="115">
        <f t="shared" si="104"/>
        <v>0.21540849096275672</v>
      </c>
      <c r="AE551" s="235">
        <f t="shared" si="99"/>
        <v>-4.99</v>
      </c>
    </row>
    <row r="552" spans="14:31" x14ac:dyDescent="0.2">
      <c r="N552" s="337">
        <v>41517</v>
      </c>
      <c r="O552" s="116">
        <f>INDEX('Additional data'!$B$2:$B$965,MATCH(DATE(YEAR(N552),MONTH(N552),1),'Additional data'!$A$2:$A$965,0))</f>
        <v>106.57</v>
      </c>
      <c r="P552" s="232">
        <f t="shared" si="100"/>
        <v>4.668802046232865</v>
      </c>
      <c r="Q552" s="232">
        <f>Q551+LN(1+INDEX('Additional data'!$H$2:$H$1196,MATCH(N552,'Additional data'!$G$2:$G$1196,1))+INDEX('Additional data'!$I$2:$I$1196,MATCH(N552,'Additional data'!$G$2:$G$1196,1)))</f>
        <v>4.2621054376319734</v>
      </c>
      <c r="R552" s="232">
        <f>LN(INDEX(Data!$B$2:$B$497,MATCH(N552,Data!$A$2:$A$497,1)))</f>
        <v>10.631195234254173</v>
      </c>
      <c r="S552" s="116">
        <f>INDEX('Additional data'!$E$2:$E$699,MATCH(DATE(YEAR(N552),MONTH(N552),1),'Additional data'!$D$2:$D$699,0))</f>
        <v>2.6</v>
      </c>
      <c r="T552" s="115">
        <f t="shared" si="101"/>
        <v>1.8562896877195811E-2</v>
      </c>
      <c r="U552" s="115">
        <f t="shared" si="102"/>
        <v>-2.747397700075549E-2</v>
      </c>
      <c r="V552" s="115">
        <f t="shared" si="105"/>
        <v>2.5592647580593209E-2</v>
      </c>
      <c r="W552" s="116">
        <f t="shared" si="103"/>
        <v>-0.1599999999999997</v>
      </c>
      <c r="X552" s="115">
        <f t="shared" si="106"/>
        <v>0.12380658328084415</v>
      </c>
      <c r="Y552" s="115">
        <f t="shared" si="107"/>
        <v>0.19411293267853758</v>
      </c>
      <c r="Z552" s="115">
        <f t="shared" si="109"/>
        <v>0.20891103896271979</v>
      </c>
      <c r="AA552" s="116">
        <f t="shared" si="108"/>
        <v>-1.0175000000000001</v>
      </c>
      <c r="AB552" s="115">
        <f t="shared" si="97"/>
        <v>-9.0032987299376366E-2</v>
      </c>
      <c r="AC552" s="115">
        <f t="shared" si="98"/>
        <v>0.38674219970465362</v>
      </c>
      <c r="AD552" s="115">
        <f t="shared" si="104"/>
        <v>0.2015423157055416</v>
      </c>
      <c r="AE552" s="235">
        <f t="shared" si="99"/>
        <v>-4.7099999999999991</v>
      </c>
    </row>
    <row r="553" spans="14:31" x14ac:dyDescent="0.2">
      <c r="N553" s="337">
        <v>41547</v>
      </c>
      <c r="O553" s="116">
        <f>INDEX('Additional data'!$B$2:$B$965,MATCH(DATE(YEAR(N553),MONTH(N553),1),'Additional data'!$A$2:$A$965,0))</f>
        <v>106.29</v>
      </c>
      <c r="P553" s="232">
        <f t="shared" si="100"/>
        <v>4.6661712075454904</v>
      </c>
      <c r="Q553" s="232">
        <f>Q552+LN(1+INDEX('Additional data'!$H$2:$H$1196,MATCH(N553,'Additional data'!$G$2:$G$1196,1))+INDEX('Additional data'!$I$2:$I$1196,MATCH(N553,'Additional data'!$G$2:$G$1196,1)))</f>
        <v>4.2991121632610687</v>
      </c>
      <c r="R553" s="232">
        <f>LN(INDEX(Data!$B$2:$B$497,MATCH(N553,Data!$A$2:$A$497,1)))</f>
        <v>10.654781952456984</v>
      </c>
      <c r="S553" s="116">
        <f>INDEX('Additional data'!$E$2:$E$699,MATCH(DATE(YEAR(N553),MONTH(N553),1),'Additional data'!$D$2:$D$699,0))</f>
        <v>2.58</v>
      </c>
      <c r="T553" s="115">
        <f t="shared" si="101"/>
        <v>-2.6308386873745704E-3</v>
      </c>
      <c r="U553" s="115">
        <f t="shared" si="102"/>
        <v>3.7006725629095349E-2</v>
      </c>
      <c r="V553" s="115">
        <f t="shared" si="105"/>
        <v>2.3586718202810886E-2</v>
      </c>
      <c r="W553" s="116">
        <f t="shared" si="103"/>
        <v>-2.0000000000000018E-2</v>
      </c>
      <c r="X553" s="115">
        <f t="shared" si="106"/>
        <v>0.11524603640979514</v>
      </c>
      <c r="Y553" s="115">
        <f t="shared" si="107"/>
        <v>0.20408831925660209</v>
      </c>
      <c r="Z553" s="115">
        <f t="shared" si="109"/>
        <v>0.21143735412298348</v>
      </c>
      <c r="AA553" s="116">
        <f t="shared" si="108"/>
        <v>-0.91000000000000014</v>
      </c>
      <c r="AB553" s="115">
        <f t="shared" si="97"/>
        <v>2.2742309440308972E-2</v>
      </c>
      <c r="AC553" s="115">
        <f t="shared" si="98"/>
        <v>0.52025982571459295</v>
      </c>
      <c r="AD553" s="115">
        <f t="shared" si="104"/>
        <v>0.33740140642042071</v>
      </c>
      <c r="AE553" s="235">
        <f t="shared" si="99"/>
        <v>-4.6899999999999995</v>
      </c>
    </row>
    <row r="554" spans="14:31" x14ac:dyDescent="0.2">
      <c r="N554" s="337">
        <v>41578</v>
      </c>
      <c r="O554" s="116">
        <f>INDEX('Additional data'!$B$2:$B$965,MATCH(DATE(YEAR(N554),MONTH(N554),1),'Additional data'!$A$2:$A$965,0))</f>
        <v>100.54</v>
      </c>
      <c r="P554" s="232">
        <f t="shared" si="100"/>
        <v>4.6105556582644294</v>
      </c>
      <c r="Q554" s="232">
        <f>Q553+LN(1+INDEX('Additional data'!$H$2:$H$1196,MATCH(N554,'Additional data'!$G$2:$G$1196,1))+INDEX('Additional data'!$I$2:$I$1196,MATCH(N554,'Additional data'!$G$2:$G$1196,1)))</f>
        <v>4.3399661572693349</v>
      </c>
      <c r="R554" s="232">
        <f>LN(INDEX(Data!$B$2:$B$497,MATCH(N554,Data!$A$2:$A$497,1)))</f>
        <v>10.693175148216847</v>
      </c>
      <c r="S554" s="116">
        <f>INDEX('Additional data'!$E$2:$E$699,MATCH(DATE(YEAR(N554),MONTH(N554),1),'Additional data'!$D$2:$D$699,0))</f>
        <v>2.58</v>
      </c>
      <c r="T554" s="115">
        <f t="shared" si="101"/>
        <v>-5.561554928106105E-2</v>
      </c>
      <c r="U554" s="115">
        <f t="shared" si="102"/>
        <v>4.085399400826617E-2</v>
      </c>
      <c r="V554" s="115">
        <f t="shared" si="105"/>
        <v>3.8393195759862664E-2</v>
      </c>
      <c r="W554" s="116">
        <f t="shared" si="103"/>
        <v>0</v>
      </c>
      <c r="X554" s="115">
        <f t="shared" si="106"/>
        <v>0.11553521577732528</v>
      </c>
      <c r="Y554" s="115">
        <f t="shared" si="107"/>
        <v>0.26259724850358879</v>
      </c>
      <c r="Z554" s="115">
        <f t="shared" si="109"/>
        <v>0.22060614184024452</v>
      </c>
      <c r="AA554" s="116">
        <f t="shared" si="108"/>
        <v>-0.58250000000000002</v>
      </c>
      <c r="AB554" s="115">
        <f t="shared" si="97"/>
        <v>0.27130605294660626</v>
      </c>
      <c r="AC554" s="115">
        <f t="shared" si="98"/>
        <v>0.74889022719977749</v>
      </c>
      <c r="AD554" s="115">
        <f t="shared" si="104"/>
        <v>0.52569938130318761</v>
      </c>
      <c r="AE554" s="235">
        <f t="shared" si="99"/>
        <v>-3.45</v>
      </c>
    </row>
    <row r="555" spans="14:31" x14ac:dyDescent="0.2">
      <c r="N555" s="337">
        <v>41608</v>
      </c>
      <c r="O555" s="116">
        <f>INDEX('Additional data'!$B$2:$B$965,MATCH(DATE(YEAR(N555),MONTH(N555),1),'Additional data'!$A$2:$A$965,0))</f>
        <v>93.86</v>
      </c>
      <c r="P555" s="232">
        <f t="shared" si="100"/>
        <v>4.5418043103662713</v>
      </c>
      <c r="Q555" s="232">
        <f>Q554+LN(1+INDEX('Additional data'!$H$2:$H$1196,MATCH(N555,'Additional data'!$G$2:$G$1196,1))+INDEX('Additional data'!$I$2:$I$1196,MATCH(N555,'Additional data'!$G$2:$G$1196,1)))</f>
        <v>4.370592350811096</v>
      </c>
      <c r="R555" s="232">
        <f>LN(INDEX(Data!$B$2:$B$497,MATCH(N555,Data!$A$2:$A$497,1)))</f>
        <v>10.679271352715945</v>
      </c>
      <c r="S555" s="116">
        <f>INDEX('Additional data'!$E$2:$E$699,MATCH(DATE(YEAR(N555),MONTH(N555),1),'Additional data'!$D$2:$D$699,0))</f>
        <v>2.58</v>
      </c>
      <c r="T555" s="115">
        <f t="shared" si="101"/>
        <v>-6.8751347898158066E-2</v>
      </c>
      <c r="U555" s="115">
        <f t="shared" si="102"/>
        <v>3.0626193541761104E-2</v>
      </c>
      <c r="V555" s="115">
        <f t="shared" si="105"/>
        <v>-1.3903795500901595E-2</v>
      </c>
      <c r="W555" s="116">
        <f t="shared" si="103"/>
        <v>0</v>
      </c>
      <c r="X555" s="115">
        <f t="shared" si="106"/>
        <v>7.9811894054508059E-2</v>
      </c>
      <c r="Y555" s="115">
        <f t="shared" si="107"/>
        <v>0.28535448366665506</v>
      </c>
      <c r="Z555" s="115">
        <f t="shared" si="109"/>
        <v>0.20405434549349799</v>
      </c>
      <c r="AA555" s="116">
        <f t="shared" si="108"/>
        <v>-0.66250000000000009</v>
      </c>
      <c r="AB555" s="115">
        <f t="shared" si="97"/>
        <v>0.49106338562630292</v>
      </c>
      <c r="AC555" s="115">
        <f t="shared" si="98"/>
        <v>0.85975081345214477</v>
      </c>
      <c r="AD555" s="115">
        <f t="shared" si="104"/>
        <v>0.58672362396671751</v>
      </c>
      <c r="AE555" s="235">
        <f t="shared" si="99"/>
        <v>-2.1799999999999997</v>
      </c>
    </row>
    <row r="556" spans="14:31" x14ac:dyDescent="0.2">
      <c r="N556" s="337">
        <v>41639</v>
      </c>
      <c r="O556" s="116">
        <f>INDEX('Additional data'!$B$2:$B$965,MATCH(DATE(YEAR(N556),MONTH(N556),1),'Additional data'!$A$2:$A$965,0))</f>
        <v>97.63</v>
      </c>
      <c r="P556" s="232">
        <f t="shared" si="100"/>
        <v>4.5811848232375798</v>
      </c>
      <c r="Q556" s="232">
        <f>Q555+LN(1+INDEX('Additional data'!$H$2:$H$1196,MATCH(N556,'Additional data'!$G$2:$G$1196,1))+INDEX('Additional data'!$I$2:$I$1196,MATCH(N556,'Additional data'!$G$2:$G$1196,1)))</f>
        <v>4.3983047893776321</v>
      </c>
      <c r="R556" s="232">
        <f>LN(INDEX(Data!$B$2:$B$497,MATCH(N556,Data!$A$2:$A$497,1)))</f>
        <v>10.688416127813294</v>
      </c>
      <c r="S556" s="116">
        <f>INDEX('Additional data'!$E$2:$E$699,MATCH(DATE(YEAR(N556),MONTH(N556),1),'Additional data'!$D$2:$D$699,0))</f>
        <v>2.6</v>
      </c>
      <c r="T556" s="115">
        <f t="shared" si="101"/>
        <v>3.9380512871308504E-2</v>
      </c>
      <c r="U556" s="115">
        <f t="shared" si="102"/>
        <v>2.7712438566536157E-2</v>
      </c>
      <c r="V556" s="115">
        <f t="shared" si="105"/>
        <v>9.1447750973490116E-3</v>
      </c>
      <c r="W556" s="116">
        <f t="shared" si="103"/>
        <v>2.0000000000000018E-2</v>
      </c>
      <c r="X556" s="115">
        <f t="shared" si="106"/>
        <v>0.10101112742417406</v>
      </c>
      <c r="Y556" s="115">
        <f t="shared" si="107"/>
        <v>0.30123717047961396</v>
      </c>
      <c r="Z556" s="115">
        <f t="shared" si="109"/>
        <v>0.17944857831415106</v>
      </c>
      <c r="AA556" s="116">
        <f t="shared" si="108"/>
        <v>-0.51249999999999973</v>
      </c>
      <c r="AB556" s="115">
        <f t="shared" si="97"/>
        <v>0.86712507059334509</v>
      </c>
      <c r="AC556" s="115">
        <f t="shared" si="98"/>
        <v>0.86991807280293187</v>
      </c>
      <c r="AD556" s="115">
        <f t="shared" si="104"/>
        <v>0.59665849607618782</v>
      </c>
      <c r="AE556" s="235">
        <f t="shared" si="99"/>
        <v>-1.7899999999999996</v>
      </c>
    </row>
    <row r="557" spans="14:31" x14ac:dyDescent="0.2">
      <c r="N557" s="337">
        <v>41670</v>
      </c>
      <c r="O557" s="116">
        <f>INDEX('Additional data'!$B$2:$B$965,MATCH(DATE(YEAR(N557),MONTH(N557),1),'Additional data'!$A$2:$A$965,0))</f>
        <v>94.62</v>
      </c>
      <c r="P557" s="232">
        <f t="shared" si="100"/>
        <v>4.5498688702030021</v>
      </c>
      <c r="Q557" s="232">
        <f>Q556+LN(1+INDEX('Additional data'!$H$2:$H$1196,MATCH(N557,'Additional data'!$G$2:$G$1196,1))+INDEX('Additional data'!$I$2:$I$1196,MATCH(N557,'Additional data'!$G$2:$G$1196,1)))</f>
        <v>4.3645411592248227</v>
      </c>
      <c r="R557" s="232">
        <f>LN(INDEX(Data!$B$2:$B$497,MATCH(N557,Data!$A$2:$A$497,1)))</f>
        <v>10.660418981418914</v>
      </c>
      <c r="S557" s="116">
        <f>INDEX('Additional data'!$E$2:$E$699,MATCH(DATE(YEAR(N557),MONTH(N557),1),'Additional data'!$D$2:$D$699,0))</f>
        <v>2.62</v>
      </c>
      <c r="T557" s="115">
        <f t="shared" si="101"/>
        <v>-3.1315953034577682E-2</v>
      </c>
      <c r="U557" s="115">
        <f t="shared" si="102"/>
        <v>-3.3763630152809476E-2</v>
      </c>
      <c r="V557" s="115">
        <f t="shared" si="105"/>
        <v>-2.7997146394380223E-2</v>
      </c>
      <c r="W557" s="116">
        <f t="shared" si="103"/>
        <v>2.0000000000000018E-2</v>
      </c>
      <c r="X557" s="115">
        <f t="shared" si="106"/>
        <v>-7.3952779240649136E-4</v>
      </c>
      <c r="Y557" s="115">
        <f t="shared" si="107"/>
        <v>0.21326948631329223</v>
      </c>
      <c r="Z557" s="115">
        <f t="shared" si="109"/>
        <v>0.10190282138726303</v>
      </c>
      <c r="AA557" s="116">
        <f t="shared" si="108"/>
        <v>-0.37999999999999989</v>
      </c>
      <c r="AB557" s="115">
        <f t="shared" si="97"/>
        <v>0.81840896855394751</v>
      </c>
      <c r="AC557" s="115">
        <f t="shared" si="98"/>
        <v>0.92051479126819569</v>
      </c>
      <c r="AD557" s="115">
        <f t="shared" si="104"/>
        <v>0.61938188858699483</v>
      </c>
      <c r="AE557" s="235">
        <f t="shared" si="99"/>
        <v>-1.1200000000000001</v>
      </c>
    </row>
    <row r="558" spans="14:31" x14ac:dyDescent="0.2">
      <c r="N558" s="337">
        <v>41698</v>
      </c>
      <c r="O558" s="116">
        <f>INDEX('Additional data'!$B$2:$B$965,MATCH(DATE(YEAR(N558),MONTH(N558),1),'Additional data'!$A$2:$A$965,0))</f>
        <v>100.82</v>
      </c>
      <c r="P558" s="232">
        <f t="shared" si="100"/>
        <v>4.6133367486544845</v>
      </c>
      <c r="Q558" s="232">
        <f>Q557+LN(1+INDEX('Additional data'!$H$2:$H$1196,MATCH(N558,'Additional data'!$G$2:$G$1196,1))+INDEX('Additional data'!$I$2:$I$1196,MATCH(N558,'Additional data'!$G$2:$G$1196,1)))</f>
        <v>4.4100879741807928</v>
      </c>
      <c r="R558" s="232">
        <f>LN(INDEX(Data!$B$2:$B$497,MATCH(N558,Data!$A$2:$A$497,1)))</f>
        <v>10.707662138546349</v>
      </c>
      <c r="S558" s="116">
        <f>INDEX('Additional data'!$E$2:$E$699,MATCH(DATE(YEAR(N558),MONTH(N558),1),'Additional data'!$D$2:$D$699,0))</f>
        <v>2.63</v>
      </c>
      <c r="T558" s="115">
        <f t="shared" si="101"/>
        <v>6.3467878451482385E-2</v>
      </c>
      <c r="U558" s="115">
        <f t="shared" si="102"/>
        <v>4.5546814955970127E-2</v>
      </c>
      <c r="V558" s="115">
        <f t="shared" si="105"/>
        <v>4.7243157127434543E-2</v>
      </c>
      <c r="W558" s="116">
        <f t="shared" si="103"/>
        <v>9.9999999999997868E-3</v>
      </c>
      <c r="X558" s="115">
        <f t="shared" si="106"/>
        <v>5.6097096423942894E-2</v>
      </c>
      <c r="Y558" s="115">
        <f t="shared" si="107"/>
        <v>0.24609752886148772</v>
      </c>
      <c r="Z558" s="115">
        <f t="shared" si="109"/>
        <v>9.8672532225524634E-2</v>
      </c>
      <c r="AA558" s="116">
        <f t="shared" si="108"/>
        <v>-0.31000000000000005</v>
      </c>
      <c r="AB558" s="115">
        <f t="shared" si="97"/>
        <v>0.94568093099217476</v>
      </c>
      <c r="AC558" s="115">
        <f t="shared" si="98"/>
        <v>1.0728676105419752</v>
      </c>
      <c r="AD558" s="115">
        <f t="shared" si="104"/>
        <v>0.71017758623131044</v>
      </c>
      <c r="AE558" s="235">
        <f t="shared" si="99"/>
        <v>-0.53000000000000025</v>
      </c>
    </row>
    <row r="559" spans="14:31" x14ac:dyDescent="0.2">
      <c r="N559" s="337">
        <v>41729</v>
      </c>
      <c r="O559" s="116">
        <f>INDEX('Additional data'!$B$2:$B$965,MATCH(DATE(YEAR(N559),MONTH(N559),1),'Additional data'!$A$2:$A$965,0))</f>
        <v>100.8</v>
      </c>
      <c r="P559" s="232">
        <f t="shared" si="100"/>
        <v>4.6131383556372683</v>
      </c>
      <c r="Q559" s="232">
        <f>Q558+LN(1+INDEX('Additional data'!$H$2:$H$1196,MATCH(N559,'Additional data'!$G$2:$G$1196,1))+INDEX('Additional data'!$I$2:$I$1196,MATCH(N559,'Additional data'!$G$2:$G$1196,1)))</f>
        <v>4.4143787555979488</v>
      </c>
      <c r="R559" s="232">
        <f>LN(INDEX(Data!$B$2:$B$497,MATCH(N559,Data!$A$2:$A$497,1)))</f>
        <v>10.710204600657667</v>
      </c>
      <c r="S559" s="116">
        <f>INDEX('Additional data'!$E$2:$E$699,MATCH(DATE(YEAR(N559),MONTH(N559),1),'Additional data'!$D$2:$D$699,0))</f>
        <v>2.65</v>
      </c>
      <c r="T559" s="115">
        <f t="shared" si="101"/>
        <v>-1.9839301721624736E-4</v>
      </c>
      <c r="U559" s="115">
        <f t="shared" si="102"/>
        <v>4.2907814171559977E-3</v>
      </c>
      <c r="V559" s="115">
        <f t="shared" si="105"/>
        <v>2.5424621113181445E-3</v>
      </c>
      <c r="W559" s="116">
        <f t="shared" si="103"/>
        <v>2.0000000000000018E-2</v>
      </c>
      <c r="X559" s="115">
        <f t="shared" si="106"/>
        <v>8.0001372549008742E-2</v>
      </c>
      <c r="Y559" s="115">
        <f t="shared" si="107"/>
        <v>0.21078305568628419</v>
      </c>
      <c r="Z559" s="115">
        <f t="shared" si="109"/>
        <v>0.12386575004508593</v>
      </c>
      <c r="AA559" s="116">
        <f t="shared" si="108"/>
        <v>-0.39999999999999991</v>
      </c>
      <c r="AB559" s="115">
        <f t="shared" si="97"/>
        <v>0.74235409822571974</v>
      </c>
      <c r="AC559" s="115">
        <f t="shared" si="98"/>
        <v>0.99070550422893211</v>
      </c>
      <c r="AD559" s="115">
        <f t="shared" si="104"/>
        <v>0.6352914287090492</v>
      </c>
      <c r="AE559" s="235">
        <f t="shared" si="99"/>
        <v>-0.51000000000000023</v>
      </c>
    </row>
    <row r="560" spans="14:31" x14ac:dyDescent="0.2">
      <c r="N560" s="337">
        <v>41759</v>
      </c>
      <c r="O560" s="116">
        <f>INDEX('Additional data'!$B$2:$B$965,MATCH(DATE(YEAR(N560),MONTH(N560),1),'Additional data'!$A$2:$A$965,0))</f>
        <v>102.07</v>
      </c>
      <c r="P560" s="232">
        <f t="shared" si="100"/>
        <v>4.6256588524154072</v>
      </c>
      <c r="Q560" s="232">
        <f>Q559+LN(1+INDEX('Additional data'!$H$2:$H$1196,MATCH(N560,'Additional data'!$G$2:$G$1196,1))+INDEX('Additional data'!$I$2:$I$1196,MATCH(N560,'Additional data'!$G$2:$G$1196,1)))</f>
        <v>4.4125771336513209</v>
      </c>
      <c r="R560" s="232">
        <f>LN(INDEX(Data!$B$2:$B$497,MATCH(N560,Data!$A$2:$A$497,1)))</f>
        <v>10.723035650782705</v>
      </c>
      <c r="S560" s="116">
        <f>INDEX('Additional data'!$E$2:$E$699,MATCH(DATE(YEAR(N560),MONTH(N560),1),'Additional data'!$D$2:$D$699,0))</f>
        <v>2.68</v>
      </c>
      <c r="T560" s="115">
        <f t="shared" si="101"/>
        <v>1.2520496778138934E-2</v>
      </c>
      <c r="U560" s="115">
        <f t="shared" si="102"/>
        <v>-1.8016219466279182E-3</v>
      </c>
      <c r="V560" s="115">
        <f t="shared" si="105"/>
        <v>1.2831050125038601E-2</v>
      </c>
      <c r="W560" s="116">
        <f t="shared" si="103"/>
        <v>3.0000000000000249E-2</v>
      </c>
      <c r="X560" s="115">
        <f t="shared" si="106"/>
        <v>0.10310969511565293</v>
      </c>
      <c r="Y560" s="115">
        <f t="shared" si="107"/>
        <v>0.19350186289126992</v>
      </c>
      <c r="Z560" s="115">
        <f t="shared" si="109"/>
        <v>9.9203154967161922E-2</v>
      </c>
      <c r="AA560" s="116">
        <f t="shared" si="108"/>
        <v>-0.33999999999999986</v>
      </c>
      <c r="AB560" s="115">
        <f t="shared" si="97"/>
        <v>0.71784469176131571</v>
      </c>
      <c r="AC560" s="115">
        <f t="shared" si="98"/>
        <v>0.89195867622582536</v>
      </c>
      <c r="AD560" s="115">
        <f t="shared" si="104"/>
        <v>0.58918443478622784</v>
      </c>
      <c r="AE560" s="235">
        <f t="shared" si="99"/>
        <v>-0.41999999999999993</v>
      </c>
    </row>
    <row r="561" spans="14:31" x14ac:dyDescent="0.2">
      <c r="N561" s="337">
        <v>41790</v>
      </c>
      <c r="O561" s="116">
        <f>INDEX('Additional data'!$B$2:$B$965,MATCH(DATE(YEAR(N561),MONTH(N561),1),'Additional data'!$A$2:$A$965,0))</f>
        <v>102.18</v>
      </c>
      <c r="P561" s="232">
        <f t="shared" si="100"/>
        <v>4.626735963902652</v>
      </c>
      <c r="Q561" s="232">
        <f>Q560+LN(1+INDEX('Additional data'!$H$2:$H$1196,MATCH(N561,'Additional data'!$G$2:$G$1196,1))+INDEX('Additional data'!$I$2:$I$1196,MATCH(N561,'Additional data'!$G$2:$G$1196,1)))</f>
        <v>4.4328698369190835</v>
      </c>
      <c r="R561" s="232">
        <f>LN(INDEX(Data!$B$2:$B$497,MATCH(N561,Data!$A$2:$A$497,1)))</f>
        <v>10.729139989504771</v>
      </c>
      <c r="S561" s="116">
        <f>INDEX('Additional data'!$E$2:$E$699,MATCH(DATE(YEAR(N561),MONTH(N561),1),'Additional data'!$D$2:$D$699,0))</f>
        <v>2.69</v>
      </c>
      <c r="T561" s="115">
        <f t="shared" si="101"/>
        <v>1.077111487244764E-3</v>
      </c>
      <c r="U561" s="115">
        <f t="shared" si="102"/>
        <v>2.0292703267762668E-2</v>
      </c>
      <c r="V561" s="115">
        <f t="shared" si="105"/>
        <v>6.1043387220660605E-3</v>
      </c>
      <c r="W561" s="116">
        <f t="shared" si="103"/>
        <v>9.9999999999997868E-3</v>
      </c>
      <c r="X561" s="115">
        <f t="shared" si="106"/>
        <v>7.4966554641675565E-2</v>
      </c>
      <c r="Y561" s="115">
        <f t="shared" si="107"/>
        <v>0.18617939912605941</v>
      </c>
      <c r="Z561" s="115">
        <f t="shared" si="109"/>
        <v>0.15015373634918561</v>
      </c>
      <c r="AA561" s="116">
        <f t="shared" si="108"/>
        <v>-0.12999999999999989</v>
      </c>
      <c r="AB561" s="115">
        <f t="shared" si="97"/>
        <v>0.5464903260600531</v>
      </c>
      <c r="AC561" s="115">
        <f t="shared" si="98"/>
        <v>0.86146321266148274</v>
      </c>
      <c r="AD561" s="115">
        <f t="shared" si="104"/>
        <v>0.57401414447074828</v>
      </c>
      <c r="AE561" s="235">
        <f t="shared" si="99"/>
        <v>-0.43999999999999995</v>
      </c>
    </row>
    <row r="562" spans="14:31" x14ac:dyDescent="0.2">
      <c r="N562" s="337">
        <v>41820</v>
      </c>
      <c r="O562" s="116">
        <f>INDEX('Additional data'!$B$2:$B$965,MATCH(DATE(YEAR(N562),MONTH(N562),1),'Additional data'!$A$2:$A$965,0))</f>
        <v>105.79</v>
      </c>
      <c r="P562" s="232">
        <f t="shared" si="100"/>
        <v>4.6614559969986828</v>
      </c>
      <c r="Q562" s="232">
        <f>Q561+LN(1+INDEX('Additional data'!$H$2:$H$1196,MATCH(N562,'Additional data'!$G$2:$G$1196,1))+INDEX('Additional data'!$I$2:$I$1196,MATCH(N562,'Additional data'!$G$2:$G$1196,1)))</f>
        <v>4.4585375836676615</v>
      </c>
      <c r="R562" s="232">
        <f>LN(INDEX(Data!$B$2:$B$497,MATCH(N562,Data!$A$2:$A$497,1)))</f>
        <v>10.714894914012598</v>
      </c>
      <c r="S562" s="116">
        <f>INDEX('Additional data'!$E$2:$E$699,MATCH(DATE(YEAR(N562),MONTH(N562),1),'Additional data'!$D$2:$D$699,0))</f>
        <v>2.7</v>
      </c>
      <c r="T562" s="115">
        <f t="shared" si="101"/>
        <v>3.4720033096030889E-2</v>
      </c>
      <c r="U562" s="115">
        <f t="shared" si="102"/>
        <v>2.5667746748577969E-2</v>
      </c>
      <c r="V562" s="115">
        <f t="shared" si="105"/>
        <v>-1.4245075492173243E-2</v>
      </c>
      <c r="W562" s="116">
        <f t="shared" si="103"/>
        <v>1.0000000000000231E-2</v>
      </c>
      <c r="X562" s="115">
        <f t="shared" si="106"/>
        <v>9.9193312021868429E-2</v>
      </c>
      <c r="Y562" s="115">
        <f t="shared" si="107"/>
        <v>0.22391972710890684</v>
      </c>
      <c r="Z562" s="115">
        <f t="shared" si="109"/>
        <v>0.16246493189397526</v>
      </c>
      <c r="AA562" s="116">
        <f t="shared" si="108"/>
        <v>-9.9999999999999645E-2</v>
      </c>
      <c r="AB562" s="115">
        <f t="shared" si="97"/>
        <v>0.41754266445443555</v>
      </c>
      <c r="AC562" s="115">
        <f t="shared" si="98"/>
        <v>0.88284017799290426</v>
      </c>
      <c r="AD562" s="115">
        <f t="shared" si="104"/>
        <v>0.52126743701911415</v>
      </c>
      <c r="AE562" s="235">
        <f t="shared" si="99"/>
        <v>-0.54999999999999982</v>
      </c>
    </row>
    <row r="563" spans="14:31" x14ac:dyDescent="0.2">
      <c r="N563" s="337">
        <v>41851</v>
      </c>
      <c r="O563" s="116">
        <f>INDEX('Additional data'!$B$2:$B$965,MATCH(DATE(YEAR(N563),MONTH(N563),1),'Additional data'!$A$2:$A$965,0))</f>
        <v>103.59</v>
      </c>
      <c r="P563" s="232">
        <f t="shared" si="100"/>
        <v>4.640440800070011</v>
      </c>
      <c r="Q563" s="232">
        <f>Q562+LN(1+INDEX('Additional data'!$H$2:$H$1196,MATCH(N563,'Additional data'!$G$2:$G$1196,1))+INDEX('Additional data'!$I$2:$I$1196,MATCH(N563,'Additional data'!$G$2:$G$1196,1)))</f>
        <v>4.4380287070361213</v>
      </c>
      <c r="R563" s="232">
        <f>LN(INDEX(Data!$B$2:$B$497,MATCH(N563,Data!$A$2:$A$497,1)))</f>
        <v>10.758831407197261</v>
      </c>
      <c r="S563" s="116">
        <f>INDEX('Additional data'!$E$2:$E$699,MATCH(DATE(YEAR(N563),MONTH(N563),1),'Additional data'!$D$2:$D$699,0))</f>
        <v>2.65</v>
      </c>
      <c r="T563" s="115">
        <f t="shared" si="101"/>
        <v>-2.101519692867182E-2</v>
      </c>
      <c r="U563" s="115">
        <f t="shared" si="102"/>
        <v>-2.0508876631540218E-2</v>
      </c>
      <c r="V563" s="115">
        <f t="shared" si="105"/>
        <v>4.3936493184663306E-2</v>
      </c>
      <c r="W563" s="116">
        <f t="shared" si="103"/>
        <v>-5.0000000000000266E-2</v>
      </c>
      <c r="X563" s="115">
        <f t="shared" si="106"/>
        <v>-9.7983492856581478E-3</v>
      </c>
      <c r="Y563" s="115">
        <f t="shared" si="107"/>
        <v>0.14844929240339244</v>
      </c>
      <c r="Z563" s="115">
        <f t="shared" si="109"/>
        <v>0.15322882052368136</v>
      </c>
      <c r="AA563" s="116">
        <f t="shared" si="108"/>
        <v>-0.10999999999999988</v>
      </c>
      <c r="AB563" s="115">
        <f t="shared" si="97"/>
        <v>0.48015245455387578</v>
      </c>
      <c r="AC563" s="115">
        <f t="shared" si="98"/>
        <v>0.78768775836559835</v>
      </c>
      <c r="AD563" s="115">
        <f t="shared" si="104"/>
        <v>0.49148521535939871</v>
      </c>
      <c r="AE563" s="235">
        <f t="shared" si="99"/>
        <v>-0.49000000000000021</v>
      </c>
    </row>
    <row r="564" spans="14:31" x14ac:dyDescent="0.2">
      <c r="N564" s="337">
        <v>41882</v>
      </c>
      <c r="O564" s="116">
        <f>INDEX('Additional data'!$B$2:$B$965,MATCH(DATE(YEAR(N564),MONTH(N564),1),'Additional data'!$A$2:$A$965,0))</f>
        <v>96.54</v>
      </c>
      <c r="P564" s="232">
        <f t="shared" si="100"/>
        <v>4.5699574302323471</v>
      </c>
      <c r="Q564" s="232">
        <f>Q563+LN(1+INDEX('Additional data'!$H$2:$H$1196,MATCH(N564,'Additional data'!$G$2:$G$1196,1))+INDEX('Additional data'!$I$2:$I$1196,MATCH(N564,'Additional data'!$G$2:$G$1196,1)))</f>
        <v>4.4795544538646199</v>
      </c>
      <c r="R564" s="232">
        <f>LN(INDEX(Data!$B$2:$B$497,MATCH(N564,Data!$A$2:$A$497,1)))</f>
        <v>10.766021627831673</v>
      </c>
      <c r="S564" s="116">
        <f>INDEX('Additional data'!$E$2:$E$699,MATCH(DATE(YEAR(N564),MONTH(N564),1),'Additional data'!$D$2:$D$699,0))</f>
        <v>2.63</v>
      </c>
      <c r="T564" s="115">
        <f t="shared" si="101"/>
        <v>-7.0483369837663901E-2</v>
      </c>
      <c r="U564" s="115">
        <f t="shared" si="102"/>
        <v>4.1525746828498633E-2</v>
      </c>
      <c r="V564" s="115">
        <f t="shared" si="105"/>
        <v>7.1902206344116593E-3</v>
      </c>
      <c r="W564" s="116">
        <f t="shared" si="103"/>
        <v>-2.0000000000000018E-2</v>
      </c>
      <c r="X564" s="115">
        <f t="shared" si="106"/>
        <v>-9.884461600051786E-2</v>
      </c>
      <c r="Y564" s="115">
        <f t="shared" si="107"/>
        <v>0.21744901623264656</v>
      </c>
      <c r="Z564" s="115">
        <f t="shared" si="109"/>
        <v>0.13482639357749981</v>
      </c>
      <c r="AA564" s="116">
        <f t="shared" si="108"/>
        <v>2.9999999999999805E-2</v>
      </c>
      <c r="AB564" s="115">
        <f t="shared" si="97"/>
        <v>0.30643283963946644</v>
      </c>
      <c r="AC564" s="115">
        <f t="shared" si="98"/>
        <v>0.7963591683231499</v>
      </c>
      <c r="AD564" s="115">
        <f t="shared" si="104"/>
        <v>0.43595487996938509</v>
      </c>
      <c r="AE564" s="235">
        <f t="shared" si="99"/>
        <v>-0.66999999999999993</v>
      </c>
    </row>
    <row r="565" spans="14:31" x14ac:dyDescent="0.2">
      <c r="N565" s="337">
        <v>41912</v>
      </c>
      <c r="O565" s="116">
        <f>INDEX('Additional data'!$B$2:$B$965,MATCH(DATE(YEAR(N565),MONTH(N565),1),'Additional data'!$A$2:$A$965,0))</f>
        <v>93.21</v>
      </c>
      <c r="P565" s="232">
        <f t="shared" si="100"/>
        <v>4.5348550120730655</v>
      </c>
      <c r="Q565" s="232">
        <f>Q564+LN(1+INDEX('Additional data'!$H$2:$H$1196,MATCH(N565,'Additional data'!$G$2:$G$1196,1))+INDEX('Additional data'!$I$2:$I$1196,MATCH(N565,'Additional data'!$G$2:$G$1196,1)))</f>
        <v>4.4597598265364402</v>
      </c>
      <c r="R565" s="232">
        <f>LN(INDEX(Data!$B$2:$B$497,MATCH(N565,Data!$A$2:$A$497,1)))</f>
        <v>10.711984905305908</v>
      </c>
      <c r="S565" s="116">
        <f>INDEX('Additional data'!$E$2:$E$699,MATCH(DATE(YEAR(N565),MONTH(N565),1),'Additional data'!$D$2:$D$699,0))</f>
        <v>2.66</v>
      </c>
      <c r="T565" s="115">
        <f t="shared" si="101"/>
        <v>-3.5102418159281612E-2</v>
      </c>
      <c r="U565" s="115">
        <f t="shared" si="102"/>
        <v>-1.9794627328179715E-2</v>
      </c>
      <c r="V565" s="115">
        <f t="shared" si="105"/>
        <v>-5.4036722525765413E-2</v>
      </c>
      <c r="W565" s="116">
        <f t="shared" si="103"/>
        <v>3.0000000000000249E-2</v>
      </c>
      <c r="X565" s="115">
        <f t="shared" si="106"/>
        <v>-0.1313161954724249</v>
      </c>
      <c r="Y565" s="115">
        <f t="shared" si="107"/>
        <v>0.1606476632753715</v>
      </c>
      <c r="Z565" s="115">
        <f t="shared" si="109"/>
        <v>5.7202952848923516E-2</v>
      </c>
      <c r="AA565" s="116">
        <f t="shared" si="108"/>
        <v>8.0000000000000071E-2</v>
      </c>
      <c r="AB565" s="115">
        <f t="shared" si="97"/>
        <v>0.29410396475713796</v>
      </c>
      <c r="AC565" s="115">
        <f t="shared" si="98"/>
        <v>0.73647881745568444</v>
      </c>
      <c r="AD565" s="115">
        <f t="shared" si="104"/>
        <v>0.32320543721593253</v>
      </c>
      <c r="AE565" s="235">
        <f t="shared" si="99"/>
        <v>-0.71</v>
      </c>
    </row>
    <row r="566" spans="14:31" x14ac:dyDescent="0.2">
      <c r="N566" s="337">
        <v>41943</v>
      </c>
      <c r="O566" s="116">
        <f>INDEX('Additional data'!$B$2:$B$965,MATCH(DATE(YEAR(N566),MONTH(N566),1),'Additional data'!$A$2:$A$965,0))</f>
        <v>84.4</v>
      </c>
      <c r="P566" s="232">
        <f t="shared" si="100"/>
        <v>4.4355674016019115</v>
      </c>
      <c r="Q566" s="232">
        <f>Q565+LN(1+INDEX('Additional data'!$H$2:$H$1196,MATCH(N566,'Additional data'!$G$2:$G$1196,1))+INDEX('Additional data'!$I$2:$I$1196,MATCH(N566,'Additional data'!$G$2:$G$1196,1)))</f>
        <v>4.4845499953436585</v>
      </c>
      <c r="R566" s="232">
        <f>LN(INDEX(Data!$B$2:$B$497,MATCH(N566,Data!$A$2:$A$497,1)))</f>
        <v>10.750831331384557</v>
      </c>
      <c r="S566" s="116">
        <f>INDEX('Additional data'!$E$2:$E$699,MATCH(DATE(YEAR(N566),MONTH(N566),1),'Additional data'!$D$2:$D$699,0))</f>
        <v>2.72</v>
      </c>
      <c r="T566" s="115">
        <f t="shared" si="101"/>
        <v>-9.9287610471153975E-2</v>
      </c>
      <c r="U566" s="115">
        <f t="shared" si="102"/>
        <v>2.4790168807218294E-2</v>
      </c>
      <c r="V566" s="115">
        <f t="shared" si="105"/>
        <v>3.8846426078649188E-2</v>
      </c>
      <c r="W566" s="116">
        <f t="shared" si="103"/>
        <v>6.0000000000000053E-2</v>
      </c>
      <c r="X566" s="115">
        <f t="shared" si="106"/>
        <v>-0.17498825666251783</v>
      </c>
      <c r="Y566" s="115">
        <f t="shared" si="107"/>
        <v>0.14458383807432362</v>
      </c>
      <c r="Z566" s="115">
        <f t="shared" si="109"/>
        <v>5.765618316771004E-2</v>
      </c>
      <c r="AA566" s="116">
        <f t="shared" si="108"/>
        <v>0.14000000000000012</v>
      </c>
      <c r="AB566" s="115">
        <f t="shared" si="97"/>
        <v>0.10720529151372293</v>
      </c>
      <c r="AC566" s="115">
        <f t="shared" si="98"/>
        <v>0.78689453390187536</v>
      </c>
      <c r="AD566" s="115">
        <f t="shared" si="104"/>
        <v>0.38113214262921424</v>
      </c>
      <c r="AE566" s="235">
        <f t="shared" si="99"/>
        <v>-1.0599999999999996</v>
      </c>
    </row>
    <row r="567" spans="14:31" x14ac:dyDescent="0.2">
      <c r="N567" s="337">
        <v>41973</v>
      </c>
      <c r="O567" s="116">
        <f>INDEX('Additional data'!$B$2:$B$965,MATCH(DATE(YEAR(N567),MONTH(N567),1),'Additional data'!$A$2:$A$965,0))</f>
        <v>75.790000000000006</v>
      </c>
      <c r="P567" s="232">
        <f t="shared" si="100"/>
        <v>4.3279663578239376</v>
      </c>
      <c r="Q567" s="232">
        <f>Q566+LN(1+INDEX('Additional data'!$H$2:$H$1196,MATCH(N567,'Additional data'!$G$2:$G$1196,1))+INDEX('Additional data'!$I$2:$I$1196,MATCH(N567,'Additional data'!$G$2:$G$1196,1)))</f>
        <v>4.5098278025279273</v>
      </c>
      <c r="R567" s="232">
        <f>LN(INDEX(Data!$B$2:$B$497,MATCH(N567,Data!$A$2:$A$497,1)))</f>
        <v>10.7183169823974</v>
      </c>
      <c r="S567" s="116">
        <f>INDEX('Additional data'!$E$2:$E$699,MATCH(DATE(YEAR(N567),MONTH(N567),1),'Additional data'!$D$2:$D$699,0))</f>
        <v>2.75</v>
      </c>
      <c r="T567" s="115">
        <f t="shared" si="101"/>
        <v>-0.10760104377797397</v>
      </c>
      <c r="U567" s="115">
        <f t="shared" si="102"/>
        <v>2.5277807184268752E-2</v>
      </c>
      <c r="V567" s="115">
        <f t="shared" si="105"/>
        <v>-3.2514348987156438E-2</v>
      </c>
      <c r="W567" s="116">
        <f t="shared" si="103"/>
        <v>2.9999999999999805E-2</v>
      </c>
      <c r="X567" s="115">
        <f t="shared" si="106"/>
        <v>-0.21383795254233373</v>
      </c>
      <c r="Y567" s="115">
        <f t="shared" si="107"/>
        <v>0.13923545171683127</v>
      </c>
      <c r="Z567" s="115">
        <f t="shared" si="109"/>
        <v>3.9045629681455196E-2</v>
      </c>
      <c r="AA567" s="116">
        <f t="shared" si="108"/>
        <v>0.16999999999999993</v>
      </c>
      <c r="AB567" s="115">
        <f t="shared" si="97"/>
        <v>-2.9767584280899761E-2</v>
      </c>
      <c r="AC567" s="115">
        <f t="shared" si="98"/>
        <v>0.75740010523916457</v>
      </c>
      <c r="AD567" s="115">
        <f t="shared" si="104"/>
        <v>0.32936093792966759</v>
      </c>
      <c r="AE567" s="235">
        <f t="shared" si="99"/>
        <v>-1.2000000000000002</v>
      </c>
    </row>
    <row r="568" spans="14:31" x14ac:dyDescent="0.2">
      <c r="N568" s="337">
        <v>42004</v>
      </c>
      <c r="O568" s="116">
        <f>INDEX('Additional data'!$B$2:$B$965,MATCH(DATE(YEAR(N568),MONTH(N568),1),'Additional data'!$A$2:$A$965,0))</f>
        <v>59.29</v>
      </c>
      <c r="P568" s="232">
        <f t="shared" si="100"/>
        <v>4.0824406577192764</v>
      </c>
      <c r="Q568" s="232">
        <f>Q567+LN(1+INDEX('Additional data'!$H$2:$H$1196,MATCH(N568,'Additional data'!$G$2:$G$1196,1))+INDEX('Additional data'!$I$2:$I$1196,MATCH(N568,'Additional data'!$G$2:$G$1196,1)))</f>
        <v>4.5093276774862447</v>
      </c>
      <c r="R568" s="232">
        <f>LN(INDEX(Data!$B$2:$B$497,MATCH(N568,Data!$A$2:$A$497,1)))</f>
        <v>10.737416314992018</v>
      </c>
      <c r="S568" s="116">
        <f>INDEX('Additional data'!$E$2:$E$699,MATCH(DATE(YEAR(N568),MONTH(N568),1),'Additional data'!$D$2:$D$699,0))</f>
        <v>2.75</v>
      </c>
      <c r="T568" s="115">
        <f t="shared" si="101"/>
        <v>-0.24552570010466113</v>
      </c>
      <c r="U568" s="115">
        <f t="shared" si="102"/>
        <v>-5.0012504168250871E-4</v>
      </c>
      <c r="V568" s="115">
        <f t="shared" si="105"/>
        <v>1.909933259461738E-2</v>
      </c>
      <c r="W568" s="116">
        <f t="shared" si="103"/>
        <v>0</v>
      </c>
      <c r="X568" s="115">
        <f t="shared" si="106"/>
        <v>-0.49874416551830336</v>
      </c>
      <c r="Y568" s="115">
        <f t="shared" si="107"/>
        <v>0.11102288810861261</v>
      </c>
      <c r="Z568" s="115">
        <f t="shared" si="109"/>
        <v>4.9000187178723564E-2</v>
      </c>
      <c r="AA568" s="116">
        <f t="shared" si="108"/>
        <v>0.14999999999999991</v>
      </c>
      <c r="AB568" s="115">
        <f t="shared" si="97"/>
        <v>-0.22567029400443683</v>
      </c>
      <c r="AC568" s="115">
        <f t="shared" si="98"/>
        <v>0.72918754163094635</v>
      </c>
      <c r="AD568" s="115">
        <f t="shared" si="104"/>
        <v>0.31220468319156147</v>
      </c>
      <c r="AE568" s="235">
        <f t="shared" si="99"/>
        <v>-1.3790476190476202</v>
      </c>
    </row>
    <row r="569" spans="14:31" x14ac:dyDescent="0.2">
      <c r="N569" s="337">
        <v>42035</v>
      </c>
      <c r="O569" s="116">
        <f>INDEX('Additional data'!$B$2:$B$965,MATCH(DATE(YEAR(N569),MONTH(N569),1),'Additional data'!$A$2:$A$965,0))</f>
        <v>47.22</v>
      </c>
      <c r="P569" s="232">
        <f t="shared" si="100"/>
        <v>3.8548175316573667</v>
      </c>
      <c r="Q569" s="232">
        <f>Q568+LN(1+INDEX('Additional data'!$H$2:$H$1196,MATCH(N569,'Additional data'!$G$2:$G$1196,1))+INDEX('Additional data'!$I$2:$I$1196,MATCH(N569,'Additional data'!$G$2:$G$1196,1)))</f>
        <v>4.4778370103948735</v>
      </c>
      <c r="R569" s="232">
        <f>LN(INDEX(Data!$B$2:$B$497,MATCH(N569,Data!$A$2:$A$497,1)))</f>
        <v>10.767255721112869</v>
      </c>
      <c r="S569" s="116">
        <f>INDEX('Additional data'!$E$2:$E$699,MATCH(DATE(YEAR(N569),MONTH(N569),1),'Additional data'!$D$2:$D$699,0))</f>
        <v>2.7</v>
      </c>
      <c r="T569" s="115">
        <f t="shared" si="101"/>
        <v>-0.22762312606190971</v>
      </c>
      <c r="U569" s="115">
        <f t="shared" si="102"/>
        <v>-3.1490667091371272E-2</v>
      </c>
      <c r="V569" s="115">
        <f t="shared" si="105"/>
        <v>2.9839406120851564E-2</v>
      </c>
      <c r="W569" s="116">
        <f t="shared" si="103"/>
        <v>-4.9999999999999822E-2</v>
      </c>
      <c r="X569" s="115">
        <f t="shared" si="106"/>
        <v>-0.69505133854563539</v>
      </c>
      <c r="Y569" s="115">
        <f t="shared" si="107"/>
        <v>0.11329585117005081</v>
      </c>
      <c r="Z569" s="115">
        <f t="shared" si="109"/>
        <v>0.10683673969395535</v>
      </c>
      <c r="AA569" s="116">
        <f t="shared" si="108"/>
        <v>8.0000000000000071E-2</v>
      </c>
      <c r="AB569" s="115">
        <f t="shared" si="97"/>
        <v>-0.5047078376700016</v>
      </c>
      <c r="AC569" s="115">
        <f t="shared" si="98"/>
        <v>0.73177085487332638</v>
      </c>
      <c r="AD569" s="115">
        <f t="shared" si="104"/>
        <v>0.4023213095398841</v>
      </c>
      <c r="AE569" s="235">
        <f t="shared" si="99"/>
        <v>-1.5024999999999995</v>
      </c>
    </row>
    <row r="570" spans="14:31" x14ac:dyDescent="0.2">
      <c r="N570" s="337">
        <v>42063</v>
      </c>
      <c r="O570" s="116">
        <f>INDEX('Additional data'!$B$2:$B$965,MATCH(DATE(YEAR(N570),MONTH(N570),1),'Additional data'!$A$2:$A$965,0))</f>
        <v>50.58</v>
      </c>
      <c r="P570" s="232">
        <f t="shared" si="100"/>
        <v>3.923556241241819</v>
      </c>
      <c r="Q570" s="232">
        <f>Q569+LN(1+INDEX('Additional data'!$H$2:$H$1196,MATCH(N570,'Additional data'!$G$2:$G$1196,1))+INDEX('Additional data'!$I$2:$I$1196,MATCH(N570,'Additional data'!$G$2:$G$1196,1)))</f>
        <v>4.5373315821805136</v>
      </c>
      <c r="R570" s="232">
        <f>LN(INDEX(Data!$B$2:$B$497,MATCH(N570,Data!$A$2:$A$497,1)))</f>
        <v>10.834867773835963</v>
      </c>
      <c r="S570" s="116">
        <f>INDEX('Additional data'!$E$2:$E$699,MATCH(DATE(YEAR(N570),MONTH(N570),1),'Additional data'!$D$2:$D$699,0))</f>
        <v>2.36</v>
      </c>
      <c r="T570" s="115">
        <f t="shared" si="101"/>
        <v>6.8738709584452273E-2</v>
      </c>
      <c r="U570" s="115">
        <f t="shared" si="102"/>
        <v>5.9494571785640105E-2</v>
      </c>
      <c r="V570" s="115">
        <f t="shared" si="105"/>
        <v>6.7612052723093896E-2</v>
      </c>
      <c r="W570" s="116">
        <f t="shared" si="103"/>
        <v>-0.3400000000000003</v>
      </c>
      <c r="X570" s="115">
        <f t="shared" si="106"/>
        <v>-0.6897805074126655</v>
      </c>
      <c r="Y570" s="115">
        <f t="shared" si="107"/>
        <v>0.12724360799972079</v>
      </c>
      <c r="Z570" s="115">
        <f t="shared" si="109"/>
        <v>0.1272056352896147</v>
      </c>
      <c r="AA570" s="116">
        <f t="shared" si="108"/>
        <v>-0.27</v>
      </c>
      <c r="AB570" s="115">
        <f t="shared" si="97"/>
        <v>-0.4126882007769348</v>
      </c>
      <c r="AC570" s="115">
        <f t="shared" si="98"/>
        <v>0.75792736704845609</v>
      </c>
      <c r="AD570" s="115">
        <f t="shared" si="104"/>
        <v>0.45190752291279246</v>
      </c>
      <c r="AE570" s="235">
        <f t="shared" si="99"/>
        <v>-1.8000000000000003</v>
      </c>
    </row>
    <row r="571" spans="14:31" x14ac:dyDescent="0.2">
      <c r="N571" s="337">
        <v>42094</v>
      </c>
      <c r="O571" s="116">
        <f>INDEX('Additional data'!$B$2:$B$965,MATCH(DATE(YEAR(N571),MONTH(N571),1),'Additional data'!$A$2:$A$965,0))</f>
        <v>47.82</v>
      </c>
      <c r="P571" s="232">
        <f t="shared" si="100"/>
        <v>3.8674439620301788</v>
      </c>
      <c r="Q571" s="232">
        <f>Q570+LN(1+INDEX('Additional data'!$H$2:$H$1196,MATCH(N571,'Additional data'!$G$2:$G$1196,1))+INDEX('Additional data'!$I$2:$I$1196,MATCH(N571,'Additional data'!$G$2:$G$1196,1)))</f>
        <v>4.5261695174743215</v>
      </c>
      <c r="R571" s="232">
        <f>LN(INDEX(Data!$B$2:$B$497,MATCH(N571,Data!$A$2:$A$497,1)))</f>
        <v>10.834597492110891</v>
      </c>
      <c r="S571" s="116">
        <f>INDEX('Additional data'!$E$2:$E$699,MATCH(DATE(YEAR(N571),MONTH(N571),1),'Additional data'!$D$2:$D$699,0))</f>
        <v>2.2999999999999998</v>
      </c>
      <c r="T571" s="115">
        <f t="shared" si="101"/>
        <v>-5.6112279211640192E-2</v>
      </c>
      <c r="U571" s="115">
        <f t="shared" si="102"/>
        <v>-1.1162064706192076E-2</v>
      </c>
      <c r="V571" s="115">
        <f t="shared" si="105"/>
        <v>-2.7028172507215231E-4</v>
      </c>
      <c r="W571" s="116">
        <f t="shared" si="103"/>
        <v>-6.0000000000000053E-2</v>
      </c>
      <c r="X571" s="115">
        <f t="shared" si="106"/>
        <v>-0.74569439360708945</v>
      </c>
      <c r="Y571" s="115">
        <f t="shared" si="107"/>
        <v>0.11179076187637271</v>
      </c>
      <c r="Z571" s="115">
        <f t="shared" si="109"/>
        <v>0.12439289145322441</v>
      </c>
      <c r="AA571" s="116">
        <f t="shared" si="108"/>
        <v>-0.35000000000000009</v>
      </c>
      <c r="AB571" s="115">
        <f t="shared" si="97"/>
        <v>-0.52996377468200517</v>
      </c>
      <c r="AC571" s="115">
        <f t="shared" si="98"/>
        <v>0.68557613402984163</v>
      </c>
      <c r="AD571" s="115">
        <f t="shared" si="104"/>
        <v>0.39496481237269521</v>
      </c>
      <c r="AE571" s="235">
        <f t="shared" si="99"/>
        <v>-2.0274999999999999</v>
      </c>
    </row>
    <row r="572" spans="14:31" x14ac:dyDescent="0.2">
      <c r="N572" s="337">
        <v>42124</v>
      </c>
      <c r="O572" s="116">
        <f>INDEX('Additional data'!$B$2:$B$965,MATCH(DATE(YEAR(N572),MONTH(N572),1),'Additional data'!$A$2:$A$965,0))</f>
        <v>54.45</v>
      </c>
      <c r="P572" s="232">
        <f t="shared" si="100"/>
        <v>3.9972828493789696</v>
      </c>
      <c r="Q572" s="232">
        <f>Q571+LN(1+INDEX('Additional data'!$H$2:$H$1196,MATCH(N572,'Additional data'!$G$2:$G$1196,1))+INDEX('Additional data'!$I$2:$I$1196,MATCH(N572,'Additional data'!$G$2:$G$1196,1)))</f>
        <v>4.5320521806324772</v>
      </c>
      <c r="R572" s="232">
        <f>LN(INDEX(Data!$B$2:$B$497,MATCH(N572,Data!$A$2:$A$497,1)))</f>
        <v>10.819764572584026</v>
      </c>
      <c r="S572" s="116">
        <f>INDEX('Additional data'!$E$2:$E$699,MATCH(DATE(YEAR(N572),MONTH(N572),1),'Additional data'!$D$2:$D$699,0))</f>
        <v>2.25</v>
      </c>
      <c r="T572" s="115">
        <f t="shared" si="101"/>
        <v>0.12983888734879079</v>
      </c>
      <c r="U572" s="115">
        <f t="shared" si="102"/>
        <v>5.8826631581556654E-3</v>
      </c>
      <c r="V572" s="115">
        <f t="shared" si="105"/>
        <v>-1.4832919526865496E-2</v>
      </c>
      <c r="W572" s="116">
        <f t="shared" si="103"/>
        <v>-4.9999999999999822E-2</v>
      </c>
      <c r="X572" s="115">
        <f t="shared" si="106"/>
        <v>-0.62837600303643759</v>
      </c>
      <c r="Y572" s="115">
        <f t="shared" si="107"/>
        <v>0.1194750469811563</v>
      </c>
      <c r="Z572" s="115">
        <f t="shared" si="109"/>
        <v>9.6728921801320311E-2</v>
      </c>
      <c r="AA572" s="116">
        <f t="shared" si="108"/>
        <v>-0.43000000000000016</v>
      </c>
      <c r="AB572" s="115">
        <f t="shared" si="97"/>
        <v>-0.43923197057898156</v>
      </c>
      <c r="AC572" s="115">
        <f t="shared" si="98"/>
        <v>0.67165616989181753</v>
      </c>
      <c r="AD572" s="115">
        <f t="shared" si="104"/>
        <v>0.39197919773680212</v>
      </c>
      <c r="AE572" s="235">
        <f t="shared" si="99"/>
        <v>-2.2949999999999999</v>
      </c>
    </row>
    <row r="573" spans="14:31" x14ac:dyDescent="0.2">
      <c r="N573" s="337">
        <v>42155</v>
      </c>
      <c r="O573" s="116">
        <f>INDEX('Additional data'!$B$2:$B$965,MATCH(DATE(YEAR(N573),MONTH(N573),1),'Additional data'!$A$2:$A$965,0))</f>
        <v>59.27</v>
      </c>
      <c r="P573" s="232">
        <f t="shared" si="100"/>
        <v>4.0821032757997466</v>
      </c>
      <c r="Q573" s="232">
        <f>Q572+LN(1+INDEX('Additional data'!$H$2:$H$1196,MATCH(N573,'Additional data'!$G$2:$G$1196,1))+INDEX('Additional data'!$I$2:$I$1196,MATCH(N573,'Additional data'!$G$2:$G$1196,1)))</f>
        <v>4.5456591840386942</v>
      </c>
      <c r="R573" s="232">
        <f>LN(INDEX(Data!$B$2:$B$497,MATCH(N573,Data!$A$2:$A$497,1)))</f>
        <v>10.825556248568875</v>
      </c>
      <c r="S573" s="116">
        <f>INDEX('Additional data'!$E$2:$E$699,MATCH(DATE(YEAR(N573),MONTH(N573),1),'Additional data'!$D$2:$D$699,0))</f>
        <v>2.15</v>
      </c>
      <c r="T573" s="115">
        <f t="shared" si="101"/>
        <v>8.4820426420777029E-2</v>
      </c>
      <c r="U573" s="115">
        <f t="shared" si="102"/>
        <v>1.3607003406217011E-2</v>
      </c>
      <c r="V573" s="115">
        <f t="shared" si="105"/>
        <v>5.7916759848488653E-3</v>
      </c>
      <c r="W573" s="116">
        <f t="shared" si="103"/>
        <v>-0.10000000000000009</v>
      </c>
      <c r="X573" s="115">
        <f t="shared" si="106"/>
        <v>-0.54463268810290533</v>
      </c>
      <c r="Y573" s="115">
        <f t="shared" si="107"/>
        <v>0.11278934711961064</v>
      </c>
      <c r="Z573" s="115">
        <f t="shared" si="109"/>
        <v>9.6416259064103116E-2</v>
      </c>
      <c r="AA573" s="116">
        <f t="shared" si="108"/>
        <v>-0.54</v>
      </c>
      <c r="AB573" s="115">
        <f t="shared" si="97"/>
        <v>-0.2197973143948504</v>
      </c>
      <c r="AC573" s="115">
        <f t="shared" si="98"/>
        <v>0.76744984428598162</v>
      </c>
      <c r="AD573" s="115">
        <f t="shared" si="104"/>
        <v>0.47646616066771763</v>
      </c>
      <c r="AE573" s="235">
        <f t="shared" si="99"/>
        <v>-2.6549999999999998</v>
      </c>
    </row>
    <row r="574" spans="14:31" x14ac:dyDescent="0.2">
      <c r="N574" s="337">
        <v>42185</v>
      </c>
      <c r="O574" s="116">
        <f>INDEX('Additional data'!$B$2:$B$965,MATCH(DATE(YEAR(N574),MONTH(N574),1),'Additional data'!$A$2:$A$965,0))</f>
        <v>59.82</v>
      </c>
      <c r="P574" s="232">
        <f t="shared" si="100"/>
        <v>4.0913400532018018</v>
      </c>
      <c r="Q574" s="232">
        <f>Q573+LN(1+INDEX('Additional data'!$H$2:$H$1196,MATCH(N574,'Additional data'!$G$2:$G$1196,1))+INDEX('Additional data'!$I$2:$I$1196,MATCH(N574,'Additional data'!$G$2:$G$1196,1)))</f>
        <v>4.5303424799268006</v>
      </c>
      <c r="R574" s="232">
        <f>LN(INDEX(Data!$B$2:$B$497,MATCH(N574,Data!$A$2:$A$497,1)))</f>
        <v>10.770061029593837</v>
      </c>
      <c r="S574" s="116">
        <f>INDEX('Additional data'!$E$2:$E$699,MATCH(DATE(YEAR(N574),MONTH(N574),1),'Additional data'!$D$2:$D$699,0))</f>
        <v>2.15</v>
      </c>
      <c r="T574" s="115">
        <f t="shared" si="101"/>
        <v>9.2367774020551963E-3</v>
      </c>
      <c r="U574" s="115">
        <f t="shared" si="102"/>
        <v>-1.5316704111893564E-2</v>
      </c>
      <c r="V574" s="115">
        <f t="shared" si="105"/>
        <v>-5.549521897503773E-2</v>
      </c>
      <c r="W574" s="116">
        <f t="shared" si="103"/>
        <v>0</v>
      </c>
      <c r="X574" s="115">
        <f t="shared" si="106"/>
        <v>-0.57011594379688102</v>
      </c>
      <c r="Y574" s="115">
        <f t="shared" si="107"/>
        <v>7.1804896259139106E-2</v>
      </c>
      <c r="Z574" s="115">
        <f t="shared" si="109"/>
        <v>5.5166115581238628E-2</v>
      </c>
      <c r="AA574" s="116">
        <f t="shared" si="108"/>
        <v>-0.55000000000000027</v>
      </c>
      <c r="AB574" s="115">
        <f t="shared" si="97"/>
        <v>-0.23080387187070261</v>
      </c>
      <c r="AC574" s="115">
        <f t="shared" si="98"/>
        <v>0.80923273221466108</v>
      </c>
      <c r="AD574" s="115">
        <f t="shared" si="104"/>
        <v>0.44736472639231728</v>
      </c>
      <c r="AE574" s="235">
        <f t="shared" si="99"/>
        <v>-2.7375000000000003</v>
      </c>
    </row>
    <row r="575" spans="14:31" x14ac:dyDescent="0.2">
      <c r="N575" s="337">
        <v>42216</v>
      </c>
      <c r="O575" s="116">
        <f>INDEX('Additional data'!$B$2:$B$965,MATCH(DATE(YEAR(N575),MONTH(N575),1),'Additional data'!$A$2:$A$965,0))</f>
        <v>50.9</v>
      </c>
      <c r="P575" s="232">
        <f t="shared" si="100"/>
        <v>3.929862923556477</v>
      </c>
      <c r="Q575" s="232">
        <f>Q574+LN(1+INDEX('Additional data'!$H$2:$H$1196,MATCH(N575,'Additional data'!$G$2:$G$1196,1))+INDEX('Additional data'!$I$2:$I$1196,MATCH(N575,'Additional data'!$G$2:$G$1196,1)))</f>
        <v>4.5459205098901192</v>
      </c>
      <c r="R575" s="232">
        <f>LN(INDEX(Data!$B$2:$B$497,MATCH(N575,Data!$A$2:$A$497,1)))</f>
        <v>10.811532150900193</v>
      </c>
      <c r="S575" s="116">
        <f>INDEX('Additional data'!$E$2:$E$699,MATCH(DATE(YEAR(N575),MONTH(N575),1),'Additional data'!$D$2:$D$699,0))</f>
        <v>2.14</v>
      </c>
      <c r="T575" s="115">
        <f t="shared" si="101"/>
        <v>-0.16147712964532479</v>
      </c>
      <c r="U575" s="115">
        <f t="shared" si="102"/>
        <v>1.5578029963318585E-2</v>
      </c>
      <c r="V575" s="115">
        <f t="shared" si="105"/>
        <v>4.1471121306356551E-2</v>
      </c>
      <c r="W575" s="116">
        <f t="shared" si="103"/>
        <v>-9.9999999999997868E-3</v>
      </c>
      <c r="X575" s="115">
        <f t="shared" si="106"/>
        <v>-0.71057787651353399</v>
      </c>
      <c r="Y575" s="115">
        <f t="shared" si="107"/>
        <v>0.10789180285399791</v>
      </c>
      <c r="Z575" s="115">
        <f t="shared" si="109"/>
        <v>5.2700743702931874E-2</v>
      </c>
      <c r="AA575" s="116">
        <f t="shared" si="108"/>
        <v>-0.50999999999999979</v>
      </c>
      <c r="AB575" s="115">
        <f t="shared" si="97"/>
        <v>-0.40572702534381611</v>
      </c>
      <c r="AC575" s="115">
        <f t="shared" si="98"/>
        <v>0.7578065333975057</v>
      </c>
      <c r="AD575" s="115">
        <f t="shared" si="104"/>
        <v>0.44740946681290694</v>
      </c>
      <c r="AE575" s="235">
        <f t="shared" si="99"/>
        <v>-2.6999999999999997</v>
      </c>
    </row>
    <row r="576" spans="14:31" x14ac:dyDescent="0.2">
      <c r="N576" s="337">
        <v>42247</v>
      </c>
      <c r="O576" s="116">
        <f>INDEX('Additional data'!$B$2:$B$965,MATCH(DATE(YEAR(N576),MONTH(N576),1),'Additional data'!$A$2:$A$965,0))</f>
        <v>42.87</v>
      </c>
      <c r="P576" s="232">
        <f t="shared" si="100"/>
        <v>3.7581722806098856</v>
      </c>
      <c r="Q576" s="232">
        <f>Q575+LN(1+INDEX('Additional data'!$H$2:$H$1196,MATCH(N576,'Additional data'!$G$2:$G$1196,1))+INDEX('Additional data'!$I$2:$I$1196,MATCH(N576,'Additional data'!$G$2:$G$1196,1)))</f>
        <v>4.4838323175766979</v>
      </c>
      <c r="R576" s="232">
        <f>LN(INDEX(Data!$B$2:$B$497,MATCH(N576,Data!$A$2:$A$497,1)))</f>
        <v>10.735749312606432</v>
      </c>
      <c r="S576" s="116">
        <f>INDEX('Additional data'!$E$2:$E$699,MATCH(DATE(YEAR(N576),MONTH(N576),1),'Additional data'!$D$2:$D$699,0))</f>
        <v>2.14</v>
      </c>
      <c r="T576" s="115">
        <f t="shared" si="101"/>
        <v>-0.17169064294659142</v>
      </c>
      <c r="U576" s="115">
        <f t="shared" si="102"/>
        <v>-6.2088192313421331E-2</v>
      </c>
      <c r="V576" s="115">
        <f t="shared" si="105"/>
        <v>-7.5782838293761756E-2</v>
      </c>
      <c r="W576" s="116">
        <f t="shared" si="103"/>
        <v>0</v>
      </c>
      <c r="X576" s="115">
        <f t="shared" si="106"/>
        <v>-0.81178514962246151</v>
      </c>
      <c r="Y576" s="115">
        <f t="shared" si="107"/>
        <v>4.277863712077945E-3</v>
      </c>
      <c r="Z576" s="115">
        <f t="shared" si="109"/>
        <v>-3.0272315225241542E-2</v>
      </c>
      <c r="AA576" s="116">
        <f t="shared" si="108"/>
        <v>-0.48999999999999977</v>
      </c>
      <c r="AB576" s="115">
        <f t="shared" si="97"/>
        <v>-0.58329274230787309</v>
      </c>
      <c r="AC576" s="115">
        <f t="shared" si="98"/>
        <v>0.74459350886622122</v>
      </c>
      <c r="AD576" s="115">
        <f t="shared" si="104"/>
        <v>0.37877023680586319</v>
      </c>
      <c r="AE576" s="235">
        <f t="shared" si="99"/>
        <v>-2.6024999999999996</v>
      </c>
    </row>
    <row r="577" spans="14:31" x14ac:dyDescent="0.2">
      <c r="N577" s="337">
        <v>42277</v>
      </c>
      <c r="O577" s="116">
        <f>INDEX('Additional data'!$B$2:$B$965,MATCH(DATE(YEAR(N577),MONTH(N577),1),'Additional data'!$A$2:$A$965,0))</f>
        <v>45.48</v>
      </c>
      <c r="P577" s="232">
        <f t="shared" si="100"/>
        <v>3.8172726688823353</v>
      </c>
      <c r="Q577" s="232">
        <f>Q576+LN(1+INDEX('Additional data'!$H$2:$H$1196,MATCH(N577,'Additional data'!$G$2:$G$1196,1))+INDEX('Additional data'!$I$2:$I$1196,MATCH(N577,'Additional data'!$G$2:$G$1196,1)))</f>
        <v>4.4527543620058365</v>
      </c>
      <c r="R577" s="232">
        <f>LN(INDEX(Data!$B$2:$B$497,MATCH(N577,Data!$A$2:$A$497,1)))</f>
        <v>10.710418069783643</v>
      </c>
      <c r="S577" s="116">
        <f>INDEX('Additional data'!$E$2:$E$699,MATCH(DATE(YEAR(N577),MONTH(N577),1),'Additional data'!$D$2:$D$699,0))</f>
        <v>2.17</v>
      </c>
      <c r="T577" s="115">
        <f t="shared" si="101"/>
        <v>5.9100388272449678E-2</v>
      </c>
      <c r="U577" s="115">
        <f t="shared" si="102"/>
        <v>-3.1077955570861349E-2</v>
      </c>
      <c r="V577" s="115">
        <f t="shared" si="105"/>
        <v>-2.533124282278898E-2</v>
      </c>
      <c r="W577" s="116">
        <f t="shared" si="103"/>
        <v>2.9999999999999805E-2</v>
      </c>
      <c r="X577" s="115">
        <f t="shared" si="106"/>
        <v>-0.71758234319073022</v>
      </c>
      <c r="Y577" s="115">
        <f t="shared" si="107"/>
        <v>-7.0054645306036889E-3</v>
      </c>
      <c r="Z577" s="115">
        <f t="shared" si="109"/>
        <v>-1.5668355222651087E-3</v>
      </c>
      <c r="AA577" s="116">
        <f t="shared" si="108"/>
        <v>-0.49000000000000021</v>
      </c>
      <c r="AB577" s="115">
        <f t="shared" ref="AB577:AB640" si="110">P577-P517</f>
        <v>-0.50434025923092474</v>
      </c>
      <c r="AC577" s="115">
        <f t="shared" ref="AC577:AC640" si="111">Q577-Q517</f>
        <v>0.62221339488857375</v>
      </c>
      <c r="AD577" s="115">
        <f t="shared" si="104"/>
        <v>0.30446192056666277</v>
      </c>
      <c r="AE577" s="235">
        <f t="shared" ref="AE577:AE640" si="112">S577-S517</f>
        <v>-2.6450000000000005</v>
      </c>
    </row>
    <row r="578" spans="14:31" x14ac:dyDescent="0.2">
      <c r="N578" s="337">
        <v>42308</v>
      </c>
      <c r="O578" s="116">
        <f>INDEX('Additional data'!$B$2:$B$965,MATCH(DATE(YEAR(N578),MONTH(N578),1),'Additional data'!$A$2:$A$965,0))</f>
        <v>46.22</v>
      </c>
      <c r="P578" s="232">
        <f t="shared" si="100"/>
        <v>3.8334126048462345</v>
      </c>
      <c r="Q578" s="232">
        <f>Q577+LN(1+INDEX('Additional data'!$H$2:$H$1196,MATCH(N578,'Additional data'!$G$2:$G$1196,1))+INDEX('Additional data'!$I$2:$I$1196,MATCH(N578,'Additional data'!$G$2:$G$1196,1)))</f>
        <v>4.5273979050016022</v>
      </c>
      <c r="R578" s="232">
        <f>LN(INDEX(Data!$B$2:$B$497,MATCH(N578,Data!$A$2:$A$497,1)))</f>
        <v>10.755301113845984</v>
      </c>
      <c r="S578" s="116">
        <f>INDEX('Additional data'!$E$2:$E$699,MATCH(DATE(YEAR(N578),MONTH(N578),1),'Additional data'!$D$2:$D$699,0))</f>
        <v>2.15</v>
      </c>
      <c r="T578" s="115">
        <f t="shared" si="101"/>
        <v>1.6139935963899177E-2</v>
      </c>
      <c r="U578" s="115">
        <f t="shared" si="102"/>
        <v>7.4643542995765699E-2</v>
      </c>
      <c r="V578" s="115">
        <f t="shared" si="105"/>
        <v>4.4883044062341781E-2</v>
      </c>
      <c r="W578" s="116">
        <f t="shared" si="103"/>
        <v>-2.0000000000000018E-2</v>
      </c>
      <c r="X578" s="115">
        <f t="shared" si="106"/>
        <v>-0.60215479675567707</v>
      </c>
      <c r="Y578" s="115">
        <f t="shared" si="107"/>
        <v>4.2847909657943717E-2</v>
      </c>
      <c r="Z578" s="115">
        <f t="shared" si="109"/>
        <v>4.469782461427485E-3</v>
      </c>
      <c r="AA578" s="116">
        <f t="shared" si="108"/>
        <v>-0.57000000000000028</v>
      </c>
      <c r="AB578" s="115">
        <f t="shared" si="110"/>
        <v>-0.57208638601278938</v>
      </c>
      <c r="AC578" s="115">
        <f t="shared" si="111"/>
        <v>0.65879073707788338</v>
      </c>
      <c r="AD578" s="115">
        <f t="shared" si="104"/>
        <v>0.32786880430363752</v>
      </c>
      <c r="AE578" s="235">
        <f t="shared" si="112"/>
        <v>-2.6599999999999997</v>
      </c>
    </row>
    <row r="579" spans="14:31" x14ac:dyDescent="0.2">
      <c r="N579" s="337">
        <v>42338</v>
      </c>
      <c r="O579" s="116">
        <f>INDEX('Additional data'!$B$2:$B$965,MATCH(DATE(YEAR(N579),MONTH(N579),1),'Additional data'!$A$2:$A$965,0))</f>
        <v>42.44</v>
      </c>
      <c r="P579" s="232">
        <f t="shared" si="100"/>
        <v>3.7480913137457823</v>
      </c>
      <c r="Q579" s="232">
        <f>Q578+LN(1+INDEX('Additional data'!$H$2:$H$1196,MATCH(N579,'Additional data'!$G$2:$G$1196,1))+INDEX('Additional data'!$I$2:$I$1196,MATCH(N579,'Additional data'!$G$2:$G$1196,1)))</f>
        <v>4.5330817214699</v>
      </c>
      <c r="R579" s="232">
        <f>LN(INDEX(Data!$B$2:$B$497,MATCH(N579,Data!$A$2:$A$497,1)))</f>
        <v>10.748394126580886</v>
      </c>
      <c r="S579" s="116">
        <f>INDEX('Additional data'!$E$2:$E$699,MATCH(DATE(YEAR(N579),MONTH(N579),1),'Additional data'!$D$2:$D$699,0))</f>
        <v>2.2200000000000002</v>
      </c>
      <c r="T579" s="115">
        <f t="shared" si="101"/>
        <v>-8.5321291100452168E-2</v>
      </c>
      <c r="U579" s="115">
        <f t="shared" si="102"/>
        <v>5.6838164682977421E-3</v>
      </c>
      <c r="V579" s="115">
        <f t="shared" si="105"/>
        <v>-6.9069872650988628E-3</v>
      </c>
      <c r="W579" s="116">
        <f t="shared" si="103"/>
        <v>7.0000000000000284E-2</v>
      </c>
      <c r="X579" s="115">
        <f t="shared" si="106"/>
        <v>-0.57987504407815527</v>
      </c>
      <c r="Y579" s="115">
        <f t="shared" si="107"/>
        <v>2.3253918941972707E-2</v>
      </c>
      <c r="Z579" s="115">
        <f t="shared" si="109"/>
        <v>3.0077144183485061E-2</v>
      </c>
      <c r="AA579" s="116">
        <f t="shared" si="108"/>
        <v>-0.5299999999999998</v>
      </c>
      <c r="AB579" s="115">
        <f t="shared" si="110"/>
        <v>-0.6843907644165923</v>
      </c>
      <c r="AC579" s="115">
        <f t="shared" si="111"/>
        <v>0.65849248186863374</v>
      </c>
      <c r="AD579" s="115">
        <f t="shared" si="104"/>
        <v>0.32795720033953124</v>
      </c>
      <c r="AE579" s="235">
        <f t="shared" si="112"/>
        <v>-2.7949999999999995</v>
      </c>
    </row>
    <row r="580" spans="14:31" x14ac:dyDescent="0.2">
      <c r="N580" s="337">
        <v>42369</v>
      </c>
      <c r="O580" s="116">
        <f>INDEX('Additional data'!$B$2:$B$965,MATCH(DATE(YEAR(N580),MONTH(N580),1),'Additional data'!$A$2:$A$965,0))</f>
        <v>37.19</v>
      </c>
      <c r="P580" s="232">
        <f t="shared" si="100"/>
        <v>3.6160399079369787</v>
      </c>
      <c r="Q580" s="232">
        <f>Q579+LN(1+INDEX('Additional data'!$H$2:$H$1196,MATCH(N580,'Additional data'!$G$2:$G$1196,1))+INDEX('Additional data'!$I$2:$I$1196,MATCH(N580,'Additional data'!$G$2:$G$1196,1)))</f>
        <v>4.5114494213427863</v>
      </c>
      <c r="R580" s="232">
        <f>LN(INDEX(Data!$B$2:$B$497,MATCH(N580,Data!$A$2:$A$497,1)))</f>
        <v>10.774534309474156</v>
      </c>
      <c r="S580" s="116">
        <f>INDEX('Additional data'!$E$2:$E$699,MATCH(DATE(YEAR(N580),MONTH(N580),1),'Additional data'!$D$2:$D$699,0))</f>
        <v>2.34</v>
      </c>
      <c r="T580" s="115">
        <f t="shared" si="101"/>
        <v>-0.13205140580880359</v>
      </c>
      <c r="U580" s="115">
        <f t="shared" si="102"/>
        <v>-2.1632300127113702E-2</v>
      </c>
      <c r="V580" s="115">
        <f t="shared" si="105"/>
        <v>2.6140182893270136E-2</v>
      </c>
      <c r="W580" s="116">
        <f t="shared" si="103"/>
        <v>0.11999999999999966</v>
      </c>
      <c r="X580" s="115">
        <f t="shared" si="106"/>
        <v>-0.46640074978229773</v>
      </c>
      <c r="Y580" s="115">
        <f t="shared" si="107"/>
        <v>2.1217438565415137E-3</v>
      </c>
      <c r="Z580" s="115">
        <f t="shared" si="109"/>
        <v>3.7117994482137817E-2</v>
      </c>
      <c r="AA580" s="116">
        <f t="shared" si="108"/>
        <v>-0.41000000000000014</v>
      </c>
      <c r="AB580" s="115">
        <f t="shared" si="110"/>
        <v>-0.87304579903031065</v>
      </c>
      <c r="AC580" s="115">
        <f t="shared" si="111"/>
        <v>0.57079158177181544</v>
      </c>
      <c r="AD580" s="115">
        <f t="shared" si="104"/>
        <v>0.31679496007807018</v>
      </c>
      <c r="AE580" s="235">
        <f t="shared" si="112"/>
        <v>-2.6850000000000005</v>
      </c>
    </row>
    <row r="581" spans="14:31" x14ac:dyDescent="0.2">
      <c r="N581" s="337">
        <v>42400</v>
      </c>
      <c r="O581" s="116">
        <f>INDEX('Additional data'!$B$2:$B$965,MATCH(DATE(YEAR(N581),MONTH(N581),1),'Additional data'!$A$2:$A$965,0))</f>
        <v>31.68</v>
      </c>
      <c r="P581" s="232">
        <f t="shared" ref="P581:P644" si="113">LN(O581)</f>
        <v>3.455685566946225</v>
      </c>
      <c r="Q581" s="232">
        <f>Q580+LN(1+INDEX('Additional data'!$H$2:$H$1196,MATCH(N581,'Additional data'!$G$2:$G$1196,1))+INDEX('Additional data'!$I$2:$I$1196,MATCH(N581,'Additional data'!$G$2:$G$1196,1)))</f>
        <v>4.4524422407627542</v>
      </c>
      <c r="R581" s="232">
        <f>LN(INDEX(Data!$B$2:$B$497,MATCH(N581,Data!$A$2:$A$497,1)))</f>
        <v>10.719214167633597</v>
      </c>
      <c r="S581" s="116">
        <f>INDEX('Additional data'!$E$2:$E$699,MATCH(DATE(YEAR(N581),MONTH(N581),1),'Additional data'!$D$2:$D$699,0))</f>
        <v>2.2999999999999998</v>
      </c>
      <c r="T581" s="115">
        <f t="shared" si="101"/>
        <v>-0.16035434099075374</v>
      </c>
      <c r="U581" s="115">
        <f t="shared" si="102"/>
        <v>-5.900718058003207E-2</v>
      </c>
      <c r="V581" s="115">
        <f t="shared" si="105"/>
        <v>-5.532014184055889E-2</v>
      </c>
      <c r="W581" s="116">
        <f t="shared" si="103"/>
        <v>-4.0000000000000036E-2</v>
      </c>
      <c r="X581" s="115">
        <f t="shared" si="106"/>
        <v>-0.39913196471114176</v>
      </c>
      <c r="Y581" s="115">
        <f t="shared" si="107"/>
        <v>-2.5394769632119285E-2</v>
      </c>
      <c r="Z581" s="115">
        <f t="shared" si="109"/>
        <v>-4.8041553479272636E-2</v>
      </c>
      <c r="AA581" s="116">
        <f t="shared" si="108"/>
        <v>-0.40000000000000036</v>
      </c>
      <c r="AB581" s="115">
        <f t="shared" si="110"/>
        <v>-1.0376588038596095</v>
      </c>
      <c r="AC581" s="115">
        <f t="shared" si="111"/>
        <v>0.49207981791744793</v>
      </c>
      <c r="AD581" s="115">
        <f t="shared" si="104"/>
        <v>0.26080447719377808</v>
      </c>
      <c r="AE581" s="235">
        <f t="shared" si="112"/>
        <v>-2.6550000000000002</v>
      </c>
    </row>
    <row r="582" spans="14:31" x14ac:dyDescent="0.2">
      <c r="N582" s="337">
        <v>42429</v>
      </c>
      <c r="O582" s="116">
        <f>INDEX('Additional data'!$B$2:$B$965,MATCH(DATE(YEAR(N582),MONTH(N582),1),'Additional data'!$A$2:$A$965,0))</f>
        <v>30.32</v>
      </c>
      <c r="P582" s="232">
        <f t="shared" si="113"/>
        <v>3.4118075607741711</v>
      </c>
      <c r="Q582" s="232">
        <f>Q581+LN(1+INDEX('Additional data'!$H$2:$H$1196,MATCH(N582,'Additional data'!$G$2:$G$1196,1))+INDEX('Additional data'!$I$2:$I$1196,MATCH(N582,'Additional data'!$G$2:$G$1196,1)))</f>
        <v>4.4520421607414145</v>
      </c>
      <c r="R582" s="232">
        <f>LN(INDEX(Data!$B$2:$B$497,MATCH(N582,Data!$A$2:$A$497,1)))</f>
        <v>10.704372065206792</v>
      </c>
      <c r="S582" s="116">
        <f>INDEX('Additional data'!$E$2:$E$699,MATCH(DATE(YEAR(N582),MONTH(N582),1),'Additional data'!$D$2:$D$699,0))</f>
        <v>2.2799999999999998</v>
      </c>
      <c r="T582" s="115">
        <f t="shared" ref="T582:T645" si="114">P582-P581</f>
        <v>-4.3878006172053841E-2</v>
      </c>
      <c r="U582" s="115">
        <f t="shared" ref="U582:U645" si="115">Q582-Q581</f>
        <v>-4.0008002133973264E-4</v>
      </c>
      <c r="V582" s="115">
        <f t="shared" si="105"/>
        <v>-1.4842102426804615E-2</v>
      </c>
      <c r="W582" s="116">
        <f t="shared" ref="W582:W645" si="116">S582-S581</f>
        <v>-2.0000000000000018E-2</v>
      </c>
      <c r="X582" s="115">
        <f t="shared" si="106"/>
        <v>-0.51174868046764788</v>
      </c>
      <c r="Y582" s="115">
        <f t="shared" si="107"/>
        <v>-8.5289421439099122E-2</v>
      </c>
      <c r="Z582" s="115">
        <f t="shared" si="109"/>
        <v>-0.13049570862917115</v>
      </c>
      <c r="AA582" s="116">
        <f t="shared" si="108"/>
        <v>-8.0000000000000071E-2</v>
      </c>
      <c r="AB582" s="115">
        <f t="shared" si="110"/>
        <v>-1.0833245200049828</v>
      </c>
      <c r="AC582" s="115">
        <f t="shared" si="111"/>
        <v>0.45737493420411779</v>
      </c>
      <c r="AD582" s="115">
        <f t="shared" si="104"/>
        <v>0.22426601665187995</v>
      </c>
      <c r="AE582" s="235">
        <f t="shared" si="112"/>
        <v>-2.6375000000000006</v>
      </c>
    </row>
    <row r="583" spans="14:31" x14ac:dyDescent="0.2">
      <c r="N583" s="337">
        <v>42460</v>
      </c>
      <c r="O583" s="116">
        <f>INDEX('Additional data'!$B$2:$B$965,MATCH(DATE(YEAR(N583),MONTH(N583),1),'Additional data'!$A$2:$A$965,0))</f>
        <v>37.549999999999997</v>
      </c>
      <c r="P583" s="232">
        <f t="shared" si="113"/>
        <v>3.6256733782101436</v>
      </c>
      <c r="Q583" s="232">
        <f>Q582+LN(1+INDEX('Additional data'!$H$2:$H$1196,MATCH(N583,'Additional data'!$G$2:$G$1196,1))+INDEX('Additional data'!$I$2:$I$1196,MATCH(N583,'Additional data'!$G$2:$G$1196,1)))</f>
        <v>4.5194203960713626</v>
      </c>
      <c r="R583" s="232">
        <f>LN(INDEX(Data!$B$2:$B$497,MATCH(N583,Data!$A$2:$A$497,1)))</f>
        <v>10.750723273410557</v>
      </c>
      <c r="S583" s="116">
        <f>INDEX('Additional data'!$E$2:$E$699,MATCH(DATE(YEAR(N583),MONTH(N583),1),'Additional data'!$D$2:$D$699,0))</f>
        <v>2.31</v>
      </c>
      <c r="T583" s="115">
        <f t="shared" si="114"/>
        <v>0.21386581743597244</v>
      </c>
      <c r="U583" s="115">
        <f t="shared" si="115"/>
        <v>6.7378235329948133E-2</v>
      </c>
      <c r="V583" s="115">
        <f t="shared" si="105"/>
        <v>4.6351208203764926E-2</v>
      </c>
      <c r="W583" s="116">
        <f t="shared" si="116"/>
        <v>3.0000000000000249E-2</v>
      </c>
      <c r="X583" s="115">
        <f t="shared" si="106"/>
        <v>-0.24177058382003525</v>
      </c>
      <c r="Y583" s="115">
        <f t="shared" si="107"/>
        <v>-6.7491214029589131E-3</v>
      </c>
      <c r="Z583" s="115">
        <f t="shared" si="109"/>
        <v>-8.3874218700334069E-2</v>
      </c>
      <c r="AA583" s="116">
        <f t="shared" si="108"/>
        <v>1.0000000000000231E-2</v>
      </c>
      <c r="AB583" s="115">
        <f t="shared" si="110"/>
        <v>-1.008472916014465</v>
      </c>
      <c r="AC583" s="115">
        <f t="shared" si="111"/>
        <v>0.52016371720025889</v>
      </c>
      <c r="AD583" s="115">
        <f t="shared" si="104"/>
        <v>0.26419337062507253</v>
      </c>
      <c r="AE583" s="235">
        <f t="shared" si="112"/>
        <v>-2.61</v>
      </c>
    </row>
    <row r="584" spans="14:31" x14ac:dyDescent="0.2">
      <c r="N584" s="337">
        <v>42490</v>
      </c>
      <c r="O584" s="116">
        <f>INDEX('Additional data'!$B$2:$B$965,MATCH(DATE(YEAR(N584),MONTH(N584),1),'Additional data'!$A$2:$A$965,0))</f>
        <v>40.75</v>
      </c>
      <c r="P584" s="232">
        <f t="shared" si="113"/>
        <v>3.7074558396868715</v>
      </c>
      <c r="Q584" s="232">
        <f>Q583+LN(1+INDEX('Additional data'!$H$2:$H$1196,MATCH(N584,'Additional data'!$G$2:$G$1196,1))+INDEX('Additional data'!$I$2:$I$1196,MATCH(N584,'Additional data'!$G$2:$G$1196,1)))</f>
        <v>4.5286774173340394</v>
      </c>
      <c r="R584" s="232">
        <f>LN(INDEX(Data!$B$2:$B$497,MATCH(N584,Data!$A$2:$A$497,1)))</f>
        <v>10.782562001597347</v>
      </c>
      <c r="S584" s="116">
        <f>INDEX('Additional data'!$E$2:$E$699,MATCH(DATE(YEAR(N584),MONTH(N584),1),'Additional data'!$D$2:$D$699,0))</f>
        <v>2.2599999999999998</v>
      </c>
      <c r="T584" s="115">
        <f t="shared" si="114"/>
        <v>8.1782461476727963E-2</v>
      </c>
      <c r="U584" s="115">
        <f t="shared" si="115"/>
        <v>9.2570212626768011E-3</v>
      </c>
      <c r="V584" s="115">
        <f t="shared" si="105"/>
        <v>3.1838728186789567E-2</v>
      </c>
      <c r="W584" s="116">
        <f t="shared" si="116"/>
        <v>-5.0000000000000266E-2</v>
      </c>
      <c r="X584" s="115">
        <f t="shared" si="106"/>
        <v>-0.28982700969209807</v>
      </c>
      <c r="Y584" s="115">
        <f t="shared" si="107"/>
        <v>-3.3747632984377773E-3</v>
      </c>
      <c r="Z584" s="115">
        <f t="shared" si="109"/>
        <v>-3.7202570986679007E-2</v>
      </c>
      <c r="AA584" s="116">
        <f t="shared" si="108"/>
        <v>9.9999999999997868E-3</v>
      </c>
      <c r="AB584" s="115">
        <f t="shared" si="110"/>
        <v>-0.99338809636950209</v>
      </c>
      <c r="AC584" s="115">
        <f t="shared" si="111"/>
        <v>0.50083328161102347</v>
      </c>
      <c r="AD584" s="115">
        <f t="shared" si="104"/>
        <v>0.30180494947088299</v>
      </c>
      <c r="AE584" s="235">
        <f t="shared" si="112"/>
        <v>-2.6400000000000006</v>
      </c>
    </row>
    <row r="585" spans="14:31" x14ac:dyDescent="0.2">
      <c r="N585" s="337">
        <v>42521</v>
      </c>
      <c r="O585" s="116">
        <f>INDEX('Additional data'!$B$2:$B$965,MATCH(DATE(YEAR(N585),MONTH(N585),1),'Additional data'!$A$2:$A$965,0))</f>
        <v>46.71</v>
      </c>
      <c r="P585" s="232">
        <f t="shared" si="113"/>
        <v>3.8439582745140166</v>
      </c>
      <c r="Q585" s="232">
        <f>Q584+LN(1+INDEX('Additional data'!$H$2:$H$1196,MATCH(N585,'Additional data'!$G$2:$G$1196,1))+INDEX('Additional data'!$I$2:$I$1196,MATCH(N585,'Additional data'!$G$2:$G$1196,1)))</f>
        <v>4.5464190988101967</v>
      </c>
      <c r="R585" s="232">
        <f>LN(INDEX(Data!$B$2:$B$497,MATCH(N585,Data!$A$2:$A$497,1)))</f>
        <v>10.812993622375231</v>
      </c>
      <c r="S585" s="116">
        <f>INDEX('Additional data'!$E$2:$E$699,MATCH(DATE(YEAR(N585),MONTH(N585),1),'Additional data'!$D$2:$D$699,0))</f>
        <v>2</v>
      </c>
      <c r="T585" s="115">
        <f t="shared" si="114"/>
        <v>0.13650243482714508</v>
      </c>
      <c r="U585" s="115">
        <f t="shared" si="115"/>
        <v>1.7741681476157289E-2</v>
      </c>
      <c r="V585" s="115">
        <f t="shared" si="105"/>
        <v>3.0431620777884305E-2</v>
      </c>
      <c r="W585" s="116">
        <f t="shared" si="116"/>
        <v>-0.25999999999999979</v>
      </c>
      <c r="X585" s="115">
        <f t="shared" si="106"/>
        <v>-0.23814500128573002</v>
      </c>
      <c r="Y585" s="115">
        <f t="shared" si="107"/>
        <v>7.599147715025012E-4</v>
      </c>
      <c r="Z585" s="115">
        <f t="shared" si="109"/>
        <v>-1.2562626193643567E-2</v>
      </c>
      <c r="AA585" s="116">
        <f t="shared" si="108"/>
        <v>-0.14999999999999991</v>
      </c>
      <c r="AB585" s="115">
        <f t="shared" si="110"/>
        <v>-0.7744242429462096</v>
      </c>
      <c r="AC585" s="115">
        <f t="shared" si="111"/>
        <v>0.53135629745191348</v>
      </c>
      <c r="AD585" s="115">
        <f t="shared" si="104"/>
        <v>0.35126775901315632</v>
      </c>
      <c r="AE585" s="235">
        <f t="shared" si="112"/>
        <v>-3.0025000000000004</v>
      </c>
    </row>
    <row r="586" spans="14:31" x14ac:dyDescent="0.2">
      <c r="N586" s="337">
        <v>42551</v>
      </c>
      <c r="O586" s="116">
        <f>INDEX('Additional data'!$B$2:$B$965,MATCH(DATE(YEAR(N586),MONTH(N586),1),'Additional data'!$A$2:$A$965,0))</f>
        <v>48.76</v>
      </c>
      <c r="P586" s="232">
        <f t="shared" si="113"/>
        <v>3.8869103046130706</v>
      </c>
      <c r="Q586" s="232">
        <f>Q585+LN(1+INDEX('Additional data'!$H$2:$H$1196,MATCH(N586,'Additional data'!$G$2:$G$1196,1))+INDEX('Additional data'!$I$2:$I$1196,MATCH(N586,'Additional data'!$G$2:$G$1196,1)))</f>
        <v>4.5463190938098634</v>
      </c>
      <c r="R586" s="232">
        <f>LN(INDEX(Data!$B$2:$B$497,MATCH(N586,Data!$A$2:$A$497,1)))</f>
        <v>10.789944880569481</v>
      </c>
      <c r="S586" s="116">
        <f>INDEX('Additional data'!$E$2:$E$699,MATCH(DATE(YEAR(N586),MONTH(N586),1),'Additional data'!$D$2:$D$699,0))</f>
        <v>1.99</v>
      </c>
      <c r="T586" s="115">
        <f t="shared" si="114"/>
        <v>4.2952030099054017E-2</v>
      </c>
      <c r="U586" s="115">
        <f t="shared" si="115"/>
        <v>-1.0000500033324755E-4</v>
      </c>
      <c r="V586" s="115">
        <f t="shared" si="105"/>
        <v>-2.3048741805750339E-2</v>
      </c>
      <c r="W586" s="116">
        <f t="shared" si="116"/>
        <v>-1.0000000000000009E-2</v>
      </c>
      <c r="X586" s="115">
        <f t="shared" si="106"/>
        <v>-0.2044297485887312</v>
      </c>
      <c r="Y586" s="115">
        <f t="shared" si="107"/>
        <v>1.5976613883062818E-2</v>
      </c>
      <c r="Z586" s="115">
        <f t="shared" si="109"/>
        <v>1.9883850975643824E-2</v>
      </c>
      <c r="AA586" s="116">
        <f t="shared" si="108"/>
        <v>-0.15999999999999992</v>
      </c>
      <c r="AB586" s="115">
        <f t="shared" si="110"/>
        <v>-0.68045416663912173</v>
      </c>
      <c r="AC586" s="115">
        <f t="shared" si="111"/>
        <v>0.5488094516991695</v>
      </c>
      <c r="AD586" s="115">
        <f t="shared" si="104"/>
        <v>0.3523784545976234</v>
      </c>
      <c r="AE586" s="235">
        <f t="shared" si="112"/>
        <v>-3.0024999999999995</v>
      </c>
    </row>
    <row r="587" spans="14:31" x14ac:dyDescent="0.2">
      <c r="N587" s="337">
        <v>42582</v>
      </c>
      <c r="O587" s="116">
        <f>INDEX('Additional data'!$B$2:$B$965,MATCH(DATE(YEAR(N587),MONTH(N587),1),'Additional data'!$A$2:$A$965,0))</f>
        <v>44.65</v>
      </c>
      <c r="P587" s="232">
        <f t="shared" si="113"/>
        <v>3.7988543073225078</v>
      </c>
      <c r="Q587" s="232">
        <f>Q586+LN(1+INDEX('Additional data'!$H$2:$H$1196,MATCH(N587,'Additional data'!$G$2:$G$1196,1))+INDEX('Additional data'!$I$2:$I$1196,MATCH(N587,'Additional data'!$G$2:$G$1196,1)))</f>
        <v>4.585155117595062</v>
      </c>
      <c r="R587" s="232">
        <f>LN(INDEX(Data!$B$2:$B$497,MATCH(N587,Data!$A$2:$A$497,1)))</f>
        <v>10.850907779867256</v>
      </c>
      <c r="S587" s="116">
        <f>INDEX('Additional data'!$E$2:$E$699,MATCH(DATE(YEAR(N587),MONTH(N587),1),'Additional data'!$D$2:$D$699,0))</f>
        <v>1.93</v>
      </c>
      <c r="T587" s="115">
        <f t="shared" si="114"/>
        <v>-8.8055997290562793E-2</v>
      </c>
      <c r="U587" s="115">
        <f t="shared" si="115"/>
        <v>3.883602378519857E-2</v>
      </c>
      <c r="V587" s="115">
        <f t="shared" si="105"/>
        <v>6.0962899297775763E-2</v>
      </c>
      <c r="W587" s="116">
        <f t="shared" si="116"/>
        <v>-6.0000000000000053E-2</v>
      </c>
      <c r="X587" s="115">
        <f t="shared" si="106"/>
        <v>-0.1310086162339692</v>
      </c>
      <c r="Y587" s="115">
        <f t="shared" si="107"/>
        <v>3.9234607704942803E-2</v>
      </c>
      <c r="Z587" s="115">
        <f t="shared" si="109"/>
        <v>3.9375628967063037E-2</v>
      </c>
      <c r="AA587" s="116">
        <f t="shared" si="108"/>
        <v>-0.21000000000000019</v>
      </c>
      <c r="AB587" s="115">
        <f t="shared" si="110"/>
        <v>-0.77781351819287137</v>
      </c>
      <c r="AC587" s="115">
        <f t="shared" si="111"/>
        <v>0.61142600414977144</v>
      </c>
      <c r="AD587" s="115">
        <f t="shared" si="104"/>
        <v>0.4479388133755986</v>
      </c>
      <c r="AE587" s="235">
        <f t="shared" si="112"/>
        <v>-3.0250000000000004</v>
      </c>
    </row>
    <row r="588" spans="14:31" x14ac:dyDescent="0.2">
      <c r="N588" s="337">
        <v>42613</v>
      </c>
      <c r="O588" s="116">
        <f>INDEX('Additional data'!$B$2:$B$965,MATCH(DATE(YEAR(N588),MONTH(N588),1),'Additional data'!$A$2:$A$965,0))</f>
        <v>44.72</v>
      </c>
      <c r="P588" s="232">
        <f t="shared" si="113"/>
        <v>3.8004208288468435</v>
      </c>
      <c r="Q588" s="232">
        <f>Q587+LN(1+INDEX('Additional data'!$H$2:$H$1196,MATCH(N588,'Additional data'!$G$2:$G$1196,1))+INDEX('Additional data'!$I$2:$I$1196,MATCH(N588,'Additional data'!$G$2:$G$1196,1)))</f>
        <v>4.5902421566436189</v>
      </c>
      <c r="R588" s="232">
        <f>LN(INDEX(Data!$B$2:$B$497,MATCH(N588,Data!$A$2:$A$497,1)))</f>
        <v>10.837550806831716</v>
      </c>
      <c r="S588" s="116">
        <f>INDEX('Additional data'!$E$2:$E$699,MATCH(DATE(YEAR(N588),MONTH(N588),1),'Additional data'!$D$2:$D$699,0))</f>
        <v>1.76</v>
      </c>
      <c r="T588" s="115">
        <f t="shared" si="114"/>
        <v>1.5665215243356734E-3</v>
      </c>
      <c r="U588" s="115">
        <f t="shared" si="115"/>
        <v>5.0870390485568961E-3</v>
      </c>
      <c r="V588" s="115">
        <f t="shared" si="105"/>
        <v>-1.3356973035540065E-2</v>
      </c>
      <c r="W588" s="116">
        <f t="shared" si="116"/>
        <v>-0.16999999999999993</v>
      </c>
      <c r="X588" s="115">
        <f t="shared" si="106"/>
        <v>4.2248548236957895E-2</v>
      </c>
      <c r="Y588" s="115">
        <f t="shared" si="107"/>
        <v>0.10640983906692103</v>
      </c>
      <c r="Z588" s="115">
        <f t="shared" si="109"/>
        <v>0.10180149422528473</v>
      </c>
      <c r="AA588" s="116">
        <f t="shared" si="108"/>
        <v>-0.38000000000000012</v>
      </c>
      <c r="AB588" s="115">
        <f t="shared" si="110"/>
        <v>-0.65775633340058803</v>
      </c>
      <c r="AC588" s="115">
        <f t="shared" si="111"/>
        <v>0.6778566734393805</v>
      </c>
      <c r="AD588" s="115">
        <f t="shared" ref="AD588:AD651" si="117">R588-R528</f>
        <v>0.45483307889100644</v>
      </c>
      <c r="AE588" s="235">
        <f t="shared" si="112"/>
        <v>-3.0975000000000001</v>
      </c>
    </row>
    <row r="589" spans="14:31" x14ac:dyDescent="0.2">
      <c r="N589" s="337">
        <v>42643</v>
      </c>
      <c r="O589" s="116">
        <f>INDEX('Additional data'!$B$2:$B$965,MATCH(DATE(YEAR(N589),MONTH(N589),1),'Additional data'!$A$2:$A$965,0))</f>
        <v>45.18</v>
      </c>
      <c r="P589" s="232">
        <f t="shared" si="113"/>
        <v>3.8106545110398571</v>
      </c>
      <c r="Q589" s="232">
        <f>Q588+LN(1+INDEX('Additional data'!$H$2:$H$1196,MATCH(N589,'Additional data'!$G$2:$G$1196,1))+INDEX('Additional data'!$I$2:$I$1196,MATCH(N589,'Additional data'!$G$2:$G$1196,1)))</f>
        <v>4.5931379597556443</v>
      </c>
      <c r="R589" s="232">
        <f>LN(INDEX(Data!$B$2:$B$497,MATCH(N589,Data!$A$2:$A$497,1)))</f>
        <v>10.841546486994829</v>
      </c>
      <c r="S589" s="116">
        <f>INDEX('Additional data'!$E$2:$E$699,MATCH(DATE(YEAR(N589),MONTH(N589),1),'Additional data'!$D$2:$D$699,0))</f>
        <v>1.73</v>
      </c>
      <c r="T589" s="115">
        <f t="shared" si="114"/>
        <v>1.0233682193013571E-2</v>
      </c>
      <c r="U589" s="115">
        <f t="shared" si="115"/>
        <v>2.8958031120254191E-3</v>
      </c>
      <c r="V589" s="115">
        <f t="shared" si="105"/>
        <v>3.9956801631131356E-3</v>
      </c>
      <c r="W589" s="116">
        <f t="shared" si="116"/>
        <v>-3.0000000000000027E-2</v>
      </c>
      <c r="X589" s="115">
        <f t="shared" si="106"/>
        <v>-6.6181578424782117E-3</v>
      </c>
      <c r="Y589" s="115">
        <f t="shared" si="107"/>
        <v>0.1403835977498078</v>
      </c>
      <c r="Z589" s="115">
        <f t="shared" si="109"/>
        <v>0.13112841721118684</v>
      </c>
      <c r="AA589" s="116">
        <f t="shared" si="108"/>
        <v>-0.43999999999999995</v>
      </c>
      <c r="AB589" s="115">
        <f t="shared" si="110"/>
        <v>-0.63914758771453695</v>
      </c>
      <c r="AC589" s="115">
        <f t="shared" si="111"/>
        <v>0.75957925709737673</v>
      </c>
      <c r="AD589" s="115">
        <f t="shared" si="117"/>
        <v>0.52363054519491037</v>
      </c>
      <c r="AE589" s="235">
        <f t="shared" si="112"/>
        <v>-3.0799999999999996</v>
      </c>
    </row>
    <row r="590" spans="14:31" x14ac:dyDescent="0.2">
      <c r="N590" s="337">
        <v>42674</v>
      </c>
      <c r="O590" s="116">
        <f>INDEX('Additional data'!$B$2:$B$965,MATCH(DATE(YEAR(N590),MONTH(N590),1),'Additional data'!$A$2:$A$965,0))</f>
        <v>49.78</v>
      </c>
      <c r="P590" s="232">
        <f t="shared" si="113"/>
        <v>3.9076132969394459</v>
      </c>
      <c r="Q590" s="232">
        <f>Q589+LN(1+INDEX('Additional data'!$H$2:$H$1196,MATCH(N590,'Additional data'!$G$2:$G$1196,1))+INDEX('Additional data'!$I$2:$I$1196,MATCH(N590,'Additional data'!$G$2:$G$1196,1)))</f>
        <v>4.5730372880486412</v>
      </c>
      <c r="R590" s="232">
        <f>LN(INDEX(Data!$B$2:$B$497,MATCH(N590,Data!$A$2:$A$497,1)))</f>
        <v>10.819540683189144</v>
      </c>
      <c r="S590" s="116">
        <f>INDEX('Additional data'!$E$2:$E$699,MATCH(DATE(YEAR(N590),MONTH(N590),1),'Additional data'!$D$2:$D$699,0))</f>
        <v>1.74</v>
      </c>
      <c r="T590" s="115">
        <f t="shared" si="114"/>
        <v>9.695878589958884E-2</v>
      </c>
      <c r="U590" s="115">
        <f t="shared" si="115"/>
        <v>-2.0100671707003137E-2</v>
      </c>
      <c r="V590" s="115">
        <f t="shared" si="105"/>
        <v>-2.2005803805685176E-2</v>
      </c>
      <c r="W590" s="116">
        <f t="shared" si="116"/>
        <v>1.0000000000000009E-2</v>
      </c>
      <c r="X590" s="115">
        <f t="shared" si="106"/>
        <v>7.4200692093211451E-2</v>
      </c>
      <c r="Y590" s="115">
        <f t="shared" si="107"/>
        <v>4.5639383047038962E-2</v>
      </c>
      <c r="Z590" s="115">
        <f t="shared" si="109"/>
        <v>6.4239569343159886E-2</v>
      </c>
      <c r="AA590" s="116">
        <f t="shared" si="108"/>
        <v>-0.40999999999999992</v>
      </c>
      <c r="AB590" s="115">
        <f t="shared" si="110"/>
        <v>-0.55149011291386163</v>
      </c>
      <c r="AC590" s="115">
        <f t="shared" si="111"/>
        <v>0.63215000763784923</v>
      </c>
      <c r="AD590" s="115">
        <f t="shared" si="117"/>
        <v>0.43236851056312808</v>
      </c>
      <c r="AE590" s="235">
        <f t="shared" si="112"/>
        <v>-2.9849999999999994</v>
      </c>
    </row>
    <row r="591" spans="14:31" x14ac:dyDescent="0.2">
      <c r="N591" s="337">
        <v>42704</v>
      </c>
      <c r="O591" s="116">
        <f>INDEX('Additional data'!$B$2:$B$965,MATCH(DATE(YEAR(N591),MONTH(N591),1),'Additional data'!$A$2:$A$965,0))</f>
        <v>45.66</v>
      </c>
      <c r="P591" s="232">
        <f t="shared" si="113"/>
        <v>3.8212226411016492</v>
      </c>
      <c r="Q591" s="232">
        <f>Q590+LN(1+INDEX('Additional data'!$H$2:$H$1196,MATCH(N591,'Additional data'!$G$2:$G$1196,1))+INDEX('Additional data'!$I$2:$I$1196,MATCH(N591,'Additional data'!$G$2:$G$1196,1)))</f>
        <v>4.6205885899068635</v>
      </c>
      <c r="R591" s="232">
        <f>LN(INDEX(Data!$B$2:$B$497,MATCH(N591,Data!$A$2:$A$497,1)))</f>
        <v>10.843826845505879</v>
      </c>
      <c r="S591" s="116">
        <f>INDEX('Additional data'!$E$2:$E$699,MATCH(DATE(YEAR(N591),MONTH(N591),1),'Additional data'!$D$2:$D$699,0))</f>
        <v>1.76</v>
      </c>
      <c r="T591" s="115">
        <f t="shared" si="114"/>
        <v>-8.6390655837796704E-2</v>
      </c>
      <c r="U591" s="115">
        <f t="shared" si="115"/>
        <v>4.7551301858222317E-2</v>
      </c>
      <c r="V591" s="115">
        <f t="shared" si="105"/>
        <v>2.4286162316734305E-2</v>
      </c>
      <c r="W591" s="116">
        <f t="shared" si="116"/>
        <v>2.0000000000000018E-2</v>
      </c>
      <c r="X591" s="115">
        <f t="shared" si="106"/>
        <v>7.3131327355866915E-2</v>
      </c>
      <c r="Y591" s="115">
        <f t="shared" si="107"/>
        <v>8.7506868436963536E-2</v>
      </c>
      <c r="Z591" s="115">
        <f t="shared" si="109"/>
        <v>9.5432718924993054E-2</v>
      </c>
      <c r="AA591" s="116">
        <f t="shared" si="108"/>
        <v>-0.46000000000000019</v>
      </c>
      <c r="AB591" s="115">
        <f t="shared" si="110"/>
        <v>-0.75565094573132852</v>
      </c>
      <c r="AC591" s="115">
        <f t="shared" si="111"/>
        <v>0.6824049610703864</v>
      </c>
      <c r="AD591" s="115">
        <f t="shared" si="117"/>
        <v>0.49160152970457816</v>
      </c>
      <c r="AE591" s="235">
        <f t="shared" si="112"/>
        <v>-2.8624999999999998</v>
      </c>
    </row>
    <row r="592" spans="14:31" x14ac:dyDescent="0.2">
      <c r="N592" s="337">
        <v>42735</v>
      </c>
      <c r="O592" s="116">
        <f>INDEX('Additional data'!$B$2:$B$965,MATCH(DATE(YEAR(N592),MONTH(N592),1),'Additional data'!$A$2:$A$965,0))</f>
        <v>51.97</v>
      </c>
      <c r="P592" s="232">
        <f t="shared" si="113"/>
        <v>3.9506666290203505</v>
      </c>
      <c r="Q592" s="232">
        <f>Q591+LN(1+INDEX('Additional data'!$H$2:$H$1196,MATCH(N592,'Additional data'!$G$2:$G$1196,1))+INDEX('Additional data'!$I$2:$I$1196,MATCH(N592,'Additional data'!$G$2:$G$1196,1)))</f>
        <v>4.638821358167923</v>
      </c>
      <c r="R592" s="232">
        <f>LN(INDEX(Data!$B$2:$B$497,MATCH(N592,Data!$A$2:$A$497,1)))</f>
        <v>10.884703753875392</v>
      </c>
      <c r="S592" s="116">
        <f>INDEX('Additional data'!$E$2:$E$699,MATCH(DATE(YEAR(N592),MONTH(N592),1),'Additional data'!$D$2:$D$699,0))</f>
        <v>1.78</v>
      </c>
      <c r="T592" s="115">
        <f t="shared" si="114"/>
        <v>0.12944398791870126</v>
      </c>
      <c r="U592" s="115">
        <f t="shared" si="115"/>
        <v>1.8232768261059462E-2</v>
      </c>
      <c r="V592" s="115">
        <f t="shared" si="105"/>
        <v>4.0876908369513743E-2</v>
      </c>
      <c r="W592" s="116">
        <f t="shared" si="116"/>
        <v>2.0000000000000018E-2</v>
      </c>
      <c r="X592" s="115">
        <f t="shared" si="106"/>
        <v>0.33462672108337177</v>
      </c>
      <c r="Y592" s="115">
        <f t="shared" si="107"/>
        <v>0.1273719368251367</v>
      </c>
      <c r="Z592" s="115">
        <f t="shared" si="109"/>
        <v>0.11016944440123666</v>
      </c>
      <c r="AA592" s="116">
        <f t="shared" si="108"/>
        <v>-0.55999999999999983</v>
      </c>
      <c r="AB592" s="115">
        <f t="shared" si="110"/>
        <v>-0.6401003266569969</v>
      </c>
      <c r="AC592" s="115">
        <f t="shared" si="111"/>
        <v>0.693165714492745</v>
      </c>
      <c r="AD592" s="115">
        <f t="shared" si="117"/>
        <v>0.54835095429272052</v>
      </c>
      <c r="AE592" s="235">
        <f t="shared" si="112"/>
        <v>-2.7275</v>
      </c>
    </row>
    <row r="593" spans="14:31" x14ac:dyDescent="0.2">
      <c r="N593" s="337">
        <v>42766</v>
      </c>
      <c r="O593" s="116">
        <f>INDEX('Additional data'!$B$2:$B$965,MATCH(DATE(YEAR(N593),MONTH(N593),1),'Additional data'!$A$2:$A$965,0))</f>
        <v>52.5</v>
      </c>
      <c r="P593" s="232">
        <f t="shared" si="113"/>
        <v>3.9608131695975781</v>
      </c>
      <c r="Q593" s="232">
        <f>Q592+LN(1+INDEX('Additional data'!$H$2:$H$1196,MATCH(N593,'Additional data'!$G$2:$G$1196,1))+INDEX('Additional data'!$I$2:$I$1196,MATCH(N593,'Additional data'!$G$2:$G$1196,1)))</f>
        <v>4.658427887806841</v>
      </c>
      <c r="R593" s="232">
        <f>LN(INDEX(Data!$B$2:$B$497,MATCH(N593,Data!$A$2:$A$497,1)))</f>
        <v>10.877019120271349</v>
      </c>
      <c r="S593" s="116">
        <f>INDEX('Additional data'!$E$2:$E$699,MATCH(DATE(YEAR(N593),MONTH(N593),1),'Additional data'!$D$2:$D$699,0))</f>
        <v>1.78</v>
      </c>
      <c r="T593" s="115">
        <f t="shared" si="114"/>
        <v>1.0146540577227636E-2</v>
      </c>
      <c r="U593" s="115">
        <f t="shared" si="115"/>
        <v>1.9606529638918069E-2</v>
      </c>
      <c r="V593" s="115">
        <f t="shared" ref="V593:V656" si="118">R593-R592</f>
        <v>-7.6846336040432561E-3</v>
      </c>
      <c r="W593" s="116">
        <f t="shared" si="116"/>
        <v>0</v>
      </c>
      <c r="X593" s="115">
        <f t="shared" ref="X593:X656" si="119">P593-P581</f>
        <v>0.50512760265135315</v>
      </c>
      <c r="Y593" s="115">
        <f t="shared" ref="Y593:Y656" si="120">Q593-Q581</f>
        <v>0.20598564704408684</v>
      </c>
      <c r="Z593" s="115">
        <f t="shared" si="109"/>
        <v>0.15780495263775229</v>
      </c>
      <c r="AA593" s="116">
        <f t="shared" ref="AA593:AA656" si="121">S593-S581</f>
        <v>-0.5199999999999998</v>
      </c>
      <c r="AB593" s="115">
        <f t="shared" si="110"/>
        <v>-0.64675414099023465</v>
      </c>
      <c r="AC593" s="115">
        <f t="shared" si="111"/>
        <v>0.66350600282874517</v>
      </c>
      <c r="AD593" s="115">
        <f t="shared" si="117"/>
        <v>0.48972425278918408</v>
      </c>
      <c r="AE593" s="235">
        <f t="shared" si="112"/>
        <v>-2.63</v>
      </c>
    </row>
    <row r="594" spans="14:31" x14ac:dyDescent="0.2">
      <c r="N594" s="337">
        <v>42794</v>
      </c>
      <c r="O594" s="116">
        <f>INDEX('Additional data'!$B$2:$B$965,MATCH(DATE(YEAR(N594),MONTH(N594),1),'Additional data'!$A$2:$A$965,0))</f>
        <v>53.47</v>
      </c>
      <c r="P594" s="232">
        <f t="shared" si="113"/>
        <v>3.9791207489606402</v>
      </c>
      <c r="Q594" s="232">
        <f>Q593+LN(1+INDEX('Additional data'!$H$2:$H$1196,MATCH(N594,'Additional data'!$G$2:$G$1196,1))+INDEX('Additional data'!$I$2:$I$1196,MATCH(N594,'Additional data'!$G$2:$G$1196,1)))</f>
        <v>4.6936985018887603</v>
      </c>
      <c r="R594" s="232">
        <f>LN(INDEX(Data!$B$2:$B$497,MATCH(N594,Data!$A$2:$A$497,1)))</f>
        <v>10.897691560506603</v>
      </c>
      <c r="S594" s="116">
        <f>INDEX('Additional data'!$E$2:$E$699,MATCH(DATE(YEAR(N594),MONTH(N594),1),'Additional data'!$D$2:$D$699,0))</f>
        <v>1.78</v>
      </c>
      <c r="T594" s="115">
        <f t="shared" si="114"/>
        <v>1.8307579363062043E-2</v>
      </c>
      <c r="U594" s="115">
        <f t="shared" si="115"/>
        <v>3.5270614081919227E-2</v>
      </c>
      <c r="V594" s="115">
        <f t="shared" si="118"/>
        <v>2.0672440235253831E-2</v>
      </c>
      <c r="W594" s="116">
        <f t="shared" si="116"/>
        <v>0</v>
      </c>
      <c r="X594" s="115">
        <f t="shared" si="119"/>
        <v>0.56731318818646903</v>
      </c>
      <c r="Y594" s="115">
        <f t="shared" si="120"/>
        <v>0.2416563411473458</v>
      </c>
      <c r="Z594" s="115">
        <f t="shared" si="109"/>
        <v>0.19331949529981074</v>
      </c>
      <c r="AA594" s="116">
        <f t="shared" si="121"/>
        <v>-0.49999999999999978</v>
      </c>
      <c r="AB594" s="115">
        <f t="shared" si="110"/>
        <v>-0.6483000459622712</v>
      </c>
      <c r="AC594" s="115">
        <f t="shared" si="111"/>
        <v>0.65552557491634911</v>
      </c>
      <c r="AD594" s="115">
        <f t="shared" si="117"/>
        <v>0.48656614875324422</v>
      </c>
      <c r="AE594" s="235">
        <f t="shared" si="112"/>
        <v>-2.59</v>
      </c>
    </row>
    <row r="595" spans="14:31" x14ac:dyDescent="0.2">
      <c r="N595" s="337">
        <v>42825</v>
      </c>
      <c r="O595" s="116">
        <f>INDEX('Additional data'!$B$2:$B$965,MATCH(DATE(YEAR(N595),MONTH(N595),1),'Additional data'!$A$2:$A$965,0))</f>
        <v>49.33</v>
      </c>
      <c r="P595" s="232">
        <f t="shared" si="113"/>
        <v>3.8985324152456466</v>
      </c>
      <c r="Q595" s="232">
        <f>Q594+LN(1+INDEX('Additional data'!$H$2:$H$1196,MATCH(N595,'Additional data'!$G$2:$G$1196,1))+INDEX('Additional data'!$I$2:$I$1196,MATCH(N595,'Additional data'!$G$2:$G$1196,1)))</f>
        <v>4.6956965045514334</v>
      </c>
      <c r="R595" s="232">
        <f>LN(INDEX(Data!$B$2:$B$497,MATCH(N595,Data!$A$2:$A$497,1)))</f>
        <v>10.928766910242004</v>
      </c>
      <c r="S595" s="116">
        <f>INDEX('Additional data'!$E$2:$E$699,MATCH(DATE(YEAR(N595),MONTH(N595),1),'Additional data'!$D$2:$D$699,0))</f>
        <v>1.79</v>
      </c>
      <c r="T595" s="115">
        <f t="shared" si="114"/>
        <v>-8.0588333714993521E-2</v>
      </c>
      <c r="U595" s="115">
        <f t="shared" si="115"/>
        <v>1.9980026626731373E-3</v>
      </c>
      <c r="V595" s="115">
        <f t="shared" si="118"/>
        <v>3.1075349735401048E-2</v>
      </c>
      <c r="W595" s="116">
        <f t="shared" si="116"/>
        <v>1.0000000000000009E-2</v>
      </c>
      <c r="X595" s="115">
        <f t="shared" si="119"/>
        <v>0.27285903703550307</v>
      </c>
      <c r="Y595" s="115">
        <f t="shared" si="120"/>
        <v>0.1762761084800708</v>
      </c>
      <c r="Z595" s="115">
        <f t="shared" si="109"/>
        <v>0.17804363683144686</v>
      </c>
      <c r="AA595" s="116">
        <f t="shared" si="121"/>
        <v>-0.52</v>
      </c>
      <c r="AB595" s="115">
        <f t="shared" si="110"/>
        <v>-0.76669752717010775</v>
      </c>
      <c r="AC595" s="115">
        <f t="shared" si="111"/>
        <v>0.62680040493618172</v>
      </c>
      <c r="AD595" s="115">
        <f t="shared" si="117"/>
        <v>0.50624119422175085</v>
      </c>
      <c r="AE595" s="235">
        <f t="shared" si="112"/>
        <v>-2.6524999999999999</v>
      </c>
    </row>
    <row r="596" spans="14:31" x14ac:dyDescent="0.2">
      <c r="N596" s="337">
        <v>42855</v>
      </c>
      <c r="O596" s="116">
        <f>INDEX('Additional data'!$B$2:$B$965,MATCH(DATE(YEAR(N596),MONTH(N596),1),'Additional data'!$A$2:$A$965,0))</f>
        <v>51.06</v>
      </c>
      <c r="P596" s="232">
        <f t="shared" si="113"/>
        <v>3.9330014118133376</v>
      </c>
      <c r="Q596" s="232">
        <f>Q595+LN(1+INDEX('Additional data'!$H$2:$H$1196,MATCH(N596,'Additional data'!$G$2:$G$1196,1))+INDEX('Additional data'!$I$2:$I$1196,MATCH(N596,'Additional data'!$G$2:$G$1196,1)))</f>
        <v>4.7069331364774207</v>
      </c>
      <c r="R596" s="232">
        <f>LN(INDEX(Data!$B$2:$B$497,MATCH(N596,Data!$A$2:$A$497,1)))</f>
        <v>10.936529665282849</v>
      </c>
      <c r="S596" s="116">
        <f>INDEX('Additional data'!$E$2:$E$699,MATCH(DATE(YEAR(N596),MONTH(N596),1),'Additional data'!$D$2:$D$699,0))</f>
        <v>1.77</v>
      </c>
      <c r="T596" s="115">
        <f t="shared" si="114"/>
        <v>3.4468996567690979E-2</v>
      </c>
      <c r="U596" s="115">
        <f t="shared" si="115"/>
        <v>1.1236631925987339E-2</v>
      </c>
      <c r="V596" s="115">
        <f t="shared" si="118"/>
        <v>7.7627550408454482E-3</v>
      </c>
      <c r="W596" s="116">
        <f t="shared" si="116"/>
        <v>-2.0000000000000018E-2</v>
      </c>
      <c r="X596" s="115">
        <f t="shared" si="119"/>
        <v>0.22554557212646609</v>
      </c>
      <c r="Y596" s="115">
        <f t="shared" si="120"/>
        <v>0.17825571914338134</v>
      </c>
      <c r="Z596" s="115">
        <f t="shared" si="109"/>
        <v>0.15396766368550274</v>
      </c>
      <c r="AA596" s="116">
        <f t="shared" si="121"/>
        <v>-0.48999999999999977</v>
      </c>
      <c r="AB596" s="115">
        <f t="shared" si="110"/>
        <v>-0.70492633841292607</v>
      </c>
      <c r="AC596" s="115">
        <f t="shared" si="111"/>
        <v>0.64657336788445541</v>
      </c>
      <c r="AD596" s="115">
        <f t="shared" si="117"/>
        <v>0.50303798335942318</v>
      </c>
      <c r="AE596" s="235">
        <f t="shared" si="112"/>
        <v>-2.4324999999999997</v>
      </c>
    </row>
    <row r="597" spans="14:31" x14ac:dyDescent="0.2">
      <c r="N597" s="337">
        <v>42886</v>
      </c>
      <c r="O597" s="116">
        <f>INDEX('Additional data'!$B$2:$B$965,MATCH(DATE(YEAR(N597),MONTH(N597),1),'Additional data'!$A$2:$A$965,0))</f>
        <v>48.48</v>
      </c>
      <c r="P597" s="232">
        <f t="shared" si="113"/>
        <v>3.881151341761059</v>
      </c>
      <c r="Q597" s="232">
        <f>Q596+LN(1+INDEX('Additional data'!$H$2:$H$1196,MATCH(N597,'Additional data'!$G$2:$G$1196,1))+INDEX('Additional data'!$I$2:$I$1196,MATCH(N597,'Additional data'!$G$2:$G$1196,1)))</f>
        <v>4.7181697684034081</v>
      </c>
      <c r="R597" s="232">
        <f>LN(INDEX(Data!$B$2:$B$497,MATCH(N597,Data!$A$2:$A$497,1)))</f>
        <v>10.910394519340887</v>
      </c>
      <c r="S597" s="116">
        <f>INDEX('Additional data'!$E$2:$E$699,MATCH(DATE(YEAR(N597),MONTH(N597),1),'Additional data'!$D$2:$D$699,0))</f>
        <v>1.73</v>
      </c>
      <c r="T597" s="115">
        <f t="shared" si="114"/>
        <v>-5.1850070052278596E-2</v>
      </c>
      <c r="U597" s="115">
        <f t="shared" si="115"/>
        <v>1.1236631925987339E-2</v>
      </c>
      <c r="V597" s="115">
        <f t="shared" si="118"/>
        <v>-2.6135145941962534E-2</v>
      </c>
      <c r="W597" s="116">
        <f t="shared" si="116"/>
        <v>-4.0000000000000036E-2</v>
      </c>
      <c r="X597" s="115">
        <f t="shared" si="119"/>
        <v>3.7193067247042411E-2</v>
      </c>
      <c r="Y597" s="115">
        <f t="shared" si="120"/>
        <v>0.17175066959321139</v>
      </c>
      <c r="Z597" s="115">
        <f t="shared" si="109"/>
        <v>9.7400896965655903E-2</v>
      </c>
      <c r="AA597" s="116">
        <f t="shared" si="121"/>
        <v>-0.27</v>
      </c>
      <c r="AB597" s="115">
        <f t="shared" si="110"/>
        <v>-0.66956265843097329</v>
      </c>
      <c r="AC597" s="115">
        <f t="shared" si="111"/>
        <v>0.72138898145331387</v>
      </c>
      <c r="AD597" s="115">
        <f t="shared" si="117"/>
        <v>0.54839100537081542</v>
      </c>
      <c r="AE597" s="235">
        <f t="shared" si="112"/>
        <v>-1.9249999999999998</v>
      </c>
    </row>
    <row r="598" spans="14:31" x14ac:dyDescent="0.2">
      <c r="N598" s="337">
        <v>42916</v>
      </c>
      <c r="O598" s="116">
        <f>INDEX('Additional data'!$B$2:$B$965,MATCH(DATE(YEAR(N598),MONTH(N598),1),'Additional data'!$A$2:$A$965,0))</f>
        <v>45.18</v>
      </c>
      <c r="P598" s="232">
        <f t="shared" si="113"/>
        <v>3.8106545110398571</v>
      </c>
      <c r="Q598" s="232">
        <f>Q597+LN(1+INDEX('Additional data'!$H$2:$H$1196,MATCH(N598,'Additional data'!$G$2:$G$1196,1))+INDEX('Additional data'!$I$2:$I$1196,MATCH(N598,'Additional data'!$G$2:$G$1196,1)))</f>
        <v>4.7266338468155373</v>
      </c>
      <c r="R598" s="232">
        <f>LN(INDEX(Data!$B$2:$B$497,MATCH(N598,Data!$A$2:$A$497,1)))</f>
        <v>10.913216024719635</v>
      </c>
      <c r="S598" s="116">
        <f>INDEX('Additional data'!$E$2:$E$699,MATCH(DATE(YEAR(N598),MONTH(N598),1),'Additional data'!$D$2:$D$699,0))</f>
        <v>1.72</v>
      </c>
      <c r="T598" s="115">
        <f t="shared" si="114"/>
        <v>-7.0496830721201942E-2</v>
      </c>
      <c r="U598" s="115">
        <f t="shared" si="115"/>
        <v>8.4640784121292612E-3</v>
      </c>
      <c r="V598" s="115">
        <f t="shared" si="118"/>
        <v>2.8215053787477018E-3</v>
      </c>
      <c r="W598" s="116">
        <f t="shared" si="116"/>
        <v>-1.0000000000000009E-2</v>
      </c>
      <c r="X598" s="115">
        <f t="shared" si="119"/>
        <v>-7.6255793573213548E-2</v>
      </c>
      <c r="Y598" s="115">
        <f t="shared" si="120"/>
        <v>0.1803147530056739</v>
      </c>
      <c r="Z598" s="115">
        <f t="shared" si="109"/>
        <v>0.12327114415015394</v>
      </c>
      <c r="AA598" s="116">
        <f t="shared" si="121"/>
        <v>-0.27</v>
      </c>
      <c r="AB598" s="115">
        <f t="shared" si="110"/>
        <v>-0.60105227773543479</v>
      </c>
      <c r="AC598" s="115">
        <f t="shared" si="111"/>
        <v>0.6916905987710944</v>
      </c>
      <c r="AD598" s="115">
        <f t="shared" si="117"/>
        <v>0.54869386923653174</v>
      </c>
      <c r="AE598" s="235">
        <f t="shared" si="112"/>
        <v>-1.7725000000000002</v>
      </c>
    </row>
    <row r="599" spans="14:31" x14ac:dyDescent="0.2">
      <c r="N599" s="337">
        <v>42947</v>
      </c>
      <c r="O599" s="116">
        <f>INDEX('Additional data'!$B$2:$B$965,MATCH(DATE(YEAR(N599),MONTH(N599),1),'Additional data'!$A$2:$A$965,0))</f>
        <v>46.63</v>
      </c>
      <c r="P599" s="232">
        <f t="shared" si="113"/>
        <v>3.8422441108202294</v>
      </c>
      <c r="Q599" s="232">
        <f>Q598+LN(1+INDEX('Additional data'!$H$2:$H$1196,MATCH(N599,'Additional data'!$G$2:$G$1196,1))+INDEX('Additional data'!$I$2:$I$1196,MATCH(N599,'Additional data'!$G$2:$G$1196,1)))</f>
        <v>4.7459461578479099</v>
      </c>
      <c r="R599" s="232">
        <f>LN(INDEX(Data!$B$2:$B$497,MATCH(N599,Data!$A$2:$A$497,1)))</f>
        <v>10.915027498362177</v>
      </c>
      <c r="S599" s="116">
        <f>INDEX('Additional data'!$E$2:$E$699,MATCH(DATE(YEAR(N599),MONTH(N599),1),'Additional data'!$D$2:$D$699,0))</f>
        <v>1.7</v>
      </c>
      <c r="T599" s="115">
        <f t="shared" si="114"/>
        <v>3.1589599780372346E-2</v>
      </c>
      <c r="U599" s="115">
        <f t="shared" si="115"/>
        <v>1.931231103237252E-2</v>
      </c>
      <c r="V599" s="115">
        <f t="shared" si="118"/>
        <v>1.811473642542083E-3</v>
      </c>
      <c r="W599" s="116">
        <f t="shared" si="116"/>
        <v>-2.0000000000000018E-2</v>
      </c>
      <c r="X599" s="115">
        <f t="shared" si="119"/>
        <v>4.3389803497721591E-2</v>
      </c>
      <c r="Y599" s="115">
        <f t="shared" si="120"/>
        <v>0.16079104025284785</v>
      </c>
      <c r="Z599" s="115">
        <f t="shared" si="109"/>
        <v>6.4119718494920264E-2</v>
      </c>
      <c r="AA599" s="116">
        <f t="shared" si="121"/>
        <v>-0.22999999999999998</v>
      </c>
      <c r="AB599" s="115">
        <f t="shared" si="110"/>
        <v>-0.63429693257068109</v>
      </c>
      <c r="AC599" s="115">
        <f t="shared" si="111"/>
        <v>0.70313395142477209</v>
      </c>
      <c r="AD599" s="115">
        <f t="shared" si="117"/>
        <v>0.51375704145787182</v>
      </c>
      <c r="AE599" s="235">
        <f t="shared" si="112"/>
        <v>-1.845</v>
      </c>
    </row>
    <row r="600" spans="14:31" x14ac:dyDescent="0.2">
      <c r="N600" s="337">
        <v>42978</v>
      </c>
      <c r="O600" s="116">
        <f>INDEX('Additional data'!$B$2:$B$965,MATCH(DATE(YEAR(N600),MONTH(N600),1),'Additional data'!$A$2:$A$965,0))</f>
        <v>48.04</v>
      </c>
      <c r="P600" s="232">
        <f t="shared" si="113"/>
        <v>3.872033997211783</v>
      </c>
      <c r="Q600" s="232">
        <f>Q599+LN(1+INDEX('Additional data'!$H$2:$H$1196,MATCH(N600,'Additional data'!$G$2:$G$1196,1))+INDEX('Additional data'!$I$2:$I$1196,MATCH(N600,'Additional data'!$G$2:$G$1196,1)))</f>
        <v>4.7486425193956521</v>
      </c>
      <c r="R600" s="232">
        <f>LN(INDEX(Data!$B$2:$B$497,MATCH(N600,Data!$A$2:$A$497,1)))</f>
        <v>10.922897248530418</v>
      </c>
      <c r="S600" s="116">
        <f>INDEX('Additional data'!$E$2:$E$699,MATCH(DATE(YEAR(N600),MONTH(N600),1),'Additional data'!$D$2:$D$699,0))</f>
        <v>1.7</v>
      </c>
      <c r="T600" s="115">
        <f t="shared" si="114"/>
        <v>2.9789886391553555E-2</v>
      </c>
      <c r="U600" s="115">
        <f t="shared" si="115"/>
        <v>2.6963615477422209E-3</v>
      </c>
      <c r="V600" s="115">
        <f t="shared" si="118"/>
        <v>7.8697501682416515E-3</v>
      </c>
      <c r="W600" s="116">
        <f t="shared" si="116"/>
        <v>0</v>
      </c>
      <c r="X600" s="115">
        <f t="shared" si="119"/>
        <v>7.1613168364939472E-2</v>
      </c>
      <c r="Y600" s="115">
        <f t="shared" si="120"/>
        <v>0.15840036275203317</v>
      </c>
      <c r="Z600" s="115">
        <f t="shared" si="109"/>
        <v>8.534644169870198E-2</v>
      </c>
      <c r="AA600" s="116">
        <f t="shared" si="121"/>
        <v>-6.0000000000000053E-2</v>
      </c>
      <c r="AB600" s="115">
        <f t="shared" si="110"/>
        <v>-0.67296146574023785</v>
      </c>
      <c r="AC600" s="115">
        <f t="shared" si="111"/>
        <v>0.68065001444221629</v>
      </c>
      <c r="AD600" s="115">
        <f t="shared" si="117"/>
        <v>0.50061305323896477</v>
      </c>
      <c r="AE600" s="235">
        <f t="shared" si="112"/>
        <v>-1.9175000000000002</v>
      </c>
    </row>
    <row r="601" spans="14:31" x14ac:dyDescent="0.2">
      <c r="N601" s="337">
        <v>43008</v>
      </c>
      <c r="O601" s="116">
        <f>INDEX('Additional data'!$B$2:$B$965,MATCH(DATE(YEAR(N601),MONTH(N601),1),'Additional data'!$A$2:$A$965,0))</f>
        <v>49.82</v>
      </c>
      <c r="P601" s="232">
        <f t="shared" si="113"/>
        <v>3.9084165098340344</v>
      </c>
      <c r="Q601" s="232">
        <f>Q600+LN(1+INDEX('Additional data'!$H$2:$H$1196,MATCH(N601,'Additional data'!$G$2:$G$1196,1))+INDEX('Additional data'!$I$2:$I$1196,MATCH(N601,'Additional data'!$G$2:$G$1196,1)))</f>
        <v>4.7741153153686833</v>
      </c>
      <c r="R601" s="232">
        <f>LN(INDEX(Data!$B$2:$B$497,MATCH(N601,Data!$A$2:$A$497,1)))</f>
        <v>10.92341275938483</v>
      </c>
      <c r="S601" s="116">
        <f>INDEX('Additional data'!$E$2:$E$699,MATCH(DATE(YEAR(N601),MONTH(N601),1),'Additional data'!$D$2:$D$699,0))</f>
        <v>1.72</v>
      </c>
      <c r="T601" s="115">
        <f t="shared" si="114"/>
        <v>3.6382512622251451E-2</v>
      </c>
      <c r="U601" s="115">
        <f t="shared" si="115"/>
        <v>2.5472795973031204E-2</v>
      </c>
      <c r="V601" s="115">
        <f t="shared" si="118"/>
        <v>5.1551085441126077E-4</v>
      </c>
      <c r="W601" s="116">
        <f t="shared" si="116"/>
        <v>2.0000000000000018E-2</v>
      </c>
      <c r="X601" s="115">
        <f t="shared" si="119"/>
        <v>9.7761998794177352E-2</v>
      </c>
      <c r="Y601" s="115">
        <f t="shared" si="120"/>
        <v>0.18097735561303896</v>
      </c>
      <c r="Z601" s="115">
        <f t="shared" si="109"/>
        <v>8.1866272390000105E-2</v>
      </c>
      <c r="AA601" s="116">
        <f t="shared" si="121"/>
        <v>-1.0000000000000009E-2</v>
      </c>
      <c r="AB601" s="115">
        <f t="shared" si="110"/>
        <v>-0.64250866130166084</v>
      </c>
      <c r="AC601" s="115">
        <f t="shared" si="111"/>
        <v>0.67909147136421666</v>
      </c>
      <c r="AD601" s="115">
        <f t="shared" si="117"/>
        <v>0.48006816105082883</v>
      </c>
      <c r="AE601" s="235">
        <f t="shared" si="112"/>
        <v>-1.7700000000000002</v>
      </c>
    </row>
    <row r="602" spans="14:31" x14ac:dyDescent="0.2">
      <c r="N602" s="337">
        <v>43039</v>
      </c>
      <c r="O602" s="116">
        <f>INDEX('Additional data'!$B$2:$B$965,MATCH(DATE(YEAR(N602),MONTH(N602),1),'Additional data'!$A$2:$A$965,0))</f>
        <v>51.58</v>
      </c>
      <c r="P602" s="232">
        <f t="shared" si="113"/>
        <v>3.9431340004531985</v>
      </c>
      <c r="Q602" s="232">
        <f>Q601+LN(1+INDEX('Additional data'!$H$2:$H$1196,MATCH(N602,'Additional data'!$G$2:$G$1196,1))+INDEX('Additional data'!$I$2:$I$1196,MATCH(N602,'Additional data'!$G$2:$G$1196,1)))</f>
        <v>4.7973434414878904</v>
      </c>
      <c r="R602" s="232">
        <f>LN(INDEX(Data!$B$2:$B$497,MATCH(N602,Data!$A$2:$A$497,1)))</f>
        <v>10.963235284841474</v>
      </c>
      <c r="S602" s="116">
        <f>INDEX('Additional data'!$E$2:$E$699,MATCH(DATE(YEAR(N602),MONTH(N602),1),'Additional data'!$D$2:$D$699,0))</f>
        <v>1.7</v>
      </c>
      <c r="T602" s="115">
        <f t="shared" si="114"/>
        <v>3.4717490619164071E-2</v>
      </c>
      <c r="U602" s="115">
        <f t="shared" si="115"/>
        <v>2.3228126119207104E-2</v>
      </c>
      <c r="V602" s="115">
        <f t="shared" si="118"/>
        <v>3.9822525456644442E-2</v>
      </c>
      <c r="W602" s="116">
        <f t="shared" si="116"/>
        <v>-2.0000000000000018E-2</v>
      </c>
      <c r="X602" s="115">
        <f t="shared" si="119"/>
        <v>3.5520703513752583E-2</v>
      </c>
      <c r="Y602" s="115">
        <f t="shared" si="120"/>
        <v>0.2243061534392492</v>
      </c>
      <c r="Z602" s="115">
        <f t="shared" si="109"/>
        <v>0.14369460165232972</v>
      </c>
      <c r="AA602" s="116">
        <f t="shared" si="121"/>
        <v>-4.0000000000000036E-2</v>
      </c>
      <c r="AB602" s="115">
        <f t="shared" si="110"/>
        <v>-0.55188644203390558</v>
      </c>
      <c r="AC602" s="115">
        <f t="shared" si="111"/>
        <v>0.71997453272214429</v>
      </c>
      <c r="AD602" s="115">
        <f t="shared" si="117"/>
        <v>0.49066627846487165</v>
      </c>
      <c r="AE602" s="235">
        <f t="shared" si="112"/>
        <v>-1.4625000000000001</v>
      </c>
    </row>
    <row r="603" spans="14:31" x14ac:dyDescent="0.2">
      <c r="N603" s="337">
        <v>43069</v>
      </c>
      <c r="O603" s="116">
        <f>INDEX('Additional data'!$B$2:$B$965,MATCH(DATE(YEAR(N603),MONTH(N603),1),'Additional data'!$A$2:$A$965,0))</f>
        <v>56.64</v>
      </c>
      <c r="P603" s="232">
        <f t="shared" si="113"/>
        <v>4.036715449385464</v>
      </c>
      <c r="Q603" s="232">
        <f>Q602+LN(1+INDEX('Additional data'!$H$2:$H$1196,MATCH(N603,'Additional data'!$G$2:$G$1196,1))+INDEX('Additional data'!$I$2:$I$1196,MATCH(N603,'Additional data'!$G$2:$G$1196,1)))</f>
        <v>4.8288421085472608</v>
      </c>
      <c r="R603" s="232">
        <f>LN(INDEX(Data!$B$2:$B$497,MATCH(N603,Data!$A$2:$A$497,1)))</f>
        <v>10.982126662562758</v>
      </c>
      <c r="S603" s="116">
        <f>INDEX('Additional data'!$E$2:$E$699,MATCH(DATE(YEAR(N603),MONTH(N603),1),'Additional data'!$D$2:$D$699,0))</f>
        <v>1.72</v>
      </c>
      <c r="T603" s="115">
        <f t="shared" si="114"/>
        <v>9.3581448932265499E-2</v>
      </c>
      <c r="U603" s="115">
        <f t="shared" si="115"/>
        <v>3.1498667059370433E-2</v>
      </c>
      <c r="V603" s="115">
        <f t="shared" si="118"/>
        <v>1.8891377721283575E-2</v>
      </c>
      <c r="W603" s="116">
        <f t="shared" si="116"/>
        <v>2.0000000000000018E-2</v>
      </c>
      <c r="X603" s="115">
        <f t="shared" si="119"/>
        <v>0.21549280828381479</v>
      </c>
      <c r="Y603" s="115">
        <f t="shared" si="120"/>
        <v>0.20825351864039732</v>
      </c>
      <c r="Z603" s="115">
        <f t="shared" si="109"/>
        <v>0.13829981705687899</v>
      </c>
      <c r="AA603" s="116">
        <f t="shared" si="121"/>
        <v>-4.0000000000000036E-2</v>
      </c>
      <c r="AB603" s="115">
        <f t="shared" si="110"/>
        <v>-0.42527696692629924</v>
      </c>
      <c r="AC603" s="115">
        <f t="shared" si="111"/>
        <v>0.74360424140281989</v>
      </c>
      <c r="AD603" s="115">
        <f t="shared" si="117"/>
        <v>0.50690965534031029</v>
      </c>
      <c r="AE603" s="235">
        <f t="shared" si="112"/>
        <v>-1.5225000000000002</v>
      </c>
    </row>
    <row r="604" spans="14:31" x14ac:dyDescent="0.2">
      <c r="N604" s="337">
        <v>43100</v>
      </c>
      <c r="O604" s="116">
        <f>INDEX('Additional data'!$B$2:$B$965,MATCH(DATE(YEAR(N604),MONTH(N604),1),'Additional data'!$A$2:$A$965,0))</f>
        <v>57.88</v>
      </c>
      <c r="P604" s="232">
        <f t="shared" si="113"/>
        <v>4.0583719017632829</v>
      </c>
      <c r="Q604" s="232">
        <f>Q603+LN(1+INDEX('Additional data'!$H$2:$H$1196,MATCH(N604,'Additional data'!$G$2:$G$1196,1))+INDEX('Additional data'!$I$2:$I$1196,MATCH(N604,'Additional data'!$G$2:$G$1196,1)))</f>
        <v>4.8402764861729235</v>
      </c>
      <c r="R604" s="232">
        <f>LN(INDEX(Data!$B$2:$B$497,MATCH(N604,Data!$A$2:$A$497,1)))</f>
        <v>11.002229405302554</v>
      </c>
      <c r="S604" s="116">
        <f>INDEX('Additional data'!$E$2:$E$699,MATCH(DATE(YEAR(N604),MONTH(N604),1),'Additional data'!$D$2:$D$699,0))</f>
        <v>1.77</v>
      </c>
      <c r="T604" s="115">
        <f t="shared" si="114"/>
        <v>2.165645237781888E-2</v>
      </c>
      <c r="U604" s="115">
        <f t="shared" si="115"/>
        <v>1.1434377625662684E-2</v>
      </c>
      <c r="V604" s="115">
        <f t="shared" si="118"/>
        <v>2.0102742739796398E-2</v>
      </c>
      <c r="W604" s="116">
        <f t="shared" si="116"/>
        <v>5.0000000000000044E-2</v>
      </c>
      <c r="X604" s="115">
        <f t="shared" si="119"/>
        <v>0.1077052727429324</v>
      </c>
      <c r="Y604" s="115">
        <f t="shared" si="120"/>
        <v>0.20145512800500054</v>
      </c>
      <c r="Z604" s="115">
        <f t="shared" ref="Z604:Z667" si="122">R604-R592</f>
        <v>0.11752565142716165</v>
      </c>
      <c r="AA604" s="116">
        <f t="shared" si="121"/>
        <v>-1.0000000000000009E-2</v>
      </c>
      <c r="AB604" s="115">
        <f t="shared" si="110"/>
        <v>-0.42180179405012286</v>
      </c>
      <c r="AC604" s="115">
        <f t="shared" si="111"/>
        <v>0.74320886727490532</v>
      </c>
      <c r="AD604" s="115">
        <f t="shared" si="117"/>
        <v>0.49326185580341075</v>
      </c>
      <c r="AE604" s="235">
        <f t="shared" si="112"/>
        <v>-1.3424999999999998</v>
      </c>
    </row>
    <row r="605" spans="14:31" x14ac:dyDescent="0.2">
      <c r="N605" s="337">
        <v>43131</v>
      </c>
      <c r="O605" s="116">
        <f>INDEX('Additional data'!$B$2:$B$965,MATCH(DATE(YEAR(N605),MONTH(N605),1),'Additional data'!$A$2:$A$965,0))</f>
        <v>63.7</v>
      </c>
      <c r="P605" s="232">
        <f t="shared" si="113"/>
        <v>4.1541845625781173</v>
      </c>
      <c r="Q605" s="232">
        <f>Q604+LN(1+INDEX('Additional data'!$H$2:$H$1196,MATCH(N605,'Additional data'!$G$2:$G$1196,1))+INDEX('Additional data'!$I$2:$I$1196,MATCH(N605,'Additional data'!$G$2:$G$1196,1)))</f>
        <v>4.8956165812060881</v>
      </c>
      <c r="R605" s="232">
        <f>LN(INDEX(Data!$B$2:$B$497,MATCH(N605,Data!$A$2:$A$497,1)))</f>
        <v>10.998914605881382</v>
      </c>
      <c r="S605" s="116">
        <f>INDEX('Additional data'!$E$2:$E$699,MATCH(DATE(YEAR(N605),MONTH(N605),1),'Additional data'!$D$2:$D$699,0))</f>
        <v>1.79</v>
      </c>
      <c r="T605" s="115">
        <f t="shared" si="114"/>
        <v>9.5812660814834416E-2</v>
      </c>
      <c r="U605" s="115">
        <f t="shared" si="115"/>
        <v>5.5340095033164616E-2</v>
      </c>
      <c r="V605" s="115">
        <f t="shared" si="118"/>
        <v>-3.3147994211724097E-3</v>
      </c>
      <c r="W605" s="116">
        <f t="shared" si="116"/>
        <v>2.0000000000000018E-2</v>
      </c>
      <c r="X605" s="115">
        <f t="shared" si="119"/>
        <v>0.19337139298053918</v>
      </c>
      <c r="Y605" s="115">
        <f t="shared" si="120"/>
        <v>0.23718869339924709</v>
      </c>
      <c r="Z605" s="115">
        <f t="shared" si="122"/>
        <v>0.12189548561003249</v>
      </c>
      <c r="AA605" s="116">
        <f t="shared" si="121"/>
        <v>1.0000000000000009E-2</v>
      </c>
      <c r="AB605" s="115">
        <f t="shared" si="110"/>
        <v>-0.39642383541729131</v>
      </c>
      <c r="AC605" s="115">
        <f t="shared" si="111"/>
        <v>0.74434490829455768</v>
      </c>
      <c r="AD605" s="115">
        <f t="shared" si="117"/>
        <v>0.44039844584973054</v>
      </c>
      <c r="AE605" s="235">
        <f t="shared" si="112"/>
        <v>-1.21</v>
      </c>
    </row>
    <row r="606" spans="14:31" x14ac:dyDescent="0.2">
      <c r="N606" s="337">
        <v>43159</v>
      </c>
      <c r="O606" s="116">
        <f>INDEX('Additional data'!$B$2:$B$965,MATCH(DATE(YEAR(N606),MONTH(N606),1),'Additional data'!$A$2:$A$965,0))</f>
        <v>62.23</v>
      </c>
      <c r="P606" s="232">
        <f t="shared" si="113"/>
        <v>4.1308371985811263</v>
      </c>
      <c r="Q606" s="232">
        <f>Q605+LN(1+INDEX('Additional data'!$H$2:$H$1196,MATCH(N606,'Additional data'!$G$2:$G$1196,1))+INDEX('Additional data'!$I$2:$I$1196,MATCH(N606,'Additional data'!$G$2:$G$1196,1)))</f>
        <v>4.8596784744004591</v>
      </c>
      <c r="R606" s="232">
        <f>LN(INDEX(Data!$B$2:$B$497,MATCH(N606,Data!$A$2:$A$497,1)))</f>
        <v>11.0006990563108</v>
      </c>
      <c r="S606" s="116">
        <f>INDEX('Additional data'!$E$2:$E$699,MATCH(DATE(YEAR(N606),MONTH(N606),1),'Additional data'!$D$2:$D$699,0))</f>
        <v>1.77</v>
      </c>
      <c r="T606" s="115">
        <f t="shared" si="114"/>
        <v>-2.3347363996991E-2</v>
      </c>
      <c r="U606" s="115">
        <f t="shared" si="115"/>
        <v>-3.5938106805629033E-2</v>
      </c>
      <c r="V606" s="115">
        <f t="shared" si="118"/>
        <v>1.7844504294188823E-3</v>
      </c>
      <c r="W606" s="116">
        <f t="shared" si="116"/>
        <v>-2.0000000000000018E-2</v>
      </c>
      <c r="X606" s="115">
        <f t="shared" si="119"/>
        <v>0.15171644962048614</v>
      </c>
      <c r="Y606" s="115">
        <f t="shared" si="120"/>
        <v>0.16597997251169883</v>
      </c>
      <c r="Z606" s="115">
        <f t="shared" si="122"/>
        <v>0.10300749580419755</v>
      </c>
      <c r="AA606" s="116">
        <f t="shared" si="121"/>
        <v>-1.0000000000000009E-2</v>
      </c>
      <c r="AB606" s="115">
        <f t="shared" si="110"/>
        <v>-0.42640245364941531</v>
      </c>
      <c r="AC606" s="115">
        <f t="shared" si="111"/>
        <v>0.69568802908115401</v>
      </c>
      <c r="AD606" s="115">
        <f t="shared" si="117"/>
        <v>0.39170944998997648</v>
      </c>
      <c r="AE606" s="235">
        <f t="shared" si="112"/>
        <v>-1.17</v>
      </c>
    </row>
    <row r="607" spans="14:31" x14ac:dyDescent="0.2">
      <c r="N607" s="337">
        <v>43190</v>
      </c>
      <c r="O607" s="116">
        <f>INDEX('Additional data'!$B$2:$B$965,MATCH(DATE(YEAR(N607),MONTH(N607),1),'Additional data'!$A$2:$A$965,0))</f>
        <v>62.73</v>
      </c>
      <c r="P607" s="232">
        <f t="shared" si="113"/>
        <v>4.1388398021086514</v>
      </c>
      <c r="Q607" s="232">
        <f>Q606+LN(1+INDEX('Additional data'!$H$2:$H$1196,MATCH(N607,'Additional data'!$G$2:$G$1196,1))+INDEX('Additional data'!$I$2:$I$1196,MATCH(N607,'Additional data'!$G$2:$G$1196,1)))</f>
        <v>4.8371260699299476</v>
      </c>
      <c r="R607" s="232">
        <f>LN(INDEX(Data!$B$2:$B$497,MATCH(N607,Data!$A$2:$A$497,1)))</f>
        <v>10.964595398306036</v>
      </c>
      <c r="S607" s="116">
        <f>INDEX('Additional data'!$E$2:$E$699,MATCH(DATE(YEAR(N607),MONTH(N607),1),'Additional data'!$D$2:$D$699,0))</f>
        <v>1.93</v>
      </c>
      <c r="T607" s="115">
        <f t="shared" si="114"/>
        <v>8.0026035275251317E-3</v>
      </c>
      <c r="U607" s="115">
        <f t="shared" si="115"/>
        <v>-2.2552404470511433E-2</v>
      </c>
      <c r="V607" s="115">
        <f t="shared" si="118"/>
        <v>-3.6103658004764227E-2</v>
      </c>
      <c r="W607" s="116">
        <f t="shared" si="116"/>
        <v>0.15999999999999992</v>
      </c>
      <c r="X607" s="115">
        <f t="shared" si="119"/>
        <v>0.24030738686300479</v>
      </c>
      <c r="Y607" s="115">
        <f t="shared" si="120"/>
        <v>0.14142956537851425</v>
      </c>
      <c r="Z607" s="115">
        <f t="shared" si="122"/>
        <v>3.5828488064032271E-2</v>
      </c>
      <c r="AA607" s="116">
        <f t="shared" si="121"/>
        <v>0.1399999999999999</v>
      </c>
      <c r="AB607" s="115">
        <f t="shared" si="110"/>
        <v>-0.39429718097960809</v>
      </c>
      <c r="AC607" s="115">
        <f t="shared" si="111"/>
        <v>0.63353037001828305</v>
      </c>
      <c r="AD607" s="115">
        <f t="shared" si="117"/>
        <v>0.3782565476934554</v>
      </c>
      <c r="AE607" s="235">
        <f t="shared" si="112"/>
        <v>-1.1199999999999999</v>
      </c>
    </row>
    <row r="608" spans="14:31" x14ac:dyDescent="0.2">
      <c r="N608" s="337">
        <v>43220</v>
      </c>
      <c r="O608" s="116">
        <f>INDEX('Additional data'!$B$2:$B$965,MATCH(DATE(YEAR(N608),MONTH(N608),1),'Additional data'!$A$2:$A$965,0))</f>
        <v>66.25</v>
      </c>
      <c r="P608" s="232">
        <f t="shared" si="113"/>
        <v>4.1934354648663312</v>
      </c>
      <c r="Q608" s="232">
        <f>Q607+LN(1+INDEX('Additional data'!$H$2:$H$1196,MATCH(N608,'Additional data'!$G$2:$G$1196,1))+INDEX('Additional data'!$I$2:$I$1196,MATCH(N608,'Additional data'!$G$2:$G$1196,1)))</f>
        <v>4.8412176878332014</v>
      </c>
      <c r="R608" s="232">
        <f>LN(INDEX(Data!$B$2:$B$497,MATCH(N608,Data!$A$2:$A$497,1)))</f>
        <v>10.998929079045965</v>
      </c>
      <c r="S608" s="116">
        <f>INDEX('Additional data'!$E$2:$E$699,MATCH(DATE(YEAR(N608),MONTH(N608),1),'Additional data'!$D$2:$D$699,0))</f>
        <v>2.06</v>
      </c>
      <c r="T608" s="115">
        <f t="shared" si="114"/>
        <v>5.4595662757679797E-2</v>
      </c>
      <c r="U608" s="115">
        <f t="shared" si="115"/>
        <v>4.0916179032537414E-3</v>
      </c>
      <c r="V608" s="115">
        <f t="shared" si="118"/>
        <v>3.4333680739928596E-2</v>
      </c>
      <c r="W608" s="116">
        <f t="shared" si="116"/>
        <v>0.13000000000000012</v>
      </c>
      <c r="X608" s="115">
        <f t="shared" si="119"/>
        <v>0.26043405305299361</v>
      </c>
      <c r="Y608" s="115">
        <f t="shared" si="120"/>
        <v>0.13428455135578066</v>
      </c>
      <c r="Z608" s="115">
        <f t="shared" si="122"/>
        <v>6.2399413763115419E-2</v>
      </c>
      <c r="AA608" s="116">
        <f t="shared" si="121"/>
        <v>0.29000000000000004</v>
      </c>
      <c r="AB608" s="115">
        <f t="shared" si="110"/>
        <v>-0.32911369243342303</v>
      </c>
      <c r="AC608" s="115">
        <f t="shared" si="111"/>
        <v>0.62214241707315043</v>
      </c>
      <c r="AD608" s="115">
        <f t="shared" si="117"/>
        <v>0.37509658323042139</v>
      </c>
      <c r="AE608" s="235">
        <f t="shared" si="112"/>
        <v>-0.96</v>
      </c>
    </row>
    <row r="609" spans="14:31" x14ac:dyDescent="0.2">
      <c r="N609" s="337">
        <v>43251</v>
      </c>
      <c r="O609" s="116">
        <f>INDEX('Additional data'!$B$2:$B$965,MATCH(DATE(YEAR(N609),MONTH(N609),1),'Additional data'!$A$2:$A$965,0))</f>
        <v>69.98</v>
      </c>
      <c r="P609" s="232">
        <f t="shared" si="113"/>
        <v>4.2482094869395421</v>
      </c>
      <c r="Q609" s="232">
        <f>Q608+LN(1+INDEX('Additional data'!$H$2:$H$1196,MATCH(N609,'Additional data'!$G$2:$G$1196,1))+INDEX('Additional data'!$I$2:$I$1196,MATCH(N609,'Additional data'!$G$2:$G$1196,1)))</f>
        <v>4.8688328548661746</v>
      </c>
      <c r="R609" s="232">
        <f>LN(INDEX(Data!$B$2:$B$497,MATCH(N609,Data!$A$2:$A$497,1)))</f>
        <v>11.012825885801362</v>
      </c>
      <c r="S609" s="116">
        <f>INDEX('Additional data'!$E$2:$E$699,MATCH(DATE(YEAR(N609),MONTH(N609),1),'Additional data'!$D$2:$D$699,0))</f>
        <v>1.96</v>
      </c>
      <c r="T609" s="115">
        <f t="shared" si="114"/>
        <v>5.4774022073210915E-2</v>
      </c>
      <c r="U609" s="115">
        <f t="shared" si="115"/>
        <v>2.7615167032973176E-2</v>
      </c>
      <c r="V609" s="115">
        <f t="shared" si="118"/>
        <v>1.3896806755397506E-2</v>
      </c>
      <c r="W609" s="116">
        <f t="shared" si="116"/>
        <v>-0.10000000000000009</v>
      </c>
      <c r="X609" s="115">
        <f t="shared" si="119"/>
        <v>0.36705814517848312</v>
      </c>
      <c r="Y609" s="115">
        <f t="shared" si="120"/>
        <v>0.15066308646276649</v>
      </c>
      <c r="Z609" s="115">
        <f t="shared" si="122"/>
        <v>0.10243136646047546</v>
      </c>
      <c r="AA609" s="116">
        <f t="shared" si="121"/>
        <v>0.22999999999999998</v>
      </c>
      <c r="AB609" s="115">
        <f t="shared" si="110"/>
        <v>-0.30355992232143425</v>
      </c>
      <c r="AC609" s="115">
        <f t="shared" si="111"/>
        <v>0.62214241707315043</v>
      </c>
      <c r="AD609" s="115">
        <f t="shared" si="117"/>
        <v>0.43383963264577652</v>
      </c>
      <c r="AE609" s="235">
        <f t="shared" si="112"/>
        <v>-0.85999999999999988</v>
      </c>
    </row>
    <row r="610" spans="14:31" x14ac:dyDescent="0.2">
      <c r="N610" s="337">
        <v>43281</v>
      </c>
      <c r="O610" s="116">
        <f>INDEX('Additional data'!$B$2:$B$965,MATCH(DATE(YEAR(N610),MONTH(N610),1),'Additional data'!$A$2:$A$965,0))</f>
        <v>67.87</v>
      </c>
      <c r="P610" s="232">
        <f t="shared" si="113"/>
        <v>4.2175941107156669</v>
      </c>
      <c r="Q610" s="232">
        <f>Q609+LN(1+INDEX('Additional data'!$H$2:$H$1196,MATCH(N610,'Additional data'!$G$2:$G$1196,1))+INDEX('Additional data'!$I$2:$I$1196,MATCH(N610,'Additional data'!$G$2:$G$1196,1)))</f>
        <v>4.8751130928233248</v>
      </c>
      <c r="R610" s="232">
        <f>LN(INDEX(Data!$B$2:$B$497,MATCH(N610,Data!$A$2:$A$497,1)))</f>
        <v>11.041879735157709</v>
      </c>
      <c r="S610" s="116">
        <f>INDEX('Additional data'!$E$2:$E$699,MATCH(DATE(YEAR(N610),MONTH(N610),1),'Additional data'!$D$2:$D$699,0))</f>
        <v>2.0699999999999998</v>
      </c>
      <c r="T610" s="115">
        <f t="shared" si="114"/>
        <v>-3.0615376223875224E-2</v>
      </c>
      <c r="U610" s="115">
        <f t="shared" si="115"/>
        <v>6.2802379571502698E-3</v>
      </c>
      <c r="V610" s="115">
        <f t="shared" si="118"/>
        <v>2.9053849356346362E-2</v>
      </c>
      <c r="W610" s="116">
        <f t="shared" si="116"/>
        <v>0.10999999999999988</v>
      </c>
      <c r="X610" s="115">
        <f t="shared" si="119"/>
        <v>0.40693959967580984</v>
      </c>
      <c r="Y610" s="115">
        <f t="shared" si="120"/>
        <v>0.1484792460077875</v>
      </c>
      <c r="Z610" s="115">
        <f t="shared" si="122"/>
        <v>0.12866371043807412</v>
      </c>
      <c r="AA610" s="116">
        <f t="shared" si="121"/>
        <v>0.34999999999999987</v>
      </c>
      <c r="AB610" s="115">
        <f t="shared" si="110"/>
        <v>-0.3446685742611475</v>
      </c>
      <c r="AC610" s="115">
        <f t="shared" si="111"/>
        <v>0.64049523626457017</v>
      </c>
      <c r="AD610" s="115">
        <f t="shared" si="117"/>
        <v>0.48944975303908578</v>
      </c>
      <c r="AE610" s="235">
        <f t="shared" si="112"/>
        <v>-0.73</v>
      </c>
    </row>
    <row r="611" spans="14:31" x14ac:dyDescent="0.2">
      <c r="N611" s="337">
        <v>43312</v>
      </c>
      <c r="O611" s="116">
        <f>INDEX('Additional data'!$B$2:$B$965,MATCH(DATE(YEAR(N611),MONTH(N611),1),'Additional data'!$A$2:$A$965,0))</f>
        <v>70.98</v>
      </c>
      <c r="P611" s="232">
        <f t="shared" si="113"/>
        <v>4.2623981472183505</v>
      </c>
      <c r="Q611" s="232">
        <f>Q610+LN(1+INDEX('Additional data'!$H$2:$H$1196,MATCH(N611,'Additional data'!$G$2:$G$1196,1))+INDEX('Additional data'!$I$2:$I$1196,MATCH(N611,'Additional data'!$G$2:$G$1196,1)))</f>
        <v>4.9081609468695255</v>
      </c>
      <c r="R611" s="232">
        <f>LN(INDEX(Data!$B$2:$B$497,MATCH(N611,Data!$A$2:$A$497,1)))</f>
        <v>11.054039670943412</v>
      </c>
      <c r="S611" s="116">
        <f>INDEX('Additional data'!$E$2:$E$699,MATCH(DATE(YEAR(N611),MONTH(N611),1),'Additional data'!$D$2:$D$699,0))</f>
        <v>2.02</v>
      </c>
      <c r="T611" s="115">
        <f t="shared" si="114"/>
        <v>4.4804036502683608E-2</v>
      </c>
      <c r="U611" s="115">
        <f t="shared" si="115"/>
        <v>3.3047854046200698E-2</v>
      </c>
      <c r="V611" s="115">
        <f t="shared" si="118"/>
        <v>1.2159935785703624E-2</v>
      </c>
      <c r="W611" s="116">
        <f t="shared" si="116"/>
        <v>-4.9999999999999822E-2</v>
      </c>
      <c r="X611" s="115">
        <f t="shared" si="119"/>
        <v>0.4201540363981211</v>
      </c>
      <c r="Y611" s="115">
        <f t="shared" si="120"/>
        <v>0.16221478902161568</v>
      </c>
      <c r="Z611" s="115">
        <f t="shared" si="122"/>
        <v>0.13901217258123566</v>
      </c>
      <c r="AA611" s="116">
        <f t="shared" si="121"/>
        <v>0.32000000000000006</v>
      </c>
      <c r="AB611" s="115">
        <f t="shared" si="110"/>
        <v>-0.38784100213731865</v>
      </c>
      <c r="AC611" s="115">
        <f t="shared" si="111"/>
        <v>0.61858153223679668</v>
      </c>
      <c r="AD611" s="115">
        <f t="shared" si="117"/>
        <v>0.4484370842698322</v>
      </c>
      <c r="AE611" s="235">
        <f t="shared" si="112"/>
        <v>-0.73999999999999977</v>
      </c>
    </row>
    <row r="612" spans="14:31" x14ac:dyDescent="0.2">
      <c r="N612" s="337">
        <v>43343</v>
      </c>
      <c r="O612" s="116">
        <f>INDEX('Additional data'!$B$2:$B$965,MATCH(DATE(YEAR(N612),MONTH(N612),1),'Additional data'!$A$2:$A$965,0))</f>
        <v>68.06</v>
      </c>
      <c r="P612" s="232">
        <f t="shared" si="113"/>
        <v>4.2203896690727598</v>
      </c>
      <c r="Q612" s="232">
        <f>Q611+LN(1+INDEX('Additional data'!$H$2:$H$1196,MATCH(N612,'Additional data'!$G$2:$G$1196,1))+INDEX('Additional data'!$I$2:$I$1196,MATCH(N612,'Additional data'!$G$2:$G$1196,1)))</f>
        <v>4.9436246111450943</v>
      </c>
      <c r="R612" s="232">
        <f>LN(INDEX(Data!$B$2:$B$497,MATCH(N612,Data!$A$2:$A$497,1)))</f>
        <v>11.070986258746533</v>
      </c>
      <c r="S612" s="116">
        <f>INDEX('Additional data'!$E$2:$E$699,MATCH(DATE(YEAR(N612),MONTH(N612),1),'Additional data'!$D$2:$D$699,0))</f>
        <v>1.96</v>
      </c>
      <c r="T612" s="115">
        <f t="shared" si="114"/>
        <v>-4.2008478145590722E-2</v>
      </c>
      <c r="U612" s="115">
        <f t="shared" si="115"/>
        <v>3.5463664275568796E-2</v>
      </c>
      <c r="V612" s="115">
        <f t="shared" si="118"/>
        <v>1.694658780312075E-2</v>
      </c>
      <c r="W612" s="116">
        <f t="shared" si="116"/>
        <v>-6.0000000000000053E-2</v>
      </c>
      <c r="X612" s="115">
        <f t="shared" si="119"/>
        <v>0.34835567186097682</v>
      </c>
      <c r="Y612" s="115">
        <f t="shared" si="120"/>
        <v>0.19498209174944225</v>
      </c>
      <c r="Z612" s="115">
        <f t="shared" si="122"/>
        <v>0.14808901021611476</v>
      </c>
      <c r="AA612" s="116">
        <f t="shared" si="121"/>
        <v>0.26</v>
      </c>
      <c r="AB612" s="115">
        <f t="shared" si="110"/>
        <v>-0.44841237716010518</v>
      </c>
      <c r="AC612" s="115">
        <f t="shared" si="111"/>
        <v>0.68151917351312097</v>
      </c>
      <c r="AD612" s="115">
        <f t="shared" si="117"/>
        <v>0.43979102449235974</v>
      </c>
      <c r="AE612" s="235">
        <f t="shared" si="112"/>
        <v>-0.64000000000000012</v>
      </c>
    </row>
    <row r="613" spans="14:31" x14ac:dyDescent="0.2">
      <c r="N613" s="337">
        <v>43373</v>
      </c>
      <c r="O613" s="116">
        <f>INDEX('Additional data'!$B$2:$B$965,MATCH(DATE(YEAR(N613),MONTH(N613),1),'Additional data'!$A$2:$A$965,0))</f>
        <v>70.23</v>
      </c>
      <c r="P613" s="232">
        <f t="shared" si="113"/>
        <v>4.2517755701709294</v>
      </c>
      <c r="Q613" s="232">
        <f>Q612+LN(1+INDEX('Additional data'!$H$2:$H$1196,MATCH(N613,'Additional data'!$G$2:$G$1196,1))+INDEX('Additional data'!$I$2:$I$1196,MATCH(N613,'Additional data'!$G$2:$G$1196,1)))</f>
        <v>4.9457224092272405</v>
      </c>
      <c r="R613" s="232">
        <f>LN(INDEX(Data!$B$2:$B$497,MATCH(N613,Data!$A$2:$A$497,1)))</f>
        <v>11.060354965197257</v>
      </c>
      <c r="S613" s="116">
        <f>INDEX('Additional data'!$E$2:$E$699,MATCH(DATE(YEAR(N613),MONTH(N613),1),'Additional data'!$D$2:$D$699,0))</f>
        <v>1.93</v>
      </c>
      <c r="T613" s="115">
        <f t="shared" si="114"/>
        <v>3.1385901098169633E-2</v>
      </c>
      <c r="U613" s="115">
        <f t="shared" si="115"/>
        <v>2.0977980821461628E-3</v>
      </c>
      <c r="V613" s="115">
        <f t="shared" si="118"/>
        <v>-1.0631293549275611E-2</v>
      </c>
      <c r="W613" s="116">
        <f t="shared" si="116"/>
        <v>-3.0000000000000027E-2</v>
      </c>
      <c r="X613" s="115">
        <f t="shared" si="119"/>
        <v>0.34335906033689501</v>
      </c>
      <c r="Y613" s="115">
        <f t="shared" si="120"/>
        <v>0.17160709385855721</v>
      </c>
      <c r="Z613" s="115">
        <f t="shared" si="122"/>
        <v>0.13694220581242789</v>
      </c>
      <c r="AA613" s="116">
        <f t="shared" si="121"/>
        <v>0.20999999999999996</v>
      </c>
      <c r="AB613" s="115">
        <f t="shared" si="110"/>
        <v>-0.41439563737456098</v>
      </c>
      <c r="AC613" s="115">
        <f t="shared" si="111"/>
        <v>0.64661024596617178</v>
      </c>
      <c r="AD613" s="115">
        <f t="shared" si="117"/>
        <v>0.40557301274027324</v>
      </c>
      <c r="AE613" s="235">
        <f t="shared" si="112"/>
        <v>-0.65000000000000013</v>
      </c>
    </row>
    <row r="614" spans="14:31" x14ac:dyDescent="0.2">
      <c r="N614" s="337">
        <v>43404</v>
      </c>
      <c r="O614" s="116">
        <f>INDEX('Additional data'!$B$2:$B$965,MATCH(DATE(YEAR(N614),MONTH(N614),1),'Additional data'!$A$2:$A$965,0))</f>
        <v>70.75</v>
      </c>
      <c r="P614" s="232">
        <f t="shared" si="113"/>
        <v>4.2591525365233469</v>
      </c>
      <c r="Q614" s="232">
        <f>Q613+LN(1+INDEX('Additional data'!$H$2:$H$1196,MATCH(N614,'Additional data'!$G$2:$G$1196,1))+INDEX('Additional data'!$I$2:$I$1196,MATCH(N614,'Additional data'!$G$2:$G$1196,1)))</f>
        <v>4.8681932067180025</v>
      </c>
      <c r="R614" s="232">
        <f>LN(INDEX(Data!$B$2:$B$497,MATCH(N614,Data!$A$2:$A$497,1)))</f>
        <v>10.993447284702537</v>
      </c>
      <c r="S614" s="116">
        <f>INDEX('Additional data'!$E$2:$E$699,MATCH(DATE(YEAR(N614),MONTH(N614),1),'Additional data'!$D$2:$D$699,0))</f>
        <v>1.93</v>
      </c>
      <c r="T614" s="115">
        <f t="shared" si="114"/>
        <v>7.3769663524174689E-3</v>
      </c>
      <c r="U614" s="115">
        <f t="shared" si="115"/>
        <v>-7.7529202509238004E-2</v>
      </c>
      <c r="V614" s="115">
        <f t="shared" si="118"/>
        <v>-6.6907680494720623E-2</v>
      </c>
      <c r="W614" s="116">
        <f t="shared" si="116"/>
        <v>0</v>
      </c>
      <c r="X614" s="115">
        <f t="shared" si="119"/>
        <v>0.3160185360701484</v>
      </c>
      <c r="Y614" s="115">
        <f t="shared" si="120"/>
        <v>7.0849765230112105E-2</v>
      </c>
      <c r="Z614" s="115">
        <f t="shared" si="122"/>
        <v>3.0211999861062822E-2</v>
      </c>
      <c r="AA614" s="116">
        <f t="shared" si="121"/>
        <v>0.22999999999999998</v>
      </c>
      <c r="AB614" s="115">
        <f t="shared" si="110"/>
        <v>-0.35140312174108246</v>
      </c>
      <c r="AC614" s="115">
        <f t="shared" si="111"/>
        <v>0.52822704944866761</v>
      </c>
      <c r="AD614" s="115">
        <f t="shared" si="117"/>
        <v>0.30027213648568996</v>
      </c>
      <c r="AE614" s="235">
        <f t="shared" si="112"/>
        <v>-0.65000000000000013</v>
      </c>
    </row>
    <row r="615" spans="14:31" x14ac:dyDescent="0.2">
      <c r="N615" s="337">
        <v>43434</v>
      </c>
      <c r="O615" s="116">
        <f>INDEX('Additional data'!$B$2:$B$965,MATCH(DATE(YEAR(N615),MONTH(N615),1),'Additional data'!$A$2:$A$965,0))</f>
        <v>56.96</v>
      </c>
      <c r="P615" s="232">
        <f t="shared" si="113"/>
        <v>4.0423492671037202</v>
      </c>
      <c r="Q615" s="232">
        <f>Q614+LN(1+INDEX('Additional data'!$H$2:$H$1196,MATCH(N615,'Additional data'!$G$2:$G$1196,1))+INDEX('Additional data'!$I$2:$I$1196,MATCH(N615,'Additional data'!$G$2:$G$1196,1)))</f>
        <v>4.8869168207161051</v>
      </c>
      <c r="R615" s="232">
        <f>LN(INDEX(Data!$B$2:$B$497,MATCH(N615,Data!$A$2:$A$497,1)))</f>
        <v>10.970767403022696</v>
      </c>
      <c r="S615" s="116">
        <f>INDEX('Additional data'!$E$2:$E$699,MATCH(DATE(YEAR(N615),MONTH(N615),1),'Additional data'!$D$2:$D$699,0))</f>
        <v>1.94</v>
      </c>
      <c r="T615" s="115">
        <f t="shared" si="114"/>
        <v>-0.21680326941962669</v>
      </c>
      <c r="U615" s="115">
        <f t="shared" si="115"/>
        <v>1.8723613998102628E-2</v>
      </c>
      <c r="V615" s="115">
        <f t="shared" si="118"/>
        <v>-2.2679881679840364E-2</v>
      </c>
      <c r="W615" s="116">
        <f t="shared" si="116"/>
        <v>1.0000000000000009E-2</v>
      </c>
      <c r="X615" s="115">
        <f t="shared" si="119"/>
        <v>5.6338177182562177E-3</v>
      </c>
      <c r="Y615" s="115">
        <f t="shared" si="120"/>
        <v>5.80747121688443E-2</v>
      </c>
      <c r="Z615" s="115">
        <f t="shared" si="122"/>
        <v>-1.1359259540061117E-2</v>
      </c>
      <c r="AA615" s="116">
        <f t="shared" si="121"/>
        <v>0.21999999999999997</v>
      </c>
      <c r="AB615" s="115">
        <f t="shared" si="110"/>
        <v>-0.49945504326255108</v>
      </c>
      <c r="AC615" s="115">
        <f t="shared" si="111"/>
        <v>0.51632446990500913</v>
      </c>
      <c r="AD615" s="115">
        <f t="shared" si="117"/>
        <v>0.29149605030675119</v>
      </c>
      <c r="AE615" s="235">
        <f t="shared" si="112"/>
        <v>-0.64000000000000012</v>
      </c>
    </row>
    <row r="616" spans="14:31" x14ac:dyDescent="0.2">
      <c r="N616" s="337">
        <v>43465</v>
      </c>
      <c r="O616" s="116">
        <f>INDEX('Additional data'!$B$2:$B$965,MATCH(DATE(YEAR(N616),MONTH(N616),1),'Additional data'!$A$2:$A$965,0))</f>
        <v>49.52</v>
      </c>
      <c r="P616" s="232">
        <f t="shared" si="113"/>
        <v>3.9023766283763406</v>
      </c>
      <c r="Q616" s="232">
        <f>Q615+LN(1+INDEX('Additional data'!$H$2:$H$1196,MATCH(N616,'Additional data'!$G$2:$G$1196,1))+INDEX('Additional data'!$I$2:$I$1196,MATCH(N616,'Additional data'!$G$2:$G$1196,1)))</f>
        <v>4.7886422514477642</v>
      </c>
      <c r="R616" s="232">
        <f>LN(INDEX(Data!$B$2:$B$497,MATCH(N616,Data!$A$2:$A$497,1)))</f>
        <v>10.966263916928829</v>
      </c>
      <c r="S616" s="116">
        <f>INDEX('Additional data'!$E$2:$E$699,MATCH(DATE(YEAR(N616),MONTH(N616),1),'Additional data'!$D$2:$D$699,0))</f>
        <v>2.02</v>
      </c>
      <c r="T616" s="115">
        <f t="shared" si="114"/>
        <v>-0.13997263872737964</v>
      </c>
      <c r="U616" s="115">
        <f t="shared" si="115"/>
        <v>-9.8274569268340883E-2</v>
      </c>
      <c r="V616" s="115">
        <f t="shared" si="118"/>
        <v>-4.5034860938670818E-3</v>
      </c>
      <c r="W616" s="116">
        <f t="shared" si="116"/>
        <v>8.0000000000000071E-2</v>
      </c>
      <c r="X616" s="115">
        <f t="shared" si="119"/>
        <v>-0.1559952733869423</v>
      </c>
      <c r="Y616" s="115">
        <f t="shared" si="120"/>
        <v>-5.1634234725159267E-2</v>
      </c>
      <c r="Z616" s="115">
        <f t="shared" si="122"/>
        <v>-3.5965488373724597E-2</v>
      </c>
      <c r="AA616" s="116">
        <f t="shared" si="121"/>
        <v>0.25</v>
      </c>
      <c r="AB616" s="115">
        <f t="shared" si="110"/>
        <v>-0.67880819486123922</v>
      </c>
      <c r="AC616" s="115">
        <f t="shared" si="111"/>
        <v>0.39033746207013209</v>
      </c>
      <c r="AD616" s="115">
        <f t="shared" si="117"/>
        <v>0.27784778911553509</v>
      </c>
      <c r="AE616" s="235">
        <f t="shared" si="112"/>
        <v>-0.58000000000000007</v>
      </c>
    </row>
    <row r="617" spans="14:31" x14ac:dyDescent="0.2">
      <c r="N617" s="337">
        <v>43496</v>
      </c>
      <c r="O617" s="116">
        <f>INDEX('Additional data'!$B$2:$B$965,MATCH(DATE(YEAR(N617),MONTH(N617),1),'Additional data'!$A$2:$A$965,0))</f>
        <v>51.38</v>
      </c>
      <c r="P617" s="232">
        <f t="shared" si="113"/>
        <v>3.9392489916817377</v>
      </c>
      <c r="Q617" s="232">
        <f>Q616+LN(1+INDEX('Additional data'!$H$2:$H$1196,MATCH(N617,'Additional data'!$G$2:$G$1196,1))+INDEX('Additional data'!$I$2:$I$1196,MATCH(N617,'Additional data'!$G$2:$G$1196,1)))</f>
        <v>4.8709592939369779</v>
      </c>
      <c r="R617" s="232">
        <f>LN(INDEX(Data!$B$2:$B$497,MATCH(N617,Data!$A$2:$A$497,1)))</f>
        <v>11.005419405520621</v>
      </c>
      <c r="S617" s="116">
        <f>INDEX('Additional data'!$E$2:$E$699,MATCH(DATE(YEAR(N617),MONTH(N617),1),'Additional data'!$D$2:$D$699,0))</f>
        <v>2.0699999999999998</v>
      </c>
      <c r="T617" s="115">
        <f t="shared" si="114"/>
        <v>3.6872363305397116E-2</v>
      </c>
      <c r="U617" s="115">
        <f t="shared" si="115"/>
        <v>8.2317042489213677E-2</v>
      </c>
      <c r="V617" s="115">
        <f t="shared" si="118"/>
        <v>3.9155488591791965E-2</v>
      </c>
      <c r="W617" s="116">
        <f t="shared" si="116"/>
        <v>4.9999999999999822E-2</v>
      </c>
      <c r="X617" s="115">
        <f t="shared" si="119"/>
        <v>-0.2149355708963796</v>
      </c>
      <c r="Y617" s="115">
        <f t="shared" si="120"/>
        <v>-2.4657287269110206E-2</v>
      </c>
      <c r="Z617" s="115">
        <f t="shared" si="122"/>
        <v>6.5047996392397778E-3</v>
      </c>
      <c r="AA617" s="116">
        <f t="shared" si="121"/>
        <v>0.2799999999999998</v>
      </c>
      <c r="AB617" s="115">
        <f t="shared" si="110"/>
        <v>-0.61061987852126443</v>
      </c>
      <c r="AC617" s="115">
        <f t="shared" si="111"/>
        <v>0.50641813471215524</v>
      </c>
      <c r="AD617" s="115">
        <f t="shared" si="117"/>
        <v>0.34500042410170728</v>
      </c>
      <c r="AE617" s="235">
        <f t="shared" si="112"/>
        <v>-0.55000000000000027</v>
      </c>
    </row>
    <row r="618" spans="14:31" x14ac:dyDescent="0.2">
      <c r="N618" s="337">
        <v>43524</v>
      </c>
      <c r="O618" s="116">
        <f>INDEX('Additional data'!$B$2:$B$965,MATCH(DATE(YEAR(N618),MONTH(N618),1),'Additional data'!$A$2:$A$965,0))</f>
        <v>54.95</v>
      </c>
      <c r="P618" s="232">
        <f t="shared" si="113"/>
        <v>4.0064236808496307</v>
      </c>
      <c r="Q618" s="232">
        <f>Q617+LN(1+INDEX('Additional data'!$H$2:$H$1196,MATCH(N618,'Additional data'!$G$2:$G$1196,1))+INDEX('Additional data'!$I$2:$I$1196,MATCH(N618,'Additional data'!$G$2:$G$1196,1)))</f>
        <v>4.9063264377742692</v>
      </c>
      <c r="R618" s="232">
        <f>LN(INDEX(Data!$B$2:$B$497,MATCH(N618,Data!$A$2:$A$497,1)))</f>
        <v>11.064195063578634</v>
      </c>
      <c r="S618" s="116">
        <f>INDEX('Additional data'!$E$2:$E$699,MATCH(DATE(YEAR(N618),MONTH(N618),1),'Additional data'!$D$2:$D$699,0))</f>
        <v>1.96</v>
      </c>
      <c r="T618" s="115">
        <f t="shared" si="114"/>
        <v>6.7174689167893042E-2</v>
      </c>
      <c r="U618" s="115">
        <f t="shared" si="115"/>
        <v>3.5367143837291337E-2</v>
      </c>
      <c r="V618" s="115">
        <f t="shared" si="118"/>
        <v>5.8775658058012326E-2</v>
      </c>
      <c r="W618" s="116">
        <f t="shared" si="116"/>
        <v>-0.10999999999999988</v>
      </c>
      <c r="X618" s="115">
        <f t="shared" si="119"/>
        <v>-0.12441351773149556</v>
      </c>
      <c r="Y618" s="115">
        <f t="shared" si="120"/>
        <v>4.6647963373810164E-2</v>
      </c>
      <c r="Z618" s="115">
        <f t="shared" si="122"/>
        <v>6.3496007267833221E-2</v>
      </c>
      <c r="AA618" s="116">
        <f t="shared" si="121"/>
        <v>0.18999999999999995</v>
      </c>
      <c r="AB618" s="115">
        <f t="shared" si="110"/>
        <v>-0.60691306780485377</v>
      </c>
      <c r="AC618" s="115">
        <f t="shared" si="111"/>
        <v>0.49623846359347645</v>
      </c>
      <c r="AD618" s="115">
        <f t="shared" si="117"/>
        <v>0.35653292503228506</v>
      </c>
      <c r="AE618" s="235">
        <f t="shared" si="112"/>
        <v>-0.66999999999999993</v>
      </c>
    </row>
    <row r="619" spans="14:31" x14ac:dyDescent="0.2">
      <c r="N619" s="337">
        <v>43555</v>
      </c>
      <c r="O619" s="116">
        <f>INDEX('Additional data'!$B$2:$B$965,MATCH(DATE(YEAR(N619),MONTH(N619),1),'Additional data'!$A$2:$A$965,0))</f>
        <v>58.15</v>
      </c>
      <c r="P619" s="232">
        <f t="shared" si="113"/>
        <v>4.0630258789646732</v>
      </c>
      <c r="Q619" s="232">
        <f>Q618+LN(1+INDEX('Additional data'!$H$2:$H$1196,MATCH(N619,'Additional data'!$G$2:$G$1196,1))+INDEX('Additional data'!$I$2:$I$1196,MATCH(N619,'Additional data'!$G$2:$G$1196,1)))</f>
        <v>4.9191439414848839</v>
      </c>
      <c r="R619" s="232">
        <f>LN(INDEX(Data!$B$2:$B$497,MATCH(N619,Data!$A$2:$A$497,1)))</f>
        <v>11.071194199665644</v>
      </c>
      <c r="S619" s="116">
        <f>INDEX('Additional data'!$E$2:$E$699,MATCH(DATE(YEAR(N619),MONTH(N619),1),'Additional data'!$D$2:$D$699,0))</f>
        <v>1.83</v>
      </c>
      <c r="T619" s="115">
        <f t="shared" si="114"/>
        <v>5.6602198115042412E-2</v>
      </c>
      <c r="U619" s="115">
        <f t="shared" si="115"/>
        <v>1.2817503710614631E-2</v>
      </c>
      <c r="V619" s="115">
        <f t="shared" si="118"/>
        <v>6.9991360870105268E-3</v>
      </c>
      <c r="W619" s="116">
        <f t="shared" si="116"/>
        <v>-0.12999999999999989</v>
      </c>
      <c r="X619" s="115">
        <f t="shared" si="119"/>
        <v>-7.5813923143978279E-2</v>
      </c>
      <c r="Y619" s="115">
        <f t="shared" si="120"/>
        <v>8.2017871554936228E-2</v>
      </c>
      <c r="Z619" s="115">
        <f t="shared" si="122"/>
        <v>0.10659880135960798</v>
      </c>
      <c r="AA619" s="116">
        <f t="shared" si="121"/>
        <v>-9.9999999999999867E-2</v>
      </c>
      <c r="AB619" s="115">
        <f t="shared" si="110"/>
        <v>-0.55011247667259511</v>
      </c>
      <c r="AC619" s="115">
        <f t="shared" si="111"/>
        <v>0.50476518588693509</v>
      </c>
      <c r="AD619" s="115">
        <f t="shared" si="117"/>
        <v>0.36098959900797745</v>
      </c>
      <c r="AE619" s="235">
        <f t="shared" si="112"/>
        <v>-0.81999999999999984</v>
      </c>
    </row>
    <row r="620" spans="14:31" x14ac:dyDescent="0.2">
      <c r="N620" s="337">
        <v>43585</v>
      </c>
      <c r="O620" s="116">
        <f>INDEX('Additional data'!$B$2:$B$965,MATCH(DATE(YEAR(N620),MONTH(N620),1),'Additional data'!$A$2:$A$965,0))</f>
        <v>63.86</v>
      </c>
      <c r="P620" s="232">
        <f t="shared" si="113"/>
        <v>4.1566931872866357</v>
      </c>
      <c r="Q620" s="232">
        <f>Q619+LN(1+INDEX('Additional data'!$H$2:$H$1196,MATCH(N620,'Additional data'!$G$2:$G$1196,1))+INDEX('Additional data'!$I$2:$I$1196,MATCH(N620,'Additional data'!$G$2:$G$1196,1)))</f>
        <v>4.9600939278138378</v>
      </c>
      <c r="R620" s="232">
        <f>LN(INDEX(Data!$B$2:$B$497,MATCH(N620,Data!$A$2:$A$497,1)))</f>
        <v>11.096283159212776</v>
      </c>
      <c r="S620" s="116">
        <f>INDEX('Additional data'!$E$2:$E$699,MATCH(DATE(YEAR(N620),MONTH(N620),1),'Additional data'!$D$2:$D$699,0))</f>
        <v>1.68</v>
      </c>
      <c r="T620" s="115">
        <f t="shared" si="114"/>
        <v>9.3667308321962572E-2</v>
      </c>
      <c r="U620" s="115">
        <f t="shared" si="115"/>
        <v>4.0949986328953969E-2</v>
      </c>
      <c r="V620" s="115">
        <f t="shared" si="118"/>
        <v>2.5088959547131751E-2</v>
      </c>
      <c r="W620" s="116">
        <f t="shared" si="116"/>
        <v>-0.15000000000000013</v>
      </c>
      <c r="X620" s="115">
        <f t="shared" si="119"/>
        <v>-3.6742277579695504E-2</v>
      </c>
      <c r="Y620" s="115">
        <f t="shared" si="120"/>
        <v>0.11887623998063646</v>
      </c>
      <c r="Z620" s="115">
        <f t="shared" si="122"/>
        <v>9.735408016681113E-2</v>
      </c>
      <c r="AA620" s="116">
        <f t="shared" si="121"/>
        <v>-0.38000000000000012</v>
      </c>
      <c r="AB620" s="115">
        <f t="shared" si="110"/>
        <v>-0.46896566512877147</v>
      </c>
      <c r="AC620" s="115">
        <f t="shared" si="111"/>
        <v>0.54751679416251697</v>
      </c>
      <c r="AD620" s="115">
        <f t="shared" si="117"/>
        <v>0.3732475084300706</v>
      </c>
      <c r="AE620" s="235">
        <f t="shared" si="112"/>
        <v>-1.0000000000000002</v>
      </c>
    </row>
    <row r="621" spans="14:31" x14ac:dyDescent="0.2">
      <c r="N621" s="337">
        <v>43616</v>
      </c>
      <c r="O621" s="116">
        <f>INDEX('Additional data'!$B$2:$B$965,MATCH(DATE(YEAR(N621),MONTH(N621),1),'Additional data'!$A$2:$A$965,0))</f>
        <v>60.83</v>
      </c>
      <c r="P621" s="232">
        <f t="shared" si="113"/>
        <v>4.1080830883326138</v>
      </c>
      <c r="Q621" s="232">
        <f>Q620+LN(1+INDEX('Additional data'!$H$2:$H$1196,MATCH(N621,'Additional data'!$G$2:$G$1196,1))+INDEX('Additional data'!$I$2:$I$1196,MATCH(N621,'Additional data'!$G$2:$G$1196,1)))</f>
        <v>4.8906366627986158</v>
      </c>
      <c r="R621" s="232">
        <f>LN(INDEX(Data!$B$2:$B$497,MATCH(N621,Data!$A$2:$A$497,1)))</f>
        <v>11.112855013528671</v>
      </c>
      <c r="S621" s="116">
        <f>INDEX('Additional data'!$E$2:$E$699,MATCH(DATE(YEAR(N621),MONTH(N621),1),'Additional data'!$D$2:$D$699,0))</f>
        <v>1.54</v>
      </c>
      <c r="T621" s="115">
        <f t="shared" si="114"/>
        <v>-4.8610098954021908E-2</v>
      </c>
      <c r="U621" s="115">
        <f t="shared" si="115"/>
        <v>-6.9457265015222092E-2</v>
      </c>
      <c r="V621" s="115">
        <f t="shared" si="118"/>
        <v>1.6571854315895251E-2</v>
      </c>
      <c r="W621" s="116">
        <f t="shared" si="116"/>
        <v>-0.1399999999999999</v>
      </c>
      <c r="X621" s="115">
        <f t="shared" si="119"/>
        <v>-0.14012639860692833</v>
      </c>
      <c r="Y621" s="115">
        <f t="shared" si="120"/>
        <v>2.1803807932441188E-2</v>
      </c>
      <c r="Z621" s="115">
        <f t="shared" si="122"/>
        <v>0.10002912772730888</v>
      </c>
      <c r="AA621" s="116">
        <f t="shared" si="121"/>
        <v>-0.41999999999999993</v>
      </c>
      <c r="AB621" s="115">
        <f t="shared" si="110"/>
        <v>-0.51865287557003814</v>
      </c>
      <c r="AC621" s="115">
        <f t="shared" si="111"/>
        <v>0.45776682587953221</v>
      </c>
      <c r="AD621" s="115">
        <f t="shared" si="117"/>
        <v>0.38371502402389979</v>
      </c>
      <c r="AE621" s="235">
        <f t="shared" si="112"/>
        <v>-1.1499999999999999</v>
      </c>
    </row>
    <row r="622" spans="14:31" x14ac:dyDescent="0.2">
      <c r="N622" s="337">
        <v>43646</v>
      </c>
      <c r="O622" s="116">
        <f>INDEX('Additional data'!$B$2:$B$965,MATCH(DATE(YEAR(N622),MONTH(N622),1),'Additional data'!$A$2:$A$965,0))</f>
        <v>54.66</v>
      </c>
      <c r="P622" s="232">
        <f t="shared" si="113"/>
        <v>4.0011321804999218</v>
      </c>
      <c r="Q622" s="232">
        <f>Q621+LN(1+INDEX('Additional data'!$H$2:$H$1196,MATCH(N622,'Additional data'!$G$2:$G$1196,1))+INDEX('Additional data'!$I$2:$I$1196,MATCH(N622,'Additional data'!$G$2:$G$1196,1)))</f>
        <v>4.9598828355354305</v>
      </c>
      <c r="R622" s="232">
        <f>LN(INDEX(Data!$B$2:$B$497,MATCH(N622,Data!$A$2:$A$497,1)))</f>
        <v>11.146588296046515</v>
      </c>
      <c r="S622" s="116">
        <f>INDEX('Additional data'!$E$2:$E$699,MATCH(DATE(YEAR(N622),MONTH(N622),1),'Additional data'!$D$2:$D$699,0))</f>
        <v>1.29</v>
      </c>
      <c r="T622" s="115">
        <f t="shared" si="114"/>
        <v>-0.10695090783269201</v>
      </c>
      <c r="U622" s="115">
        <f t="shared" si="115"/>
        <v>6.9246172736814771E-2</v>
      </c>
      <c r="V622" s="115">
        <f t="shared" si="118"/>
        <v>3.3733282517843577E-2</v>
      </c>
      <c r="W622" s="116">
        <f t="shared" si="116"/>
        <v>-0.25</v>
      </c>
      <c r="X622" s="115">
        <f t="shared" si="119"/>
        <v>-0.21646193021574511</v>
      </c>
      <c r="Y622" s="115">
        <f t="shared" si="120"/>
        <v>8.4769742712105689E-2</v>
      </c>
      <c r="Z622" s="115">
        <f t="shared" si="122"/>
        <v>0.10470856088880609</v>
      </c>
      <c r="AA622" s="116">
        <f t="shared" si="121"/>
        <v>-0.7799999999999998</v>
      </c>
      <c r="AB622" s="115">
        <f t="shared" si="110"/>
        <v>-0.66032381649876104</v>
      </c>
      <c r="AC622" s="115">
        <f t="shared" si="111"/>
        <v>0.50134525186776902</v>
      </c>
      <c r="AD622" s="115">
        <f t="shared" si="117"/>
        <v>0.43169338203391661</v>
      </c>
      <c r="AE622" s="235">
        <f t="shared" si="112"/>
        <v>-1.4100000000000001</v>
      </c>
    </row>
    <row r="623" spans="14:31" x14ac:dyDescent="0.2">
      <c r="N623" s="337">
        <v>43677</v>
      </c>
      <c r="O623" s="116">
        <f>INDEX('Additional data'!$B$2:$B$965,MATCH(DATE(YEAR(N623),MONTH(N623),1),'Additional data'!$A$2:$A$965,0))</f>
        <v>57.35</v>
      </c>
      <c r="P623" s="232">
        <f t="shared" si="113"/>
        <v>4.0491728435753798</v>
      </c>
      <c r="Q623" s="232">
        <f>Q622+LN(1+INDEX('Additional data'!$H$2:$H$1196,MATCH(N623,'Additional data'!$G$2:$G$1196,1))+INDEX('Additional data'!$I$2:$I$1196,MATCH(N623,'Additional data'!$G$2:$G$1196,1)))</f>
        <v>4.9739829599142125</v>
      </c>
      <c r="R623" s="232">
        <f>LN(INDEX(Data!$B$2:$B$497,MATCH(N623,Data!$A$2:$A$497,1)))</f>
        <v>11.175751516125121</v>
      </c>
      <c r="S623" s="116">
        <f>INDEX('Additional data'!$E$2:$E$699,MATCH(DATE(YEAR(N623),MONTH(N623),1),'Additional data'!$D$2:$D$699,0))</f>
        <v>1.1100000000000001</v>
      </c>
      <c r="T623" s="115">
        <f t="shared" si="114"/>
        <v>4.8040663075457957E-2</v>
      </c>
      <c r="U623" s="115">
        <f t="shared" si="115"/>
        <v>1.4100124378781942E-2</v>
      </c>
      <c r="V623" s="115">
        <f t="shared" si="118"/>
        <v>2.91632200786065E-2</v>
      </c>
      <c r="W623" s="116">
        <f t="shared" si="116"/>
        <v>-0.17999999999999994</v>
      </c>
      <c r="X623" s="115">
        <f t="shared" si="119"/>
        <v>-0.21322530364297076</v>
      </c>
      <c r="Y623" s="115">
        <f t="shared" si="120"/>
        <v>6.5822013044686933E-2</v>
      </c>
      <c r="Z623" s="115">
        <f t="shared" si="122"/>
        <v>0.12171184518170897</v>
      </c>
      <c r="AA623" s="116">
        <f t="shared" si="121"/>
        <v>-0.90999999999999992</v>
      </c>
      <c r="AB623" s="115">
        <f t="shared" si="110"/>
        <v>-0.59126795649463126</v>
      </c>
      <c r="AC623" s="115">
        <f t="shared" si="111"/>
        <v>0.53595425287809118</v>
      </c>
      <c r="AD623" s="115">
        <f t="shared" si="117"/>
        <v>0.4169201089278598</v>
      </c>
      <c r="AE623" s="235">
        <f t="shared" si="112"/>
        <v>-1.5399999999999998</v>
      </c>
    </row>
    <row r="624" spans="14:31" x14ac:dyDescent="0.2">
      <c r="N624" s="337">
        <v>43708</v>
      </c>
      <c r="O624" s="116">
        <f>INDEX('Additional data'!$B$2:$B$965,MATCH(DATE(YEAR(N624),MONTH(N624),1),'Additional data'!$A$2:$A$965,0))</f>
        <v>54.81</v>
      </c>
      <c r="P624" s="232">
        <f t="shared" si="113"/>
        <v>4.0038726590580254</v>
      </c>
      <c r="Q624" s="232">
        <f>Q623+LN(1+INDEX('Additional data'!$H$2:$H$1196,MATCH(N624,'Additional data'!$G$2:$G$1196,1))+INDEX('Additional data'!$I$2:$I$1196,MATCH(N624,'Additional data'!$G$2:$G$1196,1)))</f>
        <v>4.9497927211129946</v>
      </c>
      <c r="R624" s="232">
        <f>LN(INDEX(Data!$B$2:$B$497,MATCH(N624,Data!$A$2:$A$497,1)))</f>
        <v>11.153345868413926</v>
      </c>
      <c r="S624" s="116">
        <f>INDEX('Additional data'!$E$2:$E$699,MATCH(DATE(YEAR(N624),MONTH(N624),1),'Additional data'!$D$2:$D$699,0))</f>
        <v>0.98</v>
      </c>
      <c r="T624" s="115">
        <f t="shared" si="114"/>
        <v>-4.5300184517354403E-2</v>
      </c>
      <c r="U624" s="115">
        <f t="shared" si="115"/>
        <v>-2.4190238801217845E-2</v>
      </c>
      <c r="V624" s="115">
        <f t="shared" si="118"/>
        <v>-2.2405647711195797E-2</v>
      </c>
      <c r="W624" s="116">
        <f t="shared" si="116"/>
        <v>-0.13000000000000012</v>
      </c>
      <c r="X624" s="115">
        <f t="shared" si="119"/>
        <v>-0.21651701001473445</v>
      </c>
      <c r="Y624" s="115">
        <f t="shared" si="120"/>
        <v>6.1681099679002926E-3</v>
      </c>
      <c r="Z624" s="115">
        <f t="shared" si="122"/>
        <v>8.2359609667392419E-2</v>
      </c>
      <c r="AA624" s="116">
        <f t="shared" si="121"/>
        <v>-0.98</v>
      </c>
      <c r="AB624" s="115">
        <f t="shared" si="110"/>
        <v>-0.56608477117432177</v>
      </c>
      <c r="AC624" s="115">
        <f t="shared" si="111"/>
        <v>0.4702382672483747</v>
      </c>
      <c r="AD624" s="115">
        <f t="shared" si="117"/>
        <v>0.38732424058225234</v>
      </c>
      <c r="AE624" s="235">
        <f t="shared" si="112"/>
        <v>-1.65</v>
      </c>
    </row>
    <row r="625" spans="14:31" x14ac:dyDescent="0.2">
      <c r="N625" s="337">
        <v>43738</v>
      </c>
      <c r="O625" s="116">
        <f>INDEX('Additional data'!$B$2:$B$965,MATCH(DATE(YEAR(N625),MONTH(N625),1),'Additional data'!$A$2:$A$965,0))</f>
        <v>56.95</v>
      </c>
      <c r="P625" s="232">
        <f t="shared" si="113"/>
        <v>4.0421736898931915</v>
      </c>
      <c r="Q625" s="232">
        <f>Q624+LN(1+INDEX('Additional data'!$H$2:$H$1196,MATCH(N625,'Additional data'!$G$2:$G$1196,1))+INDEX('Additional data'!$I$2:$I$1196,MATCH(N625,'Additional data'!$G$2:$G$1196,1)))</f>
        <v>4.9655676402283566</v>
      </c>
      <c r="R625" s="232">
        <f>LN(INDEX(Data!$B$2:$B$497,MATCH(N625,Data!$A$2:$A$497,1)))</f>
        <v>11.174406832330224</v>
      </c>
      <c r="S625" s="116">
        <f>INDEX('Additional data'!$E$2:$E$699,MATCH(DATE(YEAR(N625),MONTH(N625),1),'Additional data'!$D$2:$D$699,0))</f>
        <v>0.98</v>
      </c>
      <c r="T625" s="115">
        <f t="shared" si="114"/>
        <v>3.8301030835166117E-2</v>
      </c>
      <c r="U625" s="115">
        <f t="shared" si="115"/>
        <v>1.5774919115361996E-2</v>
      </c>
      <c r="V625" s="115">
        <f t="shared" si="118"/>
        <v>2.1060963916298192E-2</v>
      </c>
      <c r="W625" s="116">
        <f t="shared" si="116"/>
        <v>0</v>
      </c>
      <c r="X625" s="115">
        <f t="shared" si="119"/>
        <v>-0.20960188027773796</v>
      </c>
      <c r="Y625" s="115">
        <f t="shared" si="120"/>
        <v>1.9845231001116126E-2</v>
      </c>
      <c r="Z625" s="115">
        <f t="shared" si="122"/>
        <v>0.11405186713296622</v>
      </c>
      <c r="AA625" s="116">
        <f t="shared" si="121"/>
        <v>-0.95</v>
      </c>
      <c r="AB625" s="115">
        <f t="shared" si="110"/>
        <v>-0.49268132217987404</v>
      </c>
      <c r="AC625" s="115">
        <f t="shared" si="111"/>
        <v>0.50580781369191641</v>
      </c>
      <c r="AD625" s="115">
        <f t="shared" si="117"/>
        <v>0.46242192702431595</v>
      </c>
      <c r="AE625" s="235">
        <f t="shared" si="112"/>
        <v>-1.6800000000000002</v>
      </c>
    </row>
    <row r="626" spans="14:31" x14ac:dyDescent="0.2">
      <c r="N626" s="337">
        <v>43769</v>
      </c>
      <c r="O626" s="116">
        <f>INDEX('Additional data'!$B$2:$B$965,MATCH(DATE(YEAR(N626),MONTH(N626),1),'Additional data'!$A$2:$A$965,0))</f>
        <v>53.96</v>
      </c>
      <c r="P626" s="232">
        <f t="shared" si="113"/>
        <v>3.9882430313395552</v>
      </c>
      <c r="Q626" s="232">
        <f>Q625+LN(1+INDEX('Additional data'!$H$2:$H$1196,MATCH(N626,'Additional data'!$G$2:$G$1196,1))+INDEX('Additional data'!$I$2:$I$1196,MATCH(N626,'Additional data'!$G$2:$G$1196,1)))</f>
        <v>4.9875248075803986</v>
      </c>
      <c r="R626" s="232">
        <f>LN(INDEX(Data!$B$2:$B$497,MATCH(N626,Data!$A$2:$A$497,1)))</f>
        <v>11.17069406875815</v>
      </c>
      <c r="S626" s="116">
        <f>INDEX('Additional data'!$E$2:$E$699,MATCH(DATE(YEAR(N626),MONTH(N626),1),'Additional data'!$D$2:$D$699,0))</f>
        <v>0.88</v>
      </c>
      <c r="T626" s="115">
        <f t="shared" si="114"/>
        <v>-5.3930658553636324E-2</v>
      </c>
      <c r="U626" s="115">
        <f t="shared" si="115"/>
        <v>2.1957167352042006E-2</v>
      </c>
      <c r="V626" s="115">
        <f t="shared" si="118"/>
        <v>-3.7127635720732854E-3</v>
      </c>
      <c r="W626" s="116">
        <f t="shared" si="116"/>
        <v>-9.9999999999999978E-2</v>
      </c>
      <c r="X626" s="115">
        <f t="shared" si="119"/>
        <v>-0.27090950518379175</v>
      </c>
      <c r="Y626" s="115">
        <f t="shared" si="120"/>
        <v>0.11933160086239614</v>
      </c>
      <c r="Z626" s="115">
        <f t="shared" si="122"/>
        <v>0.17724678405561356</v>
      </c>
      <c r="AA626" s="116">
        <f t="shared" si="121"/>
        <v>-1.0499999999999998</v>
      </c>
      <c r="AB626" s="115">
        <f t="shared" si="110"/>
        <v>-0.44732437026235639</v>
      </c>
      <c r="AC626" s="115">
        <f t="shared" si="111"/>
        <v>0.50297481223674012</v>
      </c>
      <c r="AD626" s="115">
        <f t="shared" si="117"/>
        <v>0.41986273737359348</v>
      </c>
      <c r="AE626" s="235">
        <f t="shared" si="112"/>
        <v>-1.8400000000000003</v>
      </c>
    </row>
    <row r="627" spans="14:31" x14ac:dyDescent="0.2">
      <c r="N627" s="337">
        <v>43799</v>
      </c>
      <c r="O627" s="116">
        <f>INDEX('Additional data'!$B$2:$B$965,MATCH(DATE(YEAR(N627),MONTH(N627),1),'Additional data'!$A$2:$A$965,0))</f>
        <v>57.03</v>
      </c>
      <c r="P627" s="232">
        <f t="shared" si="113"/>
        <v>4.0435774451684479</v>
      </c>
      <c r="Q627" s="232">
        <f>Q626+LN(1+INDEX('Additional data'!$H$2:$H$1196,MATCH(N627,'Additional data'!$G$2:$G$1196,1))+INDEX('Additional data'!$I$2:$I$1196,MATCH(N627,'Additional data'!$G$2:$G$1196,1)))</f>
        <v>5.0266493622644486</v>
      </c>
      <c r="R627" s="232">
        <f>LN(INDEX(Data!$B$2:$B$497,MATCH(N627,Data!$A$2:$A$497,1)))</f>
        <v>11.200970494397511</v>
      </c>
      <c r="S627" s="116">
        <f>INDEX('Additional data'!$E$2:$E$699,MATCH(DATE(YEAR(N627),MONTH(N627),1),'Additional data'!$D$2:$D$699,0))</f>
        <v>0.91</v>
      </c>
      <c r="T627" s="115">
        <f t="shared" si="114"/>
        <v>5.5334413828892703E-2</v>
      </c>
      <c r="U627" s="115">
        <f t="shared" si="115"/>
        <v>3.9124554684049961E-2</v>
      </c>
      <c r="V627" s="115">
        <f t="shared" si="118"/>
        <v>3.0276425639360838E-2</v>
      </c>
      <c r="W627" s="116">
        <f t="shared" si="116"/>
        <v>3.0000000000000027E-2</v>
      </c>
      <c r="X627" s="115">
        <f t="shared" si="119"/>
        <v>1.2281780647276364E-3</v>
      </c>
      <c r="Y627" s="115">
        <f t="shared" si="120"/>
        <v>0.13973254154834347</v>
      </c>
      <c r="Z627" s="115">
        <f t="shared" si="122"/>
        <v>0.23020309137481476</v>
      </c>
      <c r="AA627" s="116">
        <f t="shared" si="121"/>
        <v>-1.0299999999999998</v>
      </c>
      <c r="AB627" s="115">
        <f t="shared" si="110"/>
        <v>-0.28438891265548971</v>
      </c>
      <c r="AC627" s="115">
        <f t="shared" si="111"/>
        <v>0.51682155973652133</v>
      </c>
      <c r="AD627" s="115">
        <f t="shared" si="117"/>
        <v>0.48265351200011075</v>
      </c>
      <c r="AE627" s="235">
        <f t="shared" si="112"/>
        <v>-1.8399999999999999</v>
      </c>
    </row>
    <row r="628" spans="14:31" x14ac:dyDescent="0.2">
      <c r="N628" s="337">
        <v>43830</v>
      </c>
      <c r="O628" s="116">
        <f>INDEX('Additional data'!$B$2:$B$965,MATCH(DATE(YEAR(N628),MONTH(N628),1),'Additional data'!$A$2:$A$965,0))</f>
        <v>59.88</v>
      </c>
      <c r="P628" s="232">
        <f t="shared" si="113"/>
        <v>4.0923425595514278</v>
      </c>
      <c r="Q628" s="232">
        <f>Q627+LN(1+INDEX('Additional data'!$H$2:$H$1196,MATCH(N628,'Additional data'!$G$2:$G$1196,1))+INDEX('Additional data'!$I$2:$I$1196,MATCH(N628,'Additional data'!$G$2:$G$1196,1)))</f>
        <v>5.0553339961243573</v>
      </c>
      <c r="R628" s="232">
        <f>LN(INDEX(Data!$B$2:$B$497,MATCH(N628,Data!$A$2:$A$497,1)))</f>
        <v>11.18183297377996</v>
      </c>
      <c r="S628" s="116">
        <f>INDEX('Additional data'!$E$2:$E$699,MATCH(DATE(YEAR(N628),MONTH(N628),1),'Additional data'!$D$2:$D$699,0))</f>
        <v>0.9</v>
      </c>
      <c r="T628" s="115">
        <f t="shared" si="114"/>
        <v>4.8765114382979924E-2</v>
      </c>
      <c r="U628" s="115">
        <f t="shared" si="115"/>
        <v>2.8684633859908715E-2</v>
      </c>
      <c r="V628" s="115">
        <f t="shared" si="118"/>
        <v>-1.9137520617551473E-2</v>
      </c>
      <c r="W628" s="116">
        <f t="shared" si="116"/>
        <v>-1.0000000000000009E-2</v>
      </c>
      <c r="X628" s="115">
        <f t="shared" si="119"/>
        <v>0.1899659311750872</v>
      </c>
      <c r="Y628" s="115">
        <f t="shared" si="120"/>
        <v>0.26669174467659307</v>
      </c>
      <c r="Z628" s="115">
        <f t="shared" si="122"/>
        <v>0.21556905685113037</v>
      </c>
      <c r="AA628" s="116">
        <f t="shared" si="121"/>
        <v>-1.1200000000000001</v>
      </c>
      <c r="AB628" s="115">
        <f t="shared" si="110"/>
        <v>9.9019018321513386E-3</v>
      </c>
      <c r="AC628" s="115">
        <f t="shared" si="111"/>
        <v>0.54600631863811255</v>
      </c>
      <c r="AD628" s="115">
        <f t="shared" si="117"/>
        <v>0.4444166587879419</v>
      </c>
      <c r="AE628" s="235">
        <f t="shared" si="112"/>
        <v>-1.85</v>
      </c>
    </row>
    <row r="629" spans="14:31" x14ac:dyDescent="0.2">
      <c r="N629" s="337">
        <v>43861</v>
      </c>
      <c r="O629" s="116">
        <f>INDEX('Additional data'!$B$2:$B$965,MATCH(DATE(YEAR(N629),MONTH(N629),1),'Additional data'!$A$2:$A$965,0))</f>
        <v>57.52</v>
      </c>
      <c r="P629" s="232">
        <f t="shared" si="113"/>
        <v>4.0521327134127914</v>
      </c>
      <c r="Q629" s="232">
        <f>Q628+LN(1+INDEX('Additional data'!$H$2:$H$1196,MATCH(N629,'Additional data'!$G$2:$G$1196,1))+INDEX('Additional data'!$I$2:$I$1196,MATCH(N629,'Additional data'!$G$2:$G$1196,1)))</f>
        <v>5.0555339761270233</v>
      </c>
      <c r="R629" s="232">
        <f>LN(INDEX(Data!$B$2:$B$497,MATCH(N629,Data!$A$2:$A$497,1)))</f>
        <v>11.227632669716252</v>
      </c>
      <c r="S629" s="116">
        <f>INDEX('Additional data'!$E$2:$E$699,MATCH(DATE(YEAR(N629),MONTH(N629),1),'Additional data'!$D$2:$D$699,0))</f>
        <v>0.89</v>
      </c>
      <c r="T629" s="115">
        <f t="shared" si="114"/>
        <v>-4.0209846138636429E-2</v>
      </c>
      <c r="U629" s="115">
        <f t="shared" si="115"/>
        <v>1.9998000266596705E-4</v>
      </c>
      <c r="V629" s="115">
        <f t="shared" si="118"/>
        <v>4.5799695936292295E-2</v>
      </c>
      <c r="W629" s="116">
        <f t="shared" si="116"/>
        <v>-1.0000000000000009E-2</v>
      </c>
      <c r="X629" s="115">
        <f t="shared" si="119"/>
        <v>0.11288372173105365</v>
      </c>
      <c r="Y629" s="115">
        <f t="shared" si="120"/>
        <v>0.18457468219004536</v>
      </c>
      <c r="Z629" s="115">
        <f t="shared" si="122"/>
        <v>0.2222132641956307</v>
      </c>
      <c r="AA629" s="116">
        <f t="shared" si="121"/>
        <v>-1.1799999999999997</v>
      </c>
      <c r="AB629" s="115">
        <f t="shared" si="110"/>
        <v>0.19731518175542462</v>
      </c>
      <c r="AC629" s="115">
        <f t="shared" si="111"/>
        <v>0.57769696573214979</v>
      </c>
      <c r="AD629" s="115">
        <f t="shared" si="117"/>
        <v>0.46037694860338263</v>
      </c>
      <c r="AE629" s="235">
        <f t="shared" si="112"/>
        <v>-1.81</v>
      </c>
    </row>
    <row r="630" spans="14:31" x14ac:dyDescent="0.2">
      <c r="N630" s="337">
        <v>43890</v>
      </c>
      <c r="O630" s="116">
        <f>INDEX('Additional data'!$B$2:$B$965,MATCH(DATE(YEAR(N630),MONTH(N630),1),'Additional data'!$A$2:$A$965,0))</f>
        <v>50.54</v>
      </c>
      <c r="P630" s="232">
        <f t="shared" si="113"/>
        <v>3.922765101960048</v>
      </c>
      <c r="Q630" s="232">
        <f>Q629+LN(1+INDEX('Additional data'!$H$2:$H$1196,MATCH(N630,'Additional data'!$G$2:$G$1196,1))+INDEX('Additional data'!$I$2:$I$1196,MATCH(N630,'Additional data'!$G$2:$G$1196,1)))</f>
        <v>4.9718262270535378</v>
      </c>
      <c r="R630" s="232">
        <f>LN(INDEX(Data!$B$2:$B$497,MATCH(N630,Data!$A$2:$A$497,1)))</f>
        <v>11.143401695050585</v>
      </c>
      <c r="S630" s="116">
        <f>INDEX('Additional data'!$E$2:$E$699,MATCH(DATE(YEAR(N630),MONTH(N630),1),'Additional data'!$D$2:$D$699,0))</f>
        <v>0.89</v>
      </c>
      <c r="T630" s="115">
        <f t="shared" si="114"/>
        <v>-0.12936761145274334</v>
      </c>
      <c r="U630" s="115">
        <f t="shared" si="115"/>
        <v>-8.3707749073485438E-2</v>
      </c>
      <c r="V630" s="115">
        <f t="shared" si="118"/>
        <v>-8.4230974665667091E-2</v>
      </c>
      <c r="W630" s="116">
        <f t="shared" si="116"/>
        <v>0</v>
      </c>
      <c r="X630" s="115">
        <f t="shared" si="119"/>
        <v>-8.3658578889582724E-2</v>
      </c>
      <c r="Y630" s="115">
        <f t="shared" si="120"/>
        <v>6.5499789279268583E-2</v>
      </c>
      <c r="Z630" s="115">
        <f t="shared" si="122"/>
        <v>7.9206631471951283E-2</v>
      </c>
      <c r="AA630" s="116">
        <f t="shared" si="121"/>
        <v>-1.0699999999999998</v>
      </c>
      <c r="AB630" s="115">
        <f t="shared" si="110"/>
        <v>-7.9113928177099169E-4</v>
      </c>
      <c r="AC630" s="115">
        <f t="shared" si="111"/>
        <v>0.43449464487302425</v>
      </c>
      <c r="AD630" s="115">
        <f t="shared" si="117"/>
        <v>0.30853392121462164</v>
      </c>
      <c r="AE630" s="235">
        <f t="shared" si="112"/>
        <v>-1.4699999999999998</v>
      </c>
    </row>
    <row r="631" spans="14:31" x14ac:dyDescent="0.2">
      <c r="N631" s="337">
        <v>43921</v>
      </c>
      <c r="O631" s="116">
        <f>INDEX('Additional data'!$B$2:$B$965,MATCH(DATE(YEAR(N631),MONTH(N631),1),'Additional data'!$A$2:$A$965,0))</f>
        <v>29.21</v>
      </c>
      <c r="P631" s="232">
        <f t="shared" si="113"/>
        <v>3.3745111163996495</v>
      </c>
      <c r="Q631" s="232">
        <f>Q630+LN(1+INDEX('Additional data'!$H$2:$H$1196,MATCH(N631,'Additional data'!$G$2:$G$1196,1))+INDEX('Additional data'!$I$2:$I$1196,MATCH(N631,'Additional data'!$G$2:$G$1196,1)))</f>
        <v>4.8296864598924145</v>
      </c>
      <c r="R631" s="232">
        <f>LN(INDEX(Data!$B$2:$B$497,MATCH(N631,Data!$A$2:$A$497,1)))</f>
        <v>10.908408494013329</v>
      </c>
      <c r="S631" s="116">
        <f>INDEX('Additional data'!$E$2:$E$699,MATCH(DATE(YEAR(N631),MONTH(N631),1),'Additional data'!$D$2:$D$699,0))</f>
        <v>0.53</v>
      </c>
      <c r="T631" s="115">
        <f t="shared" si="114"/>
        <v>-0.5482539855603985</v>
      </c>
      <c r="U631" s="115">
        <f t="shared" si="115"/>
        <v>-0.14213976716112331</v>
      </c>
      <c r="V631" s="115">
        <f t="shared" si="118"/>
        <v>-0.23499320103725552</v>
      </c>
      <c r="W631" s="116">
        <f t="shared" si="116"/>
        <v>-0.36</v>
      </c>
      <c r="X631" s="115">
        <f t="shared" si="119"/>
        <v>-0.68851476256502364</v>
      </c>
      <c r="Y631" s="115">
        <f t="shared" si="120"/>
        <v>-8.9457481592469357E-2</v>
      </c>
      <c r="Z631" s="115">
        <f t="shared" si="122"/>
        <v>-0.16278570565231476</v>
      </c>
      <c r="AA631" s="116">
        <f t="shared" si="121"/>
        <v>-1.3</v>
      </c>
      <c r="AB631" s="115">
        <f t="shared" si="110"/>
        <v>-0.4929328456305293</v>
      </c>
      <c r="AC631" s="115">
        <f t="shared" si="111"/>
        <v>0.30351694241809302</v>
      </c>
      <c r="AD631" s="115">
        <f t="shared" si="117"/>
        <v>7.3811001902438278E-2</v>
      </c>
      <c r="AE631" s="235">
        <f t="shared" si="112"/>
        <v>-1.7699999999999998</v>
      </c>
    </row>
    <row r="632" spans="14:31" x14ac:dyDescent="0.2">
      <c r="N632" s="337">
        <v>43951</v>
      </c>
      <c r="O632" s="116">
        <f>INDEX('Additional data'!$B$2:$B$965,MATCH(DATE(YEAR(N632),MONTH(N632),1),'Additional data'!$A$2:$A$965,0))</f>
        <v>16.55</v>
      </c>
      <c r="P632" s="232">
        <f t="shared" si="113"/>
        <v>2.806386101823072</v>
      </c>
      <c r="Q632" s="232">
        <f>Q631+LN(1+INDEX('Additional data'!$H$2:$H$1196,MATCH(N632,'Additional data'!$G$2:$G$1196,1))+INDEX('Additional data'!$I$2:$I$1196,MATCH(N632,'Additional data'!$G$2:$G$1196,1)))</f>
        <v>4.9571997801913739</v>
      </c>
      <c r="R632" s="232">
        <f>LN(INDEX(Data!$B$2:$B$497,MATCH(N632,Data!$A$2:$A$497,1)))</f>
        <v>10.999549192869567</v>
      </c>
      <c r="S632" s="116">
        <f>INDEX('Additional data'!$E$2:$E$699,MATCH(DATE(YEAR(N632),MONTH(N632),1),'Additional data'!$D$2:$D$699,0))</f>
        <v>0.17</v>
      </c>
      <c r="T632" s="115">
        <f t="shared" si="114"/>
        <v>-0.56812501457657749</v>
      </c>
      <c r="U632" s="115">
        <f t="shared" si="115"/>
        <v>0.12751332029895934</v>
      </c>
      <c r="V632" s="115">
        <f t="shared" si="118"/>
        <v>9.1140698856237989E-2</v>
      </c>
      <c r="W632" s="116">
        <f t="shared" si="116"/>
        <v>-0.36</v>
      </c>
      <c r="X632" s="115">
        <f t="shared" si="119"/>
        <v>-1.3503070854635637</v>
      </c>
      <c r="Y632" s="115">
        <f t="shared" si="120"/>
        <v>-2.8941476224639828E-3</v>
      </c>
      <c r="Z632" s="115">
        <f t="shared" si="122"/>
        <v>-9.6733966343208522E-2</v>
      </c>
      <c r="AA632" s="116">
        <f t="shared" si="121"/>
        <v>-1.51</v>
      </c>
      <c r="AB632" s="115">
        <f t="shared" si="110"/>
        <v>-1.1908967475558976</v>
      </c>
      <c r="AC632" s="115">
        <f t="shared" si="111"/>
        <v>0.42514759955889669</v>
      </c>
      <c r="AD632" s="115">
        <f t="shared" si="117"/>
        <v>0.17978462028554176</v>
      </c>
      <c r="AE632" s="235">
        <f t="shared" si="112"/>
        <v>-2.08</v>
      </c>
    </row>
    <row r="633" spans="14:31" x14ac:dyDescent="0.2">
      <c r="N633" s="337">
        <v>43982</v>
      </c>
      <c r="O633" s="116">
        <f>INDEX('Additional data'!$B$2:$B$965,MATCH(DATE(YEAR(N633),MONTH(N633),1),'Additional data'!$A$2:$A$965,0))</f>
        <v>28.56</v>
      </c>
      <c r="P633" s="232">
        <f t="shared" si="113"/>
        <v>3.3520071374713836</v>
      </c>
      <c r="Q633" s="232">
        <f>Q632+LN(1+INDEX('Additional data'!$H$2:$H$1196,MATCH(N633,'Additional data'!$G$2:$G$1196,1))+INDEX('Additional data'!$I$2:$I$1196,MATCH(N633,'Additional data'!$G$2:$G$1196,1)))</f>
        <v>5.0114985535987531</v>
      </c>
      <c r="R633" s="232">
        <f>LN(INDEX(Data!$B$2:$B$497,MATCH(N633,Data!$A$2:$A$497,1)))</f>
        <v>11.048693472022778</v>
      </c>
      <c r="S633" s="116">
        <f>INDEX('Additional data'!$E$2:$E$699,MATCH(DATE(YEAR(N633),MONTH(N633),1),'Additional data'!$D$2:$D$699,0))</f>
        <v>0.1</v>
      </c>
      <c r="T633" s="115">
        <f t="shared" si="114"/>
        <v>0.54562103564831155</v>
      </c>
      <c r="U633" s="115">
        <f t="shared" si="115"/>
        <v>5.4298773407379208E-2</v>
      </c>
      <c r="V633" s="115">
        <f t="shared" si="118"/>
        <v>4.9144279153210846E-2</v>
      </c>
      <c r="W633" s="116">
        <f t="shared" si="116"/>
        <v>-7.0000000000000007E-2</v>
      </c>
      <c r="X633" s="115">
        <f t="shared" si="119"/>
        <v>-0.75607595086123025</v>
      </c>
      <c r="Y633" s="115">
        <f t="shared" si="120"/>
        <v>0.12086189080013732</v>
      </c>
      <c r="Z633" s="115">
        <f t="shared" si="122"/>
        <v>-6.4161541505892927E-2</v>
      </c>
      <c r="AA633" s="116">
        <f t="shared" si="121"/>
        <v>-1.44</v>
      </c>
      <c r="AB633" s="115">
        <f t="shared" si="110"/>
        <v>-0.73009613832836306</v>
      </c>
      <c r="AC633" s="115">
        <f t="shared" si="111"/>
        <v>0.46583936956005889</v>
      </c>
      <c r="AD633" s="115">
        <f t="shared" si="117"/>
        <v>0.22313722345390374</v>
      </c>
      <c r="AE633" s="235">
        <f t="shared" si="112"/>
        <v>-2.0499999999999998</v>
      </c>
    </row>
    <row r="634" spans="14:31" x14ac:dyDescent="0.2">
      <c r="N634" s="337">
        <v>44012</v>
      </c>
      <c r="O634" s="116">
        <f>INDEX('Additional data'!$B$2:$B$965,MATCH(DATE(YEAR(N634),MONTH(N634),1),'Additional data'!$A$2:$A$965,0))</f>
        <v>38.31</v>
      </c>
      <c r="P634" s="232">
        <f t="shared" si="113"/>
        <v>3.6457109587125576</v>
      </c>
      <c r="Q634" s="232">
        <f>Q633+LN(1+INDEX('Additional data'!$H$2:$H$1196,MATCH(N634,'Additional data'!$G$2:$G$1196,1))+INDEX('Additional data'!$I$2:$I$1196,MATCH(N634,'Additional data'!$G$2:$G$1196,1)))</f>
        <v>5.0358008461217176</v>
      </c>
      <c r="R634" s="232">
        <f>LN(INDEX(Data!$B$2:$B$497,MATCH(N634,Data!$A$2:$A$497,1)))</f>
        <v>11.071807401524024</v>
      </c>
      <c r="S634" s="116">
        <f>INDEX('Additional data'!$E$2:$E$699,MATCH(DATE(YEAR(N634),MONTH(N634),1),'Additional data'!$D$2:$D$699,0))</f>
        <v>0.1</v>
      </c>
      <c r="T634" s="115">
        <f t="shared" si="114"/>
        <v>0.293703821241174</v>
      </c>
      <c r="U634" s="115">
        <f t="shared" si="115"/>
        <v>2.4302292522964564E-2</v>
      </c>
      <c r="V634" s="115">
        <f t="shared" si="118"/>
        <v>2.3113929501246133E-2</v>
      </c>
      <c r="W634" s="116">
        <f t="shared" si="116"/>
        <v>0</v>
      </c>
      <c r="X634" s="115">
        <f t="shared" si="119"/>
        <v>-0.35542122178736424</v>
      </c>
      <c r="Y634" s="115">
        <f t="shared" si="120"/>
        <v>7.591801058628711E-2</v>
      </c>
      <c r="Z634" s="115">
        <f t="shared" si="122"/>
        <v>-7.4780894522490371E-2</v>
      </c>
      <c r="AA634" s="116">
        <f t="shared" si="121"/>
        <v>-1.19</v>
      </c>
      <c r="AB634" s="115">
        <f t="shared" si="110"/>
        <v>-0.44562909448924426</v>
      </c>
      <c r="AC634" s="115">
        <f t="shared" si="111"/>
        <v>0.50545836619491702</v>
      </c>
      <c r="AD634" s="115">
        <f t="shared" si="117"/>
        <v>0.30174637193018761</v>
      </c>
      <c r="AE634" s="235">
        <f t="shared" si="112"/>
        <v>-2.0499999999999998</v>
      </c>
    </row>
    <row r="635" spans="14:31" x14ac:dyDescent="0.2">
      <c r="N635" s="337">
        <v>44043</v>
      </c>
      <c r="O635" s="116">
        <f>INDEX('Additional data'!$B$2:$B$965,MATCH(DATE(YEAR(N635),MONTH(N635),1),'Additional data'!$A$2:$A$965,0))</f>
        <v>40.71</v>
      </c>
      <c r="P635" s="232">
        <f t="shared" si="113"/>
        <v>3.7064737625148876</v>
      </c>
      <c r="Q635" s="232">
        <f>Q634+LN(1+INDEX('Additional data'!$H$2:$H$1196,MATCH(N635,'Additional data'!$G$2:$G$1196,1))+INDEX('Additional data'!$I$2:$I$1196,MATCH(N635,'Additional data'!$G$2:$G$1196,1)))</f>
        <v>5.0925591799403263</v>
      </c>
      <c r="R635" s="232">
        <f>LN(INDEX(Data!$B$2:$B$497,MATCH(N635,Data!$A$2:$A$497,1)))</f>
        <v>11.081245306565297</v>
      </c>
      <c r="S635" s="116">
        <f>INDEX('Additional data'!$E$2:$E$699,MATCH(DATE(YEAR(N635),MONTH(N635),1),'Additional data'!$D$2:$D$699,0))</f>
        <v>0.1</v>
      </c>
      <c r="T635" s="115">
        <f t="shared" si="114"/>
        <v>6.0762803802330012E-2</v>
      </c>
      <c r="U635" s="115">
        <f t="shared" si="115"/>
        <v>5.6758333818608619E-2</v>
      </c>
      <c r="V635" s="115">
        <f t="shared" si="118"/>
        <v>9.4379050412722876E-3</v>
      </c>
      <c r="W635" s="116">
        <f t="shared" si="116"/>
        <v>0</v>
      </c>
      <c r="X635" s="115">
        <f t="shared" si="119"/>
        <v>-0.34269908106049218</v>
      </c>
      <c r="Y635" s="115">
        <f t="shared" si="120"/>
        <v>0.11857622002611379</v>
      </c>
      <c r="Z635" s="115">
        <f t="shared" si="122"/>
        <v>-9.4506209559824583E-2</v>
      </c>
      <c r="AA635" s="116">
        <f t="shared" si="121"/>
        <v>-1.01</v>
      </c>
      <c r="AB635" s="115">
        <f t="shared" si="110"/>
        <v>-0.22338916104158946</v>
      </c>
      <c r="AC635" s="115">
        <f t="shared" si="111"/>
        <v>0.54663867005020705</v>
      </c>
      <c r="AD635" s="115">
        <f t="shared" si="117"/>
        <v>0.26971315566510334</v>
      </c>
      <c r="AE635" s="235">
        <f t="shared" si="112"/>
        <v>-2.04</v>
      </c>
    </row>
    <row r="636" spans="14:31" x14ac:dyDescent="0.2">
      <c r="N636" s="337">
        <v>44074</v>
      </c>
      <c r="O636" s="116">
        <f>INDEX('Additional data'!$B$2:$B$965,MATCH(DATE(YEAR(N636),MONTH(N636),1),'Additional data'!$A$2:$A$965,0))</f>
        <v>42.34</v>
      </c>
      <c r="P636" s="232">
        <f t="shared" si="113"/>
        <v>3.7457322657067191</v>
      </c>
      <c r="Q636" s="232">
        <f>Q635+LN(1+INDEX('Additional data'!$H$2:$H$1196,MATCH(N636,'Additional data'!$G$2:$G$1196,1))+INDEX('Additional data'!$I$2:$I$1196,MATCH(N636,'Additional data'!$G$2:$G$1196,1)))</f>
        <v>5.1660884132284419</v>
      </c>
      <c r="R636" s="232">
        <f>LN(INDEX(Data!$B$2:$B$497,MATCH(N636,Data!$A$2:$A$497,1)))</f>
        <v>11.117629697763382</v>
      </c>
      <c r="S636" s="116">
        <f>INDEX('Additional data'!$E$2:$E$699,MATCH(DATE(YEAR(N636),MONTH(N636),1),'Additional data'!$D$2:$D$699,0))</f>
        <v>0.1</v>
      </c>
      <c r="T636" s="115">
        <f t="shared" si="114"/>
        <v>3.9258503191831551E-2</v>
      </c>
      <c r="U636" s="115">
        <f t="shared" si="115"/>
        <v>7.352923328811567E-2</v>
      </c>
      <c r="V636" s="115">
        <f t="shared" si="118"/>
        <v>3.6384391198085453E-2</v>
      </c>
      <c r="W636" s="116">
        <f t="shared" si="116"/>
        <v>0</v>
      </c>
      <c r="X636" s="115">
        <f t="shared" si="119"/>
        <v>-0.25814039335130623</v>
      </c>
      <c r="Y636" s="115">
        <f t="shared" si="120"/>
        <v>0.2162956921154473</v>
      </c>
      <c r="Z636" s="115">
        <f t="shared" si="122"/>
        <v>-3.5716170650543333E-2</v>
      </c>
      <c r="AA636" s="116">
        <f t="shared" si="121"/>
        <v>-0.88</v>
      </c>
      <c r="AB636" s="115">
        <f t="shared" si="110"/>
        <v>-1.2440014903166485E-2</v>
      </c>
      <c r="AC636" s="115">
        <f t="shared" si="111"/>
        <v>0.68225609565174405</v>
      </c>
      <c r="AD636" s="115">
        <f t="shared" si="117"/>
        <v>0.38188038515695055</v>
      </c>
      <c r="AE636" s="235">
        <f t="shared" si="112"/>
        <v>-2.04</v>
      </c>
    </row>
    <row r="637" spans="14:31" x14ac:dyDescent="0.2">
      <c r="N637" s="337">
        <v>44104</v>
      </c>
      <c r="O637" s="116">
        <f>INDEX('Additional data'!$B$2:$B$965,MATCH(DATE(YEAR(N637),MONTH(N637),1),'Additional data'!$A$2:$A$965,0))</f>
        <v>39.630000000000003</v>
      </c>
      <c r="P637" s="232">
        <f t="shared" si="113"/>
        <v>3.6795864072023439</v>
      </c>
      <c r="Q637" s="232">
        <f>Q636+LN(1+INDEX('Additional data'!$H$2:$H$1196,MATCH(N637,'Additional data'!$G$2:$G$1196,1))+INDEX('Additional data'!$I$2:$I$1196,MATCH(N637,'Additional data'!$G$2:$G$1196,1)))</f>
        <v>5.1291131771035463</v>
      </c>
      <c r="R637" s="232">
        <f>LN(INDEX(Data!$B$2:$B$497,MATCH(N637,Data!$A$2:$A$497,1)))</f>
        <v>11.082757165292957</v>
      </c>
      <c r="S637" s="116">
        <f>INDEX('Additional data'!$E$2:$E$699,MATCH(DATE(YEAR(N637),MONTH(N637),1),'Additional data'!$D$2:$D$699,0))</f>
        <v>0.09</v>
      </c>
      <c r="T637" s="115">
        <f t="shared" si="114"/>
        <v>-6.6145858504375266E-2</v>
      </c>
      <c r="U637" s="115">
        <f t="shared" si="115"/>
        <v>-3.6975236124895616E-2</v>
      </c>
      <c r="V637" s="115">
        <f t="shared" si="118"/>
        <v>-3.4872532470425099E-2</v>
      </c>
      <c r="W637" s="116">
        <f t="shared" si="116"/>
        <v>-1.0000000000000009E-2</v>
      </c>
      <c r="X637" s="115">
        <f t="shared" si="119"/>
        <v>-0.36258728269084761</v>
      </c>
      <c r="Y637" s="115">
        <f t="shared" si="120"/>
        <v>0.16354553687518969</v>
      </c>
      <c r="Z637" s="115">
        <f t="shared" si="122"/>
        <v>-9.1649667037266624E-2</v>
      </c>
      <c r="AA637" s="116">
        <f t="shared" si="121"/>
        <v>-0.89</v>
      </c>
      <c r="AB637" s="115">
        <f t="shared" si="110"/>
        <v>-0.13768626167999143</v>
      </c>
      <c r="AC637" s="115">
        <f t="shared" si="111"/>
        <v>0.67635881509770979</v>
      </c>
      <c r="AD637" s="115">
        <f t="shared" si="117"/>
        <v>0.37233909550931443</v>
      </c>
      <c r="AE637" s="235">
        <f t="shared" si="112"/>
        <v>-2.08</v>
      </c>
    </row>
    <row r="638" spans="14:31" x14ac:dyDescent="0.2">
      <c r="N638" s="337">
        <v>44135</v>
      </c>
      <c r="O638" s="116">
        <f>INDEX('Additional data'!$B$2:$B$965,MATCH(DATE(YEAR(N638),MONTH(N638),1),'Additional data'!$A$2:$A$965,0))</f>
        <v>39.4</v>
      </c>
      <c r="P638" s="232">
        <f t="shared" si="113"/>
        <v>3.673765816303888</v>
      </c>
      <c r="Q638" s="232">
        <f>Q637+LN(1+INDEX('Additional data'!$H$2:$H$1196,MATCH(N638,'Additional data'!$G$2:$G$1196,1))+INDEX('Additional data'!$I$2:$I$1196,MATCH(N638,'Additional data'!$G$2:$G$1196,1)))</f>
        <v>5.1081959288481578</v>
      </c>
      <c r="R638" s="232">
        <f>LN(INDEX(Data!$B$2:$B$497,MATCH(N638,Data!$A$2:$A$497,1)))</f>
        <v>11.103375134220446</v>
      </c>
      <c r="S638" s="116">
        <f>INDEX('Additional data'!$E$2:$E$699,MATCH(DATE(YEAR(N638),MONTH(N638),1),'Additional data'!$D$2:$D$699,0))</f>
        <v>7.0000000000000007E-2</v>
      </c>
      <c r="T638" s="115">
        <f t="shared" si="114"/>
        <v>-5.8205908984558796E-3</v>
      </c>
      <c r="U638" s="115">
        <f t="shared" si="115"/>
        <v>-2.0917248255388543E-2</v>
      </c>
      <c r="V638" s="115">
        <f t="shared" si="118"/>
        <v>2.0617968927489017E-2</v>
      </c>
      <c r="W638" s="116">
        <f t="shared" si="116"/>
        <v>-1.999999999999999E-2</v>
      </c>
      <c r="X638" s="115">
        <f t="shared" si="119"/>
        <v>-0.31447721503566717</v>
      </c>
      <c r="Y638" s="115">
        <f t="shared" si="120"/>
        <v>0.12067112126775914</v>
      </c>
      <c r="Z638" s="115">
        <f t="shared" si="122"/>
        <v>-6.7318934537704322E-2</v>
      </c>
      <c r="AA638" s="116">
        <f t="shared" si="121"/>
        <v>-0.81</v>
      </c>
      <c r="AB638" s="115">
        <f t="shared" si="110"/>
        <v>-0.15964678854234648</v>
      </c>
      <c r="AC638" s="115">
        <f t="shared" si="111"/>
        <v>0.58079802384655554</v>
      </c>
      <c r="AD638" s="115">
        <f t="shared" si="117"/>
        <v>0.34807402037446167</v>
      </c>
      <c r="AE638" s="235">
        <f t="shared" si="112"/>
        <v>-2.08</v>
      </c>
    </row>
    <row r="639" spans="14:31" x14ac:dyDescent="0.2">
      <c r="N639" s="337">
        <v>44165</v>
      </c>
      <c r="O639" s="116">
        <f>INDEX('Additional data'!$B$2:$B$965,MATCH(DATE(YEAR(N639),MONTH(N639),1),'Additional data'!$A$2:$A$965,0))</f>
        <v>40.94</v>
      </c>
      <c r="P639" s="232">
        <f t="shared" si="113"/>
        <v>3.7121075802331434</v>
      </c>
      <c r="Q639" s="232">
        <f>Q638+LN(1+INDEX('Additional data'!$H$2:$H$1196,MATCH(N639,'Additional data'!$G$2:$G$1196,1))+INDEX('Additional data'!$I$2:$I$1196,MATCH(N639,'Additional data'!$G$2:$G$1196,1)))</f>
        <v>5.2256233457241219</v>
      </c>
      <c r="R639" s="232">
        <f>LN(INDEX(Data!$B$2:$B$497,MATCH(N639,Data!$A$2:$A$497,1)))</f>
        <v>11.200143490354359</v>
      </c>
      <c r="S639" s="116">
        <f>INDEX('Additional data'!$E$2:$E$699,MATCH(DATE(YEAR(N639),MONTH(N639),1),'Additional data'!$D$2:$D$699,0))</f>
        <v>0.02</v>
      </c>
      <c r="T639" s="115">
        <f t="shared" si="114"/>
        <v>3.8341763929255368E-2</v>
      </c>
      <c r="U639" s="115">
        <f t="shared" si="115"/>
        <v>0.11742741687596414</v>
      </c>
      <c r="V639" s="115">
        <f t="shared" si="118"/>
        <v>9.6768356133912548E-2</v>
      </c>
      <c r="W639" s="116">
        <f t="shared" si="116"/>
        <v>-0.05</v>
      </c>
      <c r="X639" s="115">
        <f t="shared" si="119"/>
        <v>-0.3314698649353045</v>
      </c>
      <c r="Y639" s="115">
        <f t="shared" si="120"/>
        <v>0.19897398345967332</v>
      </c>
      <c r="Z639" s="115">
        <f t="shared" si="122"/>
        <v>-8.2700404315261267E-4</v>
      </c>
      <c r="AA639" s="116">
        <f t="shared" si="121"/>
        <v>-0.89</v>
      </c>
      <c r="AB639" s="115">
        <f t="shared" si="110"/>
        <v>-3.5983733512638949E-2</v>
      </c>
      <c r="AC639" s="115">
        <f t="shared" si="111"/>
        <v>0.69254162425422194</v>
      </c>
      <c r="AD639" s="115">
        <f t="shared" si="117"/>
        <v>0.45174936377347308</v>
      </c>
      <c r="AE639" s="235">
        <f t="shared" si="112"/>
        <v>-2.2000000000000002</v>
      </c>
    </row>
    <row r="640" spans="14:31" x14ac:dyDescent="0.2">
      <c r="N640" s="337">
        <v>44196</v>
      </c>
      <c r="O640" s="116">
        <f>INDEX('Additional data'!$B$2:$B$965,MATCH(DATE(YEAR(N640),MONTH(N640),1),'Additional data'!$A$2:$A$965,0))</f>
        <v>47.02</v>
      </c>
      <c r="P640" s="232">
        <f t="shared" si="113"/>
        <v>3.8505730431119236</v>
      </c>
      <c r="Q640" s="232">
        <f>Q639+LN(1+INDEX('Additional data'!$H$2:$H$1196,MATCH(N640,'Additional data'!$G$2:$G$1196,1))+INDEX('Additional data'!$I$2:$I$1196,MATCH(N640,'Additional data'!$G$2:$G$1196,1)))</f>
        <v>5.2709790474449187</v>
      </c>
      <c r="R640" s="232">
        <f>LN(INDEX(Data!$B$2:$B$497,MATCH(N640,Data!$A$2:$A$497,1)))</f>
        <v>11.217541206453729</v>
      </c>
      <c r="S640" s="116">
        <f>INDEX('Additional data'!$E$2:$E$699,MATCH(DATE(YEAR(N640),MONTH(N640),1),'Additional data'!$D$2:$D$699,0))</f>
        <v>0.02</v>
      </c>
      <c r="T640" s="115">
        <f t="shared" si="114"/>
        <v>0.13846546287878025</v>
      </c>
      <c r="U640" s="115">
        <f t="shared" si="115"/>
        <v>4.5355701720796837E-2</v>
      </c>
      <c r="V640" s="115">
        <f t="shared" si="118"/>
        <v>1.7397716099370797E-2</v>
      </c>
      <c r="W640" s="116">
        <f t="shared" si="116"/>
        <v>0</v>
      </c>
      <c r="X640" s="115">
        <f t="shared" si="119"/>
        <v>-0.24176951643950417</v>
      </c>
      <c r="Y640" s="115">
        <f t="shared" si="120"/>
        <v>0.21564505132056144</v>
      </c>
      <c r="Z640" s="115">
        <f t="shared" si="122"/>
        <v>3.5708232673769658E-2</v>
      </c>
      <c r="AA640" s="116">
        <f t="shared" si="121"/>
        <v>-0.88</v>
      </c>
      <c r="AB640" s="115">
        <f t="shared" si="110"/>
        <v>0.2345331351749449</v>
      </c>
      <c r="AC640" s="115">
        <f t="shared" si="111"/>
        <v>0.75952962610213248</v>
      </c>
      <c r="AD640" s="115">
        <f t="shared" si="117"/>
        <v>0.44300689697957374</v>
      </c>
      <c r="AE640" s="235">
        <f t="shared" si="112"/>
        <v>-2.3199999999999998</v>
      </c>
    </row>
    <row r="641" spans="14:31" x14ac:dyDescent="0.2">
      <c r="N641" s="337">
        <v>44227</v>
      </c>
      <c r="O641" s="116">
        <f>INDEX('Additional data'!$B$2:$B$965,MATCH(DATE(YEAR(N641),MONTH(N641),1),'Additional data'!$A$2:$A$965,0))</f>
        <v>52</v>
      </c>
      <c r="P641" s="232">
        <f t="shared" si="113"/>
        <v>3.9512437185814275</v>
      </c>
      <c r="Q641" s="232">
        <f>Q640+LN(1+INDEX('Additional data'!$H$2:$H$1196,MATCH(N641,'Additional data'!$G$2:$G$1196,1))+INDEX('Additional data'!$I$2:$I$1196,MATCH(N641,'Additional data'!$G$2:$G$1196,1)))</f>
        <v>5.2702788023305249</v>
      </c>
      <c r="R641" s="232">
        <f>LN(INDEX(Data!$B$2:$B$497,MATCH(N641,Data!$A$2:$A$497,1)))</f>
        <v>11.220552404083007</v>
      </c>
      <c r="S641" s="116">
        <f>INDEX('Additional data'!$E$2:$E$699,MATCH(DATE(YEAR(N641),MONTH(N641),1),'Additional data'!$D$2:$D$699,0))</f>
        <v>0.01</v>
      </c>
      <c r="T641" s="115">
        <f t="shared" si="114"/>
        <v>0.10067067546950392</v>
      </c>
      <c r="U641" s="115">
        <f t="shared" si="115"/>
        <v>-7.0024511439381598E-4</v>
      </c>
      <c r="V641" s="115">
        <f t="shared" si="118"/>
        <v>3.0111976292772624E-3</v>
      </c>
      <c r="W641" s="116">
        <f t="shared" si="116"/>
        <v>-0.01</v>
      </c>
      <c r="X641" s="115">
        <f t="shared" si="119"/>
        <v>-0.10088899483136382</v>
      </c>
      <c r="Y641" s="115">
        <f t="shared" si="120"/>
        <v>0.21474482620350166</v>
      </c>
      <c r="Z641" s="115">
        <f t="shared" si="122"/>
        <v>-7.0802656332453751E-3</v>
      </c>
      <c r="AA641" s="116">
        <f t="shared" si="121"/>
        <v>-0.88</v>
      </c>
      <c r="AB641" s="115">
        <f t="shared" ref="AB641:AB704" si="123">P641-P581</f>
        <v>0.49555815163520256</v>
      </c>
      <c r="AC641" s="115">
        <f t="shared" ref="AC641:AC704" si="124">Q641-Q581</f>
        <v>0.81783656156777074</v>
      </c>
      <c r="AD641" s="115">
        <f t="shared" si="117"/>
        <v>0.50133823644940989</v>
      </c>
      <c r="AE641" s="235">
        <f t="shared" ref="AE641:AE704" si="125">S641-S581</f>
        <v>-2.29</v>
      </c>
    </row>
    <row r="642" spans="14:31" x14ac:dyDescent="0.2">
      <c r="N642" s="337">
        <v>44255</v>
      </c>
      <c r="O642" s="116">
        <f>INDEX('Additional data'!$B$2:$B$965,MATCH(DATE(YEAR(N642),MONTH(N642),1),'Additional data'!$A$2:$A$965,0))</f>
        <v>59.04</v>
      </c>
      <c r="P642" s="232">
        <f t="shared" si="113"/>
        <v>4.0782151802922169</v>
      </c>
      <c r="Q642" s="232">
        <f>Q641+LN(1+INDEX('Additional data'!$H$2:$H$1196,MATCH(N642,'Additional data'!$G$2:$G$1196,1))+INDEX('Additional data'!$I$2:$I$1196,MATCH(N642,'Additional data'!$G$2:$G$1196,1)))</f>
        <v>5.2979912408970611</v>
      </c>
      <c r="R642" s="232">
        <f>LN(INDEX(Data!$B$2:$B$497,MATCH(N642,Data!$A$2:$A$497,1)))</f>
        <v>11.234702721967917</v>
      </c>
      <c r="S642" s="116">
        <f>INDEX('Additional data'!$E$2:$E$699,MATCH(DATE(YEAR(N642),MONTH(N642),1),'Additional data'!$D$2:$D$699,0))</f>
        <v>0.01</v>
      </c>
      <c r="T642" s="115">
        <f t="shared" si="114"/>
        <v>0.12697146171078932</v>
      </c>
      <c r="U642" s="115">
        <f t="shared" si="115"/>
        <v>2.7712438566536157E-2</v>
      </c>
      <c r="V642" s="115">
        <f t="shared" si="118"/>
        <v>1.415031788491028E-2</v>
      </c>
      <c r="W642" s="116">
        <f t="shared" si="116"/>
        <v>0</v>
      </c>
      <c r="X642" s="115">
        <f t="shared" si="119"/>
        <v>0.15545007833216884</v>
      </c>
      <c r="Y642" s="115">
        <f t="shared" si="120"/>
        <v>0.32616501384352325</v>
      </c>
      <c r="Z642" s="115">
        <f t="shared" si="122"/>
        <v>9.1301026917331995E-2</v>
      </c>
      <c r="AA642" s="116">
        <f t="shared" si="121"/>
        <v>-0.88</v>
      </c>
      <c r="AB642" s="115">
        <f t="shared" si="123"/>
        <v>0.66640761951804572</v>
      </c>
      <c r="AC642" s="115">
        <f t="shared" si="124"/>
        <v>0.84594908015564663</v>
      </c>
      <c r="AD642" s="115">
        <f t="shared" si="117"/>
        <v>0.53033065676112479</v>
      </c>
      <c r="AE642" s="235">
        <f t="shared" si="125"/>
        <v>-2.27</v>
      </c>
    </row>
    <row r="643" spans="14:31" x14ac:dyDescent="0.2">
      <c r="N643" s="337">
        <v>44286</v>
      </c>
      <c r="O643" s="116">
        <f>INDEX('Additional data'!$B$2:$B$965,MATCH(DATE(YEAR(N643),MONTH(N643),1),'Additional data'!$A$2:$A$965,0))</f>
        <v>62.33</v>
      </c>
      <c r="P643" s="232">
        <f t="shared" si="113"/>
        <v>4.1324428508207589</v>
      </c>
      <c r="Q643" s="232">
        <f>Q642+LN(1+INDEX('Additional data'!$H$2:$H$1196,MATCH(N643,'Additional data'!$G$2:$G$1196,1))+INDEX('Additional data'!$I$2:$I$1196,MATCH(N643,'Additional data'!$G$2:$G$1196,1)))</f>
        <v>5.3291022359221136</v>
      </c>
      <c r="R643" s="232">
        <f>LN(INDEX(Data!$B$2:$B$497,MATCH(N643,Data!$A$2:$A$497,1)))</f>
        <v>11.2529722765722</v>
      </c>
      <c r="S643" s="116">
        <f>INDEX('Additional data'!$E$2:$E$699,MATCH(DATE(YEAR(N643),MONTH(N643),1),'Additional data'!$D$2:$D$699,0))</f>
        <v>0.03</v>
      </c>
      <c r="T643" s="115">
        <f t="shared" si="114"/>
        <v>5.4227670528542049E-2</v>
      </c>
      <c r="U643" s="115">
        <f t="shared" si="115"/>
        <v>3.1110995025052546E-2</v>
      </c>
      <c r="V643" s="115">
        <f t="shared" si="118"/>
        <v>1.826955460428259E-2</v>
      </c>
      <c r="W643" s="116">
        <f t="shared" si="116"/>
        <v>1.9999999999999997E-2</v>
      </c>
      <c r="X643" s="115">
        <f t="shared" si="119"/>
        <v>0.75793173442110939</v>
      </c>
      <c r="Y643" s="115">
        <f t="shared" si="120"/>
        <v>0.49941577602969911</v>
      </c>
      <c r="Z643" s="115">
        <f t="shared" si="122"/>
        <v>0.3445637825588701</v>
      </c>
      <c r="AA643" s="116">
        <f t="shared" si="121"/>
        <v>-0.5</v>
      </c>
      <c r="AB643" s="115">
        <f t="shared" si="123"/>
        <v>0.50676947261061533</v>
      </c>
      <c r="AC643" s="115">
        <f t="shared" si="124"/>
        <v>0.80968183985075104</v>
      </c>
      <c r="AD643" s="115">
        <f t="shared" si="117"/>
        <v>0.50224900316164245</v>
      </c>
      <c r="AE643" s="235">
        <f t="shared" si="125"/>
        <v>-2.2800000000000002</v>
      </c>
    </row>
    <row r="644" spans="14:31" x14ac:dyDescent="0.2">
      <c r="N644" s="337">
        <v>44316</v>
      </c>
      <c r="O644" s="116">
        <f>INDEX('Additional data'!$B$2:$B$965,MATCH(DATE(YEAR(N644),MONTH(N644),1),'Additional data'!$A$2:$A$965,0))</f>
        <v>61.72</v>
      </c>
      <c r="P644" s="232">
        <f t="shared" si="113"/>
        <v>4.1226080274949597</v>
      </c>
      <c r="Q644" s="232">
        <f>Q643+LN(1+INDEX('Additional data'!$H$2:$H$1196,MATCH(N644,'Additional data'!$G$2:$G$1196,1))+INDEX('Additional data'!$I$2:$I$1196,MATCH(N644,'Additional data'!$G$2:$G$1196,1)))</f>
        <v>5.3774160962006645</v>
      </c>
      <c r="R644" s="232">
        <f>LN(INDEX(Data!$B$2:$B$497,MATCH(N644,Data!$A$2:$A$497,1)))</f>
        <v>11.29138981773329</v>
      </c>
      <c r="S644" s="116">
        <f>INDEX('Additional data'!$E$2:$E$699,MATCH(DATE(YEAR(N644),MONTH(N644),1),'Additional data'!$D$2:$D$699,0))</f>
        <v>0.04</v>
      </c>
      <c r="T644" s="115">
        <f t="shared" si="114"/>
        <v>-9.8348233257992135E-3</v>
      </c>
      <c r="U644" s="115">
        <f t="shared" si="115"/>
        <v>4.8313860278550891E-2</v>
      </c>
      <c r="V644" s="115">
        <f t="shared" si="118"/>
        <v>3.8417541161090085E-2</v>
      </c>
      <c r="W644" s="116">
        <f t="shared" si="116"/>
        <v>1.0000000000000002E-2</v>
      </c>
      <c r="X644" s="115">
        <f t="shared" si="119"/>
        <v>1.3162219256718877</v>
      </c>
      <c r="Y644" s="115">
        <f t="shared" si="120"/>
        <v>0.42021631600929066</v>
      </c>
      <c r="Z644" s="115">
        <f t="shared" si="122"/>
        <v>0.2918406248637222</v>
      </c>
      <c r="AA644" s="116">
        <f t="shared" si="121"/>
        <v>-0.13</v>
      </c>
      <c r="AB644" s="115">
        <f t="shared" si="123"/>
        <v>0.41515218780808816</v>
      </c>
      <c r="AC644" s="115">
        <f t="shared" si="124"/>
        <v>0.84873867886662513</v>
      </c>
      <c r="AD644" s="115">
        <f t="shared" si="117"/>
        <v>0.50882781613594297</v>
      </c>
      <c r="AE644" s="235">
        <f t="shared" si="125"/>
        <v>-2.2199999999999998</v>
      </c>
    </row>
    <row r="645" spans="14:31" x14ac:dyDescent="0.2">
      <c r="N645" s="337">
        <v>44347</v>
      </c>
      <c r="O645" s="116">
        <f>INDEX('Additional data'!$B$2:$B$965,MATCH(DATE(YEAR(N645),MONTH(N645),1),'Additional data'!$A$2:$A$965,0))</f>
        <v>65.17</v>
      </c>
      <c r="P645" s="232">
        <f t="shared" ref="P645:P708" si="126">LN(O645)</f>
        <v>4.1769992403442888</v>
      </c>
      <c r="Q645" s="232">
        <f>Q644+LN(1+INDEX('Additional data'!$H$2:$H$1196,MATCH(N645,'Additional data'!$G$2:$G$1196,1))+INDEX('Additional data'!$I$2:$I$1196,MATCH(N645,'Additional data'!$G$2:$G$1196,1)))</f>
        <v>5.3804116051804627</v>
      </c>
      <c r="R645" s="232">
        <f>LN(INDEX(Data!$B$2:$B$497,MATCH(N645,Data!$A$2:$A$497,1)))</f>
        <v>11.310753381406185</v>
      </c>
      <c r="S645" s="116">
        <f>INDEX('Additional data'!$E$2:$E$699,MATCH(DATE(YEAR(N645),MONTH(N645),1),'Additional data'!$D$2:$D$699,0))</f>
        <v>0.04</v>
      </c>
      <c r="T645" s="115">
        <f t="shared" si="114"/>
        <v>5.4391212849329129E-2</v>
      </c>
      <c r="U645" s="115">
        <f t="shared" si="115"/>
        <v>2.9955089797981671E-3</v>
      </c>
      <c r="V645" s="115">
        <f t="shared" si="118"/>
        <v>1.9363563672895268E-2</v>
      </c>
      <c r="W645" s="116">
        <f t="shared" si="116"/>
        <v>0</v>
      </c>
      <c r="X645" s="115">
        <f t="shared" si="119"/>
        <v>0.82499210287290525</v>
      </c>
      <c r="Y645" s="115">
        <f t="shared" si="120"/>
        <v>0.36891305158170962</v>
      </c>
      <c r="Z645" s="115">
        <f t="shared" si="122"/>
        <v>0.26205990938340662</v>
      </c>
      <c r="AA645" s="116">
        <f t="shared" si="121"/>
        <v>-6.0000000000000005E-2</v>
      </c>
      <c r="AB645" s="115">
        <f t="shared" si="123"/>
        <v>0.33304096583027221</v>
      </c>
      <c r="AC645" s="115">
        <f t="shared" si="124"/>
        <v>0.83399250637026601</v>
      </c>
      <c r="AD645" s="115">
        <f t="shared" si="117"/>
        <v>0.49775975903095393</v>
      </c>
      <c r="AE645" s="235">
        <f t="shared" si="125"/>
        <v>-1.96</v>
      </c>
    </row>
    <row r="646" spans="14:31" x14ac:dyDescent="0.2">
      <c r="N646" s="337">
        <v>44377</v>
      </c>
      <c r="O646" s="116">
        <f>INDEX('Additional data'!$B$2:$B$965,MATCH(DATE(YEAR(N646),MONTH(N646),1),'Additional data'!$A$2:$A$965,0))</f>
        <v>71.38</v>
      </c>
      <c r="P646" s="232">
        <f t="shared" si="126"/>
        <v>4.2680177180620138</v>
      </c>
      <c r="Q646" s="232">
        <f>Q645+LN(1+INDEX('Additional data'!$H$2:$H$1196,MATCH(N646,'Additional data'!$G$2:$G$1196,1))+INDEX('Additional data'!$I$2:$I$1196,MATCH(N646,'Additional data'!$G$2:$G$1196,1)))</f>
        <v>5.4074429442314935</v>
      </c>
      <c r="R646" s="232">
        <f>LN(INDEX(Data!$B$2:$B$497,MATCH(N646,Data!$A$2:$A$497,1)))</f>
        <v>11.336025062017322</v>
      </c>
      <c r="S646" s="116">
        <f>INDEX('Additional data'!$E$2:$E$699,MATCH(DATE(YEAR(N646),MONTH(N646),1),'Additional data'!$D$2:$D$699,0))</f>
        <v>0.03</v>
      </c>
      <c r="T646" s="115">
        <f t="shared" ref="T646:T701" si="127">P646-P645</f>
        <v>9.1018477717724977E-2</v>
      </c>
      <c r="U646" s="115">
        <f t="shared" ref="U646:U701" si="128">Q646-Q645</f>
        <v>2.7031339051030834E-2</v>
      </c>
      <c r="V646" s="115">
        <f t="shared" si="118"/>
        <v>2.527168061113727E-2</v>
      </c>
      <c r="W646" s="116">
        <f t="shared" ref="W646:W701" si="129">S646-S645</f>
        <v>-1.0000000000000002E-2</v>
      </c>
      <c r="X646" s="115">
        <f t="shared" si="119"/>
        <v>0.62230675934945623</v>
      </c>
      <c r="Y646" s="115">
        <f t="shared" si="120"/>
        <v>0.37164209810977589</v>
      </c>
      <c r="Z646" s="115">
        <f t="shared" si="122"/>
        <v>0.26421766049329776</v>
      </c>
      <c r="AA646" s="116">
        <f t="shared" si="121"/>
        <v>-7.0000000000000007E-2</v>
      </c>
      <c r="AB646" s="115">
        <f t="shared" si="123"/>
        <v>0.38110741344894317</v>
      </c>
      <c r="AC646" s="115">
        <f t="shared" si="124"/>
        <v>0.86112385042163009</v>
      </c>
      <c r="AD646" s="115">
        <f t="shared" si="117"/>
        <v>0.54608018144784154</v>
      </c>
      <c r="AE646" s="235">
        <f t="shared" si="125"/>
        <v>-1.96</v>
      </c>
    </row>
    <row r="647" spans="14:31" x14ac:dyDescent="0.2">
      <c r="N647" s="337">
        <v>44408</v>
      </c>
      <c r="O647" s="116">
        <f>INDEX('Additional data'!$B$2:$B$965,MATCH(DATE(YEAR(N647),MONTH(N647),1),'Additional data'!$A$2:$A$965,0))</f>
        <v>72.489999999999995</v>
      </c>
      <c r="P647" s="232">
        <f t="shared" si="126"/>
        <v>4.283448621312786</v>
      </c>
      <c r="Q647" s="232">
        <f>Q646+LN(1+INDEX('Additional data'!$H$2:$H$1196,MATCH(N647,'Additional data'!$G$2:$G$1196,1))+INDEX('Additional data'!$I$2:$I$1196,MATCH(N647,'Additional data'!$G$2:$G$1196,1)))</f>
        <v>5.4207539582911659</v>
      </c>
      <c r="R647" s="232">
        <f>LN(INDEX(Data!$B$2:$B$497,MATCH(N647,Data!$A$2:$A$497,1)))</f>
        <v>11.346535740746388</v>
      </c>
      <c r="S647" s="116">
        <f>INDEX('Additional data'!$E$2:$E$699,MATCH(DATE(YEAR(N647),MONTH(N647),1),'Additional data'!$D$2:$D$699,0))</f>
        <v>0.02</v>
      </c>
      <c r="T647" s="115">
        <f t="shared" si="127"/>
        <v>1.5430903250772232E-2</v>
      </c>
      <c r="U647" s="115">
        <f t="shared" si="128"/>
        <v>1.3311014059672388E-2</v>
      </c>
      <c r="V647" s="115">
        <f t="shared" si="118"/>
        <v>1.0510678729065859E-2</v>
      </c>
      <c r="W647" s="116">
        <f t="shared" si="129"/>
        <v>-9.9999999999999985E-3</v>
      </c>
      <c r="X647" s="115">
        <f t="shared" si="119"/>
        <v>0.57697485879789845</v>
      </c>
      <c r="Y647" s="115">
        <f t="shared" si="120"/>
        <v>0.32819477835083966</v>
      </c>
      <c r="Z647" s="115">
        <f t="shared" si="122"/>
        <v>0.26529043418109133</v>
      </c>
      <c r="AA647" s="116">
        <f t="shared" si="121"/>
        <v>-0.08</v>
      </c>
      <c r="AB647" s="115">
        <f t="shared" si="123"/>
        <v>0.48459431399027819</v>
      </c>
      <c r="AC647" s="115">
        <f t="shared" si="124"/>
        <v>0.83559884069610391</v>
      </c>
      <c r="AD647" s="115">
        <f t="shared" si="117"/>
        <v>0.49562796087913163</v>
      </c>
      <c r="AE647" s="235">
        <f t="shared" si="125"/>
        <v>-1.91</v>
      </c>
    </row>
    <row r="648" spans="14:31" x14ac:dyDescent="0.2">
      <c r="N648" s="337">
        <v>44439</v>
      </c>
      <c r="O648" s="116">
        <f>INDEX('Additional data'!$B$2:$B$965,MATCH(DATE(YEAR(N648),MONTH(N648),1),'Additional data'!$A$2:$A$965,0))</f>
        <v>67.73</v>
      </c>
      <c r="P648" s="232">
        <f t="shared" si="126"/>
        <v>4.2155292132268123</v>
      </c>
      <c r="Q648" s="232">
        <f>Q647+LN(1+INDEX('Additional data'!$H$2:$H$1196,MATCH(N648,'Additional data'!$G$2:$G$1196,1))+INDEX('Additional data'!$I$2:$I$1196,MATCH(N648,'Additional data'!$G$2:$G$1196,1)))</f>
        <v>5.4497300665276827</v>
      </c>
      <c r="R648" s="232">
        <f>LN(INDEX(Data!$B$2:$B$497,MATCH(N648,Data!$A$2:$A$497,1)))</f>
        <v>11.372247704639488</v>
      </c>
      <c r="S648" s="116">
        <f>INDEX('Additional data'!$E$2:$E$699,MATCH(DATE(YEAR(N648),MONTH(N648),1),'Additional data'!$D$2:$D$699,0))</f>
        <v>0.01</v>
      </c>
      <c r="T648" s="115">
        <f t="shared" si="127"/>
        <v>-6.7919408085973743E-2</v>
      </c>
      <c r="U648" s="115">
        <f t="shared" si="128"/>
        <v>2.8976108236516751E-2</v>
      </c>
      <c r="V648" s="115">
        <f t="shared" si="118"/>
        <v>2.5711963893099821E-2</v>
      </c>
      <c r="W648" s="116">
        <f t="shared" si="129"/>
        <v>-0.01</v>
      </c>
      <c r="X648" s="115">
        <f t="shared" si="119"/>
        <v>0.46979694752009316</v>
      </c>
      <c r="Y648" s="115">
        <f t="shared" si="120"/>
        <v>0.28364165329924074</v>
      </c>
      <c r="Z648" s="115">
        <f t="shared" si="122"/>
        <v>0.2546180068761057</v>
      </c>
      <c r="AA648" s="116">
        <f t="shared" si="121"/>
        <v>-9.0000000000000011E-2</v>
      </c>
      <c r="AB648" s="115">
        <f t="shared" si="123"/>
        <v>0.41510838437996878</v>
      </c>
      <c r="AC648" s="115">
        <f t="shared" si="124"/>
        <v>0.85948790988406376</v>
      </c>
      <c r="AD648" s="115">
        <f t="shared" si="117"/>
        <v>0.53469689780777152</v>
      </c>
      <c r="AE648" s="235">
        <f t="shared" si="125"/>
        <v>-1.75</v>
      </c>
    </row>
    <row r="649" spans="14:31" x14ac:dyDescent="0.2">
      <c r="N649" s="337">
        <v>44469</v>
      </c>
      <c r="O649" s="116">
        <f>INDEX('Additional data'!$B$2:$B$965,MATCH(DATE(YEAR(N649),MONTH(N649),1),'Additional data'!$A$2:$A$965,0))</f>
        <v>71.650000000000006</v>
      </c>
      <c r="P649" s="232">
        <f t="shared" si="126"/>
        <v>4.2717931542741807</v>
      </c>
      <c r="Q649" s="232">
        <f>Q648+LN(1+INDEX('Additional data'!$H$2:$H$1196,MATCH(N649,'Additional data'!$G$2:$G$1196,1))+INDEX('Additional data'!$I$2:$I$1196,MATCH(N649,'Additional data'!$G$2:$G$1196,1)))</f>
        <v>5.4047327005969468</v>
      </c>
      <c r="R649" s="232">
        <f>LN(INDEX(Data!$B$2:$B$497,MATCH(N649,Data!$A$2:$A$497,1)))</f>
        <v>11.3562939780318</v>
      </c>
      <c r="S649" s="116">
        <f>INDEX('Additional data'!$E$2:$E$699,MATCH(DATE(YEAR(N649),MONTH(N649),1),'Additional data'!$D$2:$D$699,0))</f>
        <v>0.01</v>
      </c>
      <c r="T649" s="115">
        <f t="shared" si="127"/>
        <v>5.6263941047368426E-2</v>
      </c>
      <c r="U649" s="115">
        <f t="shared" si="128"/>
        <v>-4.4997365930735889E-2</v>
      </c>
      <c r="V649" s="115">
        <f t="shared" si="118"/>
        <v>-1.5953726607687457E-2</v>
      </c>
      <c r="W649" s="116">
        <f t="shared" si="129"/>
        <v>0</v>
      </c>
      <c r="X649" s="115">
        <f t="shared" si="119"/>
        <v>0.59220674707183685</v>
      </c>
      <c r="Y649" s="115">
        <f t="shared" si="120"/>
        <v>0.27561952349340046</v>
      </c>
      <c r="Z649" s="115">
        <f t="shared" si="122"/>
        <v>0.27353681273884334</v>
      </c>
      <c r="AA649" s="116">
        <f t="shared" si="121"/>
        <v>-0.08</v>
      </c>
      <c r="AB649" s="115">
        <f t="shared" si="123"/>
        <v>0.46113864323432363</v>
      </c>
      <c r="AC649" s="115">
        <f t="shared" si="124"/>
        <v>0.81159474084130245</v>
      </c>
      <c r="AD649" s="115">
        <f t="shared" si="117"/>
        <v>0.51474749103697093</v>
      </c>
      <c r="AE649" s="235">
        <f t="shared" si="125"/>
        <v>-1.72</v>
      </c>
    </row>
    <row r="650" spans="14:31" x14ac:dyDescent="0.2">
      <c r="N650" s="337">
        <v>44500</v>
      </c>
      <c r="O650" s="116">
        <f>INDEX('Additional data'!$B$2:$B$965,MATCH(DATE(YEAR(N650),MONTH(N650),1),'Additional data'!$A$2:$A$965,0))</f>
        <v>81.48</v>
      </c>
      <c r="P650" s="232">
        <f t="shared" si="126"/>
        <v>4.4003575913586053</v>
      </c>
      <c r="Q650" s="232">
        <f>Q649+LN(1+INDEX('Additional data'!$H$2:$H$1196,MATCH(N650,'Additional data'!$G$2:$G$1196,1))+INDEX('Additional data'!$I$2:$I$1196,MATCH(N650,'Additional data'!$G$2:$G$1196,1)))</f>
        <v>5.4689274126389433</v>
      </c>
      <c r="R650" s="232">
        <f>LN(INDEX(Data!$B$2:$B$497,MATCH(N650,Data!$A$2:$A$497,1)))</f>
        <v>11.357786287743593</v>
      </c>
      <c r="S650" s="116">
        <f>INDEX('Additional data'!$E$2:$E$699,MATCH(DATE(YEAR(N650),MONTH(N650),1),'Additional data'!$D$2:$D$699,0))</f>
        <v>0.04</v>
      </c>
      <c r="T650" s="115">
        <f t="shared" si="127"/>
        <v>0.12856443708442455</v>
      </c>
      <c r="U650" s="115">
        <f t="shared" si="128"/>
        <v>6.419471204199656E-2</v>
      </c>
      <c r="V650" s="115">
        <f t="shared" si="118"/>
        <v>1.4923097117929274E-3</v>
      </c>
      <c r="W650" s="116">
        <f t="shared" si="129"/>
        <v>0.03</v>
      </c>
      <c r="X650" s="115">
        <f t="shared" si="119"/>
        <v>0.72659177505471728</v>
      </c>
      <c r="Y650" s="115">
        <f t="shared" si="120"/>
        <v>0.36073148379078557</v>
      </c>
      <c r="Z650" s="115">
        <f t="shared" si="122"/>
        <v>0.25441115352314725</v>
      </c>
      <c r="AA650" s="116">
        <f t="shared" si="121"/>
        <v>-3.0000000000000006E-2</v>
      </c>
      <c r="AB650" s="115">
        <f t="shared" si="123"/>
        <v>0.49274429441915935</v>
      </c>
      <c r="AC650" s="115">
        <f t="shared" si="124"/>
        <v>0.89589012459030215</v>
      </c>
      <c r="AD650" s="115">
        <f t="shared" si="117"/>
        <v>0.53824560455444903</v>
      </c>
      <c r="AE650" s="235">
        <f t="shared" si="125"/>
        <v>-1.7</v>
      </c>
    </row>
    <row r="651" spans="14:31" x14ac:dyDescent="0.2">
      <c r="N651" s="337">
        <v>44530</v>
      </c>
      <c r="O651" s="116">
        <f>INDEX('Additional data'!$B$2:$B$965,MATCH(DATE(YEAR(N651),MONTH(N651),1),'Additional data'!$A$2:$A$965,0))</f>
        <v>79.150000000000006</v>
      </c>
      <c r="P651" s="232">
        <f t="shared" si="126"/>
        <v>4.3713447863270209</v>
      </c>
      <c r="Q651" s="232">
        <f>Q650+LN(1+INDEX('Additional data'!$H$2:$H$1196,MATCH(N651,'Additional data'!$G$2:$G$1196,1))+INDEX('Additional data'!$I$2:$I$1196,MATCH(N651,'Additional data'!$G$2:$G$1196,1)))</f>
        <v>5.4530012620886836</v>
      </c>
      <c r="R651" s="232">
        <f>LN(INDEX(Data!$B$2:$B$497,MATCH(N651,Data!$A$2:$A$497,1)))</f>
        <v>11.354486529092796</v>
      </c>
      <c r="S651" s="116">
        <f>INDEX('Additional data'!$E$2:$E$699,MATCH(DATE(YEAR(N651),MONTH(N651),1),'Additional data'!$D$2:$D$699,0))</f>
        <v>0.04</v>
      </c>
      <c r="T651" s="115">
        <f t="shared" si="127"/>
        <v>-2.9012805031584321E-2</v>
      </c>
      <c r="U651" s="115">
        <f t="shared" si="128"/>
        <v>-1.5926150550259699E-2</v>
      </c>
      <c r="V651" s="115">
        <f t="shared" si="118"/>
        <v>-3.2997586507974574E-3</v>
      </c>
      <c r="W651" s="116">
        <f t="shared" si="129"/>
        <v>0</v>
      </c>
      <c r="X651" s="115">
        <f t="shared" si="119"/>
        <v>0.65923720609387759</v>
      </c>
      <c r="Y651" s="115">
        <f t="shared" si="120"/>
        <v>0.22737791636456173</v>
      </c>
      <c r="Z651" s="115">
        <f t="shared" si="122"/>
        <v>0.15434303873843724</v>
      </c>
      <c r="AA651" s="116">
        <f t="shared" si="121"/>
        <v>0.02</v>
      </c>
      <c r="AB651" s="115">
        <f t="shared" si="123"/>
        <v>0.55012214522537173</v>
      </c>
      <c r="AC651" s="115">
        <f t="shared" si="124"/>
        <v>0.83241267218182013</v>
      </c>
      <c r="AD651" s="115">
        <f t="shared" si="117"/>
        <v>0.51065968358691727</v>
      </c>
      <c r="AE651" s="235">
        <f t="shared" si="125"/>
        <v>-1.72</v>
      </c>
    </row>
    <row r="652" spans="14:31" x14ac:dyDescent="0.2">
      <c r="N652" s="337">
        <v>44561</v>
      </c>
      <c r="O652" s="116">
        <f>INDEX('Additional data'!$B$2:$B$965,MATCH(DATE(YEAR(N652),MONTH(N652),1),'Additional data'!$A$2:$A$965,0))</f>
        <v>71.709999999999994</v>
      </c>
      <c r="P652" s="232">
        <f t="shared" si="126"/>
        <v>4.2726302078944833</v>
      </c>
      <c r="Q652" s="232">
        <f>Q651+LN(1+INDEX('Additional data'!$H$2:$H$1196,MATCH(N652,'Additional data'!$G$2:$G$1196,1))+INDEX('Additional data'!$I$2:$I$1196,MATCH(N652,'Additional data'!$G$2:$G$1196,1)))</f>
        <v>5.4848874509510051</v>
      </c>
      <c r="R652" s="232">
        <f>LN(INDEX(Data!$B$2:$B$497,MATCH(N652,Data!$A$2:$A$497,1)))</f>
        <v>11.380833956824244</v>
      </c>
      <c r="S652" s="116">
        <f>INDEX('Additional data'!$E$2:$E$699,MATCH(DATE(YEAR(N652),MONTH(N652),1),'Additional data'!$D$2:$D$699,0))</f>
        <v>0.06</v>
      </c>
      <c r="T652" s="115">
        <f t="shared" si="127"/>
        <v>-9.8714578432537614E-2</v>
      </c>
      <c r="U652" s="115">
        <f t="shared" si="128"/>
        <v>3.1886188862321418E-2</v>
      </c>
      <c r="V652" s="115">
        <f t="shared" si="118"/>
        <v>2.6347427731447937E-2</v>
      </c>
      <c r="W652" s="116">
        <f t="shared" si="129"/>
        <v>1.9999999999999997E-2</v>
      </c>
      <c r="X652" s="115">
        <f t="shared" si="119"/>
        <v>0.42205716478255972</v>
      </c>
      <c r="Y652" s="115">
        <f t="shared" si="120"/>
        <v>0.21390840350608631</v>
      </c>
      <c r="Z652" s="115">
        <f t="shared" si="122"/>
        <v>0.16329275037051438</v>
      </c>
      <c r="AA652" s="116">
        <f t="shared" si="121"/>
        <v>3.9999999999999994E-2</v>
      </c>
      <c r="AB652" s="115">
        <f t="shared" si="123"/>
        <v>0.32196357887413285</v>
      </c>
      <c r="AC652" s="115">
        <f t="shared" si="124"/>
        <v>0.84606609278308209</v>
      </c>
      <c r="AD652" s="115">
        <f t="shared" ref="AD652:AD715" si="130">R652-R592</f>
        <v>0.49613020294885146</v>
      </c>
      <c r="AE652" s="235">
        <f t="shared" si="125"/>
        <v>-1.72</v>
      </c>
    </row>
    <row r="653" spans="14:31" x14ac:dyDescent="0.2">
      <c r="N653" s="337">
        <v>44592</v>
      </c>
      <c r="O653" s="116">
        <f>INDEX('Additional data'!$B$2:$B$965,MATCH(DATE(YEAR(N653),MONTH(N653),1),'Additional data'!$A$2:$A$965,0))</f>
        <v>83.22</v>
      </c>
      <c r="P653" s="232">
        <f t="shared" si="126"/>
        <v>4.4214877035547948</v>
      </c>
      <c r="Q653" s="232">
        <f>Q652+LN(1+INDEX('Additional data'!$H$2:$H$1196,MATCH(N653,'Additional data'!$G$2:$G$1196,1))+INDEX('Additional data'!$I$2:$I$1196,MATCH(N653,'Additional data'!$G$2:$G$1196,1)))</f>
        <v>5.4213084693081335</v>
      </c>
      <c r="R653" s="232">
        <f>LN(INDEX(Data!$B$2:$B$497,MATCH(N653,Data!$A$2:$A$497,1)))</f>
        <v>11.31293056751506</v>
      </c>
      <c r="S653" s="116">
        <f>INDEX('Additional data'!$E$2:$E$699,MATCH(DATE(YEAR(N653),MONTH(N653),1),'Additional data'!$D$2:$D$699,0))</f>
        <v>7.0000000000000007E-2</v>
      </c>
      <c r="T653" s="115">
        <f t="shared" si="127"/>
        <v>0.14885749566031148</v>
      </c>
      <c r="U653" s="115">
        <f t="shared" si="128"/>
        <v>-6.3578981642871568E-2</v>
      </c>
      <c r="V653" s="115">
        <f t="shared" si="118"/>
        <v>-6.7903389309183382E-2</v>
      </c>
      <c r="W653" s="116">
        <f t="shared" si="129"/>
        <v>1.0000000000000009E-2</v>
      </c>
      <c r="X653" s="115">
        <f t="shared" si="119"/>
        <v>0.47024398497336728</v>
      </c>
      <c r="Y653" s="115">
        <f t="shared" si="120"/>
        <v>0.15102966697760856</v>
      </c>
      <c r="Z653" s="115">
        <f t="shared" si="122"/>
        <v>9.2378163432053739E-2</v>
      </c>
      <c r="AA653" s="116">
        <f t="shared" si="121"/>
        <v>6.0000000000000005E-2</v>
      </c>
      <c r="AB653" s="115">
        <f t="shared" si="123"/>
        <v>0.46067453395721669</v>
      </c>
      <c r="AC653" s="115">
        <f t="shared" si="124"/>
        <v>0.76288058150129245</v>
      </c>
      <c r="AD653" s="115">
        <f t="shared" si="130"/>
        <v>0.43591144724371134</v>
      </c>
      <c r="AE653" s="235">
        <f t="shared" si="125"/>
        <v>-1.71</v>
      </c>
    </row>
    <row r="654" spans="14:31" x14ac:dyDescent="0.2">
      <c r="N654" s="337">
        <v>44620</v>
      </c>
      <c r="O654" s="116">
        <f>INDEX('Additional data'!$B$2:$B$965,MATCH(DATE(YEAR(N654),MONTH(N654),1),'Additional data'!$A$2:$A$965,0))</f>
        <v>91.64</v>
      </c>
      <c r="P654" s="232">
        <f t="shared" si="126"/>
        <v>4.5178678575852951</v>
      </c>
      <c r="Q654" s="232">
        <f>Q653+LN(1+INDEX('Additional data'!$H$2:$H$1196,MATCH(N654,'Additional data'!$G$2:$G$1196,1))+INDEX('Additional data'!$I$2:$I$1196,MATCH(N654,'Additional data'!$G$2:$G$1196,1)))</f>
        <v>5.398244529709582</v>
      </c>
      <c r="R654" s="232">
        <f>LN(INDEX(Data!$B$2:$B$497,MATCH(N654,Data!$A$2:$A$497,1)))</f>
        <v>11.330057649163432</v>
      </c>
      <c r="S654" s="116">
        <f>INDEX('Additional data'!$E$2:$E$699,MATCH(DATE(YEAR(N654),MONTH(N654),1),'Additional data'!$D$2:$D$699,0))</f>
        <v>7.0000000000000007E-2</v>
      </c>
      <c r="T654" s="115">
        <f t="shared" si="127"/>
        <v>9.6380154030500265E-2</v>
      </c>
      <c r="U654" s="115">
        <f t="shared" si="128"/>
        <v>-2.3063939598551464E-2</v>
      </c>
      <c r="V654" s="115">
        <f t="shared" si="118"/>
        <v>1.7127081648371956E-2</v>
      </c>
      <c r="W654" s="116">
        <f t="shared" si="129"/>
        <v>0</v>
      </c>
      <c r="X654" s="115">
        <f t="shared" si="119"/>
        <v>0.43965267729307822</v>
      </c>
      <c r="Y654" s="115">
        <f t="shared" si="120"/>
        <v>0.10025328881252094</v>
      </c>
      <c r="Z654" s="115">
        <f t="shared" si="122"/>
        <v>9.5354927195515415E-2</v>
      </c>
      <c r="AA654" s="116">
        <f t="shared" si="121"/>
        <v>6.0000000000000005E-2</v>
      </c>
      <c r="AB654" s="115">
        <f t="shared" si="123"/>
        <v>0.53874710862465491</v>
      </c>
      <c r="AC654" s="115">
        <f t="shared" si="124"/>
        <v>0.70454602782082176</v>
      </c>
      <c r="AD654" s="115">
        <f t="shared" si="130"/>
        <v>0.43236608865682946</v>
      </c>
      <c r="AE654" s="235">
        <f t="shared" si="125"/>
        <v>-1.71</v>
      </c>
    </row>
    <row r="655" spans="14:31" x14ac:dyDescent="0.2">
      <c r="N655" s="337">
        <v>44651</v>
      </c>
      <c r="O655" s="116">
        <f>INDEX('Additional data'!$B$2:$B$965,MATCH(DATE(YEAR(N655),MONTH(N655),1),'Additional data'!$A$2:$A$965,0))</f>
        <v>108.5</v>
      </c>
      <c r="P655" s="232">
        <f t="shared" si="126"/>
        <v>4.6867501729805143</v>
      </c>
      <c r="Q655" s="232">
        <f>Q654+LN(1+INDEX('Additional data'!$H$2:$H$1196,MATCH(N655,'Additional data'!$G$2:$G$1196,1))+INDEX('Additional data'!$I$2:$I$1196,MATCH(N655,'Additional data'!$G$2:$G$1196,1)))</f>
        <v>5.428579729505655</v>
      </c>
      <c r="R655" s="232">
        <f>LN(INDEX(Data!$B$2:$B$497,MATCH(N655,Data!$A$2:$A$497,1)))</f>
        <v>11.396902935571658</v>
      </c>
      <c r="S655" s="116">
        <f>INDEX('Additional data'!$E$2:$E$699,MATCH(DATE(YEAR(N655),MONTH(N655),1),'Additional data'!$D$2:$D$699,0))</f>
        <v>0.17</v>
      </c>
      <c r="T655" s="115">
        <f t="shared" si="127"/>
        <v>0.16888231539521925</v>
      </c>
      <c r="U655" s="115">
        <f t="shared" si="128"/>
        <v>3.033519979607302E-2</v>
      </c>
      <c r="V655" s="115">
        <f t="shared" si="118"/>
        <v>6.6845286408225846E-2</v>
      </c>
      <c r="W655" s="116">
        <f t="shared" si="129"/>
        <v>0.1</v>
      </c>
      <c r="X655" s="115">
        <f t="shared" si="119"/>
        <v>0.55430732215975542</v>
      </c>
      <c r="Y655" s="115">
        <f t="shared" si="120"/>
        <v>9.947749358354141E-2</v>
      </c>
      <c r="Z655" s="115">
        <f t="shared" si="122"/>
        <v>0.14393065899945867</v>
      </c>
      <c r="AA655" s="116">
        <f t="shared" si="121"/>
        <v>0.14000000000000001</v>
      </c>
      <c r="AB655" s="115">
        <f t="shared" si="123"/>
        <v>0.78821775773486769</v>
      </c>
      <c r="AC655" s="115">
        <f t="shared" si="124"/>
        <v>0.73288322495422165</v>
      </c>
      <c r="AD655" s="115">
        <f t="shared" si="130"/>
        <v>0.46813602532965426</v>
      </c>
      <c r="AE655" s="235">
        <f t="shared" si="125"/>
        <v>-1.62</v>
      </c>
    </row>
    <row r="656" spans="14:31" x14ac:dyDescent="0.2">
      <c r="N656" s="337">
        <v>44681</v>
      </c>
      <c r="O656" s="116">
        <f>INDEX('Additional data'!$B$2:$B$965,MATCH(DATE(YEAR(N656),MONTH(N656),1),'Additional data'!$A$2:$A$965,0))</f>
        <v>101.78</v>
      </c>
      <c r="P656" s="232">
        <f t="shared" si="126"/>
        <v>4.6228136211606863</v>
      </c>
      <c r="Q656" s="232">
        <f>Q655+LN(1+INDEX('Additional data'!$H$2:$H$1196,MATCH(N656,'Additional data'!$G$2:$G$1196,1))+INDEX('Additional data'!$I$2:$I$1196,MATCH(N656,'Additional data'!$G$2:$G$1196,1)))</f>
        <v>5.3297533751987602</v>
      </c>
      <c r="R656" s="232">
        <f>LN(INDEX(Data!$B$2:$B$497,MATCH(N656,Data!$A$2:$A$497,1)))</f>
        <v>11.38871960707646</v>
      </c>
      <c r="S656" s="116">
        <f>INDEX('Additional data'!$E$2:$E$699,MATCH(DATE(YEAR(N656),MONTH(N656),1),'Additional data'!$D$2:$D$699,0))</f>
        <v>0.41</v>
      </c>
      <c r="T656" s="115">
        <f t="shared" si="127"/>
        <v>-6.3936551819828047E-2</v>
      </c>
      <c r="U656" s="115">
        <f t="shared" si="128"/>
        <v>-9.8826354306894793E-2</v>
      </c>
      <c r="V656" s="115">
        <f t="shared" si="118"/>
        <v>-8.1833284951979834E-3</v>
      </c>
      <c r="W656" s="116">
        <f t="shared" si="129"/>
        <v>0.23999999999999996</v>
      </c>
      <c r="X656" s="115">
        <f t="shared" si="119"/>
        <v>0.50020559366572659</v>
      </c>
      <c r="Y656" s="115">
        <f t="shared" si="120"/>
        <v>-4.7662721001904274E-2</v>
      </c>
      <c r="Z656" s="115">
        <f t="shared" si="122"/>
        <v>9.7329789343170603E-2</v>
      </c>
      <c r="AA656" s="116">
        <f t="shared" si="121"/>
        <v>0.37</v>
      </c>
      <c r="AB656" s="115">
        <f t="shared" si="123"/>
        <v>0.68981220934734866</v>
      </c>
      <c r="AC656" s="115">
        <f t="shared" si="124"/>
        <v>0.62282023872133951</v>
      </c>
      <c r="AD656" s="115">
        <f t="shared" si="130"/>
        <v>0.45218994179361083</v>
      </c>
      <c r="AE656" s="235">
        <f t="shared" si="125"/>
        <v>-1.36</v>
      </c>
    </row>
    <row r="657" spans="14:31" x14ac:dyDescent="0.2">
      <c r="N657" s="337">
        <v>44712</v>
      </c>
      <c r="O657" s="116">
        <f>INDEX('Additional data'!$B$2:$B$965,MATCH(DATE(YEAR(N657),MONTH(N657),1),'Additional data'!$A$2:$A$965,0))</f>
        <v>109.55</v>
      </c>
      <c r="P657" s="232">
        <f t="shared" si="126"/>
        <v>4.6963810660414751</v>
      </c>
      <c r="Q657" s="232">
        <f>Q656+LN(1+INDEX('Additional data'!$H$2:$H$1196,MATCH(N657,'Additional data'!$G$2:$G$1196,1))+INDEX('Additional data'!$I$2:$I$1196,MATCH(N657,'Additional data'!$G$2:$G$1196,1)))</f>
        <v>5.3266485602452818</v>
      </c>
      <c r="R657" s="232">
        <f>LN(INDEX(Data!$B$2:$B$497,MATCH(N657,Data!$A$2:$A$497,1)))</f>
        <v>11.356936757243714</v>
      </c>
      <c r="S657" s="116">
        <f>INDEX('Additional data'!$E$2:$E$699,MATCH(DATE(YEAR(N657),MONTH(N657),1),'Additional data'!$D$2:$D$699,0))</f>
        <v>1</v>
      </c>
      <c r="T657" s="115">
        <f t="shared" si="127"/>
        <v>7.3567444880788813E-2</v>
      </c>
      <c r="U657" s="115">
        <f t="shared" si="128"/>
        <v>-3.1048149534784741E-3</v>
      </c>
      <c r="V657" s="115">
        <f t="shared" ref="V657:V701" si="131">R657-R656</f>
        <v>-3.1782849832746152E-2</v>
      </c>
      <c r="W657" s="116">
        <f t="shared" si="129"/>
        <v>0.59000000000000008</v>
      </c>
      <c r="X657" s="115">
        <f t="shared" ref="X657:X720" si="132">P657-P645</f>
        <v>0.51938182569718627</v>
      </c>
      <c r="Y657" s="115">
        <f t="shared" ref="Y657:Y720" si="133">Q657-Q645</f>
        <v>-5.3763044935180915E-2</v>
      </c>
      <c r="Z657" s="115">
        <f t="shared" si="122"/>
        <v>4.6183375837529184E-2</v>
      </c>
      <c r="AA657" s="116">
        <f t="shared" ref="AA657:AA720" si="134">S657-S645</f>
        <v>0.96</v>
      </c>
      <c r="AB657" s="115">
        <f t="shared" si="123"/>
        <v>0.81522972428041607</v>
      </c>
      <c r="AC657" s="115">
        <f t="shared" si="124"/>
        <v>0.6084787918418737</v>
      </c>
      <c r="AD657" s="115">
        <f t="shared" si="130"/>
        <v>0.44654223790282721</v>
      </c>
      <c r="AE657" s="235">
        <f t="shared" si="125"/>
        <v>-0.73</v>
      </c>
    </row>
    <row r="658" spans="14:31" x14ac:dyDescent="0.2">
      <c r="N658" s="337">
        <v>44742</v>
      </c>
      <c r="O658" s="116">
        <f>INDEX('Additional data'!$B$2:$B$965,MATCH(DATE(YEAR(N658),MONTH(N658),1),'Additional data'!$A$2:$A$965,0))</f>
        <v>114.84</v>
      </c>
      <c r="P658" s="232">
        <f t="shared" si="126"/>
        <v>4.7435398552528634</v>
      </c>
      <c r="Q658" s="232">
        <f>Q657+LN(1+INDEX('Additional data'!$H$2:$H$1196,MATCH(N658,'Additional data'!$G$2:$G$1196,1))+INDEX('Additional data'!$I$2:$I$1196,MATCH(N658,'Additional data'!$G$2:$G$1196,1)))</f>
        <v>5.2395644533381684</v>
      </c>
      <c r="R658" s="232">
        <f>LN(INDEX(Data!$B$2:$B$497,MATCH(N658,Data!$A$2:$A$497,1)))</f>
        <v>11.258689872143069</v>
      </c>
      <c r="S658" s="116">
        <f>INDEX('Additional data'!$E$2:$E$699,MATCH(DATE(YEAR(N658),MONTH(N658),1),'Additional data'!$D$2:$D$699,0))</f>
        <v>1.6</v>
      </c>
      <c r="T658" s="115">
        <f t="shared" si="127"/>
        <v>4.7158789211388275E-2</v>
      </c>
      <c r="U658" s="115">
        <f t="shared" si="128"/>
        <v>-8.7084106907113323E-2</v>
      </c>
      <c r="V658" s="115">
        <f t="shared" si="131"/>
        <v>-9.8246885100644832E-2</v>
      </c>
      <c r="W658" s="116">
        <f t="shared" si="129"/>
        <v>0.60000000000000009</v>
      </c>
      <c r="X658" s="115">
        <f t="shared" si="132"/>
        <v>0.47552213719084957</v>
      </c>
      <c r="Y658" s="115">
        <f t="shared" si="133"/>
        <v>-0.16787849089332507</v>
      </c>
      <c r="Z658" s="115">
        <f t="shared" si="122"/>
        <v>-7.7335189874252919E-2</v>
      </c>
      <c r="AA658" s="116">
        <f t="shared" si="134"/>
        <v>1.57</v>
      </c>
      <c r="AB658" s="115">
        <f t="shared" si="123"/>
        <v>0.93288534421300628</v>
      </c>
      <c r="AC658" s="115">
        <f t="shared" si="124"/>
        <v>0.51293060652263112</v>
      </c>
      <c r="AD658" s="115">
        <f t="shared" si="130"/>
        <v>0.34547384742343468</v>
      </c>
      <c r="AE658" s="235">
        <f t="shared" si="125"/>
        <v>-0.11999999999999988</v>
      </c>
    </row>
    <row r="659" spans="14:31" x14ac:dyDescent="0.2">
      <c r="N659" s="337">
        <v>44773</v>
      </c>
      <c r="O659" s="116">
        <f>INDEX('Additional data'!$B$2:$B$965,MATCH(DATE(YEAR(N659),MONTH(N659),1),'Additional data'!$A$2:$A$965,0))</f>
        <v>101.62</v>
      </c>
      <c r="P659" s="232">
        <f t="shared" si="126"/>
        <v>4.6212403661655861</v>
      </c>
      <c r="Q659" s="232">
        <f>Q658+LN(1+INDEX('Additional data'!$H$2:$H$1196,MATCH(N659,'Additional data'!$G$2:$G$1196,1))+INDEX('Additional data'!$I$2:$I$1196,MATCH(N659,'Additional data'!$G$2:$G$1196,1)))</f>
        <v>5.3316877422139743</v>
      </c>
      <c r="R659" s="232">
        <f>LN(INDEX(Data!$B$2:$B$497,MATCH(N659,Data!$A$2:$A$497,1)))</f>
        <v>11.320173554464565</v>
      </c>
      <c r="S659" s="116">
        <f>INDEX('Additional data'!$E$2:$E$699,MATCH(DATE(YEAR(N659),MONTH(N659),1),'Additional data'!$D$2:$D$699,0))</f>
        <v>2.0699999999999998</v>
      </c>
      <c r="T659" s="115">
        <f t="shared" si="127"/>
        <v>-0.12229948908727728</v>
      </c>
      <c r="U659" s="115">
        <f t="shared" si="128"/>
        <v>9.2123288875805898E-2</v>
      </c>
      <c r="V659" s="115">
        <f t="shared" si="131"/>
        <v>6.1483682321496147E-2</v>
      </c>
      <c r="W659" s="116">
        <f t="shared" si="129"/>
        <v>0.46999999999999975</v>
      </c>
      <c r="X659" s="115">
        <f t="shared" si="132"/>
        <v>0.33779174485280006</v>
      </c>
      <c r="Y659" s="115">
        <f t="shared" si="133"/>
        <v>-8.9066216077191562E-2</v>
      </c>
      <c r="Z659" s="115">
        <f t="shared" si="122"/>
        <v>-2.636218628182263E-2</v>
      </c>
      <c r="AA659" s="116">
        <f t="shared" si="134"/>
        <v>2.0499999999999998</v>
      </c>
      <c r="AB659" s="115">
        <f t="shared" si="123"/>
        <v>0.77899625534535666</v>
      </c>
      <c r="AC659" s="115">
        <f t="shared" si="124"/>
        <v>0.58574158436606449</v>
      </c>
      <c r="AD659" s="115">
        <f t="shared" si="130"/>
        <v>0.40514605610238874</v>
      </c>
      <c r="AE659" s="235">
        <f t="shared" si="125"/>
        <v>0.36999999999999988</v>
      </c>
    </row>
    <row r="660" spans="14:31" x14ac:dyDescent="0.2">
      <c r="N660" s="337">
        <v>44804</v>
      </c>
      <c r="O660" s="116">
        <f>INDEX('Additional data'!$B$2:$B$965,MATCH(DATE(YEAR(N660),MONTH(N660),1),'Additional data'!$A$2:$A$965,0))</f>
        <v>93.67</v>
      </c>
      <c r="P660" s="232">
        <f t="shared" si="126"/>
        <v>4.5397779672210392</v>
      </c>
      <c r="Q660" s="232">
        <f>Q659+LN(1+INDEX('Additional data'!$H$2:$H$1196,MATCH(N660,'Additional data'!$G$2:$G$1196,1))+INDEX('Additional data'!$I$2:$I$1196,MATCH(N660,'Additional data'!$G$2:$G$1196,1)))</f>
        <v>5.2952312052033594</v>
      </c>
      <c r="R660" s="232">
        <f>LN(INDEX(Data!$B$2:$B$497,MATCH(N660,Data!$A$2:$A$497,1)))</f>
        <v>11.33289440643278</v>
      </c>
      <c r="S660" s="116">
        <f>INDEX('Additional data'!$E$2:$E$699,MATCH(DATE(YEAR(N660),MONTH(N660),1),'Additional data'!$D$2:$D$699,0))</f>
        <v>2.31</v>
      </c>
      <c r="T660" s="115">
        <f t="shared" si="127"/>
        <v>-8.1462398944546877E-2</v>
      </c>
      <c r="U660" s="115">
        <f t="shared" si="128"/>
        <v>-3.6456537010614909E-2</v>
      </c>
      <c r="V660" s="115">
        <f t="shared" si="131"/>
        <v>1.272085196821493E-2</v>
      </c>
      <c r="W660" s="116">
        <f t="shared" si="129"/>
        <v>0.24000000000000021</v>
      </c>
      <c r="X660" s="115">
        <f t="shared" si="132"/>
        <v>0.32424875399422692</v>
      </c>
      <c r="Y660" s="115">
        <f t="shared" si="133"/>
        <v>-0.15449886132432322</v>
      </c>
      <c r="Z660" s="115">
        <f t="shared" si="122"/>
        <v>-3.9353298206707521E-2</v>
      </c>
      <c r="AA660" s="116">
        <f t="shared" si="134"/>
        <v>2.3000000000000003</v>
      </c>
      <c r="AB660" s="115">
        <f t="shared" si="123"/>
        <v>0.66774397000925623</v>
      </c>
      <c r="AC660" s="115">
        <f t="shared" si="124"/>
        <v>0.54658868580770736</v>
      </c>
      <c r="AD660" s="115">
        <f t="shared" si="130"/>
        <v>0.40999715790236202</v>
      </c>
      <c r="AE660" s="235">
        <f t="shared" si="125"/>
        <v>0.6100000000000001</v>
      </c>
    </row>
    <row r="661" spans="14:31" x14ac:dyDescent="0.2">
      <c r="N661" s="337">
        <v>44834</v>
      </c>
      <c r="O661" s="116">
        <f>INDEX('Additional data'!$B$2:$B$965,MATCH(DATE(YEAR(N661),MONTH(N661),1),'Additional data'!$A$2:$A$965,0))</f>
        <v>84.26</v>
      </c>
      <c r="P661" s="232">
        <f t="shared" si="126"/>
        <v>4.4339072565508708</v>
      </c>
      <c r="Q661" s="232">
        <f>Q660+LN(1+INDEX('Additional data'!$H$2:$H$1196,MATCH(N661,'Additional data'!$G$2:$G$1196,1))+INDEX('Additional data'!$I$2:$I$1196,MATCH(N661,'Additional data'!$G$2:$G$1196,1)))</f>
        <v>5.1992708140574484</v>
      </c>
      <c r="R661" s="232">
        <f>LN(INDEX(Data!$B$2:$B$497,MATCH(N661,Data!$A$2:$A$497,1)))</f>
        <v>11.266692846829944</v>
      </c>
      <c r="S661" s="116">
        <f>INDEX('Additional data'!$E$2:$E$699,MATCH(DATE(YEAR(N661),MONTH(N661),1),'Additional data'!$D$2:$D$699,0))</f>
        <v>2.76</v>
      </c>
      <c r="T661" s="115">
        <f t="shared" si="127"/>
        <v>-0.1058707106701684</v>
      </c>
      <c r="U661" s="115">
        <f t="shared" si="128"/>
        <v>-9.5960391145911039E-2</v>
      </c>
      <c r="V661" s="115">
        <f t="shared" si="131"/>
        <v>-6.6201559602836468E-2</v>
      </c>
      <c r="W661" s="116">
        <f t="shared" si="129"/>
        <v>0.44999999999999973</v>
      </c>
      <c r="X661" s="115">
        <f t="shared" si="132"/>
        <v>0.1621141022766901</v>
      </c>
      <c r="Y661" s="115">
        <f t="shared" si="133"/>
        <v>-0.20546188653949837</v>
      </c>
      <c r="Z661" s="115">
        <f t="shared" si="122"/>
        <v>-8.9601131201856532E-2</v>
      </c>
      <c r="AA661" s="116">
        <f t="shared" si="134"/>
        <v>2.75</v>
      </c>
      <c r="AB661" s="115">
        <f t="shared" si="123"/>
        <v>0.52549074671683638</v>
      </c>
      <c r="AC661" s="115">
        <f t="shared" si="124"/>
        <v>0.42515549868876512</v>
      </c>
      <c r="AD661" s="115">
        <f t="shared" si="130"/>
        <v>0.34328008744511429</v>
      </c>
      <c r="AE661" s="235">
        <f t="shared" si="125"/>
        <v>1.0399999999999998</v>
      </c>
    </row>
    <row r="662" spans="14:31" x14ac:dyDescent="0.2">
      <c r="N662" s="337">
        <v>44865</v>
      </c>
      <c r="O662" s="116">
        <f>INDEX('Additional data'!$B$2:$B$965,MATCH(DATE(YEAR(N662),MONTH(N662),1),'Additional data'!$A$2:$A$965,0))</f>
        <v>87.55</v>
      </c>
      <c r="P662" s="232">
        <f t="shared" si="126"/>
        <v>4.4722100587318607</v>
      </c>
      <c r="Q662" s="232">
        <f>Q661+LN(1+INDEX('Additional data'!$H$2:$H$1196,MATCH(N662,'Additional data'!$G$2:$G$1196,1))+INDEX('Additional data'!$I$2:$I$1196,MATCH(N662,'Additional data'!$G$2:$G$1196,1)))</f>
        <v>5.2769723217213</v>
      </c>
      <c r="R662" s="232">
        <f>LN(INDEX(Data!$B$2:$B$497,MATCH(N662,Data!$A$2:$A$497,1)))</f>
        <v>11.321937763041333</v>
      </c>
      <c r="S662" s="116">
        <f>INDEX('Additional data'!$E$2:$E$699,MATCH(DATE(YEAR(N662),MONTH(N662),1),'Additional data'!$D$2:$D$699,0))</f>
        <v>2.95</v>
      </c>
      <c r="T662" s="115">
        <f t="shared" si="127"/>
        <v>3.8302802180989914E-2</v>
      </c>
      <c r="U662" s="115">
        <f t="shared" si="128"/>
        <v>7.7701507663851643E-2</v>
      </c>
      <c r="V662" s="115">
        <f t="shared" si="131"/>
        <v>5.5244916211389494E-2</v>
      </c>
      <c r="W662" s="116">
        <f t="shared" si="129"/>
        <v>0.19000000000000039</v>
      </c>
      <c r="X662" s="115">
        <f t="shared" si="132"/>
        <v>7.1852467373255458E-2</v>
      </c>
      <c r="Y662" s="115">
        <f t="shared" si="133"/>
        <v>-0.19195509091764329</v>
      </c>
      <c r="Z662" s="115">
        <f t="shared" si="122"/>
        <v>-3.5848524702259965E-2</v>
      </c>
      <c r="AA662" s="116">
        <f t="shared" si="134"/>
        <v>2.91</v>
      </c>
      <c r="AB662" s="115">
        <f t="shared" si="123"/>
        <v>0.52907605827866222</v>
      </c>
      <c r="AC662" s="115">
        <f t="shared" si="124"/>
        <v>0.47962888023340966</v>
      </c>
      <c r="AD662" s="115">
        <f t="shared" si="130"/>
        <v>0.35870247819985934</v>
      </c>
      <c r="AE662" s="235">
        <f t="shared" si="125"/>
        <v>1.2500000000000002</v>
      </c>
    </row>
    <row r="663" spans="14:31" x14ac:dyDescent="0.2">
      <c r="N663" s="337">
        <v>44895</v>
      </c>
      <c r="O663" s="116">
        <f>INDEX('Additional data'!$B$2:$B$965,MATCH(DATE(YEAR(N663),MONTH(N663),1),'Additional data'!$A$2:$A$965,0))</f>
        <v>84.37</v>
      </c>
      <c r="P663" s="232">
        <f t="shared" si="126"/>
        <v>4.4352118881775358</v>
      </c>
      <c r="Q663" s="232">
        <f>Q662+LN(1+INDEX('Additional data'!$H$2:$H$1196,MATCH(N663,'Additional data'!$G$2:$G$1196,1))+INDEX('Additional data'!$I$2:$I$1196,MATCH(N663,'Additional data'!$G$2:$G$1196,1)))</f>
        <v>5.325190893991774</v>
      </c>
      <c r="R663" s="232">
        <f>LN(INDEX(Data!$B$2:$B$497,MATCH(N663,Data!$A$2:$A$497,1)))</f>
        <v>11.384384364824188</v>
      </c>
      <c r="S663" s="116">
        <f>INDEX('Additional data'!$E$2:$E$699,MATCH(DATE(YEAR(N663),MONTH(N663),1),'Additional data'!$D$2:$D$699,0))</f>
        <v>3.06</v>
      </c>
      <c r="T663" s="115">
        <f t="shared" si="127"/>
        <v>-3.6998170554324972E-2</v>
      </c>
      <c r="U663" s="115">
        <f t="shared" si="128"/>
        <v>4.8218572270473992E-2</v>
      </c>
      <c r="V663" s="115">
        <f t="shared" si="131"/>
        <v>6.2446601782854216E-2</v>
      </c>
      <c r="W663" s="116">
        <f t="shared" si="129"/>
        <v>0.10999999999999988</v>
      </c>
      <c r="X663" s="115">
        <f t="shared" si="132"/>
        <v>6.3867101850514807E-2</v>
      </c>
      <c r="Y663" s="115">
        <f t="shared" si="133"/>
        <v>-0.1278103680969096</v>
      </c>
      <c r="Z663" s="115">
        <f t="shared" si="122"/>
        <v>2.9897835731391709E-2</v>
      </c>
      <c r="AA663" s="116">
        <f t="shared" si="134"/>
        <v>3.02</v>
      </c>
      <c r="AB663" s="115">
        <f t="shared" si="123"/>
        <v>0.39849643879207175</v>
      </c>
      <c r="AC663" s="115">
        <f t="shared" si="124"/>
        <v>0.49634878544451322</v>
      </c>
      <c r="AD663" s="115">
        <f t="shared" si="130"/>
        <v>0.40225770226142998</v>
      </c>
      <c r="AE663" s="235">
        <f t="shared" si="125"/>
        <v>1.34</v>
      </c>
    </row>
    <row r="664" spans="14:31" x14ac:dyDescent="0.2">
      <c r="N664" s="337">
        <v>44926</v>
      </c>
      <c r="O664" s="116">
        <f>INDEX('Additional data'!$B$2:$B$965,MATCH(DATE(YEAR(N664),MONTH(N664),1),'Additional data'!$A$2:$A$965,0))</f>
        <v>76.44</v>
      </c>
      <c r="P664" s="232">
        <f t="shared" si="126"/>
        <v>4.3365061193720722</v>
      </c>
      <c r="Q664" s="232">
        <f>Q663+LN(1+INDEX('Additional data'!$H$2:$H$1196,MATCH(N664,'Additional data'!$G$2:$G$1196,1))+INDEX('Additional data'!$I$2:$I$1196,MATCH(N664,'Additional data'!$G$2:$G$1196,1)))</f>
        <v>5.2627834338631567</v>
      </c>
      <c r="R664" s="232">
        <f>LN(INDEX(Data!$B$2:$B$497,MATCH(N664,Data!$A$2:$A$497,1)))</f>
        <v>11.350800856542907</v>
      </c>
      <c r="S664" s="116">
        <f>INDEX('Additional data'!$E$2:$E$699,MATCH(DATE(YEAR(N664),MONTH(N664),1),'Additional data'!$D$2:$D$699,0))</f>
        <v>3.17</v>
      </c>
      <c r="T664" s="115">
        <f t="shared" si="127"/>
        <v>-9.8705768805463556E-2</v>
      </c>
      <c r="U664" s="115">
        <f t="shared" si="128"/>
        <v>-6.2407460128617309E-2</v>
      </c>
      <c r="V664" s="115">
        <f t="shared" si="131"/>
        <v>-3.3583508281280317E-2</v>
      </c>
      <c r="W664" s="116">
        <f t="shared" si="129"/>
        <v>0.10999999999999988</v>
      </c>
      <c r="X664" s="115">
        <f t="shared" si="132"/>
        <v>6.3875911477588865E-2</v>
      </c>
      <c r="Y664" s="115">
        <f t="shared" si="133"/>
        <v>-0.22210401708784833</v>
      </c>
      <c r="Z664" s="115">
        <f t="shared" si="122"/>
        <v>-3.0033100281336544E-2</v>
      </c>
      <c r="AA664" s="116">
        <f t="shared" si="134"/>
        <v>3.11</v>
      </c>
      <c r="AB664" s="115">
        <f t="shared" si="123"/>
        <v>0.27813421760878931</v>
      </c>
      <c r="AC664" s="115">
        <f t="shared" si="124"/>
        <v>0.42250694769023323</v>
      </c>
      <c r="AD664" s="115">
        <f t="shared" si="130"/>
        <v>0.34857145124035327</v>
      </c>
      <c r="AE664" s="235">
        <f t="shared" si="125"/>
        <v>1.4</v>
      </c>
    </row>
    <row r="665" spans="14:31" x14ac:dyDescent="0.2">
      <c r="N665" s="337">
        <v>44957</v>
      </c>
      <c r="O665" s="116">
        <f>INDEX('Additional data'!$B$2:$B$965,MATCH(DATE(YEAR(N665),MONTH(N665),1),'Additional data'!$A$2:$A$965,0))</f>
        <v>78.12</v>
      </c>
      <c r="P665" s="232">
        <f t="shared" si="126"/>
        <v>4.3582461060084778</v>
      </c>
      <c r="Q665" s="232">
        <f>Q664+LN(1+INDEX('Additional data'!$H$2:$H$1196,MATCH(N665,'Additional data'!$G$2:$G$1196,1))+INDEX('Additional data'!$I$2:$I$1196,MATCH(N665,'Additional data'!$G$2:$G$1196,1)))</f>
        <v>5.3300681806687535</v>
      </c>
      <c r="R665" s="232">
        <f>LN(INDEX(Data!$B$2:$B$497,MATCH(N665,Data!$A$2:$A$497,1)))</f>
        <v>11.413168714039742</v>
      </c>
      <c r="S665" s="116">
        <f>INDEX('Additional data'!$E$2:$E$699,MATCH(DATE(YEAR(N665),MONTH(N665),1),'Additional data'!$D$2:$D$699,0))</f>
        <v>3.32</v>
      </c>
      <c r="T665" s="115">
        <f t="shared" si="127"/>
        <v>2.1739986636405639E-2</v>
      </c>
      <c r="U665" s="115">
        <f t="shared" si="128"/>
        <v>6.7284746805596818E-2</v>
      </c>
      <c r="V665" s="115">
        <f t="shared" si="131"/>
        <v>6.2367857496834489E-2</v>
      </c>
      <c r="W665" s="116">
        <f t="shared" si="129"/>
        <v>0.14999999999999991</v>
      </c>
      <c r="X665" s="115">
        <f t="shared" si="132"/>
        <v>-6.3241597546316974E-2</v>
      </c>
      <c r="Y665" s="115">
        <f t="shared" si="133"/>
        <v>-9.1240288639379941E-2</v>
      </c>
      <c r="Z665" s="115">
        <f t="shared" si="122"/>
        <v>0.10023814652468133</v>
      </c>
      <c r="AA665" s="116">
        <f t="shared" si="134"/>
        <v>3.25</v>
      </c>
      <c r="AB665" s="115">
        <f t="shared" si="123"/>
        <v>0.20406154343036054</v>
      </c>
      <c r="AC665" s="115">
        <f t="shared" si="124"/>
        <v>0.43445159946266543</v>
      </c>
      <c r="AD665" s="115">
        <f t="shared" si="130"/>
        <v>0.41425410815836017</v>
      </c>
      <c r="AE665" s="235">
        <f t="shared" si="125"/>
        <v>1.5299999999999998</v>
      </c>
    </row>
    <row r="666" spans="14:31" x14ac:dyDescent="0.2">
      <c r="N666" s="337">
        <v>44985</v>
      </c>
      <c r="O666" s="116">
        <f>INDEX('Additional data'!$B$2:$B$965,MATCH(DATE(YEAR(N666),MONTH(N666),1),'Additional data'!$A$2:$A$965,0))</f>
        <v>76.83</v>
      </c>
      <c r="P666" s="232">
        <f t="shared" si="126"/>
        <v>4.3415951888795439</v>
      </c>
      <c r="Q666" s="232">
        <f>Q665+LN(1+INDEX('Additional data'!$H$2:$H$1196,MATCH(N666,'Additional data'!$G$2:$G$1196,1))+INDEX('Additional data'!$I$2:$I$1196,MATCH(N666,'Additional data'!$G$2:$G$1196,1)))</f>
        <v>5.3075157761982421</v>
      </c>
      <c r="R666" s="232">
        <f>LN(INDEX(Data!$B$2:$B$497,MATCH(N666,Data!$A$2:$A$497,1)))</f>
        <v>11.388024233131858</v>
      </c>
      <c r="S666" s="116">
        <f>INDEX('Additional data'!$E$2:$E$699,MATCH(DATE(YEAR(N666),MONTH(N666),1),'Additional data'!$D$2:$D$699,0))</f>
        <v>3.46</v>
      </c>
      <c r="T666" s="115">
        <f t="shared" si="127"/>
        <v>-1.6650917128933962E-2</v>
      </c>
      <c r="U666" s="115">
        <f t="shared" si="128"/>
        <v>-2.2552404470511433E-2</v>
      </c>
      <c r="V666" s="115">
        <f t="shared" si="131"/>
        <v>-2.5144480907883349E-2</v>
      </c>
      <c r="W666" s="116">
        <f t="shared" si="129"/>
        <v>0.14000000000000012</v>
      </c>
      <c r="X666" s="115">
        <f t="shared" si="132"/>
        <v>-0.1762726687057512</v>
      </c>
      <c r="Y666" s="115">
        <f t="shared" si="133"/>
        <v>-9.072875351133991E-2</v>
      </c>
      <c r="Z666" s="115">
        <f t="shared" si="122"/>
        <v>5.7966583968426022E-2</v>
      </c>
      <c r="AA666" s="116">
        <f t="shared" si="134"/>
        <v>3.39</v>
      </c>
      <c r="AB666" s="115">
        <f t="shared" si="123"/>
        <v>0.21075799029841757</v>
      </c>
      <c r="AC666" s="115">
        <f t="shared" si="124"/>
        <v>0.44783730179778303</v>
      </c>
      <c r="AD666" s="115">
        <f t="shared" si="130"/>
        <v>0.38732517682105794</v>
      </c>
      <c r="AE666" s="235">
        <f t="shared" si="125"/>
        <v>1.69</v>
      </c>
    </row>
    <row r="667" spans="14:31" x14ac:dyDescent="0.2">
      <c r="N667" s="337">
        <v>45016</v>
      </c>
      <c r="O667" s="116">
        <f>INDEX('Additional data'!$B$2:$B$965,MATCH(DATE(YEAR(N667),MONTH(N667),1),'Additional data'!$A$2:$A$965,0))</f>
        <v>73.28</v>
      </c>
      <c r="P667" s="232">
        <f t="shared" si="126"/>
        <v>4.2942877203658751</v>
      </c>
      <c r="Q667" s="232">
        <f>Q666+LN(1+INDEX('Additional data'!$H$2:$H$1196,MATCH(N667,'Additional data'!$G$2:$G$1196,1))+INDEX('Additional data'!$I$2:$I$1196,MATCH(N667,'Additional data'!$G$2:$G$1196,1)))</f>
        <v>5.3355199726078393</v>
      </c>
      <c r="R667" s="232">
        <f>LN(INDEX(Data!$B$2:$B$497,MATCH(N667,Data!$A$2:$A$497,1)))</f>
        <v>11.38628925336549</v>
      </c>
      <c r="S667" s="116">
        <f>INDEX('Additional data'!$E$2:$E$699,MATCH(DATE(YEAR(N667),MONTH(N667),1),'Additional data'!$D$2:$D$699,0))</f>
        <v>3.64</v>
      </c>
      <c r="T667" s="115">
        <f t="shared" si="127"/>
        <v>-4.7307468513668738E-2</v>
      </c>
      <c r="U667" s="115">
        <f t="shared" si="128"/>
        <v>2.8004196409597171E-2</v>
      </c>
      <c r="V667" s="115">
        <f t="shared" si="131"/>
        <v>-1.734979766368383E-3</v>
      </c>
      <c r="W667" s="116">
        <f t="shared" si="129"/>
        <v>0.18000000000000016</v>
      </c>
      <c r="X667" s="115">
        <f t="shared" si="132"/>
        <v>-0.39246245261463919</v>
      </c>
      <c r="Y667" s="115">
        <f t="shared" si="133"/>
        <v>-9.305975689781576E-2</v>
      </c>
      <c r="Z667" s="115">
        <f t="shared" si="122"/>
        <v>-1.0613682206168207E-2</v>
      </c>
      <c r="AA667" s="116">
        <f t="shared" si="134"/>
        <v>3.47</v>
      </c>
      <c r="AB667" s="115">
        <f t="shared" si="123"/>
        <v>0.15544791825722371</v>
      </c>
      <c r="AC667" s="115">
        <f t="shared" si="124"/>
        <v>0.49839390267789163</v>
      </c>
      <c r="AD667" s="115">
        <f t="shared" si="130"/>
        <v>0.42169385505945378</v>
      </c>
      <c r="AE667" s="235">
        <f t="shared" si="125"/>
        <v>1.7100000000000002</v>
      </c>
    </row>
    <row r="668" spans="14:31" x14ac:dyDescent="0.2">
      <c r="N668" s="337">
        <v>45046</v>
      </c>
      <c r="O668" s="116">
        <f>INDEX('Additional data'!$B$2:$B$965,MATCH(DATE(YEAR(N668),MONTH(N668),1),'Additional data'!$A$2:$A$965,0))</f>
        <v>79.45</v>
      </c>
      <c r="P668" s="232">
        <f t="shared" si="126"/>
        <v>4.3751278929827251</v>
      </c>
      <c r="Q668" s="232">
        <f>Q667+LN(1+INDEX('Additional data'!$H$2:$H$1196,MATCH(N668,'Additional data'!$G$2:$G$1196,1))+INDEX('Additional data'!$I$2:$I$1196,MATCH(N668,'Additional data'!$G$2:$G$1196,1)))</f>
        <v>5.3451732296359777</v>
      </c>
      <c r="R668" s="232">
        <f>LN(INDEX(Data!$B$2:$B$497,MATCH(N668,Data!$A$2:$A$497,1)))</f>
        <v>11.403728816295001</v>
      </c>
      <c r="S668" s="116">
        <f>INDEX('Additional data'!$E$2:$E$699,MATCH(DATE(YEAR(N668),MONTH(N668),1),'Additional data'!$D$2:$D$699,0))</f>
        <v>3.66</v>
      </c>
      <c r="T668" s="115">
        <f t="shared" si="127"/>
        <v>8.0840172616849948E-2</v>
      </c>
      <c r="U668" s="115">
        <f t="shared" si="128"/>
        <v>9.6532570281384622E-3</v>
      </c>
      <c r="V668" s="115">
        <f t="shared" si="131"/>
        <v>1.7439562929510544E-2</v>
      </c>
      <c r="W668" s="116">
        <f t="shared" si="129"/>
        <v>2.0000000000000018E-2</v>
      </c>
      <c r="X668" s="115">
        <f t="shared" si="132"/>
        <v>-0.2476857281779612</v>
      </c>
      <c r="Y668" s="115">
        <f t="shared" si="133"/>
        <v>1.5419854437217495E-2</v>
      </c>
      <c r="Z668" s="115">
        <f t="shared" ref="Z668:Z731" si="135">R668-R656</f>
        <v>1.500920921854032E-2</v>
      </c>
      <c r="AA668" s="116">
        <f t="shared" si="134"/>
        <v>3.25</v>
      </c>
      <c r="AB668" s="115">
        <f t="shared" si="123"/>
        <v>0.18169242811639386</v>
      </c>
      <c r="AC668" s="115">
        <f t="shared" si="124"/>
        <v>0.50395554180277635</v>
      </c>
      <c r="AD668" s="115">
        <f t="shared" si="130"/>
        <v>0.40479973724903573</v>
      </c>
      <c r="AE668" s="235">
        <f t="shared" si="125"/>
        <v>1.6</v>
      </c>
    </row>
    <row r="669" spans="14:31" x14ac:dyDescent="0.2">
      <c r="N669" s="337">
        <v>45077</v>
      </c>
      <c r="O669" s="116">
        <f>INDEX('Additional data'!$B$2:$B$965,MATCH(DATE(YEAR(N669),MONTH(N669),1),'Additional data'!$A$2:$A$965,0))</f>
        <v>71.58</v>
      </c>
      <c r="P669" s="232">
        <f t="shared" si="126"/>
        <v>4.2708157053378795</v>
      </c>
      <c r="Q669" s="232">
        <f>Q668+LN(1+INDEX('Additional data'!$H$2:$H$1196,MATCH(N669,'Additional data'!$G$2:$G$1196,1))+INDEX('Additional data'!$I$2:$I$1196,MATCH(N669,'Additional data'!$G$2:$G$1196,1)))</f>
        <v>5.3521488433724027</v>
      </c>
      <c r="R669" s="232">
        <f>LN(INDEX(Data!$B$2:$B$497,MATCH(N669,Data!$A$2:$A$497,1)))</f>
        <v>11.377116979680201</v>
      </c>
      <c r="S669" s="116">
        <f>INDEX('Additional data'!$E$2:$E$699,MATCH(DATE(YEAR(N669),MONTH(N669),1),'Additional data'!$D$2:$D$699,0))</f>
        <v>3.9</v>
      </c>
      <c r="T669" s="115">
        <f t="shared" si="127"/>
        <v>-0.10431218764484562</v>
      </c>
      <c r="U669" s="115">
        <f t="shared" si="128"/>
        <v>6.9756137364249682E-3</v>
      </c>
      <c r="V669" s="115">
        <f t="shared" si="131"/>
        <v>-2.66118366147996E-2</v>
      </c>
      <c r="W669" s="116">
        <f t="shared" si="129"/>
        <v>0.23999999999999977</v>
      </c>
      <c r="X669" s="115">
        <f t="shared" si="132"/>
        <v>-0.42556536070359563</v>
      </c>
      <c r="Y669" s="115">
        <f t="shared" si="133"/>
        <v>2.5500283127120937E-2</v>
      </c>
      <c r="Z669" s="115">
        <f t="shared" si="135"/>
        <v>2.0180222436486872E-2</v>
      </c>
      <c r="AA669" s="116">
        <f t="shared" si="134"/>
        <v>2.9</v>
      </c>
      <c r="AB669" s="115">
        <f t="shared" si="123"/>
        <v>2.2606218398337319E-2</v>
      </c>
      <c r="AC669" s="115">
        <f t="shared" si="124"/>
        <v>0.48331598850622814</v>
      </c>
      <c r="AD669" s="115">
        <f t="shared" si="130"/>
        <v>0.36429109387883862</v>
      </c>
      <c r="AE669" s="235">
        <f t="shared" si="125"/>
        <v>1.94</v>
      </c>
    </row>
    <row r="670" spans="14:31" x14ac:dyDescent="0.2">
      <c r="N670" s="337">
        <v>45107</v>
      </c>
      <c r="O670" s="116">
        <f>INDEX('Additional data'!$B$2:$B$965,MATCH(DATE(YEAR(N670),MONTH(N670),1),'Additional data'!$A$2:$A$965,0))</f>
        <v>70.25</v>
      </c>
      <c r="P670" s="232">
        <f t="shared" si="126"/>
        <v>4.2520603082138555</v>
      </c>
      <c r="Q670" s="232">
        <f>Q669+LN(1+INDEX('Additional data'!$H$2:$H$1196,MATCH(N670,'Additional data'!$G$2:$G$1196,1))+INDEX('Additional data'!$I$2:$I$1196,MATCH(N670,'Additional data'!$G$2:$G$1196,1)))</f>
        <v>5.4184982239139368</v>
      </c>
      <c r="R670" s="232">
        <f>LN(INDEX(Data!$B$2:$B$497,MATCH(N670,Data!$A$2:$A$497,1)))</f>
        <v>11.396295498462107</v>
      </c>
      <c r="S670" s="116">
        <f>INDEX('Additional data'!$E$2:$E$699,MATCH(DATE(YEAR(N670),MONTH(N670),1),'Additional data'!$D$2:$D$699,0))</f>
        <v>4.25</v>
      </c>
      <c r="T670" s="115">
        <f t="shared" si="127"/>
        <v>-1.8755397124023965E-2</v>
      </c>
      <c r="U670" s="115">
        <f t="shared" si="128"/>
        <v>6.6349380541534053E-2</v>
      </c>
      <c r="V670" s="115">
        <f t="shared" si="131"/>
        <v>1.9178518781906462E-2</v>
      </c>
      <c r="W670" s="116">
        <f t="shared" si="129"/>
        <v>0.35000000000000009</v>
      </c>
      <c r="X670" s="115">
        <f t="shared" si="132"/>
        <v>-0.49147954703900787</v>
      </c>
      <c r="Y670" s="115">
        <f t="shared" si="133"/>
        <v>0.17893377057576831</v>
      </c>
      <c r="Z670" s="115">
        <f t="shared" si="135"/>
        <v>0.13760562631903817</v>
      </c>
      <c r="AA670" s="116">
        <f t="shared" si="134"/>
        <v>2.65</v>
      </c>
      <c r="AB670" s="115">
        <f t="shared" si="123"/>
        <v>3.4466197498188578E-2</v>
      </c>
      <c r="AC670" s="115">
        <f t="shared" si="124"/>
        <v>0.54338513109061193</v>
      </c>
      <c r="AD670" s="115">
        <f t="shared" si="130"/>
        <v>0.35441576330439872</v>
      </c>
      <c r="AE670" s="235">
        <f t="shared" si="125"/>
        <v>2.1800000000000002</v>
      </c>
    </row>
    <row r="671" spans="14:31" x14ac:dyDescent="0.2">
      <c r="N671" s="337">
        <v>45138</v>
      </c>
      <c r="O671" s="116">
        <f>INDEX('Additional data'!$B$2:$B$965,MATCH(DATE(YEAR(N671),MONTH(N671),1),'Additional data'!$A$2:$A$965,0))</f>
        <v>76.069999999999993</v>
      </c>
      <c r="P671" s="232">
        <f t="shared" si="126"/>
        <v>4.33165396900921</v>
      </c>
      <c r="Q671" s="232">
        <f>Q670+LN(1+INDEX('Additional data'!$H$2:$H$1196,MATCH(N671,'Additional data'!$G$2:$G$1196,1))+INDEX('Additional data'!$I$2:$I$1196,MATCH(N671,'Additional data'!$G$2:$G$1196,1)))</f>
        <v>5.4544443506874059</v>
      </c>
      <c r="R671" s="232">
        <f>LN(INDEX(Data!$B$2:$B$497,MATCH(N671,Data!$A$2:$A$497,1)))</f>
        <v>11.425752808248442</v>
      </c>
      <c r="S671" s="116">
        <f>INDEX('Additional data'!$E$2:$E$699,MATCH(DATE(YEAR(N671),MONTH(N671),1),'Additional data'!$D$2:$D$699,0))</f>
        <v>4.3</v>
      </c>
      <c r="T671" s="115">
        <f t="shared" si="127"/>
        <v>7.9593660795354459E-2</v>
      </c>
      <c r="U671" s="115">
        <f t="shared" si="128"/>
        <v>3.5946126773469089E-2</v>
      </c>
      <c r="V671" s="115">
        <f t="shared" si="131"/>
        <v>2.9457309786334207E-2</v>
      </c>
      <c r="W671" s="116">
        <f t="shared" si="129"/>
        <v>4.9999999999999822E-2</v>
      </c>
      <c r="X671" s="115">
        <f t="shared" si="132"/>
        <v>-0.28958639715637613</v>
      </c>
      <c r="Y671" s="115">
        <f t="shared" si="133"/>
        <v>0.12275660847343151</v>
      </c>
      <c r="Z671" s="115">
        <f t="shared" si="135"/>
        <v>0.10557925378387623</v>
      </c>
      <c r="AA671" s="116">
        <f t="shared" si="134"/>
        <v>2.23</v>
      </c>
      <c r="AB671" s="115">
        <f t="shared" si="123"/>
        <v>6.9255821790859429E-2</v>
      </c>
      <c r="AC671" s="115">
        <f t="shared" si="124"/>
        <v>0.54628340381788032</v>
      </c>
      <c r="AD671" s="115">
        <f t="shared" si="130"/>
        <v>0.37171313730502931</v>
      </c>
      <c r="AE671" s="235">
        <f t="shared" si="125"/>
        <v>2.2799999999999998</v>
      </c>
    </row>
    <row r="672" spans="14:31" x14ac:dyDescent="0.2">
      <c r="N672" s="337">
        <v>45169</v>
      </c>
      <c r="O672" s="116">
        <f>INDEX('Additional data'!$B$2:$B$965,MATCH(DATE(YEAR(N672),MONTH(N672),1),'Additional data'!$A$2:$A$965,0))</f>
        <v>81.39</v>
      </c>
      <c r="P672" s="232">
        <f t="shared" si="126"/>
        <v>4.3992524153389505</v>
      </c>
      <c r="Q672" s="232">
        <f>Q671+LN(1+INDEX('Additional data'!$H$2:$H$1196,MATCH(N672,'Additional data'!$G$2:$G$1196,1))+INDEX('Additional data'!$I$2:$I$1196,MATCH(N672,'Additional data'!$G$2:$G$1196,1)))</f>
        <v>5.4351595892755391</v>
      </c>
      <c r="R672" s="232">
        <f>LN(INDEX(Data!$B$2:$B$497,MATCH(N672,Data!$A$2:$A$497,1)))</f>
        <v>11.418329746899984</v>
      </c>
      <c r="S672" s="116">
        <f>INDEX('Additional data'!$E$2:$E$699,MATCH(DATE(YEAR(N672),MONTH(N672),1),'Additional data'!$D$2:$D$699,0))</f>
        <v>4.1500000000000004</v>
      </c>
      <c r="T672" s="115">
        <f t="shared" si="127"/>
        <v>6.7598446329740547E-2</v>
      </c>
      <c r="U672" s="115">
        <f t="shared" si="128"/>
        <v>-1.9284761411866747E-2</v>
      </c>
      <c r="V672" s="115">
        <f t="shared" si="131"/>
        <v>-7.4230613484580488E-3</v>
      </c>
      <c r="W672" s="116">
        <f t="shared" si="129"/>
        <v>-0.14999999999999947</v>
      </c>
      <c r="X672" s="115">
        <f t="shared" si="132"/>
        <v>-0.14052555188208871</v>
      </c>
      <c r="Y672" s="115">
        <f t="shared" si="133"/>
        <v>0.13992838407217967</v>
      </c>
      <c r="Z672" s="115">
        <f t="shared" si="135"/>
        <v>8.5435340467203247E-2</v>
      </c>
      <c r="AA672" s="116">
        <f t="shared" si="134"/>
        <v>1.8400000000000003</v>
      </c>
      <c r="AB672" s="115">
        <f t="shared" si="123"/>
        <v>0.1788627462661907</v>
      </c>
      <c r="AC672" s="115">
        <f t="shared" si="124"/>
        <v>0.49153497813044478</v>
      </c>
      <c r="AD672" s="115">
        <f t="shared" si="130"/>
        <v>0.34734348815345051</v>
      </c>
      <c r="AE672" s="235">
        <f t="shared" si="125"/>
        <v>2.1900000000000004</v>
      </c>
    </row>
    <row r="673" spans="14:31" x14ac:dyDescent="0.2">
      <c r="N673" s="337">
        <v>45199</v>
      </c>
      <c r="O673" s="116">
        <f>INDEX('Additional data'!$B$2:$B$965,MATCH(DATE(YEAR(N673),MONTH(N673),1),'Additional data'!$A$2:$A$965,0))</f>
        <v>89.43</v>
      </c>
      <c r="P673" s="232">
        <f t="shared" si="126"/>
        <v>4.4934561963580899</v>
      </c>
      <c r="Q673" s="232">
        <f>Q672+LN(1+INDEX('Additional data'!$H$2:$H$1196,MATCH(N673,'Additional data'!$G$2:$G$1196,1))+INDEX('Additional data'!$I$2:$I$1196,MATCH(N673,'Additional data'!$G$2:$G$1196,1)))</f>
        <v>5.3859693450847672</v>
      </c>
      <c r="R673" s="232">
        <f>LN(INDEX(Data!$B$2:$B$497,MATCH(N673,Data!$A$2:$A$497,1)))</f>
        <v>11.389678293276571</v>
      </c>
      <c r="S673" s="116">
        <f>INDEX('Additional data'!$E$2:$E$699,MATCH(DATE(YEAR(N673),MONTH(N673),1),'Additional data'!$D$2:$D$699,0))</f>
        <v>4.13</v>
      </c>
      <c r="T673" s="115">
        <f t="shared" si="127"/>
        <v>9.4203781019139399E-2</v>
      </c>
      <c r="U673" s="115">
        <f t="shared" si="128"/>
        <v>-4.9190244190771892E-2</v>
      </c>
      <c r="V673" s="115">
        <f t="shared" si="131"/>
        <v>-2.8651453623412593E-2</v>
      </c>
      <c r="W673" s="116">
        <f t="shared" si="129"/>
        <v>-2.0000000000000462E-2</v>
      </c>
      <c r="X673" s="115">
        <f t="shared" si="132"/>
        <v>5.9548939807219092E-2</v>
      </c>
      <c r="Y673" s="115">
        <f t="shared" si="133"/>
        <v>0.18669853102731881</v>
      </c>
      <c r="Z673" s="115">
        <f t="shared" si="135"/>
        <v>0.12298544644662712</v>
      </c>
      <c r="AA673" s="116">
        <f t="shared" si="134"/>
        <v>1.37</v>
      </c>
      <c r="AB673" s="115">
        <f t="shared" si="123"/>
        <v>0.24168062618716046</v>
      </c>
      <c r="AC673" s="115">
        <f t="shared" si="124"/>
        <v>0.44024693585752672</v>
      </c>
      <c r="AD673" s="115">
        <f t="shared" si="130"/>
        <v>0.32932332807931353</v>
      </c>
      <c r="AE673" s="235">
        <f t="shared" si="125"/>
        <v>2.2000000000000002</v>
      </c>
    </row>
    <row r="674" spans="14:31" x14ac:dyDescent="0.2">
      <c r="N674" s="337">
        <v>45230</v>
      </c>
      <c r="O674" s="116">
        <f>INDEX('Additional data'!$B$2:$B$965,MATCH(DATE(YEAR(N674),MONTH(N674),1),'Additional data'!$A$2:$A$965,0))</f>
        <v>85.64</v>
      </c>
      <c r="P674" s="232">
        <f t="shared" si="126"/>
        <v>4.4501524637214818</v>
      </c>
      <c r="Q674" s="232">
        <f>Q673+LN(1+INDEX('Additional data'!$H$2:$H$1196,MATCH(N674,'Additional data'!$G$2:$G$1196,1))+INDEX('Additional data'!$I$2:$I$1196,MATCH(N674,'Additional data'!$G$2:$G$1196,1)))</f>
        <v>5.3588036770119976</v>
      </c>
      <c r="R674" s="232">
        <f>LN(INDEX(Data!$B$2:$B$497,MATCH(N674,Data!$A$2:$A$497,1)))</f>
        <v>11.350407609144879</v>
      </c>
      <c r="S674" s="116">
        <f>INDEX('Additional data'!$E$2:$E$699,MATCH(DATE(YEAR(N674),MONTH(N674),1),'Additional data'!$D$2:$D$699,0))</f>
        <v>4.21</v>
      </c>
      <c r="T674" s="115">
        <f t="shared" si="127"/>
        <v>-4.3303732636608139E-2</v>
      </c>
      <c r="U674" s="115">
        <f t="shared" si="128"/>
        <v>-2.7165668072769655E-2</v>
      </c>
      <c r="V674" s="115">
        <f t="shared" si="131"/>
        <v>-3.927068413169188E-2</v>
      </c>
      <c r="W674" s="116">
        <f t="shared" si="129"/>
        <v>8.0000000000000071E-2</v>
      </c>
      <c r="X674" s="115">
        <f t="shared" si="132"/>
        <v>-2.2057595010378961E-2</v>
      </c>
      <c r="Y674" s="115">
        <f t="shared" si="133"/>
        <v>8.1831355290697516E-2</v>
      </c>
      <c r="Z674" s="115">
        <f t="shared" si="135"/>
        <v>2.8469846103545748E-2</v>
      </c>
      <c r="AA674" s="116">
        <f t="shared" si="134"/>
        <v>1.2599999999999998</v>
      </c>
      <c r="AB674" s="115">
        <f t="shared" si="123"/>
        <v>0.19099992719813486</v>
      </c>
      <c r="AC674" s="115">
        <f t="shared" si="124"/>
        <v>0.49061047029399507</v>
      </c>
      <c r="AD674" s="115">
        <f t="shared" si="130"/>
        <v>0.35696032444234227</v>
      </c>
      <c r="AE674" s="235">
        <f t="shared" si="125"/>
        <v>2.2800000000000002</v>
      </c>
    </row>
    <row r="675" spans="14:31" x14ac:dyDescent="0.2">
      <c r="N675" s="337">
        <v>45260</v>
      </c>
      <c r="O675" s="116">
        <f>INDEX('Additional data'!$B$2:$B$965,MATCH(DATE(YEAR(N675),MONTH(N675),1),'Additional data'!$A$2:$A$965,0))</f>
        <v>77.69</v>
      </c>
      <c r="P675" s="232">
        <f t="shared" si="126"/>
        <v>4.3527265489623295</v>
      </c>
      <c r="Q675" s="232">
        <f>Q674+LN(1+INDEX('Additional data'!$H$2:$H$1196,MATCH(N675,'Additional data'!$G$2:$G$1196,1))+INDEX('Additional data'!$I$2:$I$1196,MATCH(N675,'Additional data'!$G$2:$G$1196,1)))</f>
        <v>5.447912852083773</v>
      </c>
      <c r="R675" s="232">
        <f>LN(INDEX(Data!$B$2:$B$497,MATCH(N675,Data!$A$2:$A$497,1)))</f>
        <v>11.401050011736087</v>
      </c>
      <c r="S675" s="116">
        <f>INDEX('Additional data'!$E$2:$E$699,MATCH(DATE(YEAR(N675),MONTH(N675),1),'Additional data'!$D$2:$D$699,0))</f>
        <v>4.38</v>
      </c>
      <c r="T675" s="115">
        <f t="shared" si="127"/>
        <v>-9.7425914759152299E-2</v>
      </c>
      <c r="U675" s="115">
        <f t="shared" si="128"/>
        <v>8.9109175071775404E-2</v>
      </c>
      <c r="V675" s="115">
        <f t="shared" si="131"/>
        <v>5.0642402591208224E-2</v>
      </c>
      <c r="W675" s="116">
        <f t="shared" si="129"/>
        <v>0.16999999999999993</v>
      </c>
      <c r="X675" s="115">
        <f t="shared" si="132"/>
        <v>-8.2485339215206288E-2</v>
      </c>
      <c r="Y675" s="115">
        <f t="shared" si="133"/>
        <v>0.12272195809199893</v>
      </c>
      <c r="Z675" s="115">
        <f t="shared" si="135"/>
        <v>1.6665646911899756E-2</v>
      </c>
      <c r="AA675" s="116">
        <f t="shared" si="134"/>
        <v>1.3199999999999998</v>
      </c>
      <c r="AB675" s="115">
        <f t="shared" si="123"/>
        <v>0.31037728185860924</v>
      </c>
      <c r="AC675" s="115">
        <f t="shared" si="124"/>
        <v>0.56099603136766785</v>
      </c>
      <c r="AD675" s="115">
        <f t="shared" si="130"/>
        <v>0.43028260871339086</v>
      </c>
      <c r="AE675" s="235">
        <f t="shared" si="125"/>
        <v>2.44</v>
      </c>
    </row>
    <row r="676" spans="14:31" x14ac:dyDescent="0.2">
      <c r="N676" s="337">
        <v>45291</v>
      </c>
      <c r="O676" s="116">
        <f>INDEX('Additional data'!$B$2:$B$965,MATCH(DATE(YEAR(N676),MONTH(N676),1),'Additional data'!$A$2:$A$965,0))</f>
        <v>71.900000000000006</v>
      </c>
      <c r="P676" s="232">
        <f t="shared" si="126"/>
        <v>4.2752762647270011</v>
      </c>
      <c r="Q676" s="232">
        <f>Q675+LN(1+INDEX('Additional data'!$H$2:$H$1196,MATCH(N676,'Additional data'!$G$2:$G$1196,1))+INDEX('Additional data'!$I$2:$I$1196,MATCH(N676,'Additional data'!$G$2:$G$1196,1)))</f>
        <v>5.4993661336726882</v>
      </c>
      <c r="R676" s="232">
        <f>LN(INDEX(Data!$B$2:$B$497,MATCH(N676,Data!$A$2:$A$497,1)))</f>
        <v>11.472798052809548</v>
      </c>
      <c r="S676" s="116">
        <f>INDEX('Additional data'!$E$2:$E$699,MATCH(DATE(YEAR(N676),MONTH(N676),1),'Additional data'!$D$2:$D$699,0))</f>
        <v>4.3499999999999996</v>
      </c>
      <c r="T676" s="115">
        <f t="shared" si="127"/>
        <v>-7.7450284235328404E-2</v>
      </c>
      <c r="U676" s="115">
        <f t="shared" si="128"/>
        <v>5.1453281588915267E-2</v>
      </c>
      <c r="V676" s="115">
        <f t="shared" si="131"/>
        <v>7.1748041073460556E-2</v>
      </c>
      <c r="W676" s="116">
        <f t="shared" si="129"/>
        <v>-3.0000000000000249E-2</v>
      </c>
      <c r="X676" s="115">
        <f t="shared" si="132"/>
        <v>-6.1229854645071136E-2</v>
      </c>
      <c r="Y676" s="115">
        <f t="shared" si="133"/>
        <v>0.2365826998095315</v>
      </c>
      <c r="Z676" s="115">
        <f t="shared" si="135"/>
        <v>0.12199719626664063</v>
      </c>
      <c r="AA676" s="116">
        <f t="shared" si="134"/>
        <v>1.1799999999999997</v>
      </c>
      <c r="AB676" s="115">
        <f t="shared" si="123"/>
        <v>0.37289963635066048</v>
      </c>
      <c r="AC676" s="115">
        <f t="shared" si="124"/>
        <v>0.710723882224924</v>
      </c>
      <c r="AD676" s="115">
        <f t="shared" si="130"/>
        <v>0.50653413588071849</v>
      </c>
      <c r="AE676" s="235">
        <f t="shared" si="125"/>
        <v>2.3299999999999996</v>
      </c>
    </row>
    <row r="677" spans="14:31" x14ac:dyDescent="0.2">
      <c r="N677" s="337">
        <v>45322</v>
      </c>
      <c r="O677" s="116">
        <f>INDEX('Additional data'!$B$2:$B$965,MATCH(DATE(YEAR(N677),MONTH(N677),1),'Additional data'!$A$2:$A$965,0))</f>
        <v>74.150000000000006</v>
      </c>
      <c r="P677" s="232">
        <f t="shared" si="126"/>
        <v>4.3060900685839414</v>
      </c>
      <c r="Q677" s="232">
        <f>Q676+LN(1+INDEX('Additional data'!$H$2:$H$1196,MATCH(N677,'Additional data'!$G$2:$G$1196,1))+INDEX('Additional data'!$I$2:$I$1196,MATCH(N677,'Additional data'!$G$2:$G$1196,1)))</f>
        <v>5.5112947045379617</v>
      </c>
      <c r="R677" s="232">
        <f>LN(INDEX(Data!$B$2:$B$497,MATCH(N677,Data!$A$2:$A$497,1)))</f>
        <v>11.483425300852852</v>
      </c>
      <c r="S677" s="116">
        <f>INDEX('Additional data'!$E$2:$E$699,MATCH(DATE(YEAR(N677),MONTH(N677),1),'Additional data'!$D$2:$D$699,0))</f>
        <v>4.3499999999999996</v>
      </c>
      <c r="T677" s="115">
        <f t="shared" si="127"/>
        <v>3.0813803856940325E-2</v>
      </c>
      <c r="U677" s="115">
        <f t="shared" si="128"/>
        <v>1.1928570865273436E-2</v>
      </c>
      <c r="V677" s="115">
        <f t="shared" si="131"/>
        <v>1.0627248043304505E-2</v>
      </c>
      <c r="W677" s="116">
        <f t="shared" si="129"/>
        <v>0</v>
      </c>
      <c r="X677" s="115">
        <f t="shared" si="132"/>
        <v>-5.215603742453645E-2</v>
      </c>
      <c r="Y677" s="115">
        <f t="shared" si="133"/>
        <v>0.18122652386920812</v>
      </c>
      <c r="Z677" s="115">
        <f t="shared" si="135"/>
        <v>7.0256586813110644E-2</v>
      </c>
      <c r="AA677" s="116">
        <f t="shared" si="134"/>
        <v>1.0299999999999998</v>
      </c>
      <c r="AB677" s="115">
        <f t="shared" si="123"/>
        <v>0.36684107690220369</v>
      </c>
      <c r="AC677" s="115">
        <f t="shared" si="124"/>
        <v>0.64033541060098376</v>
      </c>
      <c r="AD677" s="115">
        <f t="shared" si="130"/>
        <v>0.47800589533223103</v>
      </c>
      <c r="AE677" s="235">
        <f t="shared" si="125"/>
        <v>2.2799999999999998</v>
      </c>
    </row>
    <row r="678" spans="14:31" x14ac:dyDescent="0.2">
      <c r="N678" s="337">
        <v>45351</v>
      </c>
      <c r="O678" s="116">
        <f>INDEX('Additional data'!$B$2:$B$965,MATCH(DATE(YEAR(N678),MONTH(N678),1),'Additional data'!$A$2:$A$965,0))</f>
        <v>77.25</v>
      </c>
      <c r="P678" s="232">
        <f t="shared" si="126"/>
        <v>4.3470469157778551</v>
      </c>
      <c r="Q678" s="232">
        <f>Q677+LN(1+INDEX('Additional data'!$H$2:$H$1196,MATCH(N678,'Additional data'!$G$2:$G$1196,1))+INDEX('Additional data'!$I$2:$I$1196,MATCH(N678,'Additional data'!$G$2:$G$1196,1)))</f>
        <v>5.5647406802435873</v>
      </c>
      <c r="R678" s="232">
        <f>LN(INDEX(Data!$B$2:$B$497,MATCH(N678,Data!$A$2:$A$497,1)))</f>
        <v>11.49504489090919</v>
      </c>
      <c r="S678" s="116">
        <f>INDEX('Additional data'!$E$2:$E$699,MATCH(DATE(YEAR(N678),MONTH(N678),1),'Additional data'!$D$2:$D$699,0))</f>
        <v>4.34</v>
      </c>
      <c r="T678" s="115">
        <f t="shared" si="127"/>
        <v>4.0956847193913681E-2</v>
      </c>
      <c r="U678" s="115">
        <f t="shared" si="128"/>
        <v>5.3445975705625592E-2</v>
      </c>
      <c r="V678" s="115">
        <f t="shared" si="131"/>
        <v>1.1619590056337614E-2</v>
      </c>
      <c r="W678" s="116">
        <f t="shared" si="129"/>
        <v>-9.9999999999997868E-3</v>
      </c>
      <c r="X678" s="115">
        <f t="shared" si="132"/>
        <v>5.4517268983111933E-3</v>
      </c>
      <c r="Y678" s="115">
        <f t="shared" si="133"/>
        <v>0.25722490404534515</v>
      </c>
      <c r="Z678" s="115">
        <f t="shared" si="135"/>
        <v>0.10702065777733161</v>
      </c>
      <c r="AA678" s="116">
        <f t="shared" si="134"/>
        <v>0.87999999999999989</v>
      </c>
      <c r="AB678" s="115">
        <f t="shared" si="123"/>
        <v>0.34062323492822433</v>
      </c>
      <c r="AC678" s="115">
        <f t="shared" si="124"/>
        <v>0.65841424246931801</v>
      </c>
      <c r="AD678" s="115">
        <f t="shared" si="130"/>
        <v>0.43084982733055632</v>
      </c>
      <c r="AE678" s="235">
        <f t="shared" si="125"/>
        <v>2.38</v>
      </c>
    </row>
    <row r="679" spans="14:31" x14ac:dyDescent="0.2">
      <c r="N679" s="337">
        <v>45382</v>
      </c>
      <c r="O679" s="116">
        <f>INDEX('Additional data'!$B$2:$B$965,MATCH(DATE(YEAR(N679),MONTH(N679),1),'Additional data'!$A$2:$A$965,0))</f>
        <v>81.28</v>
      </c>
      <c r="P679" s="232">
        <f t="shared" si="126"/>
        <v>4.3978999838301718</v>
      </c>
      <c r="Q679" s="232">
        <f>Q678+LN(1+INDEX('Additional data'!$H$2:$H$1196,MATCH(N679,'Additional data'!$G$2:$G$1196,1))+INDEX('Additional data'!$I$2:$I$1196,MATCH(N679,'Additional data'!$G$2:$G$1196,1)))</f>
        <v>5.5969174119388088</v>
      </c>
      <c r="R679" s="232">
        <f>LN(INDEX(Data!$B$2:$B$497,MATCH(N679,Data!$A$2:$A$497,1)))</f>
        <v>11.525885754617189</v>
      </c>
      <c r="S679" s="116">
        <f>INDEX('Additional data'!$E$2:$E$699,MATCH(DATE(YEAR(N679),MONTH(N679),1),'Additional data'!$D$2:$D$699,0))</f>
        <v>4.3499999999999996</v>
      </c>
      <c r="T679" s="115">
        <f t="shared" si="127"/>
        <v>5.0853068052316708E-2</v>
      </c>
      <c r="U679" s="115">
        <f t="shared" si="128"/>
        <v>3.2176731695221505E-2</v>
      </c>
      <c r="V679" s="115">
        <f t="shared" si="131"/>
        <v>3.0840863707998878E-2</v>
      </c>
      <c r="W679" s="116">
        <f t="shared" si="129"/>
        <v>9.9999999999997868E-3</v>
      </c>
      <c r="X679" s="115">
        <f t="shared" si="132"/>
        <v>0.10361226346429664</v>
      </c>
      <c r="Y679" s="115">
        <f t="shared" si="133"/>
        <v>0.26139743933096948</v>
      </c>
      <c r="Z679" s="115">
        <f t="shared" si="135"/>
        <v>0.13959650125169887</v>
      </c>
      <c r="AA679" s="116">
        <f t="shared" si="134"/>
        <v>0.70999999999999952</v>
      </c>
      <c r="AB679" s="115">
        <f t="shared" si="123"/>
        <v>0.33487410486549862</v>
      </c>
      <c r="AC679" s="115">
        <f t="shared" si="124"/>
        <v>0.67777347045392489</v>
      </c>
      <c r="AD679" s="115">
        <f t="shared" si="130"/>
        <v>0.45469155495154467</v>
      </c>
      <c r="AE679" s="235">
        <f t="shared" si="125"/>
        <v>2.5199999999999996</v>
      </c>
    </row>
    <row r="680" spans="14:31" x14ac:dyDescent="0.2">
      <c r="N680" s="337">
        <v>45412</v>
      </c>
      <c r="O680" s="116">
        <f>INDEX('Additional data'!$B$2:$B$965,MATCH(DATE(YEAR(N680),MONTH(N680),1),'Additional data'!$A$2:$A$965,0))</f>
        <v>85.35</v>
      </c>
      <c r="P680" s="232">
        <f t="shared" si="126"/>
        <v>4.4467604492404496</v>
      </c>
      <c r="Q680" s="232">
        <f>Q679+LN(1+INDEX('Additional data'!$H$2:$H$1196,MATCH(N680,'Additional data'!$G$2:$G$1196,1))+INDEX('Additional data'!$I$2:$I$1196,MATCH(N680,'Additional data'!$G$2:$G$1196,1)))</f>
        <v>5.5542186574056931</v>
      </c>
      <c r="R680" s="232">
        <f>LN(INDEX(Data!$B$2:$B$497,MATCH(N680,Data!$A$2:$A$497,1)))</f>
        <v>11.49853708698023</v>
      </c>
      <c r="S680" s="116">
        <f>INDEX('Additional data'!$E$2:$E$699,MATCH(DATE(YEAR(N680),MONTH(N680),1),'Additional data'!$D$2:$D$699,0))</f>
        <v>4.37</v>
      </c>
      <c r="T680" s="115">
        <f t="shared" si="127"/>
        <v>4.8860465410277776E-2</v>
      </c>
      <c r="U680" s="115">
        <f t="shared" si="128"/>
        <v>-4.2698754533115668E-2</v>
      </c>
      <c r="V680" s="115">
        <f t="shared" si="131"/>
        <v>-2.7348667636958979E-2</v>
      </c>
      <c r="W680" s="116">
        <f t="shared" si="129"/>
        <v>2.0000000000000462E-2</v>
      </c>
      <c r="X680" s="115">
        <f t="shared" si="132"/>
        <v>7.1632556257724467E-2</v>
      </c>
      <c r="Y680" s="115">
        <f t="shared" si="133"/>
        <v>0.20904542776971535</v>
      </c>
      <c r="Z680" s="115">
        <f t="shared" si="135"/>
        <v>9.4808270685229346E-2</v>
      </c>
      <c r="AA680" s="116">
        <f t="shared" si="134"/>
        <v>0.71</v>
      </c>
      <c r="AB680" s="115">
        <f t="shared" si="123"/>
        <v>0.29006726195381383</v>
      </c>
      <c r="AC680" s="115">
        <f t="shared" si="124"/>
        <v>0.59412472959185525</v>
      </c>
      <c r="AD680" s="115">
        <f t="shared" si="130"/>
        <v>0.40225392776745394</v>
      </c>
      <c r="AE680" s="235">
        <f t="shared" si="125"/>
        <v>2.6900000000000004</v>
      </c>
    </row>
    <row r="681" spans="14:31" x14ac:dyDescent="0.2">
      <c r="N681" s="337">
        <v>45443</v>
      </c>
      <c r="O681" s="116">
        <f>INDEX('Additional data'!$B$2:$B$965,MATCH(DATE(YEAR(N681),MONTH(N681),1),'Additional data'!$A$2:$A$965,0))</f>
        <v>80.02</v>
      </c>
      <c r="P681" s="232">
        <f t="shared" si="126"/>
        <v>4.382276603429089</v>
      </c>
      <c r="Q681" s="232">
        <f>Q680+LN(1+INDEX('Additional data'!$H$2:$H$1196,MATCH(N681,'Additional data'!$G$2:$G$1196,1))+INDEX('Additional data'!$I$2:$I$1196,MATCH(N681,'Additional data'!$G$2:$G$1196,1)))</f>
        <v>5.6008159427824751</v>
      </c>
      <c r="R681" s="232">
        <f>LN(INDEX(Data!$B$2:$B$497,MATCH(N681,Data!$A$2:$A$497,1)))</f>
        <v>11.507220459482655</v>
      </c>
      <c r="S681" s="116">
        <f>INDEX('Additional data'!$E$2:$E$699,MATCH(DATE(YEAR(N681),MONTH(N681),1),'Additional data'!$D$2:$D$699,0))</f>
        <v>4.3600000000000003</v>
      </c>
      <c r="T681" s="115">
        <f t="shared" si="127"/>
        <v>-6.4483845811360574E-2</v>
      </c>
      <c r="U681" s="115">
        <f t="shared" si="128"/>
        <v>4.6597285376781983E-2</v>
      </c>
      <c r="V681" s="115">
        <f t="shared" si="131"/>
        <v>8.683372502424902E-3</v>
      </c>
      <c r="W681" s="116">
        <f t="shared" si="129"/>
        <v>-9.9999999999997868E-3</v>
      </c>
      <c r="X681" s="115">
        <f t="shared" si="132"/>
        <v>0.11146089809120951</v>
      </c>
      <c r="Y681" s="115">
        <f t="shared" si="133"/>
        <v>0.24866709941007237</v>
      </c>
      <c r="Z681" s="115">
        <f t="shared" si="135"/>
        <v>0.13010347980245385</v>
      </c>
      <c r="AA681" s="116">
        <f t="shared" si="134"/>
        <v>0.46000000000000041</v>
      </c>
      <c r="AB681" s="115">
        <f t="shared" si="123"/>
        <v>0.27419351509647516</v>
      </c>
      <c r="AC681" s="115">
        <f t="shared" si="124"/>
        <v>0.71017927998385932</v>
      </c>
      <c r="AD681" s="115">
        <f t="shared" si="130"/>
        <v>0.3943654459539836</v>
      </c>
      <c r="AE681" s="235">
        <f t="shared" si="125"/>
        <v>2.8200000000000003</v>
      </c>
    </row>
    <row r="682" spans="14:31" x14ac:dyDescent="0.2">
      <c r="N682" s="337">
        <v>45473</v>
      </c>
      <c r="O682" s="116">
        <f>INDEX('Additional data'!$B$2:$B$965,MATCH(DATE(YEAR(N682),MONTH(N682),1),'Additional data'!$A$2:$A$965,0))</f>
        <v>79.77</v>
      </c>
      <c r="P682" s="232">
        <f t="shared" si="126"/>
        <v>4.3791474939230381</v>
      </c>
      <c r="Q682" s="232">
        <f>Q681+LN(1+INDEX('Additional data'!$H$2:$H$1196,MATCH(N682,'Additional data'!$G$2:$G$1196,1))+INDEX('Additional data'!$I$2:$I$1196,MATCH(N682,'Additional data'!$G$2:$G$1196,1)))</f>
        <v>5.632411504372226</v>
      </c>
      <c r="R682" s="232">
        <f>LN(INDEX(Data!$B$2:$B$497,MATCH(N682,Data!$A$2:$A$497,1)))</f>
        <v>11.51417529334217</v>
      </c>
      <c r="S682" s="116">
        <f>INDEX('Additional data'!$E$2:$E$699,MATCH(DATE(YEAR(N682),MONTH(N682),1),'Additional data'!$D$2:$D$699,0))</f>
        <v>4.3899999999999997</v>
      </c>
      <c r="T682" s="115">
        <f t="shared" si="127"/>
        <v>-3.1291095060508312E-3</v>
      </c>
      <c r="U682" s="115">
        <f t="shared" si="128"/>
        <v>3.1595561589750965E-2</v>
      </c>
      <c r="V682" s="115">
        <f t="shared" si="131"/>
        <v>6.9548338595151193E-3</v>
      </c>
      <c r="W682" s="116">
        <f t="shared" si="129"/>
        <v>2.9999999999999361E-2</v>
      </c>
      <c r="X682" s="115">
        <f t="shared" si="132"/>
        <v>0.12708718570918265</v>
      </c>
      <c r="Y682" s="115">
        <f t="shared" si="133"/>
        <v>0.21391328045828928</v>
      </c>
      <c r="Z682" s="115">
        <f t="shared" si="135"/>
        <v>0.11787979488006251</v>
      </c>
      <c r="AA682" s="116">
        <f t="shared" si="134"/>
        <v>0.13999999999999968</v>
      </c>
      <c r="AB682" s="115">
        <f t="shared" si="123"/>
        <v>0.37801531342311634</v>
      </c>
      <c r="AC682" s="115">
        <f t="shared" si="124"/>
        <v>0.67252866883679552</v>
      </c>
      <c r="AD682" s="115">
        <f t="shared" si="130"/>
        <v>0.36758699729565514</v>
      </c>
      <c r="AE682" s="235">
        <f t="shared" si="125"/>
        <v>3.0999999999999996</v>
      </c>
    </row>
    <row r="683" spans="14:31" x14ac:dyDescent="0.2">
      <c r="N683" s="337">
        <v>45504</v>
      </c>
      <c r="O683" s="116">
        <f>INDEX('Additional data'!$B$2:$B$965,MATCH(DATE(YEAR(N683),MONTH(N683),1),'Additional data'!$A$2:$A$965,0))</f>
        <v>81.8</v>
      </c>
      <c r="P683" s="232">
        <f t="shared" si="126"/>
        <v>4.4042772436087017</v>
      </c>
      <c r="Q683" s="232">
        <f>Q682+LN(1+INDEX('Additional data'!$H$2:$H$1196,MATCH(N683,'Additional data'!$G$2:$G$1196,1))+INDEX('Additional data'!$I$2:$I$1196,MATCH(N683,'Additional data'!$G$2:$G$1196,1)))</f>
        <v>5.6489735926712044</v>
      </c>
      <c r="R683" s="232">
        <f>LN(INDEX(Data!$B$2:$B$497,MATCH(N683,Data!$A$2:$A$497,1)))</f>
        <v>11.551863965769263</v>
      </c>
      <c r="S683" s="116">
        <f>INDEX('Additional data'!$E$2:$E$699,MATCH(DATE(YEAR(N683),MONTH(N683),1),'Additional data'!$D$2:$D$699,0))</f>
        <v>4.46</v>
      </c>
      <c r="T683" s="115">
        <f t="shared" si="127"/>
        <v>2.5129749685663505E-2</v>
      </c>
      <c r="U683" s="115">
        <f t="shared" si="128"/>
        <v>1.6562088298978317E-2</v>
      </c>
      <c r="V683" s="115">
        <f t="shared" si="131"/>
        <v>3.768867242709284E-2</v>
      </c>
      <c r="W683" s="116">
        <f t="shared" si="129"/>
        <v>7.0000000000000284E-2</v>
      </c>
      <c r="X683" s="115">
        <f t="shared" si="132"/>
        <v>7.2623274599491694E-2</v>
      </c>
      <c r="Y683" s="115">
        <f t="shared" si="133"/>
        <v>0.19452924198379851</v>
      </c>
      <c r="Z683" s="115">
        <f t="shared" si="135"/>
        <v>0.12611115752082114</v>
      </c>
      <c r="AA683" s="116">
        <f t="shared" si="134"/>
        <v>0.16000000000000014</v>
      </c>
      <c r="AB683" s="115">
        <f t="shared" si="123"/>
        <v>0.35510440003332189</v>
      </c>
      <c r="AC683" s="115">
        <f t="shared" si="124"/>
        <v>0.67499063275699189</v>
      </c>
      <c r="AD683" s="115">
        <f t="shared" si="130"/>
        <v>0.37611244964414148</v>
      </c>
      <c r="AE683" s="235">
        <f t="shared" si="125"/>
        <v>3.3499999999999996</v>
      </c>
    </row>
    <row r="684" spans="14:31" x14ac:dyDescent="0.2">
      <c r="N684" s="337">
        <v>45535</v>
      </c>
      <c r="O684" s="116">
        <f>INDEX('Additional data'!$B$2:$B$965,MATCH(DATE(YEAR(N684),MONTH(N684),1),'Additional data'!$A$2:$A$965,0))</f>
        <v>76.680000000000007</v>
      </c>
      <c r="P684" s="232">
        <f t="shared" si="126"/>
        <v>4.3396409181774436</v>
      </c>
      <c r="Q684" s="232">
        <f>Q683+LN(1+INDEX('Additional data'!$H$2:$H$1196,MATCH(N684,'Additional data'!$G$2:$G$1196,1))+INDEX('Additional data'!$I$2:$I$1196,MATCH(N684,'Additional data'!$G$2:$G$1196,1)))</f>
        <v>5.669560226279593</v>
      </c>
      <c r="R684" s="232">
        <f>LN(INDEX(Data!$B$2:$B$497,MATCH(N684,Data!$A$2:$A$497,1)))</f>
        <v>11.555873921072591</v>
      </c>
      <c r="S684" s="116">
        <f>INDEX('Additional data'!$E$2:$E$699,MATCH(DATE(YEAR(N684),MONTH(N684),1),'Additional data'!$D$2:$D$699,0))</f>
        <v>4.38</v>
      </c>
      <c r="T684" s="115">
        <f t="shared" si="127"/>
        <v>-6.4636325431258079E-2</v>
      </c>
      <c r="U684" s="115">
        <f t="shared" si="128"/>
        <v>2.0586633608388638E-2</v>
      </c>
      <c r="V684" s="115">
        <f t="shared" si="131"/>
        <v>4.0099553033279278E-3</v>
      </c>
      <c r="W684" s="116">
        <f t="shared" si="129"/>
        <v>-8.0000000000000071E-2</v>
      </c>
      <c r="X684" s="115">
        <f t="shared" si="132"/>
        <v>-5.9611497161506932E-2</v>
      </c>
      <c r="Y684" s="115">
        <f t="shared" si="133"/>
        <v>0.23440063700405389</v>
      </c>
      <c r="Z684" s="115">
        <f t="shared" si="135"/>
        <v>0.13754417417260711</v>
      </c>
      <c r="AA684" s="116">
        <f t="shared" si="134"/>
        <v>0.22999999999999954</v>
      </c>
      <c r="AB684" s="115">
        <f t="shared" si="123"/>
        <v>0.33576825911941821</v>
      </c>
      <c r="AC684" s="115">
        <f t="shared" si="124"/>
        <v>0.71976750516659838</v>
      </c>
      <c r="AD684" s="115">
        <f t="shared" si="130"/>
        <v>0.4025280526586652</v>
      </c>
      <c r="AE684" s="235">
        <f t="shared" si="125"/>
        <v>3.4</v>
      </c>
    </row>
    <row r="685" spans="14:31" x14ac:dyDescent="0.2">
      <c r="N685" s="337">
        <v>45565</v>
      </c>
      <c r="O685" s="116">
        <f>INDEX('Additional data'!$B$2:$B$965,MATCH(DATE(YEAR(N685),MONTH(N685),1),'Additional data'!$A$2:$A$965,0))</f>
        <v>70.239999999999995</v>
      </c>
      <c r="P685" s="232">
        <f t="shared" si="126"/>
        <v>4.2519179493268613</v>
      </c>
      <c r="Q685" s="232">
        <f>Q684+LN(1+INDEX('Additional data'!$H$2:$H$1196,MATCH(N685,'Additional data'!$G$2:$G$1196,1))+INDEX('Additional data'!$I$2:$I$1196,MATCH(N685,'Additional data'!$G$2:$G$1196,1)))</f>
        <v>5.6905386326647847</v>
      </c>
      <c r="R685" s="232">
        <f>LN(INDEX(Data!$B$2:$B$497,MATCH(N685,Data!$A$2:$A$497,1)))</f>
        <v>11.58978614273739</v>
      </c>
      <c r="S685" s="116">
        <f>INDEX('Additional data'!$E$2:$E$699,MATCH(DATE(YEAR(N685),MONTH(N685),1),'Additional data'!$D$2:$D$699,0))</f>
        <v>4.42</v>
      </c>
      <c r="T685" s="115">
        <f t="shared" si="127"/>
        <v>-8.7722968850582284E-2</v>
      </c>
      <c r="U685" s="115">
        <f t="shared" si="128"/>
        <v>2.0978406385191661E-2</v>
      </c>
      <c r="V685" s="115">
        <f t="shared" si="131"/>
        <v>3.3912221664799347E-2</v>
      </c>
      <c r="W685" s="116">
        <f t="shared" si="129"/>
        <v>4.0000000000000036E-2</v>
      </c>
      <c r="X685" s="115">
        <f t="shared" si="132"/>
        <v>-0.24153824703122861</v>
      </c>
      <c r="Y685" s="115">
        <f t="shared" si="133"/>
        <v>0.30456928758001744</v>
      </c>
      <c r="Z685" s="115">
        <f t="shared" si="135"/>
        <v>0.20010784946081905</v>
      </c>
      <c r="AA685" s="116">
        <f t="shared" si="134"/>
        <v>0.29000000000000004</v>
      </c>
      <c r="AB685" s="115">
        <f t="shared" si="123"/>
        <v>0.20974425943366981</v>
      </c>
      <c r="AC685" s="115">
        <f t="shared" si="124"/>
        <v>0.72497099243642804</v>
      </c>
      <c r="AD685" s="115">
        <f t="shared" si="130"/>
        <v>0.41537931040716636</v>
      </c>
      <c r="AE685" s="235">
        <f t="shared" si="125"/>
        <v>3.44</v>
      </c>
    </row>
    <row r="686" spans="14:31" x14ac:dyDescent="0.2">
      <c r="N686" s="337">
        <v>45596</v>
      </c>
      <c r="O686" s="116">
        <f>INDEX('Additional data'!$B$2:$B$965,MATCH(DATE(YEAR(N686),MONTH(N686),1),'Additional data'!$A$2:$A$965,0))</f>
        <v>71.989999999999995</v>
      </c>
      <c r="P686" s="232">
        <f t="shared" si="126"/>
        <v>4.2765272204812117</v>
      </c>
      <c r="Q686" s="232">
        <f>Q685+LN(1+INDEX('Additional data'!$H$2:$H$1196,MATCH(N686,'Additional data'!$G$2:$G$1196,1))+INDEX('Additional data'!$I$2:$I$1196,MATCH(N686,'Additional data'!$G$2:$G$1196,1)))</f>
        <v>5.6844199516566079</v>
      </c>
      <c r="R686" s="232">
        <f>LN(INDEX(Data!$B$2:$B$497,MATCH(N686,Data!$A$2:$A$497,1)))</f>
        <v>11.576418190554033</v>
      </c>
      <c r="S686" s="116">
        <f>INDEX('Additional data'!$E$2:$E$699,MATCH(DATE(YEAR(N686),MONTH(N686),1),'Additional data'!$D$2:$D$699,0))</f>
        <v>4.41</v>
      </c>
      <c r="T686" s="115">
        <f t="shared" si="127"/>
        <v>2.4609271154350409E-2</v>
      </c>
      <c r="U686" s="115">
        <f t="shared" si="128"/>
        <v>-6.1186810081768073E-3</v>
      </c>
      <c r="V686" s="115">
        <f t="shared" si="131"/>
        <v>-1.3367952183356735E-2</v>
      </c>
      <c r="W686" s="116">
        <f t="shared" si="129"/>
        <v>-9.9999999999997868E-3</v>
      </c>
      <c r="X686" s="115">
        <f t="shared" si="132"/>
        <v>-0.17362524324027007</v>
      </c>
      <c r="Y686" s="115">
        <f t="shared" si="133"/>
        <v>0.32561627464461029</v>
      </c>
      <c r="Z686" s="115">
        <f t="shared" si="135"/>
        <v>0.2260105814091542</v>
      </c>
      <c r="AA686" s="116">
        <f t="shared" si="134"/>
        <v>0.20000000000000018</v>
      </c>
      <c r="AB686" s="115">
        <f t="shared" si="123"/>
        <v>0.28828418914165654</v>
      </c>
      <c r="AC686" s="115">
        <f t="shared" si="124"/>
        <v>0.69689514407620923</v>
      </c>
      <c r="AD686" s="115">
        <f t="shared" si="130"/>
        <v>0.40572412179588291</v>
      </c>
      <c r="AE686" s="235">
        <f t="shared" si="125"/>
        <v>3.5300000000000002</v>
      </c>
    </row>
    <row r="687" spans="14:31" x14ac:dyDescent="0.2">
      <c r="N687" s="337">
        <v>45626</v>
      </c>
      <c r="O687" s="116">
        <f>INDEX('Additional data'!$B$2:$B$965,MATCH(DATE(YEAR(N687),MONTH(N687),1),'Additional data'!$A$2:$A$965,0))</f>
        <v>69.95</v>
      </c>
      <c r="P687" s="232">
        <f t="shared" si="126"/>
        <v>4.2477807011114903</v>
      </c>
      <c r="Q687" s="232">
        <f>Q686+LN(1+INDEX('Additional data'!$H$2:$H$1196,MATCH(N687,'Additional data'!$G$2:$G$1196,1))+INDEX('Additional data'!$I$2:$I$1196,MATCH(N687,'Additional data'!$G$2:$G$1196,1)))</f>
        <v>5.7510500339543711</v>
      </c>
      <c r="R687" s="232">
        <f>LN(INDEX(Data!$B$2:$B$497,MATCH(N687,Data!$A$2:$A$497,1)))</f>
        <v>11.612335479665187</v>
      </c>
      <c r="S687" s="116">
        <f>INDEX('Additional data'!$E$2:$E$699,MATCH(DATE(YEAR(N687),MONTH(N687),1),'Additional data'!$D$2:$D$699,0))</f>
        <v>4.42</v>
      </c>
      <c r="T687" s="115">
        <f t="shared" si="127"/>
        <v>-2.8746519369721391E-2</v>
      </c>
      <c r="U687" s="115">
        <f t="shared" si="128"/>
        <v>6.6630082297763238E-2</v>
      </c>
      <c r="V687" s="115">
        <f t="shared" si="131"/>
        <v>3.5917289111154105E-2</v>
      </c>
      <c r="W687" s="116">
        <f t="shared" si="129"/>
        <v>9.9999999999997868E-3</v>
      </c>
      <c r="X687" s="115">
        <f t="shared" si="132"/>
        <v>-0.10494584785083916</v>
      </c>
      <c r="Y687" s="115">
        <f t="shared" si="133"/>
        <v>0.30313718187059813</v>
      </c>
      <c r="Z687" s="115">
        <f t="shared" si="135"/>
        <v>0.21128546792910008</v>
      </c>
      <c r="AA687" s="116">
        <f t="shared" si="134"/>
        <v>4.0000000000000036E-2</v>
      </c>
      <c r="AB687" s="115">
        <f t="shared" si="123"/>
        <v>0.20420325594304245</v>
      </c>
      <c r="AC687" s="115">
        <f t="shared" si="124"/>
        <v>0.7244006716899225</v>
      </c>
      <c r="AD687" s="115">
        <f t="shared" si="130"/>
        <v>0.41136498526767618</v>
      </c>
      <c r="AE687" s="235">
        <f t="shared" si="125"/>
        <v>3.51</v>
      </c>
    </row>
    <row r="688" spans="14:31" x14ac:dyDescent="0.2">
      <c r="N688" s="337">
        <v>45657</v>
      </c>
      <c r="O688" s="116">
        <f>INDEX('Additional data'!$B$2:$B$965,MATCH(DATE(YEAR(N688),MONTH(N688),1),'Additional data'!$A$2:$A$965,0))</f>
        <v>70.12</v>
      </c>
      <c r="P688" s="232">
        <f t="shared" si="126"/>
        <v>4.2502080600530334</v>
      </c>
      <c r="Q688" s="232">
        <f>Q687+LN(1+INDEX('Additional data'!$H$2:$H$1196,MATCH(N688,'Additional data'!$G$2:$G$1196,1))+INDEX('Additional data'!$I$2:$I$1196,MATCH(N688,'Additional data'!$G$2:$G$1196,1)))</f>
        <v>5.7226505594326733</v>
      </c>
      <c r="R688" s="232">
        <f>LN(INDEX(Data!$B$2:$B$497,MATCH(N688,Data!$A$2:$A$497,1)))</f>
        <v>11.581148409029607</v>
      </c>
      <c r="S688" s="116">
        <f>INDEX('Additional data'!$E$2:$E$699,MATCH(DATE(YEAR(N688),MONTH(N688),1),'Additional data'!$D$2:$D$699,0))</f>
        <v>4.4400000000000004</v>
      </c>
      <c r="T688" s="115">
        <f t="shared" si="127"/>
        <v>2.4273589415431118E-3</v>
      </c>
      <c r="U688" s="115">
        <f t="shared" si="128"/>
        <v>-2.8399474521697776E-2</v>
      </c>
      <c r="V688" s="115">
        <f t="shared" si="131"/>
        <v>-3.1187070635580127E-2</v>
      </c>
      <c r="W688" s="116">
        <f t="shared" si="129"/>
        <v>2.0000000000000462E-2</v>
      </c>
      <c r="X688" s="115">
        <f t="shared" si="132"/>
        <v>-2.5068204673967642E-2</v>
      </c>
      <c r="Y688" s="115">
        <f t="shared" si="133"/>
        <v>0.22328442575998508</v>
      </c>
      <c r="Z688" s="115">
        <f t="shared" si="135"/>
        <v>0.1083503562200594</v>
      </c>
      <c r="AA688" s="116">
        <f t="shared" si="134"/>
        <v>9.0000000000000746E-2</v>
      </c>
      <c r="AB688" s="115">
        <f t="shared" si="123"/>
        <v>0.15786550050160564</v>
      </c>
      <c r="AC688" s="115">
        <f t="shared" si="124"/>
        <v>0.66731656330831601</v>
      </c>
      <c r="AD688" s="115">
        <f t="shared" si="130"/>
        <v>0.39931543524964752</v>
      </c>
      <c r="AE688" s="235">
        <f t="shared" si="125"/>
        <v>3.5400000000000005</v>
      </c>
    </row>
    <row r="689" spans="14:31" x14ac:dyDescent="0.2">
      <c r="N689" s="337">
        <v>45688</v>
      </c>
      <c r="O689" s="116">
        <f>INDEX('Additional data'!$B$2:$B$965,MATCH(DATE(YEAR(N689),MONTH(N689),1),'Additional data'!$A$2:$A$965,0))</f>
        <v>75.739999999999995</v>
      </c>
      <c r="P689" s="232">
        <f t="shared" si="126"/>
        <v>4.3273064224736491</v>
      </c>
      <c r="Q689" s="232">
        <f>Q688+LN(1+INDEX('Additional data'!$H$2:$H$1196,MATCH(N689,'Additional data'!$G$2:$G$1196,1))+INDEX('Additional data'!$I$2:$I$1196,MATCH(N689,'Additional data'!$G$2:$G$1196,1)))</f>
        <v>5.7538584865568669</v>
      </c>
      <c r="R689" s="232">
        <f>LN(INDEX(Data!$B$2:$B$497,MATCH(N689,Data!$A$2:$A$497,1)))</f>
        <v>11.624059550128713</v>
      </c>
      <c r="S689" s="116">
        <f>INDEX('Additional data'!$E$2:$E$699,MATCH(DATE(YEAR(N689),MONTH(N689),1),'Additional data'!$D$2:$D$699,0))</f>
        <v>4.33</v>
      </c>
      <c r="T689" s="115">
        <f t="shared" si="127"/>
        <v>7.7098362420615629E-2</v>
      </c>
      <c r="U689" s="115">
        <f t="shared" si="128"/>
        <v>3.1207927124193624E-2</v>
      </c>
      <c r="V689" s="115">
        <f t="shared" si="131"/>
        <v>4.2911141099105876E-2</v>
      </c>
      <c r="W689" s="116">
        <f t="shared" si="129"/>
        <v>-0.11000000000000032</v>
      </c>
      <c r="X689" s="115">
        <f t="shared" si="132"/>
        <v>2.1216353889707662E-2</v>
      </c>
      <c r="Y689" s="115">
        <f t="shared" si="133"/>
        <v>0.24256378201890527</v>
      </c>
      <c r="Z689" s="115">
        <f t="shared" si="135"/>
        <v>0.14063424927586077</v>
      </c>
      <c r="AA689" s="116">
        <f t="shared" si="134"/>
        <v>-1.9999999999999574E-2</v>
      </c>
      <c r="AB689" s="115">
        <f t="shared" si="123"/>
        <v>0.2751737090608577</v>
      </c>
      <c r="AC689" s="115">
        <f t="shared" si="124"/>
        <v>0.69832451042984367</v>
      </c>
      <c r="AD689" s="115">
        <f t="shared" si="130"/>
        <v>0.3964268804124611</v>
      </c>
      <c r="AE689" s="235">
        <f t="shared" si="125"/>
        <v>3.44</v>
      </c>
    </row>
    <row r="690" spans="14:31" x14ac:dyDescent="0.2">
      <c r="N690" s="337">
        <v>45716</v>
      </c>
      <c r="O690" s="116">
        <f>INDEX('Additional data'!$B$2:$B$965,MATCH(DATE(YEAR(N690),MONTH(N690),1),'Additional data'!$A$2:$A$965,0))</f>
        <v>71.53</v>
      </c>
      <c r="P690" s="232">
        <f t="shared" si="126"/>
        <v>4.2701169421202927</v>
      </c>
      <c r="Q690" s="232">
        <f>Q689+LN(1+INDEX('Additional data'!$H$2:$H$1196,MATCH(N690,'Additional data'!$G$2:$G$1196,1))+INDEX('Additional data'!$I$2:$I$1196,MATCH(N690,'Additional data'!$G$2:$G$1196,1)))</f>
        <v>5.7325326998421149</v>
      </c>
      <c r="R690" s="232">
        <f>LN(INDEX(Data!$B$2:$B$497,MATCH(N690,Data!$A$2:$A$497,1)))</f>
        <v>11.583651489434091</v>
      </c>
      <c r="S690" s="116">
        <f>INDEX('Additional data'!$E$2:$E$699,MATCH(DATE(YEAR(N690),MONTH(N690),1),'Additional data'!$D$2:$D$699,0))</f>
        <v>4.17</v>
      </c>
      <c r="T690" s="115">
        <f t="shared" si="127"/>
        <v>-5.7189480353356359E-2</v>
      </c>
      <c r="U690" s="115">
        <f t="shared" si="128"/>
        <v>-2.1325786714752049E-2</v>
      </c>
      <c r="V690" s="115">
        <f t="shared" si="131"/>
        <v>-4.0408060694621994E-2</v>
      </c>
      <c r="W690" s="116">
        <f t="shared" si="129"/>
        <v>-0.16000000000000014</v>
      </c>
      <c r="X690" s="115">
        <f t="shared" si="132"/>
        <v>-7.6929973657562378E-2</v>
      </c>
      <c r="Y690" s="115">
        <f t="shared" si="133"/>
        <v>0.16779201959852763</v>
      </c>
      <c r="Z690" s="115">
        <f t="shared" si="135"/>
        <v>8.8606598524901159E-2</v>
      </c>
      <c r="AA690" s="116">
        <f t="shared" si="134"/>
        <v>-0.16999999999999993</v>
      </c>
      <c r="AB690" s="115">
        <f t="shared" si="123"/>
        <v>0.34735184016024467</v>
      </c>
      <c r="AC690" s="115">
        <f t="shared" si="124"/>
        <v>0.76070647278857706</v>
      </c>
      <c r="AD690" s="115">
        <f t="shared" si="130"/>
        <v>0.4402497943835062</v>
      </c>
      <c r="AE690" s="235">
        <f t="shared" si="125"/>
        <v>3.28</v>
      </c>
    </row>
    <row r="691" spans="14:31" x14ac:dyDescent="0.2">
      <c r="N691" s="337">
        <v>45747</v>
      </c>
      <c r="O691" s="116">
        <f>INDEX('Additional data'!$B$2:$B$965,MATCH(DATE(YEAR(N691),MONTH(N691),1),'Additional data'!$A$2:$A$965,0))</f>
        <v>68.239999999999995</v>
      </c>
      <c r="P691" s="232">
        <f t="shared" si="126"/>
        <v>4.2230309031834237</v>
      </c>
      <c r="Q691" s="232">
        <f>Q690+LN(1+INDEX('Additional data'!$H$2:$H$1196,MATCH(N691,'Additional data'!$G$2:$G$1196,1))+INDEX('Additional data'!$I$2:$I$1196,MATCH(N691,'Additional data'!$G$2:$G$1196,1)))</f>
        <v>5.6701252397134976</v>
      </c>
      <c r="R691" s="232">
        <f>LN(INDEX(Data!$B$2:$B$497,MATCH(N691,Data!$A$2:$A$497,1)))</f>
        <v>11.547648370919671</v>
      </c>
      <c r="S691" s="116">
        <f>INDEX('Additional data'!$E$2:$E$699,MATCH(DATE(YEAR(N691),MONTH(N691),1),'Additional data'!$D$2:$D$699,0))</f>
        <v>4.12</v>
      </c>
      <c r="T691" s="115">
        <f t="shared" si="127"/>
        <v>-4.7086038936869024E-2</v>
      </c>
      <c r="U691" s="115">
        <f t="shared" si="128"/>
        <v>-6.2407460128617309E-2</v>
      </c>
      <c r="V691" s="115">
        <f t="shared" si="131"/>
        <v>-3.6003118514420507E-2</v>
      </c>
      <c r="W691" s="116">
        <f t="shared" si="129"/>
        <v>-4.9999999999999822E-2</v>
      </c>
      <c r="X691" s="115">
        <f t="shared" si="132"/>
        <v>-0.17486908064674811</v>
      </c>
      <c r="Y691" s="115">
        <f t="shared" si="133"/>
        <v>7.3207827774688816E-2</v>
      </c>
      <c r="Z691" s="115">
        <f t="shared" si="135"/>
        <v>2.1762616302481774E-2</v>
      </c>
      <c r="AA691" s="116">
        <f t="shared" si="134"/>
        <v>-0.22999999999999954</v>
      </c>
      <c r="AB691" s="115">
        <f t="shared" si="123"/>
        <v>0.84851978678377415</v>
      </c>
      <c r="AC691" s="115">
        <f t="shared" si="124"/>
        <v>0.84043877982108306</v>
      </c>
      <c r="AD691" s="115">
        <f t="shared" si="130"/>
        <v>0.63923987690634121</v>
      </c>
      <c r="AE691" s="235">
        <f t="shared" si="125"/>
        <v>3.59</v>
      </c>
    </row>
    <row r="692" spans="14:31" x14ac:dyDescent="0.2">
      <c r="N692" s="337">
        <v>45777</v>
      </c>
      <c r="O692" s="116">
        <f>INDEX('Additional data'!$B$2:$B$965,MATCH(DATE(YEAR(N692),MONTH(N692),1),'Additional data'!$A$2:$A$965,0))</f>
        <v>63.54</v>
      </c>
      <c r="P692" s="232">
        <f t="shared" si="126"/>
        <v>4.1516696288413701</v>
      </c>
      <c r="Q692" s="232">
        <f>Q691+LN(1+INDEX('Additional data'!$H$2:$H$1196,MATCH(N692,'Additional data'!$G$2:$G$1196,1))+INDEX('Additional data'!$I$2:$I$1196,MATCH(N692,'Additional data'!$G$2:$G$1196,1)))</f>
        <v>5.6652131953524769</v>
      </c>
      <c r="R692" s="232">
        <f>LN(INDEX(Data!$B$2:$B$497,MATCH(N692,Data!$A$2:$A$497,1)))</f>
        <v>11.58300705526834</v>
      </c>
      <c r="S692" s="116">
        <f>INDEX('Additional data'!$E$2:$E$699,MATCH(DATE(YEAR(N692),MONTH(N692),1),'Additional data'!$D$2:$D$699,0))</f>
        <v>4.0199999999999996</v>
      </c>
      <c r="T692" s="115">
        <f t="shared" si="127"/>
        <v>-7.1361274342053527E-2</v>
      </c>
      <c r="U692" s="115">
        <f t="shared" si="128"/>
        <v>-4.9120443610206621E-3</v>
      </c>
      <c r="V692" s="115">
        <f t="shared" si="131"/>
        <v>3.5358684348668845E-2</v>
      </c>
      <c r="W692" s="116">
        <f t="shared" si="129"/>
        <v>-0.10000000000000053</v>
      </c>
      <c r="X692" s="115">
        <f t="shared" si="132"/>
        <v>-0.29509082039907941</v>
      </c>
      <c r="Y692" s="115">
        <f t="shared" si="133"/>
        <v>0.11099453794678382</v>
      </c>
      <c r="Z692" s="115">
        <f t="shared" si="135"/>
        <v>8.4469968288109598E-2</v>
      </c>
      <c r="AA692" s="116">
        <f t="shared" si="134"/>
        <v>-0.35000000000000053</v>
      </c>
      <c r="AB692" s="115">
        <f t="shared" si="123"/>
        <v>1.3452835270182981</v>
      </c>
      <c r="AC692" s="115">
        <f t="shared" si="124"/>
        <v>0.70801341516110305</v>
      </c>
      <c r="AD692" s="115">
        <f t="shared" si="130"/>
        <v>0.58345786239877206</v>
      </c>
      <c r="AE692" s="235">
        <f t="shared" si="125"/>
        <v>3.8499999999999996</v>
      </c>
    </row>
    <row r="693" spans="14:31" x14ac:dyDescent="0.2">
      <c r="N693" s="337">
        <v>45808</v>
      </c>
      <c r="O693" s="116">
        <f>INDEX('Additional data'!$B$2:$B$965,MATCH(DATE(YEAR(N693),MONTH(N693),1),'Additional data'!$A$2:$A$965,0))</f>
        <v>62.17</v>
      </c>
      <c r="P693" s="232">
        <f t="shared" si="126"/>
        <v>4.1298725682812458</v>
      </c>
      <c r="Q693" s="232">
        <f>Q692+LN(1+INDEX('Additional data'!$H$2:$H$1196,MATCH(N693,'Additional data'!$G$2:$G$1196,1))+INDEX('Additional data'!$I$2:$I$1196,MATCH(N693,'Additional data'!$G$2:$G$1196,1)))</f>
        <v>5.7276244554738742</v>
      </c>
      <c r="R693" s="232">
        <f>LN(INDEX(Data!$B$2:$B$497,MATCH(N693,Data!$A$2:$A$497,1)))</f>
        <v>11.624137988194606</v>
      </c>
      <c r="S693" s="116">
        <f>INDEX('Additional data'!$E$2:$E$699,MATCH(DATE(YEAR(N693),MONTH(N693),1),'Additional data'!$D$2:$D$699,0))</f>
        <v>3.78</v>
      </c>
      <c r="T693" s="115">
        <f t="shared" si="127"/>
        <v>-2.1797060560124315E-2</v>
      </c>
      <c r="U693" s="115">
        <f t="shared" si="128"/>
        <v>6.2411260121397305E-2</v>
      </c>
      <c r="V693" s="115">
        <f t="shared" si="131"/>
        <v>4.1130932926266794E-2</v>
      </c>
      <c r="W693" s="116">
        <f t="shared" si="129"/>
        <v>-0.23999999999999977</v>
      </c>
      <c r="X693" s="115">
        <f t="shared" si="132"/>
        <v>-0.25240403514784315</v>
      </c>
      <c r="Y693" s="115">
        <f t="shared" si="133"/>
        <v>0.12680851269139914</v>
      </c>
      <c r="Z693" s="115">
        <f t="shared" si="135"/>
        <v>0.11691752871195149</v>
      </c>
      <c r="AA693" s="116">
        <f t="shared" si="134"/>
        <v>-0.58000000000000052</v>
      </c>
      <c r="AB693" s="115">
        <f t="shared" si="123"/>
        <v>0.77786543080986226</v>
      </c>
      <c r="AC693" s="115">
        <f t="shared" si="124"/>
        <v>0.71612590187512115</v>
      </c>
      <c r="AD693" s="115">
        <f t="shared" si="130"/>
        <v>0.57544451617182801</v>
      </c>
      <c r="AE693" s="235">
        <f t="shared" si="125"/>
        <v>3.6799999999999997</v>
      </c>
    </row>
    <row r="694" spans="14:31" x14ac:dyDescent="0.2">
      <c r="N694" s="337">
        <v>45838</v>
      </c>
      <c r="O694" s="116">
        <f>INDEX('Additional data'!$B$2:$B$965,MATCH(DATE(YEAR(N694),MONTH(N694),1),'Additional data'!$A$2:$A$965,0))</f>
        <v>68.17</v>
      </c>
      <c r="P694" s="232">
        <f t="shared" si="126"/>
        <v>4.2220045853746937</v>
      </c>
      <c r="Q694" s="232">
        <f>Q693+LN(1+INDEX('Additional data'!$H$2:$H$1196,MATCH(N694,'Additional data'!$G$2:$G$1196,1))+INDEX('Additional data'!$I$2:$I$1196,MATCH(N694,'Additional data'!$G$2:$G$1196,1)))</f>
        <v>5.778317569789392</v>
      </c>
      <c r="R694" s="232">
        <f>LN(INDEX(Data!$B$2:$B$497,MATCH(N694,Data!$A$2:$A$497,1)))</f>
        <v>11.638434038616433</v>
      </c>
      <c r="S694" s="116">
        <f>INDEX('Additional data'!$E$2:$E$699,MATCH(DATE(YEAR(N694),MONTH(N694),1),'Additional data'!$D$2:$D$699,0))</f>
        <v>3.69</v>
      </c>
      <c r="T694" s="115">
        <f t="shared" si="127"/>
        <v>9.2132017093447871E-2</v>
      </c>
      <c r="U694" s="115">
        <f t="shared" si="128"/>
        <v>5.0693114315517818E-2</v>
      </c>
      <c r="V694" s="115">
        <f t="shared" si="131"/>
        <v>1.4296050421826578E-2</v>
      </c>
      <c r="W694" s="116">
        <f t="shared" si="129"/>
        <v>-8.9999999999999858E-2</v>
      </c>
      <c r="X694" s="115">
        <f t="shared" si="132"/>
        <v>-0.15714290854834445</v>
      </c>
      <c r="Y694" s="115">
        <f t="shared" si="133"/>
        <v>0.145906065417166</v>
      </c>
      <c r="Z694" s="115">
        <f t="shared" si="135"/>
        <v>0.12425874527426295</v>
      </c>
      <c r="AA694" s="116">
        <f t="shared" si="134"/>
        <v>-0.69999999999999973</v>
      </c>
      <c r="AB694" s="115">
        <f t="shared" si="123"/>
        <v>0.57629362666213613</v>
      </c>
      <c r="AC694" s="115">
        <f t="shared" si="124"/>
        <v>0.74251672366767441</v>
      </c>
      <c r="AD694" s="115">
        <f t="shared" si="130"/>
        <v>0.56662663709240846</v>
      </c>
      <c r="AE694" s="235">
        <f t="shared" si="125"/>
        <v>3.59</v>
      </c>
    </row>
    <row r="695" spans="14:31" x14ac:dyDescent="0.2">
      <c r="N695" s="337">
        <v>45869</v>
      </c>
      <c r="O695" s="116">
        <f>INDEX('Additional data'!$B$2:$B$965,MATCH(DATE(YEAR(N695),MONTH(N695),1),'Additional data'!$A$2:$A$965,0))</f>
        <v>68.39</v>
      </c>
      <c r="P695" s="232">
        <f t="shared" si="126"/>
        <v>4.2252266151100049</v>
      </c>
      <c r="Q695" s="232">
        <f>Q694+LN(1+INDEX('Additional data'!$H$2:$H$1196,MATCH(N695,'Additional data'!$G$2:$G$1196,1))+INDEX('Additional data'!$I$2:$I$1196,MATCH(N695,'Additional data'!$G$2:$G$1196,1)))</f>
        <v>5.8012525410718876</v>
      </c>
      <c r="R695" s="232">
        <f>LN(INDEX(Data!$B$2:$B$497,MATCH(N695,Data!$A$2:$A$497,1)))</f>
        <v>11.663998515954932</v>
      </c>
      <c r="S695" s="116">
        <f>INDEX('Additional data'!$E$2:$E$699,MATCH(DATE(YEAR(N695),MONTH(N695),1),'Additional data'!$D$2:$D$699,0))</f>
        <v>3.68</v>
      </c>
      <c r="T695" s="115">
        <f t="shared" si="127"/>
        <v>3.2220297353111604E-3</v>
      </c>
      <c r="U695" s="115">
        <f t="shared" si="128"/>
        <v>2.2934971282495553E-2</v>
      </c>
      <c r="V695" s="115">
        <f t="shared" si="131"/>
        <v>2.5564477338498648E-2</v>
      </c>
      <c r="W695" s="116">
        <f t="shared" si="129"/>
        <v>-9.9999999999997868E-3</v>
      </c>
      <c r="X695" s="115">
        <f t="shared" si="132"/>
        <v>-0.1790506284986968</v>
      </c>
      <c r="Y695" s="115">
        <f t="shared" si="133"/>
        <v>0.15227894840068323</v>
      </c>
      <c r="Z695" s="115">
        <f t="shared" si="135"/>
        <v>0.11213455018566876</v>
      </c>
      <c r="AA695" s="116">
        <f t="shared" si="134"/>
        <v>-0.7799999999999998</v>
      </c>
      <c r="AB695" s="115">
        <f t="shared" si="123"/>
        <v>0.51875285259511728</v>
      </c>
      <c r="AC695" s="115">
        <f t="shared" si="124"/>
        <v>0.70869336113156134</v>
      </c>
      <c r="AD695" s="115">
        <f t="shared" si="130"/>
        <v>0.58275320938963482</v>
      </c>
      <c r="AE695" s="235">
        <f t="shared" si="125"/>
        <v>3.58</v>
      </c>
    </row>
    <row r="696" spans="14:31" x14ac:dyDescent="0.2">
      <c r="N696" s="337">
        <v>45900</v>
      </c>
      <c r="O696" s="116">
        <f>INDEX('Additional data'!$B$2:$B$965,MATCH(DATE(YEAR(N696),MONTH(N696),1),'Additional data'!$A$2:$A$965,0))</f>
        <v>64.86</v>
      </c>
      <c r="P696" s="232">
        <f t="shared" si="126"/>
        <v>4.1722311008791717</v>
      </c>
      <c r="Q696" s="232">
        <f>Q695+LN(1+INDEX('Additional data'!$H$2:$H$1196,MATCH(N696,'Additional data'!$G$2:$G$1196,1))+INDEX('Additional data'!$I$2:$I$1196,MATCH(N696,'Additional data'!$G$2:$G$1196,1)))</f>
        <v>5.8232097084239296</v>
      </c>
      <c r="R696" s="232">
        <f>LN(INDEX(Data!$B$2:$B$497,MATCH(N696,Data!$A$2:$A$497,1)))</f>
        <v>11.695046604303796</v>
      </c>
      <c r="S696" s="116">
        <f>INDEX('Additional data'!$E$2:$E$699,MATCH(DATE(YEAR(N696),MONTH(N696),1),'Additional data'!$D$2:$D$699,0))</f>
        <v>3.61</v>
      </c>
      <c r="T696" s="115">
        <f t="shared" si="127"/>
        <v>-5.2995514230833152E-2</v>
      </c>
      <c r="U696" s="115">
        <f t="shared" si="128"/>
        <v>2.1957167352042006E-2</v>
      </c>
      <c r="V696" s="115">
        <f t="shared" si="131"/>
        <v>3.1048088348864411E-2</v>
      </c>
      <c r="W696" s="116">
        <f t="shared" si="129"/>
        <v>-7.0000000000000284E-2</v>
      </c>
      <c r="X696" s="115">
        <f t="shared" si="132"/>
        <v>-0.16740981729827187</v>
      </c>
      <c r="Y696" s="115">
        <f t="shared" si="133"/>
        <v>0.1536494821443366</v>
      </c>
      <c r="Z696" s="115">
        <f t="shared" si="135"/>
        <v>0.13917268323120524</v>
      </c>
      <c r="AA696" s="116">
        <f t="shared" si="134"/>
        <v>-0.77</v>
      </c>
      <c r="AB696" s="115">
        <f t="shared" si="123"/>
        <v>0.42649883517245257</v>
      </c>
      <c r="AC696" s="115">
        <f t="shared" si="124"/>
        <v>0.65712129519548768</v>
      </c>
      <c r="AD696" s="115">
        <f t="shared" si="130"/>
        <v>0.57741690654041378</v>
      </c>
      <c r="AE696" s="235">
        <f t="shared" si="125"/>
        <v>3.51</v>
      </c>
    </row>
    <row r="697" spans="14:31" x14ac:dyDescent="0.2">
      <c r="N697" s="337">
        <v>45930</v>
      </c>
      <c r="O697" s="116">
        <f>INDEX('Additional data'!$B$2:$B$965,MATCH(DATE(YEAR(N697),MONTH(N697),1),'Additional data'!$A$2:$A$965,0))</f>
        <v>63.96</v>
      </c>
      <c r="P697" s="232">
        <f t="shared" si="126"/>
        <v>4.1582578879657532</v>
      </c>
      <c r="Q697" s="232">
        <f>Q696+LN(1+INDEX('Additional data'!$H$2:$H$1196,MATCH(N697,'Additional data'!$G$2:$G$1196,1))+INDEX('Additional data'!$I$2:$I$1196,MATCH(N697,'Additional data'!$G$2:$G$1196,1)))</f>
        <v>5.8597344831063021</v>
      </c>
      <c r="R697" s="232">
        <f>LN(INDEX(Data!$B$2:$B$497,MATCH(N697,Data!$A$2:$A$497,1)))</f>
        <v>11.689623775284879</v>
      </c>
      <c r="S697" s="116">
        <f>INDEX('Additional data'!$E$2:$E$699,MATCH(DATE(YEAR(N697),MONTH(N697),1),'Additional data'!$D$2:$D$699,0))</f>
        <v>3.58</v>
      </c>
      <c r="T697" s="115">
        <f t="shared" si="127"/>
        <v>-1.3973212913418465E-2</v>
      </c>
      <c r="U697" s="115">
        <f t="shared" si="128"/>
        <v>3.6524774682372474E-2</v>
      </c>
      <c r="V697" s="115">
        <f t="shared" si="131"/>
        <v>-5.422829018916886E-3</v>
      </c>
      <c r="W697" s="116">
        <f t="shared" si="129"/>
        <v>-2.9999999999999805E-2</v>
      </c>
      <c r="X697" s="115">
        <f t="shared" si="132"/>
        <v>-9.3660061361108049E-2</v>
      </c>
      <c r="Y697" s="115">
        <f t="shared" si="133"/>
        <v>0.16919585044151741</v>
      </c>
      <c r="Z697" s="115">
        <f t="shared" si="135"/>
        <v>9.9837632547489008E-2</v>
      </c>
      <c r="AA697" s="116">
        <f t="shared" si="134"/>
        <v>-0.83999999999999986</v>
      </c>
      <c r="AB697" s="115">
        <f t="shared" si="123"/>
        <v>0.47867148076340937</v>
      </c>
      <c r="AC697" s="115">
        <f t="shared" si="124"/>
        <v>0.73062130600275577</v>
      </c>
      <c r="AD697" s="115">
        <f t="shared" si="130"/>
        <v>0.60686660999192199</v>
      </c>
      <c r="AE697" s="235">
        <f t="shared" si="125"/>
        <v>3.49</v>
      </c>
    </row>
    <row r="698" spans="14:31" x14ac:dyDescent="0.2">
      <c r="N698" s="337">
        <v>45961</v>
      </c>
      <c r="O698" s="116">
        <f>INDEX('Additional data'!$B$2:$B$965,MATCH(DATE(YEAR(N698),MONTH(N698),1),'Additional data'!$A$2:$A$965,0))</f>
        <v>60.89</v>
      </c>
      <c r="P698" s="232">
        <f t="shared" si="126"/>
        <v>4.1090689576204831</v>
      </c>
      <c r="Q698" s="232">
        <f>Q697+LN(1+INDEX('Additional data'!$H$2:$H$1196,MATCH(N698,'Additional data'!$G$2:$G$1196,1))+INDEX('Additional data'!$I$2:$I$1196,MATCH(N698,'Additional data'!$G$2:$G$1196,1)))</f>
        <v>5.8827671822168748</v>
      </c>
      <c r="R698" s="232">
        <f>LN(INDEX(Data!$B$2:$B$497,MATCH(N698,Data!$A$2:$A$497,1)))</f>
        <v>11.694479096889188</v>
      </c>
      <c r="S698" s="116">
        <f>INDEX('Additional data'!$E$2:$E$699,MATCH(DATE(YEAR(N698),MONTH(N698),1),'Additional data'!$D$2:$D$699,0))</f>
        <v>3.56</v>
      </c>
      <c r="T698" s="115">
        <f t="shared" si="127"/>
        <v>-4.9188930345270165E-2</v>
      </c>
      <c r="U698" s="115">
        <f t="shared" si="128"/>
        <v>2.3032699110572707E-2</v>
      </c>
      <c r="V698" s="115">
        <f t="shared" si="131"/>
        <v>4.8553216043085712E-3</v>
      </c>
      <c r="W698" s="116">
        <f t="shared" si="129"/>
        <v>-2.0000000000000018E-2</v>
      </c>
      <c r="X698" s="115">
        <f t="shared" si="132"/>
        <v>-0.16745826286072862</v>
      </c>
      <c r="Y698" s="115">
        <f t="shared" si="133"/>
        <v>0.19834723056026693</v>
      </c>
      <c r="Z698" s="115">
        <f t="shared" si="135"/>
        <v>0.11806090633515431</v>
      </c>
      <c r="AA698" s="116">
        <f t="shared" si="134"/>
        <v>-0.85000000000000009</v>
      </c>
      <c r="AB698" s="115">
        <f t="shared" si="123"/>
        <v>0.43530314131659509</v>
      </c>
      <c r="AC698" s="115">
        <f t="shared" si="124"/>
        <v>0.77457125336871702</v>
      </c>
      <c r="AD698" s="115">
        <f t="shared" si="130"/>
        <v>0.59110396266874154</v>
      </c>
      <c r="AE698" s="235">
        <f t="shared" si="125"/>
        <v>3.49</v>
      </c>
    </row>
    <row r="699" spans="14:31" x14ac:dyDescent="0.2">
      <c r="N699" s="337">
        <v>45991</v>
      </c>
      <c r="O699" s="116">
        <f>INDEX('Additional data'!$B$2:$B$965,MATCH(DATE(YEAR(N699),MONTH(N699),1),'Additional data'!$A$2:$A$965,0))</f>
        <v>60.06</v>
      </c>
      <c r="P699" s="232">
        <f t="shared" si="126"/>
        <v>4.095344062555184</v>
      </c>
      <c r="Q699" s="232">
        <f>Q698+LN(1+INDEX('Additional data'!$H$2:$H$1196,MATCH(N699,'Additional data'!$G$2:$G$1196,1))+INDEX('Additional data'!$I$2:$I$1196,MATCH(N699,'Additional data'!$G$2:$G$1196,1)))</f>
        <v>5.8844657388524562</v>
      </c>
      <c r="R699" s="232">
        <f>LN(INDEX(Data!$B$2:$B$497,MATCH(N699,Data!$A$2:$A$497,1)))</f>
        <v>11.669072066952127</v>
      </c>
      <c r="S699" s="116">
        <f>INDEX('Additional data'!$E$2:$E$699,MATCH(DATE(YEAR(N699),MONTH(N699),1),'Additional data'!$D$2:$D$699,0))</f>
        <v>3.65</v>
      </c>
      <c r="T699" s="115">
        <f t="shared" si="127"/>
        <v>-1.3724895065299059E-2</v>
      </c>
      <c r="U699" s="115">
        <f t="shared" si="128"/>
        <v>1.698556635581383E-3</v>
      </c>
      <c r="V699" s="115">
        <f t="shared" si="131"/>
        <v>-2.5407029937060344E-2</v>
      </c>
      <c r="W699" s="116">
        <f t="shared" si="129"/>
        <v>8.9999999999999858E-2</v>
      </c>
      <c r="X699" s="115">
        <f t="shared" si="132"/>
        <v>-0.15243663855630629</v>
      </c>
      <c r="Y699" s="115">
        <f t="shared" si="133"/>
        <v>0.13341570489808507</v>
      </c>
      <c r="Z699" s="115">
        <f t="shared" si="135"/>
        <v>5.6736587286939866E-2</v>
      </c>
      <c r="AA699" s="116">
        <f t="shared" si="134"/>
        <v>-0.77</v>
      </c>
      <c r="AB699" s="115">
        <f t="shared" si="123"/>
        <v>0.38323648232204066</v>
      </c>
      <c r="AC699" s="115">
        <f t="shared" si="124"/>
        <v>0.65884239312833426</v>
      </c>
      <c r="AD699" s="115">
        <f t="shared" si="130"/>
        <v>0.46892857659776865</v>
      </c>
      <c r="AE699" s="235">
        <f t="shared" si="125"/>
        <v>3.63</v>
      </c>
    </row>
    <row r="700" spans="14:31" x14ac:dyDescent="0.2">
      <c r="N700" s="337">
        <v>46022</v>
      </c>
      <c r="O700" s="116">
        <f>INDEX('Additional data'!$B$2:$B$965,MATCH(DATE(YEAR(N700),MONTH(N700),1),'Additional data'!$A$2:$A$965,0))</f>
        <v>57.97</v>
      </c>
      <c r="P700" s="232">
        <f t="shared" si="126"/>
        <v>4.0599256353516413</v>
      </c>
      <c r="Q700" s="232">
        <f>Q699+LN(1+INDEX('Additional data'!$H$2:$H$1196,MATCH(N700,'Additional data'!$G$2:$G$1196,1))+INDEX('Additional data'!$I$2:$I$1196,MATCH(N700,'Additional data'!$G$2:$G$1196,1)))</f>
        <v>5.8842657188497887</v>
      </c>
      <c r="R700" s="232">
        <f>LN(INDEX(Data!$B$2:$B$497,MATCH(N700,Data!$A$2:$A$497,1)))</f>
        <v>11.681554750074547</v>
      </c>
      <c r="S700" s="116">
        <f>INDEX('Additional data'!$E$2:$E$699,MATCH(DATE(YEAR(N700),MONTH(N700),1),'Additional data'!$D$2:$D$699,0))</f>
        <v>3.71</v>
      </c>
      <c r="T700" s="115">
        <f t="shared" si="127"/>
        <v>-3.5418427203542713E-2</v>
      </c>
      <c r="U700" s="115">
        <f t="shared" si="128"/>
        <v>-2.0002000266750031E-4</v>
      </c>
      <c r="V700" s="115">
        <f t="shared" si="131"/>
        <v>1.2482683122419402E-2</v>
      </c>
      <c r="W700" s="116">
        <f t="shared" si="129"/>
        <v>6.0000000000000053E-2</v>
      </c>
      <c r="X700" s="115">
        <f t="shared" si="132"/>
        <v>-0.19028242470139212</v>
      </c>
      <c r="Y700" s="115">
        <f t="shared" si="133"/>
        <v>0.16161515941711535</v>
      </c>
      <c r="Z700" s="115">
        <f t="shared" si="135"/>
        <v>0.1004063410449394</v>
      </c>
      <c r="AA700" s="116">
        <f t="shared" si="134"/>
        <v>-0.73000000000000043</v>
      </c>
      <c r="AB700" s="115">
        <f t="shared" si="123"/>
        <v>0.20935259223971769</v>
      </c>
      <c r="AC700" s="115">
        <f t="shared" si="124"/>
        <v>0.61328667140486992</v>
      </c>
      <c r="AD700" s="115">
        <f t="shared" si="130"/>
        <v>0.46401354362081726</v>
      </c>
      <c r="AE700" s="235">
        <f t="shared" si="125"/>
        <v>3.69</v>
      </c>
    </row>
    <row r="701" spans="14:31" x14ac:dyDescent="0.2">
      <c r="N701" s="359">
        <v>46053</v>
      </c>
      <c r="O701" s="360">
        <f>INDEX('Additional data'!$B$2:$B$965,MATCH(DATE(YEAR(N701),MONTH(N701),1),'Additional data'!$A$2:$A$965,0))</f>
        <v>60.04</v>
      </c>
      <c r="P701" s="361">
        <f t="shared" si="126"/>
        <v>4.0950110067652608</v>
      </c>
      <c r="Q701" s="361">
        <f>Q700+LN(1+INDEX('Additional data'!$H$2:$H$1196,MATCH(N701,'Additional data'!$G$2:$G$1196,1))+INDEX('Additional data'!$I$2:$I$1196,MATCH(N701,'Additional data'!$G$2:$G$1196,1)))</f>
        <v>5.8973793579951712</v>
      </c>
      <c r="R701" s="361">
        <f>LN(INDEX(Data!$B$2:$B$497,MATCH(N701,Data!$A$2:$A$497,1)))</f>
        <v>11.69762007530788</v>
      </c>
      <c r="S701" s="360">
        <f>INDEX('Additional data'!$E$2:$E$699,MATCH(DATE(YEAR(N701),MONTH(N701),1),'Additional data'!$D$2:$D$699,0))</f>
        <v>3.77</v>
      </c>
      <c r="T701" s="362">
        <f t="shared" si="127"/>
        <v>3.5085371413619448E-2</v>
      </c>
      <c r="U701" s="362">
        <f t="shared" si="128"/>
        <v>1.311363914538255E-2</v>
      </c>
      <c r="V701" s="362">
        <f t="shared" si="131"/>
        <v>1.6065325233332928E-2</v>
      </c>
      <c r="W701" s="360">
        <f t="shared" si="129"/>
        <v>6.0000000000000053E-2</v>
      </c>
      <c r="X701" s="362">
        <f t="shared" si="132"/>
        <v>-0.2322954157083883</v>
      </c>
      <c r="Y701" s="362">
        <f t="shared" si="133"/>
        <v>0.14352087143830428</v>
      </c>
      <c r="Z701" s="362">
        <f t="shared" si="135"/>
        <v>7.3560525179166447E-2</v>
      </c>
      <c r="AA701" s="360">
        <f t="shared" si="134"/>
        <v>-0.56000000000000005</v>
      </c>
      <c r="AB701" s="362">
        <f t="shared" si="123"/>
        <v>0.14376728818383322</v>
      </c>
      <c r="AC701" s="362">
        <f t="shared" si="124"/>
        <v>0.62710055566464629</v>
      </c>
      <c r="AD701" s="362">
        <f t="shared" si="130"/>
        <v>0.47706767122487292</v>
      </c>
      <c r="AE701" s="363">
        <f t="shared" si="125"/>
        <v>3.7600000000000002</v>
      </c>
    </row>
  </sheetData>
  <pageMargins left="0.75" right="0.75" top="1" bottom="1" header="0.5" footer="0.5"/>
  <pageSetup fitToHeight="0"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F6228"/>
    <pageSetUpPr fitToPage="1"/>
  </sheetPr>
  <dimension ref="A1:K144"/>
  <sheetViews>
    <sheetView showGridLines="0" workbookViewId="0"/>
  </sheetViews>
  <sheetFormatPr baseColWidth="10" defaultColWidth="8.83203125" defaultRowHeight="15" x14ac:dyDescent="0.2"/>
  <cols>
    <col min="1" max="1" width="34" customWidth="1"/>
    <col min="2" max="8" width="14" customWidth="1"/>
    <col min="9" max="11" width="11" customWidth="1"/>
  </cols>
  <sheetData>
    <row r="1" spans="1:7" ht="19" x14ac:dyDescent="0.2">
      <c r="A1" s="53" t="s">
        <v>121</v>
      </c>
    </row>
    <row r="3" spans="1:7" x14ac:dyDescent="0.2">
      <c r="A3" s="121" t="s">
        <v>517</v>
      </c>
      <c r="B3" s="122"/>
      <c r="C3" s="122"/>
      <c r="D3" s="122"/>
      <c r="E3" s="122"/>
      <c r="F3" s="122"/>
      <c r="G3" s="123"/>
    </row>
    <row r="4" spans="1:7" x14ac:dyDescent="0.2">
      <c r="A4" s="227"/>
      <c r="B4" s="77"/>
      <c r="C4" s="77"/>
      <c r="D4" s="77"/>
      <c r="E4" s="77"/>
      <c r="F4" s="77"/>
      <c r="G4" s="222"/>
    </row>
    <row r="5" spans="1:7" ht="42" customHeight="1" x14ac:dyDescent="0.2">
      <c r="A5" s="124" t="s">
        <v>518</v>
      </c>
      <c r="B5" s="125" t="s">
        <v>519</v>
      </c>
      <c r="C5" s="125" t="s">
        <v>141</v>
      </c>
      <c r="D5" s="125" t="s">
        <v>7</v>
      </c>
      <c r="E5" s="125" t="s">
        <v>8</v>
      </c>
      <c r="F5" s="125" t="s">
        <v>520</v>
      </c>
      <c r="G5" s="126" t="s">
        <v>521</v>
      </c>
    </row>
    <row r="6" spans="1:7" x14ac:dyDescent="0.2">
      <c r="A6" s="364">
        <v>5</v>
      </c>
      <c r="B6" s="342">
        <f>A6*4</f>
        <v>20</v>
      </c>
      <c r="C6" s="72">
        <f>EXP(SUMPRODUCT(LN(1+INDEX('Quarterly returns'!Z$6:Z$85,80-$B6+1):INDEX('Quarterly returns'!Z$6:Z$85,80)))*4/$B6)-1</f>
        <v>7.0238277460718646E-2</v>
      </c>
      <c r="D6" s="72">
        <f>EXP(SUMPRODUCT(LN(1+INDEX('Quarterly returns'!AA$6:AA$85,80-$B6+1):INDEX('Quarterly returns'!AA$6:AA$85,80)))*4/$B6)-1</f>
        <v>7.5762595366314356E-2</v>
      </c>
      <c r="E6" s="72">
        <f>EXP(SUMPRODUCT(LN(1+INDEX('Quarterly returns'!AB$6:AB$85,80-$B6+1):INDEX('Quarterly returns'!AB$6:AB$85,80)))*4/$B6)-1</f>
        <v>8.4806041869762261E-2</v>
      </c>
      <c r="F6" s="72">
        <f>E6-C6</f>
        <v>1.4567764409043615E-2</v>
      </c>
      <c r="G6" s="128">
        <f>E6-D6</f>
        <v>9.043446503447905E-3</v>
      </c>
    </row>
    <row r="7" spans="1:7" x14ac:dyDescent="0.2">
      <c r="A7" s="364">
        <v>10</v>
      </c>
      <c r="B7" s="342">
        <f>A7*4</f>
        <v>40</v>
      </c>
      <c r="C7" s="72">
        <f>EXP(SUMPRODUCT(LN(1+INDEX('Quarterly returns'!Z$6:Z$85,80-$B7+1):INDEX('Quarterly returns'!Z$6:Z$85,80)))*4/$B7)-1</f>
        <v>7.8948233532036394E-2</v>
      </c>
      <c r="D7" s="72">
        <f>EXP(SUMPRODUCT(LN(1+INDEX('Quarterly returns'!AA$6:AA$85,80-$B7+1):INDEX('Quarterly returns'!AA$6:AA$85,80)))*4/$B7)-1</f>
        <v>8.2621317917636494E-2</v>
      </c>
      <c r="E7" s="72">
        <f>EXP(SUMPRODUCT(LN(1+INDEX('Quarterly returns'!AB$6:AB$85,80-$B7+1):INDEX('Quarterly returns'!AB$6:AB$85,80)))*4/$B7)-1</f>
        <v>9.0714535876666114E-2</v>
      </c>
      <c r="F7" s="72">
        <f>E7-C7</f>
        <v>1.176630234462972E-2</v>
      </c>
      <c r="G7" s="128">
        <f>E7-D7</f>
        <v>8.0932179590296194E-3</v>
      </c>
    </row>
    <row r="8" spans="1:7" x14ac:dyDescent="0.2">
      <c r="A8" s="364">
        <v>15</v>
      </c>
      <c r="B8" s="342">
        <f>A8*4</f>
        <v>60</v>
      </c>
      <c r="C8" s="72">
        <f>EXP(SUMPRODUCT(LN(1+INDEX('Quarterly returns'!Z$6:Z$85,80-$B8+1):INDEX('Quarterly returns'!Z$6:Z$85,80)))*4/$B8)-1</f>
        <v>8.3517285924374463E-2</v>
      </c>
      <c r="D8" s="72">
        <f>EXP(SUMPRODUCT(LN(1+INDEX('Quarterly returns'!AA$6:AA$85,80-$B8+1):INDEX('Quarterly returns'!AA$6:AA$85,80)))*4/$B8)-1</f>
        <v>8.662187276334854E-2</v>
      </c>
      <c r="E8" s="72">
        <f>EXP(SUMPRODUCT(LN(1+INDEX('Quarterly returns'!AB$6:AB$85,80-$B8+1):INDEX('Quarterly returns'!AB$6:AB$85,80)))*4/$B8)-1</f>
        <v>9.2163514233834176E-2</v>
      </c>
      <c r="F8" s="72">
        <f>E8-C8</f>
        <v>8.6462283094597137E-3</v>
      </c>
      <c r="G8" s="128">
        <f>E8-D8</f>
        <v>5.5416414704856365E-3</v>
      </c>
    </row>
    <row r="9" spans="1:7" x14ac:dyDescent="0.2">
      <c r="A9" s="364">
        <v>20</v>
      </c>
      <c r="B9" s="342">
        <f>A9*4</f>
        <v>80</v>
      </c>
      <c r="C9" s="72">
        <f>EXP(SUMPRODUCT(LN(1+INDEX('Quarterly returns'!Z$6:Z$85,80-$B9+1):INDEX('Quarterly returns'!Z$6:Z$85,80)))*4/$B9)-1</f>
        <v>6.6782823780299871E-2</v>
      </c>
      <c r="D9" s="72">
        <f>EXP(SUMPRODUCT(LN(1+INDEX('Quarterly returns'!AA$6:AA$85,80-$B9+1):INDEX('Quarterly returns'!AA$6:AA$85,80)))*4/$B9)-1</f>
        <v>6.9169198887697236E-2</v>
      </c>
      <c r="E9" s="72">
        <f>EXP(SUMPRODUCT(LN(1+INDEX('Quarterly returns'!AB$6:AB$85,80-$B9+1):INDEX('Quarterly returns'!AB$6:AB$85,80)))*4/$B9)-1</f>
        <v>7.0415782824255757E-2</v>
      </c>
      <c r="F9" s="72">
        <f>E9-C9</f>
        <v>3.6329590439558856E-3</v>
      </c>
      <c r="G9" s="128">
        <f>E9-D9</f>
        <v>1.2465839365585207E-3</v>
      </c>
    </row>
    <row r="10" spans="1:7" x14ac:dyDescent="0.2">
      <c r="A10" s="221" t="s">
        <v>522</v>
      </c>
      <c r="B10" s="77"/>
      <c r="C10" s="96">
        <f>STDEV('Quarterly returns'!Z6:Z85)*2</f>
        <v>8.8298400559793946E-2</v>
      </c>
      <c r="D10" s="96">
        <f>STDEV('Quarterly returns'!AA6:AA85)*2</f>
        <v>7.4878374691590976E-2</v>
      </c>
      <c r="E10" s="96">
        <f>STDEV('Quarterly returns'!AB6:AB85)*2</f>
        <v>8.4782189586500467E-2</v>
      </c>
      <c r="F10" s="77"/>
      <c r="G10" s="222"/>
    </row>
    <row r="11" spans="1:7" x14ac:dyDescent="0.2">
      <c r="A11" s="365" t="s">
        <v>523</v>
      </c>
      <c r="B11" s="131"/>
      <c r="C11" s="366">
        <f>MIN(Bootstrap!Z21:Z97)</f>
        <v>-0.20053517417956154</v>
      </c>
      <c r="D11" s="366">
        <f>MIN(Bootstrap!AA21:AA97)</f>
        <v>-0.17037076162299433</v>
      </c>
      <c r="E11" s="366">
        <f>MIN(Bootstrap!AB21:AB97)</f>
        <v>-0.21113475027009704</v>
      </c>
      <c r="F11" s="131"/>
      <c r="G11" s="367"/>
    </row>
    <row r="14" spans="1:7" x14ac:dyDescent="0.2">
      <c r="A14" s="247" t="s">
        <v>524</v>
      </c>
      <c r="B14" s="248"/>
      <c r="C14" s="248"/>
      <c r="D14" s="248"/>
      <c r="E14" s="249"/>
    </row>
    <row r="15" spans="1:7" x14ac:dyDescent="0.2">
      <c r="A15" s="257"/>
      <c r="B15" s="77"/>
      <c r="C15" s="77"/>
      <c r="D15" s="77"/>
      <c r="E15" s="251"/>
    </row>
    <row r="16" spans="1:7" ht="30" customHeight="1" x14ac:dyDescent="0.2">
      <c r="A16" s="252" t="s">
        <v>5</v>
      </c>
      <c r="B16" s="253" t="s">
        <v>525</v>
      </c>
      <c r="C16" s="253" t="s">
        <v>66</v>
      </c>
      <c r="D16" s="253" t="s">
        <v>141</v>
      </c>
      <c r="E16" s="254" t="s">
        <v>7</v>
      </c>
    </row>
    <row r="17" spans="1:5" x14ac:dyDescent="0.2">
      <c r="A17" s="255" t="s">
        <v>14</v>
      </c>
      <c r="B17" s="173">
        <v>0.27439999999999998</v>
      </c>
      <c r="C17" s="173">
        <v>0.23319999999999999</v>
      </c>
      <c r="D17" s="68">
        <f>Inputs!B5</f>
        <v>0.4</v>
      </c>
      <c r="E17" s="256">
        <f>Inputs!C5</f>
        <v>0.25</v>
      </c>
    </row>
    <row r="18" spans="1:5" x14ac:dyDescent="0.2">
      <c r="A18" s="255" t="s">
        <v>16</v>
      </c>
      <c r="B18" s="173">
        <v>0.27339999999999998</v>
      </c>
      <c r="C18" s="173">
        <v>0.15</v>
      </c>
      <c r="D18" s="68">
        <f>Inputs!B6</f>
        <v>0.2</v>
      </c>
      <c r="E18" s="256">
        <f>Inputs!C6</f>
        <v>0.24</v>
      </c>
    </row>
    <row r="19" spans="1:5" x14ac:dyDescent="0.2">
      <c r="A19" s="255" t="s">
        <v>18</v>
      </c>
      <c r="B19" s="173">
        <v>6.0299999999999999E-2</v>
      </c>
      <c r="C19" s="173">
        <v>5.16E-2</v>
      </c>
      <c r="D19" s="68">
        <f>Inputs!B7</f>
        <v>0</v>
      </c>
      <c r="E19" s="256">
        <f>Inputs!C7</f>
        <v>0.03</v>
      </c>
    </row>
    <row r="20" spans="1:5" x14ac:dyDescent="0.2">
      <c r="A20" s="255" t="s">
        <v>20</v>
      </c>
      <c r="B20" s="173">
        <v>8.4599999999999995E-2</v>
      </c>
      <c r="C20" s="173">
        <v>9.2700000000000005E-2</v>
      </c>
      <c r="D20" s="68">
        <f>Inputs!B8</f>
        <v>0.1</v>
      </c>
      <c r="E20" s="256">
        <f>Inputs!C8</f>
        <v>7.0000000000000007E-2</v>
      </c>
    </row>
    <row r="21" spans="1:5" x14ac:dyDescent="0.2">
      <c r="A21" s="255" t="s">
        <v>22</v>
      </c>
      <c r="B21" s="173">
        <v>0.03</v>
      </c>
      <c r="C21" s="173">
        <v>0.03</v>
      </c>
      <c r="D21" s="68">
        <f>Inputs!B9</f>
        <v>0</v>
      </c>
      <c r="E21" s="256">
        <f>Inputs!C9</f>
        <v>0.02</v>
      </c>
    </row>
    <row r="22" spans="1:5" x14ac:dyDescent="0.2">
      <c r="A22" s="255" t="s">
        <v>24</v>
      </c>
      <c r="B22" s="173">
        <v>0.05</v>
      </c>
      <c r="C22" s="173">
        <v>0.05</v>
      </c>
      <c r="D22" s="68">
        <f>Inputs!B10</f>
        <v>0</v>
      </c>
      <c r="E22" s="256">
        <f>Inputs!C10</f>
        <v>0.05</v>
      </c>
    </row>
    <row r="23" spans="1:5" x14ac:dyDescent="0.2">
      <c r="A23" s="255" t="s">
        <v>26</v>
      </c>
      <c r="B23" s="173">
        <v>0</v>
      </c>
      <c r="C23" s="173">
        <v>0</v>
      </c>
      <c r="D23" s="68">
        <f>Inputs!B11</f>
        <v>0</v>
      </c>
      <c r="E23" s="256">
        <f>Inputs!C11</f>
        <v>0.03</v>
      </c>
    </row>
    <row r="24" spans="1:5" x14ac:dyDescent="0.2">
      <c r="A24" s="255" t="s">
        <v>28</v>
      </c>
      <c r="B24" s="173">
        <v>0.01</v>
      </c>
      <c r="C24" s="173">
        <v>0.01</v>
      </c>
      <c r="D24" s="68">
        <f>Inputs!B12</f>
        <v>0</v>
      </c>
      <c r="E24" s="256">
        <f>Inputs!C12</f>
        <v>0.03</v>
      </c>
    </row>
    <row r="25" spans="1:5" x14ac:dyDescent="0.2">
      <c r="A25" s="255" t="s">
        <v>30</v>
      </c>
      <c r="B25" s="173">
        <v>0.14729999999999999</v>
      </c>
      <c r="C25" s="173">
        <v>0.16250000000000001</v>
      </c>
      <c r="D25" s="68">
        <f>Inputs!B13</f>
        <v>0.15</v>
      </c>
      <c r="E25" s="256">
        <f>Inputs!C13</f>
        <v>0.14000000000000001</v>
      </c>
    </row>
    <row r="26" spans="1:5" x14ac:dyDescent="0.2">
      <c r="A26" s="255" t="s">
        <v>32</v>
      </c>
      <c r="B26" s="173">
        <v>0.05</v>
      </c>
      <c r="C26" s="173">
        <v>0.2</v>
      </c>
      <c r="D26" s="68">
        <f>Inputs!B14</f>
        <v>0.08</v>
      </c>
      <c r="E26" s="256">
        <f>Inputs!C14</f>
        <v>0.11</v>
      </c>
    </row>
    <row r="27" spans="1:5" x14ac:dyDescent="0.2">
      <c r="A27" s="258" t="s">
        <v>34</v>
      </c>
      <c r="B27" s="368">
        <v>0.02</v>
      </c>
      <c r="C27" s="368">
        <v>0.02</v>
      </c>
      <c r="D27" s="259">
        <f>Inputs!B15</f>
        <v>7.0000000000000007E-2</v>
      </c>
      <c r="E27" s="369">
        <f>Inputs!C15</f>
        <v>0.03</v>
      </c>
    </row>
    <row r="28" spans="1:5" x14ac:dyDescent="0.2">
      <c r="A28" s="181" t="s">
        <v>526</v>
      </c>
      <c r="B28" s="182"/>
      <c r="C28" s="182"/>
      <c r="D28" s="182"/>
      <c r="E28" s="183"/>
    </row>
    <row r="29" spans="1:5" ht="30" customHeight="1" x14ac:dyDescent="0.2">
      <c r="A29" s="184" t="s">
        <v>5</v>
      </c>
      <c r="B29" s="185" t="s">
        <v>66</v>
      </c>
      <c r="C29" s="185" t="s">
        <v>344</v>
      </c>
      <c r="D29" s="185" t="s">
        <v>345</v>
      </c>
      <c r="E29" s="186" t="s">
        <v>346</v>
      </c>
    </row>
    <row r="30" spans="1:5" x14ac:dyDescent="0.2">
      <c r="A30" s="187" t="s">
        <v>14</v>
      </c>
      <c r="B30" s="173">
        <v>0.21490000000000001</v>
      </c>
      <c r="C30" s="173">
        <v>0.26900000000000002</v>
      </c>
      <c r="D30" s="173">
        <v>0.26290000000000002</v>
      </c>
      <c r="E30" s="209">
        <v>0.27260000000000001</v>
      </c>
    </row>
    <row r="31" spans="1:5" x14ac:dyDescent="0.2">
      <c r="A31" s="187" t="s">
        <v>16</v>
      </c>
      <c r="B31" s="173">
        <v>0.35</v>
      </c>
      <c r="C31" s="173">
        <v>0.27839999999999998</v>
      </c>
      <c r="D31" s="173">
        <v>0.26350000000000001</v>
      </c>
      <c r="E31" s="209">
        <v>0.26819999999999999</v>
      </c>
    </row>
    <row r="32" spans="1:5" x14ac:dyDescent="0.2">
      <c r="A32" s="187" t="s">
        <v>18</v>
      </c>
      <c r="B32" s="173">
        <v>5.5100000000000003E-2</v>
      </c>
      <c r="C32" s="173">
        <v>7.2700000000000001E-2</v>
      </c>
      <c r="D32" s="173">
        <v>6.0499999999999998E-2</v>
      </c>
      <c r="E32" s="209">
        <v>7.9200000000000007E-2</v>
      </c>
    </row>
    <row r="33" spans="1:5" x14ac:dyDescent="0.2">
      <c r="A33" s="187" t="s">
        <v>20</v>
      </c>
      <c r="B33" s="173">
        <v>3.7199999999999997E-2</v>
      </c>
      <c r="C33" s="173">
        <v>6.3500000000000001E-2</v>
      </c>
      <c r="D33" s="173">
        <v>7.0199999999999999E-2</v>
      </c>
      <c r="E33" s="209">
        <v>0.1124</v>
      </c>
    </row>
    <row r="34" spans="1:5" x14ac:dyDescent="0.2">
      <c r="A34" s="187" t="s">
        <v>22</v>
      </c>
      <c r="B34" s="173">
        <v>0.03</v>
      </c>
      <c r="C34" s="173">
        <v>0.03</v>
      </c>
      <c r="D34" s="173">
        <v>0.03</v>
      </c>
      <c r="E34" s="209">
        <v>0.03</v>
      </c>
    </row>
    <row r="35" spans="1:5" x14ac:dyDescent="0.2">
      <c r="A35" s="187" t="s">
        <v>24</v>
      </c>
      <c r="B35" s="173">
        <v>0.05</v>
      </c>
      <c r="C35" s="173">
        <v>0.05</v>
      </c>
      <c r="D35" s="173">
        <v>0.05</v>
      </c>
      <c r="E35" s="209">
        <v>0.05</v>
      </c>
    </row>
    <row r="36" spans="1:5" x14ac:dyDescent="0.2">
      <c r="A36" s="187" t="s">
        <v>26</v>
      </c>
      <c r="B36" s="173">
        <v>0</v>
      </c>
      <c r="C36" s="173">
        <v>0</v>
      </c>
      <c r="D36" s="173">
        <v>0</v>
      </c>
      <c r="E36" s="209">
        <v>0</v>
      </c>
    </row>
    <row r="37" spans="1:5" x14ac:dyDescent="0.2">
      <c r="A37" s="187" t="s">
        <v>28</v>
      </c>
      <c r="B37" s="173">
        <v>0.01</v>
      </c>
      <c r="C37" s="173">
        <v>0.01</v>
      </c>
      <c r="D37" s="173">
        <v>0.01</v>
      </c>
      <c r="E37" s="209">
        <v>0.01</v>
      </c>
    </row>
    <row r="38" spans="1:5" x14ac:dyDescent="0.2">
      <c r="A38" s="187" t="s">
        <v>30</v>
      </c>
      <c r="B38" s="173">
        <v>0.05</v>
      </c>
      <c r="C38" s="173">
        <v>0.15640000000000001</v>
      </c>
      <c r="D38" s="173">
        <v>0.14330000000000001</v>
      </c>
      <c r="E38" s="209">
        <v>0.1076</v>
      </c>
    </row>
    <row r="39" spans="1:5" x14ac:dyDescent="0.2">
      <c r="A39" s="187" t="s">
        <v>32</v>
      </c>
      <c r="B39" s="173">
        <v>0.18279999999999999</v>
      </c>
      <c r="C39" s="173">
        <v>0.05</v>
      </c>
      <c r="D39" s="173">
        <v>8.9599999999999999E-2</v>
      </c>
      <c r="E39" s="209">
        <v>0.05</v>
      </c>
    </row>
    <row r="40" spans="1:5" x14ac:dyDescent="0.2">
      <c r="A40" s="190" t="s">
        <v>34</v>
      </c>
      <c r="B40" s="191">
        <v>0.02</v>
      </c>
      <c r="C40" s="191">
        <v>0.02</v>
      </c>
      <c r="D40" s="191">
        <v>0.02</v>
      </c>
      <c r="E40" s="219">
        <v>0.02</v>
      </c>
    </row>
    <row r="43" spans="1:5" x14ac:dyDescent="0.2">
      <c r="A43" s="247" t="s">
        <v>527</v>
      </c>
      <c r="B43" s="248"/>
      <c r="C43" s="248"/>
      <c r="D43" s="248"/>
      <c r="E43" s="249"/>
    </row>
    <row r="44" spans="1:5" x14ac:dyDescent="0.2">
      <c r="A44" s="257"/>
      <c r="B44" s="77"/>
      <c r="C44" s="77"/>
      <c r="D44" s="77"/>
      <c r="E44" s="251"/>
    </row>
    <row r="45" spans="1:5" x14ac:dyDescent="0.2">
      <c r="A45" s="252" t="s">
        <v>64</v>
      </c>
      <c r="B45" s="253" t="s">
        <v>525</v>
      </c>
      <c r="C45" s="253" t="s">
        <v>66</v>
      </c>
      <c r="D45" s="253" t="s">
        <v>141</v>
      </c>
      <c r="E45" s="254" t="s">
        <v>7</v>
      </c>
    </row>
    <row r="46" spans="1:5" x14ac:dyDescent="0.2">
      <c r="A46" s="255" t="s">
        <v>528</v>
      </c>
      <c r="B46" s="189">
        <v>3.8584893045333982E-2</v>
      </c>
      <c r="C46" s="189">
        <v>4.8743648560300092E-2</v>
      </c>
      <c r="D46" s="77"/>
      <c r="E46" s="251"/>
    </row>
    <row r="47" spans="1:5" x14ac:dyDescent="0.2">
      <c r="A47" s="255" t="s">
        <v>67</v>
      </c>
      <c r="B47" s="72">
        <f>EXP(SUMPRODUCT(LN(1+'Quarterly returns'!AC$46:AC$85))*4/40)-1</f>
        <v>9.0015266979247777E-2</v>
      </c>
      <c r="C47" s="72">
        <f>EXP(SUMPRODUCT(LN(1+'Quarterly returns'!AD$46:AD$85))*4/40)-1</f>
        <v>6.9929433986701595E-2</v>
      </c>
      <c r="D47" s="72">
        <f>EXP(SUMPRODUCT(LN(1+'Quarterly returns'!Z$46:Z$85))*4/40)-1</f>
        <v>7.8948233532036394E-2</v>
      </c>
      <c r="E47" s="263">
        <f>EXP(SUMPRODUCT(LN(1+'Quarterly returns'!AA$46:AA$85))*4/40)-1</f>
        <v>8.2621317917636494E-2</v>
      </c>
    </row>
    <row r="48" spans="1:5" x14ac:dyDescent="0.2">
      <c r="A48" s="255" t="s">
        <v>529</v>
      </c>
      <c r="B48" s="72">
        <f>B47-B46</f>
        <v>5.1430373933913795E-2</v>
      </c>
      <c r="C48" s="72">
        <f>C47-C46</f>
        <v>2.1185785426401503E-2</v>
      </c>
      <c r="D48" s="77"/>
      <c r="E48" s="251"/>
    </row>
    <row r="49" spans="1:8" x14ac:dyDescent="0.2">
      <c r="A49" s="255" t="s">
        <v>68</v>
      </c>
      <c r="B49" s="72">
        <f>STDEV('Quarterly returns'!AC$46:AC$85)*2</f>
        <v>8.1380343155955367E-2</v>
      </c>
      <c r="C49" s="72">
        <f>STDEV('Quarterly returns'!AD$46:AD$85)*2</f>
        <v>6.6488181432846724E-2</v>
      </c>
      <c r="D49" s="72">
        <f>STDEV('Quarterly returns'!Z$46:Z$85)*2</f>
        <v>8.5331791083848724E-2</v>
      </c>
      <c r="E49" s="263">
        <f>STDEV('Quarterly returns'!AA$46:AA$85)*2</f>
        <v>7.3204113672728416E-2</v>
      </c>
    </row>
    <row r="50" spans="1:8" x14ac:dyDescent="0.2">
      <c r="A50" s="258" t="s">
        <v>69</v>
      </c>
      <c r="B50" s="297">
        <f>B47/B49</f>
        <v>1.1061057681551507</v>
      </c>
      <c r="C50" s="297">
        <f>C47/C49</f>
        <v>1.051757357167763</v>
      </c>
      <c r="D50" s="297">
        <f>D47/D49</f>
        <v>0.925191332904993</v>
      </c>
      <c r="E50" s="370">
        <f>E47/E49</f>
        <v>1.1286431017662384</v>
      </c>
    </row>
    <row r="53" spans="1:8" x14ac:dyDescent="0.2">
      <c r="A53" s="181" t="s">
        <v>530</v>
      </c>
      <c r="B53" s="182"/>
      <c r="C53" s="182"/>
      <c r="D53" s="182"/>
      <c r="E53" s="183"/>
    </row>
    <row r="54" spans="1:8" x14ac:dyDescent="0.2">
      <c r="A54" s="268"/>
      <c r="B54" s="77"/>
      <c r="C54" s="77"/>
      <c r="D54" s="77"/>
      <c r="E54" s="269"/>
    </row>
    <row r="55" spans="1:8" ht="30" customHeight="1" x14ac:dyDescent="0.2">
      <c r="A55" s="184" t="s">
        <v>91</v>
      </c>
      <c r="B55" s="185" t="s">
        <v>140</v>
      </c>
      <c r="C55" s="185" t="s">
        <v>139</v>
      </c>
      <c r="D55" s="185" t="s">
        <v>193</v>
      </c>
      <c r="E55" s="186" t="s">
        <v>531</v>
      </c>
    </row>
    <row r="56" spans="1:8" x14ac:dyDescent="0.2">
      <c r="A56" s="371" t="s">
        <v>8</v>
      </c>
      <c r="B56" s="72">
        <f>Risk!N58</f>
        <v>7.1373051138514956E-2</v>
      </c>
      <c r="C56" s="72">
        <f>Risk!M58</f>
        <v>7.875064259614814E-2</v>
      </c>
      <c r="D56" s="72">
        <f>Risk!O58</f>
        <v>1.0997193071421192E-2</v>
      </c>
      <c r="E56" s="272">
        <v>0</v>
      </c>
    </row>
    <row r="57" spans="1:8" x14ac:dyDescent="0.2">
      <c r="A57" s="187" t="s">
        <v>66</v>
      </c>
      <c r="B57" s="72">
        <f>Risk!N59</f>
        <v>7.0435220169117962E-2</v>
      </c>
      <c r="C57" s="72">
        <f>Risk!M59</f>
        <v>7.534150123142766E-2</v>
      </c>
      <c r="D57" s="72">
        <f>Risk!O59</f>
        <v>1.3477683383231321E-2</v>
      </c>
      <c r="E57" s="272" t="e">
        <f>Risk!P59</f>
        <v>#VALUE!</v>
      </c>
    </row>
    <row r="58" spans="1:8" x14ac:dyDescent="0.2">
      <c r="A58" s="187" t="s">
        <v>344</v>
      </c>
      <c r="B58" s="72">
        <f>Risk!N60</f>
        <v>7.10908730892644E-2</v>
      </c>
      <c r="C58" s="72">
        <f>Risk!M60</f>
        <v>7.7727302637397855E-2</v>
      </c>
      <c r="D58" s="72">
        <f>Risk!O60</f>
        <v>1.024720107948705E-2</v>
      </c>
      <c r="E58" s="272" t="e">
        <f>Risk!P60</f>
        <v>#VALUE!</v>
      </c>
    </row>
    <row r="59" spans="1:8" x14ac:dyDescent="0.2">
      <c r="A59" s="187" t="s">
        <v>345</v>
      </c>
      <c r="B59" s="72">
        <f>Risk!N61</f>
        <v>7.0155157312174532E-2</v>
      </c>
      <c r="C59" s="72">
        <f>Risk!M61</f>
        <v>7.543382063342563E-2</v>
      </c>
      <c r="D59" s="72">
        <f>Risk!O61</f>
        <v>7.5065338134886065E-3</v>
      </c>
      <c r="E59" s="272" t="e">
        <f>Risk!P61</f>
        <v>#VALUE!</v>
      </c>
    </row>
    <row r="60" spans="1:8" x14ac:dyDescent="0.2">
      <c r="A60" s="187" t="s">
        <v>346</v>
      </c>
      <c r="B60" s="72">
        <f>Risk!N62</f>
        <v>7.2308153066702532E-2</v>
      </c>
      <c r="C60" s="72">
        <f>Risk!M62</f>
        <v>8.2552799270913371E-2</v>
      </c>
      <c r="D60" s="72">
        <f>Risk!O62</f>
        <v>1.4996813147077985E-2</v>
      </c>
      <c r="E60" s="272" t="e">
        <f>Risk!P62</f>
        <v>#VALUE!</v>
      </c>
    </row>
    <row r="61" spans="1:8" x14ac:dyDescent="0.2">
      <c r="A61" s="190" t="s">
        <v>141</v>
      </c>
      <c r="B61" s="372">
        <f>Risk!N56</f>
        <v>7.1036033622111125E-2</v>
      </c>
      <c r="C61" s="372">
        <f>Risk!M56</f>
        <v>8.3833964159733848E-2</v>
      </c>
      <c r="D61" s="372">
        <f>Risk!O56</f>
        <v>2.1585026414092778E-2</v>
      </c>
      <c r="E61" s="373">
        <f>SUMPRODUCT(MAX(ABS(Risk!B56:L56-Risk!$B$58:$L$58)))</f>
        <v>2.4600000000000011E-2</v>
      </c>
    </row>
    <row r="64" spans="1:8" x14ac:dyDescent="0.2">
      <c r="A64" s="86" t="s">
        <v>532</v>
      </c>
      <c r="B64" s="87"/>
      <c r="C64" s="87"/>
      <c r="D64" s="87"/>
      <c r="E64" s="87"/>
      <c r="F64" s="87"/>
      <c r="G64" s="87"/>
      <c r="H64" s="88"/>
    </row>
    <row r="65" spans="1:9" x14ac:dyDescent="0.2">
      <c r="A65" s="98" t="s">
        <v>533</v>
      </c>
      <c r="B65" s="189">
        <v>0.01</v>
      </c>
      <c r="C65" s="77"/>
      <c r="D65" s="77"/>
      <c r="E65" s="77"/>
      <c r="F65" s="77"/>
      <c r="G65" s="77"/>
      <c r="H65" s="282"/>
    </row>
    <row r="66" spans="1:9" x14ac:dyDescent="0.2">
      <c r="A66" s="283" t="s">
        <v>534</v>
      </c>
      <c r="B66" s="96">
        <f>Risk!N58-Risk!N56</f>
        <v>3.3701751640383137E-4</v>
      </c>
      <c r="C66" s="77"/>
      <c r="D66" s="77"/>
      <c r="E66" s="77"/>
      <c r="F66" s="77"/>
      <c r="G66" s="77"/>
      <c r="H66" s="282"/>
    </row>
    <row r="67" spans="1:9" ht="42" customHeight="1" x14ac:dyDescent="0.2">
      <c r="A67" s="92" t="s">
        <v>5</v>
      </c>
      <c r="B67" s="93" t="s">
        <v>535</v>
      </c>
      <c r="C67" s="93" t="s">
        <v>536</v>
      </c>
      <c r="D67" s="93" t="s">
        <v>537</v>
      </c>
      <c r="E67" s="93" t="s">
        <v>538</v>
      </c>
      <c r="F67" s="93" t="s">
        <v>539</v>
      </c>
      <c r="G67" s="93" t="s">
        <v>540</v>
      </c>
      <c r="H67" s="94" t="s">
        <v>541</v>
      </c>
    </row>
    <row r="68" spans="1:9" x14ac:dyDescent="0.2">
      <c r="A68" s="98" t="s">
        <v>14</v>
      </c>
      <c r="B68" s="68">
        <f>Portfolio!E6</f>
        <v>0.2697</v>
      </c>
      <c r="C68" s="68">
        <f>Portfolio!C6</f>
        <v>0.4</v>
      </c>
      <c r="D68" s="72">
        <f>Risk!$N$58+B68*$B$65</f>
        <v>7.4070051138514961E-2</v>
      </c>
      <c r="E68" s="72">
        <f>Risk!$N$58-B68*$B$65</f>
        <v>6.8676051138514951E-2</v>
      </c>
      <c r="F68" s="72">
        <f t="shared" ref="F68:F78" si="0">$B$66+(B68-C68)*$B$65</f>
        <v>-9.6598248359616896E-4</v>
      </c>
      <c r="G68" s="72">
        <f t="shared" ref="G68:G78" si="1">$B$66-(B68-C68)*$B$65</f>
        <v>1.6400175164038317E-3</v>
      </c>
      <c r="H68" s="284">
        <f t="shared" ref="H68:H78" si="2">IF(ABS(B68-C68)&lt;0.0001,"n/a",-$B$66/(B68-C68))</f>
        <v>2.5864736485328573E-3</v>
      </c>
      <c r="I68" s="374">
        <f t="shared" ref="I68:I78" si="3">IF(ISNUMBER(H68),ABS(H68),"")</f>
        <v>2.5864736485328573E-3</v>
      </c>
    </row>
    <row r="69" spans="1:9" x14ac:dyDescent="0.2">
      <c r="A69" s="98" t="s">
        <v>16</v>
      </c>
      <c r="B69" s="68">
        <f>Portfolio!E7</f>
        <v>0.2732</v>
      </c>
      <c r="C69" s="68">
        <f>Portfolio!C7</f>
        <v>0.2</v>
      </c>
      <c r="D69" s="72">
        <f>Risk!$N$58+B69*$B$65</f>
        <v>7.4105051138514955E-2</v>
      </c>
      <c r="E69" s="72">
        <f>Risk!$N$58-B69*$B$65</f>
        <v>6.8641051138514958E-2</v>
      </c>
      <c r="F69" s="72">
        <f t="shared" si="0"/>
        <v>1.0690175164038314E-3</v>
      </c>
      <c r="G69" s="72">
        <f t="shared" si="1"/>
        <v>-3.9498248359616853E-4</v>
      </c>
      <c r="H69" s="284">
        <f t="shared" si="2"/>
        <v>-4.6040644317463311E-3</v>
      </c>
      <c r="I69" s="374">
        <f t="shared" si="3"/>
        <v>4.6040644317463311E-3</v>
      </c>
    </row>
    <row r="70" spans="1:9" x14ac:dyDescent="0.2">
      <c r="A70" s="98" t="s">
        <v>18</v>
      </c>
      <c r="B70" s="68">
        <f>Portfolio!E8</f>
        <v>7.7100000000000002E-2</v>
      </c>
      <c r="C70" s="68">
        <f>Portfolio!C8</f>
        <v>0</v>
      </c>
      <c r="D70" s="72">
        <f>Risk!$N$58+B70*$B$65</f>
        <v>7.214405113851495E-2</v>
      </c>
      <c r="E70" s="72">
        <f>Risk!$N$58-B70*$B$65</f>
        <v>7.0602051138514962E-2</v>
      </c>
      <c r="F70" s="72">
        <f t="shared" si="0"/>
        <v>1.1080175164038314E-3</v>
      </c>
      <c r="G70" s="72">
        <f t="shared" si="1"/>
        <v>-4.3398248359616861E-4</v>
      </c>
      <c r="H70" s="284">
        <f t="shared" si="2"/>
        <v>-4.3711740130198623E-3</v>
      </c>
      <c r="I70" s="374">
        <f t="shared" si="3"/>
        <v>4.3711740130198623E-3</v>
      </c>
    </row>
    <row r="71" spans="1:9" x14ac:dyDescent="0.2">
      <c r="A71" s="98" t="s">
        <v>20</v>
      </c>
      <c r="B71" s="68">
        <f>Portfolio!E9</f>
        <v>7.5399999999999995E-2</v>
      </c>
      <c r="C71" s="68">
        <f>Portfolio!C9</f>
        <v>0.1</v>
      </c>
      <c r="D71" s="72">
        <f>Risk!$N$58+B71*$B$65</f>
        <v>7.2127051138514961E-2</v>
      </c>
      <c r="E71" s="72">
        <f>Risk!$N$58-B71*$B$65</f>
        <v>7.0619051138514952E-2</v>
      </c>
      <c r="F71" s="72">
        <f t="shared" si="0"/>
        <v>9.1017516403831249E-5</v>
      </c>
      <c r="G71" s="72">
        <f t="shared" si="1"/>
        <v>5.830175164038315E-4</v>
      </c>
      <c r="H71" s="284">
        <f t="shared" si="2"/>
        <v>1.3699899040806148E-2</v>
      </c>
      <c r="I71" s="374">
        <f t="shared" si="3"/>
        <v>1.3699899040806148E-2</v>
      </c>
    </row>
    <row r="72" spans="1:9" x14ac:dyDescent="0.2">
      <c r="A72" s="98" t="s">
        <v>22</v>
      </c>
      <c r="B72" s="68">
        <f>Portfolio!E10</f>
        <v>0.03</v>
      </c>
      <c r="C72" s="68">
        <f>Portfolio!C10</f>
        <v>0</v>
      </c>
      <c r="D72" s="72">
        <f>Risk!$N$58+B72*$B$65</f>
        <v>7.1673051138514951E-2</v>
      </c>
      <c r="E72" s="72">
        <f>Risk!$N$58-B72*$B$65</f>
        <v>7.1073051138514962E-2</v>
      </c>
      <c r="F72" s="72">
        <f t="shared" si="0"/>
        <v>6.3701751640383129E-4</v>
      </c>
      <c r="G72" s="72">
        <f t="shared" si="1"/>
        <v>3.70175164038314E-5</v>
      </c>
      <c r="H72" s="284">
        <f t="shared" si="2"/>
        <v>-1.1233917213461047E-2</v>
      </c>
      <c r="I72" s="374">
        <f t="shared" si="3"/>
        <v>1.1233917213461047E-2</v>
      </c>
    </row>
    <row r="73" spans="1:9" x14ac:dyDescent="0.2">
      <c r="A73" s="98" t="s">
        <v>24</v>
      </c>
      <c r="B73" s="68">
        <f>Portfolio!E11</f>
        <v>0.05</v>
      </c>
      <c r="C73" s="68">
        <f>Portfolio!C11</f>
        <v>0</v>
      </c>
      <c r="D73" s="72">
        <f>Risk!$N$58+B73*$B$65</f>
        <v>7.1873051138514957E-2</v>
      </c>
      <c r="E73" s="72">
        <f>Risk!$N$58-B73*$B$65</f>
        <v>7.0873051138514956E-2</v>
      </c>
      <c r="F73" s="72">
        <f t="shared" si="0"/>
        <v>8.3701751640383138E-4</v>
      </c>
      <c r="G73" s="72">
        <f t="shared" si="1"/>
        <v>-1.6298248359616864E-4</v>
      </c>
      <c r="H73" s="284">
        <f t="shared" si="2"/>
        <v>-6.7403503280766275E-3</v>
      </c>
      <c r="I73" s="374">
        <f t="shared" si="3"/>
        <v>6.7403503280766275E-3</v>
      </c>
    </row>
    <row r="74" spans="1:9" x14ac:dyDescent="0.2">
      <c r="A74" s="98" t="s">
        <v>26</v>
      </c>
      <c r="B74" s="68">
        <f>Portfolio!E12</f>
        <v>0</v>
      </c>
      <c r="C74" s="68">
        <f>Portfolio!C12</f>
        <v>0</v>
      </c>
      <c r="D74" s="72">
        <f>Risk!$N$58+B74*$B$65</f>
        <v>7.1373051138514956E-2</v>
      </c>
      <c r="E74" s="72">
        <f>Risk!$N$58-B74*$B$65</f>
        <v>7.1373051138514956E-2</v>
      </c>
      <c r="F74" s="72">
        <f t="shared" si="0"/>
        <v>3.3701751640383137E-4</v>
      </c>
      <c r="G74" s="72">
        <f t="shared" si="1"/>
        <v>3.3701751640383137E-4</v>
      </c>
      <c r="H74" s="284" t="str">
        <f t="shared" si="2"/>
        <v>n/a</v>
      </c>
      <c r="I74" s="374" t="str">
        <f t="shared" si="3"/>
        <v/>
      </c>
    </row>
    <row r="75" spans="1:9" x14ac:dyDescent="0.2">
      <c r="A75" s="98" t="s">
        <v>28</v>
      </c>
      <c r="B75" s="68">
        <f>Portfolio!E13</f>
        <v>0.01</v>
      </c>
      <c r="C75" s="68">
        <f>Portfolio!C13</f>
        <v>0</v>
      </c>
      <c r="D75" s="72">
        <f>Risk!$N$58+B75*$B$65</f>
        <v>7.1473051138514959E-2</v>
      </c>
      <c r="E75" s="72">
        <f>Risk!$N$58-B75*$B$65</f>
        <v>7.1273051138514953E-2</v>
      </c>
      <c r="F75" s="72">
        <f t="shared" si="0"/>
        <v>4.3701751640383137E-4</v>
      </c>
      <c r="G75" s="72">
        <f t="shared" si="1"/>
        <v>2.3701751640383138E-4</v>
      </c>
      <c r="H75" s="284">
        <f t="shared" si="2"/>
        <v>-3.3701751640383137E-2</v>
      </c>
      <c r="I75" s="374">
        <f t="shared" si="3"/>
        <v>3.3701751640383137E-2</v>
      </c>
    </row>
    <row r="76" spans="1:9" x14ac:dyDescent="0.2">
      <c r="A76" s="98" t="s">
        <v>30</v>
      </c>
      <c r="B76" s="68">
        <f>Portfolio!E14</f>
        <v>0.13089999999999999</v>
      </c>
      <c r="C76" s="68">
        <f>Portfolio!C14</f>
        <v>0.15</v>
      </c>
      <c r="D76" s="72">
        <f>Risk!$N$58+B76*$B$65</f>
        <v>7.2682051138514961E-2</v>
      </c>
      <c r="E76" s="72">
        <f>Risk!$N$58-B76*$B$65</f>
        <v>7.0064051138514952E-2</v>
      </c>
      <c r="F76" s="72">
        <f t="shared" si="0"/>
        <v>1.4601751640383131E-4</v>
      </c>
      <c r="G76" s="72">
        <f t="shared" si="1"/>
        <v>5.2801751640383146E-4</v>
      </c>
      <c r="H76" s="284">
        <f t="shared" si="2"/>
        <v>1.7644896146797449E-2</v>
      </c>
      <c r="I76" s="374">
        <f t="shared" si="3"/>
        <v>1.7644896146797449E-2</v>
      </c>
    </row>
    <row r="77" spans="1:9" x14ac:dyDescent="0.2">
      <c r="A77" s="98" t="s">
        <v>32</v>
      </c>
      <c r="B77" s="68">
        <f>Portfolio!E15</f>
        <v>6.3700000000000007E-2</v>
      </c>
      <c r="C77" s="68">
        <f>Portfolio!C15</f>
        <v>0.08</v>
      </c>
      <c r="D77" s="72">
        <f>Risk!$N$58+B77*$B$65</f>
        <v>7.2010051138514955E-2</v>
      </c>
      <c r="E77" s="72">
        <f>Risk!$N$58-B77*$B$65</f>
        <v>7.0736051138514958E-2</v>
      </c>
      <c r="F77" s="72">
        <f t="shared" si="0"/>
        <v>1.7401751640383142E-4</v>
      </c>
      <c r="G77" s="72">
        <f t="shared" si="1"/>
        <v>5.0001751640383132E-4</v>
      </c>
      <c r="H77" s="284">
        <f t="shared" si="2"/>
        <v>2.0675921251768804E-2</v>
      </c>
      <c r="I77" s="374">
        <f t="shared" si="3"/>
        <v>2.0675921251768804E-2</v>
      </c>
    </row>
    <row r="78" spans="1:9" x14ac:dyDescent="0.2">
      <c r="A78" s="98" t="s">
        <v>34</v>
      </c>
      <c r="B78" s="68">
        <f>Portfolio!E16</f>
        <v>0.02</v>
      </c>
      <c r="C78" s="68">
        <f>Portfolio!C16</f>
        <v>7.0000000000000007E-2</v>
      </c>
      <c r="D78" s="72">
        <f>Risk!$N$58+B78*$B$65</f>
        <v>7.1573051138514962E-2</v>
      </c>
      <c r="E78" s="72">
        <f>Risk!$N$58-B78*$B$65</f>
        <v>7.1173051138514951E-2</v>
      </c>
      <c r="F78" s="72">
        <f t="shared" si="0"/>
        <v>-1.6298248359616864E-4</v>
      </c>
      <c r="G78" s="72">
        <f t="shared" si="1"/>
        <v>8.3701751640383138E-4</v>
      </c>
      <c r="H78" s="284">
        <f t="shared" si="2"/>
        <v>6.7403503280766275E-3</v>
      </c>
      <c r="I78" s="374">
        <f t="shared" si="3"/>
        <v>6.7403503280766275E-3</v>
      </c>
    </row>
    <row r="79" spans="1:9" x14ac:dyDescent="0.2">
      <c r="A79" s="283" t="s">
        <v>542</v>
      </c>
      <c r="B79" s="77"/>
      <c r="C79" s="77"/>
      <c r="D79" s="77"/>
      <c r="E79" s="77"/>
      <c r="F79" s="77"/>
      <c r="G79" s="77"/>
      <c r="H79" s="375">
        <f>MIN(I68:I78)</f>
        <v>2.5864736485328573E-3</v>
      </c>
    </row>
    <row r="80" spans="1:9" ht="30" customHeight="1" x14ac:dyDescent="0.2">
      <c r="A80" s="92" t="s">
        <v>42</v>
      </c>
      <c r="B80" s="93" t="s">
        <v>543</v>
      </c>
      <c r="C80" s="93" t="s">
        <v>544</v>
      </c>
      <c r="D80" s="93" t="s">
        <v>545</v>
      </c>
      <c r="E80" s="93" t="s">
        <v>546</v>
      </c>
      <c r="F80" s="93" t="s">
        <v>547</v>
      </c>
      <c r="G80" s="77"/>
      <c r="H80" s="282"/>
    </row>
    <row r="81" spans="1:8" x14ac:dyDescent="0.2">
      <c r="A81" s="98" t="s">
        <v>548</v>
      </c>
      <c r="B81" s="72">
        <f>Risk!$N$58-$B$65*SUMPRODUCT(Portfolio!E6:E16,Inputs!$G$5:$G$15)</f>
        <v>6.5173051138514959E-2</v>
      </c>
      <c r="C81" s="72">
        <f>Risk!$N$56-$B$65*SUMPRODUCT(Portfolio!C6:C16,Inputs!$G$5:$G$15)</f>
        <v>6.503603362211112E-2</v>
      </c>
      <c r="D81" s="72">
        <f>B81-C81</f>
        <v>1.3701751640383952E-4</v>
      </c>
      <c r="E81" s="68">
        <f>NORMSDIST(-(B81-Risk!$M$58^2/2)*SQRT(5)/Risk!$M$58)</f>
        <v>3.8992755883275464E-2</v>
      </c>
      <c r="F81" s="68">
        <f>NORMSDIST(-(C81-Risk!$M$56^2/2)*SQRT(5)/Risk!$M$56)</f>
        <v>5.0403951210230551E-2</v>
      </c>
      <c r="G81" s="77"/>
      <c r="H81" s="282"/>
    </row>
    <row r="82" spans="1:8" x14ac:dyDescent="0.2">
      <c r="A82" s="98" t="s">
        <v>549</v>
      </c>
      <c r="B82" s="72">
        <f>Risk!$N$58-$B$65*SUM(Portfolio!E6:E13)</f>
        <v>6.3519051138514956E-2</v>
      </c>
      <c r="C82" s="72">
        <f>Risk!$N$56-$B$65*SUM(Portfolio!C6:C13)</f>
        <v>6.4036033622111119E-2</v>
      </c>
      <c r="D82" s="72">
        <f>B82-C82</f>
        <v>-5.1698248359616228E-4</v>
      </c>
      <c r="E82" s="68">
        <f>NORMSDIST(-(B82-Risk!$M$58^2/2)*SQRT(5)/Risk!$M$58)</f>
        <v>4.3123869146771437E-2</v>
      </c>
      <c r="F82" s="68">
        <f>NORMSDIST(-(C82-Risk!$M$56^2/2)*SQRT(5)/Risk!$M$56)</f>
        <v>5.3233688868382825E-2</v>
      </c>
      <c r="G82" s="77"/>
      <c r="H82" s="282"/>
    </row>
    <row r="83" spans="1:8" x14ac:dyDescent="0.2">
      <c r="A83" s="100" t="s">
        <v>550</v>
      </c>
      <c r="B83" s="376">
        <f>Risk!$N$58-$B$65*1</f>
        <v>6.1373051138514954E-2</v>
      </c>
      <c r="C83" s="376">
        <f>Risk!$N$56-$B$65*1</f>
        <v>6.1036033622111123E-2</v>
      </c>
      <c r="D83" s="376">
        <f>B83-C83</f>
        <v>3.3701751640383137E-4</v>
      </c>
      <c r="E83" s="101">
        <f>NORMSDIST(-(B83-Risk!$M$58^2/2)*SQRT(5)/Risk!$M$58)</f>
        <v>4.9003050490913788E-2</v>
      </c>
      <c r="F83" s="101">
        <f>NORMSDIST(-(C83-Risk!$M$56^2/2)*SQRT(5)/Risk!$M$56)</f>
        <v>6.2482953371527768E-2</v>
      </c>
      <c r="G83" s="377"/>
      <c r="H83" s="378"/>
    </row>
    <row r="111" spans="1:11" x14ac:dyDescent="0.2">
      <c r="A111" s="55" t="s">
        <v>551</v>
      </c>
      <c r="B111" s="56"/>
      <c r="C111" s="56"/>
      <c r="D111" s="56"/>
      <c r="E111" s="56"/>
      <c r="F111" s="56"/>
      <c r="G111" s="56"/>
      <c r="H111" s="56"/>
      <c r="I111" s="56"/>
      <c r="J111" s="56"/>
      <c r="K111" s="57"/>
    </row>
    <row r="112" spans="1:11" x14ac:dyDescent="0.2">
      <c r="A112" s="61" t="s">
        <v>5</v>
      </c>
      <c r="B112" s="62" t="s">
        <v>129</v>
      </c>
      <c r="C112" s="62" t="s">
        <v>130</v>
      </c>
      <c r="D112" s="62" t="s">
        <v>131</v>
      </c>
      <c r="E112" s="62" t="s">
        <v>132</v>
      </c>
      <c r="F112" s="62" t="s">
        <v>133</v>
      </c>
      <c r="G112" s="62" t="s">
        <v>134</v>
      </c>
      <c r="H112" s="62" t="s">
        <v>135</v>
      </c>
      <c r="I112" s="62" t="s">
        <v>136</v>
      </c>
      <c r="J112" s="62" t="s">
        <v>137</v>
      </c>
      <c r="K112" s="63" t="s">
        <v>138</v>
      </c>
    </row>
    <row r="113" spans="1:11" x14ac:dyDescent="0.2">
      <c r="A113" s="67" t="s">
        <v>14</v>
      </c>
      <c r="B113" s="173">
        <v>0.15</v>
      </c>
      <c r="C113" s="173">
        <v>0.15</v>
      </c>
      <c r="D113" s="173">
        <v>0.15</v>
      </c>
      <c r="E113" s="173">
        <v>0.15620000000000001</v>
      </c>
      <c r="F113" s="173">
        <v>0.1676</v>
      </c>
      <c r="G113" s="173">
        <v>0.18</v>
      </c>
      <c r="H113" s="173">
        <v>0.19239999999999999</v>
      </c>
      <c r="I113" s="173">
        <v>0.19800000000000001</v>
      </c>
      <c r="J113" s="173">
        <v>0.2019</v>
      </c>
      <c r="K113" s="379">
        <v>0.35</v>
      </c>
    </row>
    <row r="114" spans="1:11" x14ac:dyDescent="0.2">
      <c r="A114" s="67" t="s">
        <v>16</v>
      </c>
      <c r="B114" s="173">
        <v>0.19</v>
      </c>
      <c r="C114" s="173">
        <v>0.22370000000000001</v>
      </c>
      <c r="D114" s="173">
        <v>0.25750000000000001</v>
      </c>
      <c r="E114" s="173">
        <v>0.2833</v>
      </c>
      <c r="F114" s="173">
        <v>0.30309999999999998</v>
      </c>
      <c r="G114" s="173">
        <v>0.3241</v>
      </c>
      <c r="H114" s="173">
        <v>0.3453</v>
      </c>
      <c r="I114" s="173">
        <v>0.34200000000000003</v>
      </c>
      <c r="J114" s="173">
        <v>0.33810000000000001</v>
      </c>
      <c r="K114" s="379">
        <v>0.27</v>
      </c>
    </row>
    <row r="115" spans="1:11" x14ac:dyDescent="0.2">
      <c r="A115" s="67" t="s">
        <v>18</v>
      </c>
      <c r="B115" s="173">
        <v>0.08</v>
      </c>
      <c r="C115" s="173">
        <v>0.08</v>
      </c>
      <c r="D115" s="173">
        <v>0.08</v>
      </c>
      <c r="E115" s="173">
        <v>0.08</v>
      </c>
      <c r="F115" s="173">
        <v>0.08</v>
      </c>
      <c r="G115" s="173">
        <v>0.08</v>
      </c>
      <c r="H115" s="173">
        <v>0.08</v>
      </c>
      <c r="I115" s="173">
        <v>0.08</v>
      </c>
      <c r="J115" s="173">
        <v>0.08</v>
      </c>
      <c r="K115" s="379">
        <v>0</v>
      </c>
    </row>
    <row r="116" spans="1:11" x14ac:dyDescent="0.2">
      <c r="A116" s="67" t="s">
        <v>20</v>
      </c>
      <c r="B116" s="173">
        <v>0</v>
      </c>
      <c r="C116" s="173">
        <v>0</v>
      </c>
      <c r="D116" s="173">
        <v>0</v>
      </c>
      <c r="E116" s="173">
        <v>0</v>
      </c>
      <c r="F116" s="173">
        <v>0</v>
      </c>
      <c r="G116" s="173">
        <v>0</v>
      </c>
      <c r="H116" s="173">
        <v>0</v>
      </c>
      <c r="I116" s="173">
        <v>4.2299999999999997E-2</v>
      </c>
      <c r="J116" s="173">
        <v>8.7900000000000006E-2</v>
      </c>
      <c r="K116" s="379">
        <v>0.12</v>
      </c>
    </row>
    <row r="117" spans="1:11" x14ac:dyDescent="0.2">
      <c r="A117" s="67" t="s">
        <v>22</v>
      </c>
      <c r="B117" s="173">
        <v>0.03</v>
      </c>
      <c r="C117" s="173">
        <v>0.03</v>
      </c>
      <c r="D117" s="173">
        <v>0.03</v>
      </c>
      <c r="E117" s="173">
        <v>0.03</v>
      </c>
      <c r="F117" s="173">
        <v>0.03</v>
      </c>
      <c r="G117" s="173">
        <v>0.03</v>
      </c>
      <c r="H117" s="173">
        <v>0.03</v>
      </c>
      <c r="I117" s="173">
        <v>0.03</v>
      </c>
      <c r="J117" s="173">
        <v>0.03</v>
      </c>
      <c r="K117" s="379">
        <v>0.03</v>
      </c>
    </row>
    <row r="118" spans="1:11" x14ac:dyDescent="0.2">
      <c r="A118" s="67" t="s">
        <v>24</v>
      </c>
      <c r="B118" s="173">
        <v>0.05</v>
      </c>
      <c r="C118" s="173">
        <v>0.05</v>
      </c>
      <c r="D118" s="173">
        <v>0.05</v>
      </c>
      <c r="E118" s="173">
        <v>0.05</v>
      </c>
      <c r="F118" s="173">
        <v>0.05</v>
      </c>
      <c r="G118" s="173">
        <v>0.05</v>
      </c>
      <c r="H118" s="173">
        <v>0.05</v>
      </c>
      <c r="I118" s="173">
        <v>0.05</v>
      </c>
      <c r="J118" s="173">
        <v>0.05</v>
      </c>
      <c r="K118" s="379">
        <v>0.05</v>
      </c>
    </row>
    <row r="119" spans="1:11" x14ac:dyDescent="0.2">
      <c r="A119" s="67" t="s">
        <v>26</v>
      </c>
      <c r="B119" s="173">
        <v>0</v>
      </c>
      <c r="C119" s="173">
        <v>0</v>
      </c>
      <c r="D119" s="173">
        <v>0</v>
      </c>
      <c r="E119" s="173">
        <v>0</v>
      </c>
      <c r="F119" s="173">
        <v>0</v>
      </c>
      <c r="G119" s="173">
        <v>0</v>
      </c>
      <c r="H119" s="173">
        <v>0</v>
      </c>
      <c r="I119" s="173">
        <v>0</v>
      </c>
      <c r="J119" s="173">
        <v>0</v>
      </c>
      <c r="K119" s="379">
        <v>0</v>
      </c>
    </row>
    <row r="120" spans="1:11" x14ac:dyDescent="0.2">
      <c r="A120" s="67" t="s">
        <v>28</v>
      </c>
      <c r="B120" s="173">
        <v>0.01</v>
      </c>
      <c r="C120" s="173">
        <v>0.01</v>
      </c>
      <c r="D120" s="173">
        <v>0.01</v>
      </c>
      <c r="E120" s="173">
        <v>0.01</v>
      </c>
      <c r="F120" s="173">
        <v>0.01</v>
      </c>
      <c r="G120" s="173">
        <v>0.01</v>
      </c>
      <c r="H120" s="173">
        <v>0.01</v>
      </c>
      <c r="I120" s="173">
        <v>0.01</v>
      </c>
      <c r="J120" s="173">
        <v>0.01</v>
      </c>
      <c r="K120" s="379">
        <v>0.01</v>
      </c>
    </row>
    <row r="121" spans="1:11" x14ac:dyDescent="0.2">
      <c r="A121" s="67" t="s">
        <v>30</v>
      </c>
      <c r="B121" s="173">
        <v>0.23430000000000001</v>
      </c>
      <c r="C121" s="173">
        <v>0.22620000000000001</v>
      </c>
      <c r="D121" s="173">
        <v>0.2064</v>
      </c>
      <c r="E121" s="173">
        <v>0.20580000000000001</v>
      </c>
      <c r="F121" s="173">
        <v>0.2162</v>
      </c>
      <c r="G121" s="173">
        <v>0.20630000000000001</v>
      </c>
      <c r="H121" s="173">
        <v>0.1951</v>
      </c>
      <c r="I121" s="173">
        <v>0.1777</v>
      </c>
      <c r="J121" s="173">
        <v>0.1321</v>
      </c>
      <c r="K121" s="379">
        <v>0.1</v>
      </c>
    </row>
    <row r="122" spans="1:11" x14ac:dyDescent="0.2">
      <c r="A122" s="67" t="s">
        <v>32</v>
      </c>
      <c r="B122" s="173">
        <v>0.15570000000000001</v>
      </c>
      <c r="C122" s="173">
        <v>0.13009999999999999</v>
      </c>
      <c r="D122" s="173">
        <v>0.11609999999999999</v>
      </c>
      <c r="E122" s="173">
        <v>0.1159</v>
      </c>
      <c r="F122" s="173">
        <v>0.1205</v>
      </c>
      <c r="G122" s="173">
        <v>9.9599999999999994E-2</v>
      </c>
      <c r="H122" s="173">
        <v>7.7200000000000005E-2</v>
      </c>
      <c r="I122" s="173">
        <v>0.05</v>
      </c>
      <c r="J122" s="173">
        <v>0.05</v>
      </c>
      <c r="K122" s="379">
        <v>0.05</v>
      </c>
    </row>
    <row r="123" spans="1:11" x14ac:dyDescent="0.2">
      <c r="A123" s="67" t="s">
        <v>34</v>
      </c>
      <c r="B123" s="173">
        <v>0.1</v>
      </c>
      <c r="C123" s="173">
        <v>0.1</v>
      </c>
      <c r="D123" s="173">
        <v>0.1</v>
      </c>
      <c r="E123" s="173">
        <v>6.88E-2</v>
      </c>
      <c r="F123" s="173">
        <v>2.2599999999999999E-2</v>
      </c>
      <c r="G123" s="173">
        <v>0.02</v>
      </c>
      <c r="H123" s="173">
        <v>0.02</v>
      </c>
      <c r="I123" s="173">
        <v>0.02</v>
      </c>
      <c r="J123" s="173">
        <v>0.02</v>
      </c>
      <c r="K123" s="379">
        <v>0.02</v>
      </c>
    </row>
    <row r="124" spans="1:11" x14ac:dyDescent="0.2">
      <c r="A124" s="75" t="s">
        <v>140</v>
      </c>
      <c r="B124" s="72">
        <f>SUMPRODUCT(B113:B123,Forecast!$G$6:$G$16)</f>
        <v>6.2369554009411896E-2</v>
      </c>
      <c r="C124" s="72">
        <f>SUMPRODUCT(C113:C123,Forecast!$G$6:$G$16)</f>
        <v>6.3528968913292364E-2</v>
      </c>
      <c r="D124" s="72">
        <f>SUMPRODUCT(D113:D123,Forecast!$G$6:$G$16)</f>
        <v>6.4690287865627916E-2</v>
      </c>
      <c r="E124" s="72">
        <f>SUMPRODUCT(E113:E123,Forecast!$G$6:$G$16)</f>
        <v>6.5848632214347474E-2</v>
      </c>
      <c r="F124" s="72">
        <f>SUMPRODUCT(F113:F123,Forecast!$G$6:$G$16)</f>
        <v>6.7009140440661072E-2</v>
      </c>
      <c r="G124" s="72">
        <f>SUMPRODUCT(G113:G123,Forecast!$G$6:$G$16)</f>
        <v>6.8168636402828262E-2</v>
      </c>
      <c r="H124" s="72">
        <f>SUMPRODUCT(H113:H123,Forecast!$G$6:$G$16)</f>
        <v>6.9330399838180734E-2</v>
      </c>
      <c r="I124" s="72">
        <f>SUMPRODUCT(I113:I123,Forecast!$G$6:$G$16)</f>
        <v>7.0489157194444957E-2</v>
      </c>
      <c r="J124" s="72">
        <f>SUMPRODUCT(J113:J123,Forecast!$G$6:$G$16)</f>
        <v>7.1648332788718225E-2</v>
      </c>
      <c r="K124" s="380">
        <f>SUMPRODUCT(K113:K123,Forecast!$G$6:$G$16)</f>
        <v>7.2808538560980227E-2</v>
      </c>
    </row>
    <row r="125" spans="1:11" x14ac:dyDescent="0.2">
      <c r="A125" s="75" t="s">
        <v>139</v>
      </c>
      <c r="B125" s="72">
        <f>SQRT(SUMPRODUCT(B113:B123,MMULT(Risk!$B$41:$L$51,B113:B123)))</f>
        <v>4.9433100365275109E-2</v>
      </c>
      <c r="C125" s="72">
        <f>SQRT(SUMPRODUCT(C113:C123,MMULT(Risk!$B$41:$L$51,C113:C123)))</f>
        <v>5.2676263056367745E-2</v>
      </c>
      <c r="D125" s="72">
        <f>SQRT(SUMPRODUCT(D113:D123,MMULT(Risk!$B$41:$L$51,D113:D123)))</f>
        <v>5.610028856457016E-2</v>
      </c>
      <c r="E125" s="72">
        <f>SQRT(SUMPRODUCT(E113:E123,MMULT(Risk!$B$41:$L$51,E113:E123)))</f>
        <v>5.9637711122052697E-2</v>
      </c>
      <c r="F125" s="72">
        <f>SQRT(SUMPRODUCT(F113:F123,MMULT(Risk!$B$41:$L$51,F113:F123)))</f>
        <v>6.3204876467283011E-2</v>
      </c>
      <c r="G125" s="72">
        <f>SQRT(SUMPRODUCT(G113:G123,MMULT(Risk!$B$41:$L$51,G113:G123)))</f>
        <v>6.6799937243324184E-2</v>
      </c>
      <c r="H125" s="72">
        <f>SQRT(SUMPRODUCT(H113:H123,MMULT(Risk!$B$41:$L$51,H113:H123)))</f>
        <v>7.0451556349092406E-2</v>
      </c>
      <c r="I125" s="72">
        <f>SQRT(SUMPRODUCT(I113:I123,MMULT(Risk!$B$41:$L$51,I113:I123)))</f>
        <v>7.4469911952620982E-2</v>
      </c>
      <c r="J125" s="72">
        <f>SQRT(SUMPRODUCT(J113:J123,MMULT(Risk!$B$41:$L$51,J113:J123)))</f>
        <v>7.9018483234754827E-2</v>
      </c>
      <c r="K125" s="380">
        <f>SQRT(SUMPRODUCT(K113:K123,MMULT(Risk!$B$41:$L$51,K113:K123)))</f>
        <v>8.8695807575308039E-2</v>
      </c>
    </row>
    <row r="126" spans="1:11" x14ac:dyDescent="0.2">
      <c r="A126" s="79" t="s">
        <v>193</v>
      </c>
      <c r="B126" s="381">
        <f>SQRT(SUMPRODUCT(B113:B123-Inputs!$C$5:$C$15,MMULT(Risk!$B$41:$L$51,B113:B123-Inputs!$C$5:$C$15)))</f>
        <v>2.472726292688477E-2</v>
      </c>
      <c r="C126" s="381">
        <f>SQRT(SUMPRODUCT(C113:C123-Inputs!$C$5:$C$15,MMULT(Risk!$B$41:$L$51,C113:C123-Inputs!$C$5:$C$15)))</f>
        <v>2.2166180398280562E-2</v>
      </c>
      <c r="D126" s="381">
        <f>SQRT(SUMPRODUCT(D113:D123-Inputs!$C$5:$C$15,MMULT(Risk!$B$41:$L$51,D113:D123-Inputs!$C$5:$C$15)))</f>
        <v>2.0220096849606031E-2</v>
      </c>
      <c r="E126" s="381">
        <f>SQRT(SUMPRODUCT(E113:E123-Inputs!$C$5:$C$15,MMULT(Risk!$B$41:$L$51,E113:E123-Inputs!$C$5:$C$15)))</f>
        <v>1.8503204150650838E-2</v>
      </c>
      <c r="F126" s="381">
        <f>SQRT(SUMPRODUCT(F113:F123-Inputs!$C$5:$C$15,MMULT(Risk!$B$41:$L$51,F113:F123-Inputs!$C$5:$C$15)))</f>
        <v>1.6905599886954569E-2</v>
      </c>
      <c r="G126" s="381">
        <f>SQRT(SUMPRODUCT(G113:G123-Inputs!$C$5:$C$15,MMULT(Risk!$B$41:$L$51,G113:G123-Inputs!$C$5:$C$15)))</f>
        <v>1.6036212263573647E-2</v>
      </c>
      <c r="H126" s="381">
        <f>SQRT(SUMPRODUCT(H113:H123-Inputs!$C$5:$C$15,MMULT(Risk!$B$41:$L$51,H113:H123-Inputs!$C$5:$C$15)))</f>
        <v>1.617244751331599E-2</v>
      </c>
      <c r="I126" s="381">
        <f>SQRT(SUMPRODUCT(I113:I123-Inputs!$C$5:$C$15,MMULT(Risk!$B$41:$L$51,I113:I123-Inputs!$C$5:$C$15)))</f>
        <v>1.4515176204095157E-2</v>
      </c>
      <c r="J126" s="381">
        <f>SQRT(SUMPRODUCT(J113:J123-Inputs!$C$5:$C$15,MMULT(Risk!$B$41:$L$51,J113:J123-Inputs!$C$5:$C$15)))</f>
        <v>1.6183269255740568E-2</v>
      </c>
      <c r="K126" s="382">
        <f>SQRT(SUMPRODUCT(K113:K123-Inputs!$C$5:$C$15,MMULT(Risk!$B$41:$L$51,K113:K123-Inputs!$C$5:$C$15)))</f>
        <v>2.0868795870650311E-2</v>
      </c>
    </row>
    <row r="129" spans="1:11" x14ac:dyDescent="0.2">
      <c r="A129" s="247" t="s">
        <v>552</v>
      </c>
      <c r="B129" s="248"/>
      <c r="C129" s="248"/>
      <c r="D129" s="248"/>
      <c r="E129" s="248"/>
      <c r="F129" s="248"/>
      <c r="G129" s="248"/>
      <c r="H129" s="248"/>
      <c r="I129" s="248"/>
      <c r="J129" s="248"/>
      <c r="K129" s="249"/>
    </row>
    <row r="130" spans="1:11" x14ac:dyDescent="0.2">
      <c r="A130" s="252" t="s">
        <v>5</v>
      </c>
      <c r="B130" s="253" t="s">
        <v>129</v>
      </c>
      <c r="C130" s="253" t="s">
        <v>130</v>
      </c>
      <c r="D130" s="253" t="s">
        <v>131</v>
      </c>
      <c r="E130" s="253" t="s">
        <v>132</v>
      </c>
      <c r="F130" s="253" t="s">
        <v>133</v>
      </c>
      <c r="G130" s="253" t="s">
        <v>134</v>
      </c>
      <c r="H130" s="253" t="s">
        <v>135</v>
      </c>
      <c r="I130" s="253" t="s">
        <v>136</v>
      </c>
      <c r="J130" s="253" t="s">
        <v>137</v>
      </c>
      <c r="K130" s="254" t="s">
        <v>138</v>
      </c>
    </row>
    <row r="131" spans="1:11" x14ac:dyDescent="0.2">
      <c r="A131" s="255" t="s">
        <v>14</v>
      </c>
      <c r="B131" s="173">
        <v>0.2117</v>
      </c>
      <c r="C131" s="173">
        <v>0.2036</v>
      </c>
      <c r="D131" s="173">
        <v>0.2</v>
      </c>
      <c r="E131" s="173">
        <v>0.19919999999999999</v>
      </c>
      <c r="F131" s="173">
        <v>0.20219999999999999</v>
      </c>
      <c r="G131" s="173">
        <v>0.2079</v>
      </c>
      <c r="H131" s="173">
        <v>0.21590000000000001</v>
      </c>
      <c r="I131" s="173">
        <v>0.2263</v>
      </c>
      <c r="J131" s="173">
        <v>0.23250000000000001</v>
      </c>
      <c r="K131" s="383">
        <v>0.2697</v>
      </c>
    </row>
    <row r="132" spans="1:11" x14ac:dyDescent="0.2">
      <c r="A132" s="255" t="s">
        <v>16</v>
      </c>
      <c r="B132" s="173">
        <v>0.20860000000000001</v>
      </c>
      <c r="C132" s="173">
        <v>0.21149999999999999</v>
      </c>
      <c r="D132" s="173">
        <v>0.2243</v>
      </c>
      <c r="E132" s="173">
        <v>0.25259999999999999</v>
      </c>
      <c r="F132" s="173">
        <v>0.27350000000000002</v>
      </c>
      <c r="G132" s="173">
        <v>0.2898</v>
      </c>
      <c r="H132" s="173">
        <v>0.30120000000000002</v>
      </c>
      <c r="I132" s="173">
        <v>0.3075</v>
      </c>
      <c r="J132" s="173">
        <v>0.3075</v>
      </c>
      <c r="K132" s="383">
        <v>0.2732</v>
      </c>
    </row>
    <row r="133" spans="1:11" x14ac:dyDescent="0.2">
      <c r="A133" s="255" t="s">
        <v>18</v>
      </c>
      <c r="B133" s="173">
        <v>2.8500000000000001E-2</v>
      </c>
      <c r="C133" s="173">
        <v>6.2300000000000001E-2</v>
      </c>
      <c r="D133" s="173">
        <v>0.08</v>
      </c>
      <c r="E133" s="173">
        <v>0.08</v>
      </c>
      <c r="F133" s="173">
        <v>0.08</v>
      </c>
      <c r="G133" s="173">
        <v>0.08</v>
      </c>
      <c r="H133" s="173">
        <v>0.08</v>
      </c>
      <c r="I133" s="173">
        <v>0.08</v>
      </c>
      <c r="J133" s="173">
        <v>0.08</v>
      </c>
      <c r="K133" s="383">
        <v>7.7100000000000002E-2</v>
      </c>
    </row>
    <row r="134" spans="1:11" x14ac:dyDescent="0.2">
      <c r="A134" s="255" t="s">
        <v>20</v>
      </c>
      <c r="B134" s="173">
        <v>5.57E-2</v>
      </c>
      <c r="C134" s="173">
        <v>4.9599999999999998E-2</v>
      </c>
      <c r="D134" s="173">
        <v>4.2099999999999999E-2</v>
      </c>
      <c r="E134" s="173">
        <v>3.0300000000000001E-2</v>
      </c>
      <c r="F134" s="173">
        <v>2.4299999999999999E-2</v>
      </c>
      <c r="G134" s="173">
        <v>2.2499999999999999E-2</v>
      </c>
      <c r="H134" s="173">
        <v>2.41E-2</v>
      </c>
      <c r="I134" s="173">
        <v>2.92E-2</v>
      </c>
      <c r="J134" s="173">
        <v>4.8500000000000001E-2</v>
      </c>
      <c r="K134" s="383">
        <v>7.5399999999999995E-2</v>
      </c>
    </row>
    <row r="135" spans="1:11" x14ac:dyDescent="0.2">
      <c r="A135" s="255" t="s">
        <v>22</v>
      </c>
      <c r="B135" s="173">
        <v>0.03</v>
      </c>
      <c r="C135" s="173">
        <v>0.03</v>
      </c>
      <c r="D135" s="173">
        <v>0.03</v>
      </c>
      <c r="E135" s="173">
        <v>0.03</v>
      </c>
      <c r="F135" s="173">
        <v>0.03</v>
      </c>
      <c r="G135" s="173">
        <v>0.03</v>
      </c>
      <c r="H135" s="173">
        <v>0.03</v>
      </c>
      <c r="I135" s="173">
        <v>0.03</v>
      </c>
      <c r="J135" s="173">
        <v>0.03</v>
      </c>
      <c r="K135" s="383">
        <v>0.03</v>
      </c>
    </row>
    <row r="136" spans="1:11" x14ac:dyDescent="0.2">
      <c r="A136" s="255" t="s">
        <v>24</v>
      </c>
      <c r="B136" s="173">
        <v>0.05</v>
      </c>
      <c r="C136" s="173">
        <v>0.05</v>
      </c>
      <c r="D136" s="173">
        <v>0.05</v>
      </c>
      <c r="E136" s="173">
        <v>0.05</v>
      </c>
      <c r="F136" s="173">
        <v>0.05</v>
      </c>
      <c r="G136" s="173">
        <v>0.05</v>
      </c>
      <c r="H136" s="173">
        <v>0.05</v>
      </c>
      <c r="I136" s="173">
        <v>0.05</v>
      </c>
      <c r="J136" s="173">
        <v>0.05</v>
      </c>
      <c r="K136" s="383">
        <v>0.05</v>
      </c>
    </row>
    <row r="137" spans="1:11" x14ac:dyDescent="0.2">
      <c r="A137" s="255" t="s">
        <v>26</v>
      </c>
      <c r="B137" s="173">
        <v>0</v>
      </c>
      <c r="C137" s="173">
        <v>0</v>
      </c>
      <c r="D137" s="173">
        <v>0</v>
      </c>
      <c r="E137" s="173">
        <v>0</v>
      </c>
      <c r="F137" s="173">
        <v>0</v>
      </c>
      <c r="G137" s="173">
        <v>0</v>
      </c>
      <c r="H137" s="173">
        <v>0</v>
      </c>
      <c r="I137" s="173">
        <v>0</v>
      </c>
      <c r="J137" s="173">
        <v>0</v>
      </c>
      <c r="K137" s="383">
        <v>0</v>
      </c>
    </row>
    <row r="138" spans="1:11" x14ac:dyDescent="0.2">
      <c r="A138" s="255" t="s">
        <v>28</v>
      </c>
      <c r="B138" s="173">
        <v>0.01</v>
      </c>
      <c r="C138" s="173">
        <v>0.01</v>
      </c>
      <c r="D138" s="173">
        <v>0.01</v>
      </c>
      <c r="E138" s="173">
        <v>0.01</v>
      </c>
      <c r="F138" s="173">
        <v>0.01</v>
      </c>
      <c r="G138" s="173">
        <v>0.01</v>
      </c>
      <c r="H138" s="173">
        <v>0.01</v>
      </c>
      <c r="I138" s="173">
        <v>0.01</v>
      </c>
      <c r="J138" s="173">
        <v>0.01</v>
      </c>
      <c r="K138" s="383">
        <v>0.01</v>
      </c>
    </row>
    <row r="139" spans="1:11" x14ac:dyDescent="0.2">
      <c r="A139" s="255" t="s">
        <v>30</v>
      </c>
      <c r="B139" s="173">
        <v>0.1641</v>
      </c>
      <c r="C139" s="173">
        <v>0.16009999999999999</v>
      </c>
      <c r="D139" s="173">
        <v>0.1671</v>
      </c>
      <c r="E139" s="173">
        <v>0.18379999999999999</v>
      </c>
      <c r="F139" s="173">
        <v>0.1905</v>
      </c>
      <c r="G139" s="173">
        <v>0.18509999999999999</v>
      </c>
      <c r="H139" s="173">
        <v>0.1777</v>
      </c>
      <c r="I139" s="173">
        <v>0.16830000000000001</v>
      </c>
      <c r="J139" s="173">
        <v>0.15989999999999999</v>
      </c>
      <c r="K139" s="383">
        <v>0.13100000000000001</v>
      </c>
    </row>
    <row r="140" spans="1:11" x14ac:dyDescent="0.2">
      <c r="A140" s="255" t="s">
        <v>32</v>
      </c>
      <c r="B140" s="173">
        <v>0.1414</v>
      </c>
      <c r="C140" s="173">
        <v>0.1229</v>
      </c>
      <c r="D140" s="173">
        <v>0.11840000000000001</v>
      </c>
      <c r="E140" s="173">
        <v>0.1225</v>
      </c>
      <c r="F140" s="173">
        <v>0.1195</v>
      </c>
      <c r="G140" s="173">
        <v>0.1047</v>
      </c>
      <c r="H140" s="173">
        <v>9.11E-2</v>
      </c>
      <c r="I140" s="173">
        <v>7.8700000000000006E-2</v>
      </c>
      <c r="J140" s="173">
        <v>6.1600000000000002E-2</v>
      </c>
      <c r="K140" s="383">
        <v>6.3600000000000004E-2</v>
      </c>
    </row>
    <row r="141" spans="1:11" x14ac:dyDescent="0.2">
      <c r="A141" s="255" t="s">
        <v>34</v>
      </c>
      <c r="B141" s="173">
        <v>0.1</v>
      </c>
      <c r="C141" s="173">
        <v>0.1</v>
      </c>
      <c r="D141" s="173">
        <v>7.8100000000000003E-2</v>
      </c>
      <c r="E141" s="173">
        <v>4.1599999999999998E-2</v>
      </c>
      <c r="F141" s="173">
        <v>0.02</v>
      </c>
      <c r="G141" s="173">
        <v>0.02</v>
      </c>
      <c r="H141" s="173">
        <v>0.02</v>
      </c>
      <c r="I141" s="173">
        <v>0.02</v>
      </c>
      <c r="J141" s="173">
        <v>0.02</v>
      </c>
      <c r="K141" s="383">
        <v>0.02</v>
      </c>
    </row>
    <row r="142" spans="1:11" x14ac:dyDescent="0.2">
      <c r="A142" s="250" t="s">
        <v>140</v>
      </c>
      <c r="B142" s="72">
        <f>SUMPRODUCT(B131:B141,Forecast!$G$6:$G$16)</f>
        <v>6.4978580460059138E-2</v>
      </c>
      <c r="C142" s="72">
        <f>SUMPRODUCT(C131:C141,Forecast!$G$6:$G$16)</f>
        <v>6.568853482043277E-2</v>
      </c>
      <c r="D142" s="72">
        <f>SUMPRODUCT(D131:D141,Forecast!$G$6:$G$16)</f>
        <v>6.6400049192998259E-2</v>
      </c>
      <c r="E142" s="72">
        <f>SUMPRODUCT(E131:E141,Forecast!$G$6:$G$16)</f>
        <v>6.7110267702114326E-2</v>
      </c>
      <c r="F142" s="72">
        <f>SUMPRODUCT(F131:F141,Forecast!$G$6:$G$16)</f>
        <v>6.7819562397975236E-2</v>
      </c>
      <c r="G142" s="72">
        <f>SUMPRODUCT(G131:G141,Forecast!$G$6:$G$16)</f>
        <v>6.8533368900636132E-2</v>
      </c>
      <c r="H142" s="72">
        <f>SUMPRODUCT(H131:H141,Forecast!$G$6:$G$16)</f>
        <v>6.924526134591806E-2</v>
      </c>
      <c r="I142" s="72">
        <f>SUMPRODUCT(I131:I141,Forecast!$G$6:$G$16)</f>
        <v>6.9954397104518604E-2</v>
      </c>
      <c r="J142" s="72">
        <f>SUMPRODUCT(J131:J141,Forecast!$G$6:$G$16)</f>
        <v>7.0662222914585959E-2</v>
      </c>
      <c r="K142" s="263">
        <f>SUMPRODUCT(K131:K141,Forecast!$G$6:$G$16)</f>
        <v>7.1373064296758701E-2</v>
      </c>
    </row>
    <row r="143" spans="1:11" x14ac:dyDescent="0.2">
      <c r="A143" s="250" t="s">
        <v>139</v>
      </c>
      <c r="B143" s="72">
        <f>SQRT(SUMPRODUCT(B131:B141,MMULT(Risk!$B$41:$L$51,B131:B141)))</f>
        <v>6.0281372248438686E-2</v>
      </c>
      <c r="C143" s="72">
        <f>SQRT(SUMPRODUCT(C131:C141,MMULT(Risk!$B$41:$L$51,C131:C141)))</f>
        <v>6.0923936055562414E-2</v>
      </c>
      <c r="D143" s="72">
        <f>SQRT(SUMPRODUCT(D131:D141,MMULT(Risk!$B$41:$L$51,D131:D141)))</f>
        <v>6.2220178311382678E-2</v>
      </c>
      <c r="E143" s="72">
        <f>SQRT(SUMPRODUCT(E131:E141,MMULT(Risk!$B$41:$L$51,E131:E141)))</f>
        <v>6.4037807446289466E-2</v>
      </c>
      <c r="F143" s="72">
        <f>SQRT(SUMPRODUCT(F131:F141,MMULT(Risk!$B$41:$L$51,F131:F141)))</f>
        <v>6.607109237478577E-2</v>
      </c>
      <c r="G143" s="72">
        <f>SQRT(SUMPRODUCT(G131:G141,MMULT(Risk!$B$41:$L$51,G131:G141)))</f>
        <v>6.8238969633792598E-2</v>
      </c>
      <c r="H143" s="72">
        <f>SQRT(SUMPRODUCT(H131:H141,MMULT(Risk!$B$41:$L$51,H131:H141)))</f>
        <v>7.0487667882380409E-2</v>
      </c>
      <c r="I143" s="72">
        <f>SQRT(SUMPRODUCT(I131:I141,MMULT(Risk!$B$41:$L$51,I131:I141)))</f>
        <v>7.2813397900805363E-2</v>
      </c>
      <c r="J143" s="72">
        <f>SQRT(SUMPRODUCT(J131:J141,MMULT(Risk!$B$41:$L$51,J131:J141)))</f>
        <v>7.5320167072069941E-2</v>
      </c>
      <c r="K143" s="263">
        <f>SQRT(SUMPRODUCT(K131:K141,MMULT(Risk!$B$41:$L$51,K131:K141)))</f>
        <v>7.8750520975673324E-2</v>
      </c>
    </row>
    <row r="144" spans="1:11" x14ac:dyDescent="0.2">
      <c r="A144" s="258" t="s">
        <v>193</v>
      </c>
      <c r="B144" s="296">
        <f>SQRT(SUMPRODUCT(B131:B141-Inputs!$C$5:$C$15,MMULT(Risk!$B$41:$L$51,B131:B141-Inputs!$C$5:$C$15)))</f>
        <v>1.1001268917235872E-2</v>
      </c>
      <c r="C144" s="296">
        <f>SQRT(SUMPRODUCT(C131:C141-Inputs!$C$5:$C$15,MMULT(Risk!$B$41:$L$51,C131:C141-Inputs!$C$5:$C$15)))</f>
        <v>1.0999029793549915E-2</v>
      </c>
      <c r="D144" s="296">
        <f>SQRT(SUMPRODUCT(D131:D141-Inputs!$C$5:$C$15,MMULT(Risk!$B$41:$L$51,D131:D141-Inputs!$C$5:$C$15)))</f>
        <v>1.0997903216320321E-2</v>
      </c>
      <c r="E144" s="296">
        <f>SQRT(SUMPRODUCT(E131:E141-Inputs!$C$5:$C$15,MMULT(Risk!$B$41:$L$51,E131:E141-Inputs!$C$5:$C$15)))</f>
        <v>1.1003837872285123E-2</v>
      </c>
      <c r="F144" s="296">
        <f>SQRT(SUMPRODUCT(F131:F141-Inputs!$C$5:$C$15,MMULT(Risk!$B$41:$L$51,F131:F141-Inputs!$C$5:$C$15)))</f>
        <v>1.100558673813427E-2</v>
      </c>
      <c r="G144" s="296">
        <f>SQRT(SUMPRODUCT(G131:G141-Inputs!$C$5:$C$15,MMULT(Risk!$B$41:$L$51,G131:G141-Inputs!$C$5:$C$15)))</f>
        <v>1.1000797504278768E-2</v>
      </c>
      <c r="H144" s="296">
        <f>SQRT(SUMPRODUCT(H131:H141-Inputs!$C$5:$C$15,MMULT(Risk!$B$41:$L$51,H131:H141-Inputs!$C$5:$C$15)))</f>
        <v>1.0997136442853352E-2</v>
      </c>
      <c r="I144" s="296">
        <f>SQRT(SUMPRODUCT(I131:I141-Inputs!$C$5:$C$15,MMULT(Risk!$B$41:$L$51,I131:I141-Inputs!$C$5:$C$15)))</f>
        <v>1.1000653549916266E-2</v>
      </c>
      <c r="J144" s="296">
        <f>SQRT(SUMPRODUCT(J131:J141-Inputs!$C$5:$C$15,MMULT(Risk!$B$41:$L$51,J131:J141-Inputs!$C$5:$C$15)))</f>
        <v>1.1001500316129374E-2</v>
      </c>
      <c r="K144" s="384">
        <f>SQRT(SUMPRODUCT(K131:K141-Inputs!$C$5:$C$15,MMULT(Risk!$B$41:$L$51,K131:K141-Inputs!$C$5:$C$15)))</f>
        <v>1.0997235927830281E-2</v>
      </c>
    </row>
  </sheetData>
  <pageMargins left="0.75" right="0.75" top="1" bottom="1" header="0.5" footer="0.5"/>
  <pageSetup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F6228"/>
    <pageSetUpPr fitToPage="1"/>
  </sheetPr>
  <dimension ref="A1:R65"/>
  <sheetViews>
    <sheetView showGridLines="0" workbookViewId="0">
      <pane ySplit="4" topLeftCell="A5" activePane="bottomLeft" state="frozen"/>
      <selection pane="bottomLeft"/>
    </sheetView>
  </sheetViews>
  <sheetFormatPr baseColWidth="10" defaultColWidth="8.83203125" defaultRowHeight="15" x14ac:dyDescent="0.2"/>
  <cols>
    <col min="1" max="2" width="12" customWidth="1"/>
    <col min="3" max="6" width="11" customWidth="1"/>
    <col min="7" max="8" width="10" customWidth="1"/>
    <col min="9" max="10" width="11" customWidth="1"/>
    <col min="11" max="11" width="3" customWidth="1"/>
    <col min="12" max="12" width="14" customWidth="1"/>
    <col min="13" max="14" width="11" customWidth="1"/>
    <col min="15" max="15" width="12" customWidth="1"/>
    <col min="16" max="18" width="11" customWidth="1"/>
  </cols>
  <sheetData>
    <row r="1" spans="1:18" ht="19" x14ac:dyDescent="0.2">
      <c r="A1" s="53" t="s">
        <v>97</v>
      </c>
    </row>
    <row r="3" spans="1:18" x14ac:dyDescent="0.2">
      <c r="A3" s="121" t="s">
        <v>553</v>
      </c>
      <c r="B3" s="122"/>
      <c r="C3" s="122"/>
      <c r="D3" s="122"/>
      <c r="E3" s="122"/>
      <c r="F3" s="122"/>
      <c r="G3" s="122"/>
      <c r="H3" s="122"/>
      <c r="I3" s="122"/>
      <c r="J3" s="123"/>
      <c r="L3" s="181" t="s">
        <v>554</v>
      </c>
      <c r="M3" s="182"/>
      <c r="N3" s="182"/>
      <c r="O3" s="182"/>
      <c r="P3" s="182"/>
      <c r="Q3" s="182"/>
      <c r="R3" s="183"/>
    </row>
    <row r="4" spans="1:18" ht="42" customHeight="1" x14ac:dyDescent="0.2">
      <c r="A4" s="124" t="s">
        <v>190</v>
      </c>
      <c r="B4" s="125" t="s">
        <v>555</v>
      </c>
      <c r="C4" s="125" t="s">
        <v>556</v>
      </c>
      <c r="D4" s="125" t="s">
        <v>6</v>
      </c>
      <c r="E4" s="125" t="s">
        <v>7</v>
      </c>
      <c r="F4" s="125" t="s">
        <v>8</v>
      </c>
      <c r="G4" s="125" t="s">
        <v>557</v>
      </c>
      <c r="H4" s="125" t="s">
        <v>558</v>
      </c>
      <c r="I4" s="125" t="s">
        <v>559</v>
      </c>
      <c r="J4" s="126" t="s">
        <v>560</v>
      </c>
      <c r="L4" s="184" t="s">
        <v>518</v>
      </c>
      <c r="M4" s="185" t="s">
        <v>6</v>
      </c>
      <c r="N4" s="185" t="s">
        <v>7</v>
      </c>
      <c r="O4" s="185" t="s">
        <v>8</v>
      </c>
      <c r="P4" s="185" t="s">
        <v>556</v>
      </c>
      <c r="Q4" s="185" t="s">
        <v>561</v>
      </c>
      <c r="R4" s="186" t="s">
        <v>562</v>
      </c>
    </row>
    <row r="5" spans="1:18" x14ac:dyDescent="0.2">
      <c r="A5" s="385">
        <f>'Quarterly returns'!A25</f>
        <v>40633</v>
      </c>
      <c r="B5" s="313">
        <f>'Quarterly returns'!A5</f>
        <v>38807</v>
      </c>
      <c r="C5" s="72">
        <f>INDEX('RBA 5Y yield'!$B$5:$B$661,MATCH(B5,'RBA 5Y yield'!$A$5:$A$661,1))+Inputs!$B$24</f>
        <v>9.2976000000000003E-2</v>
      </c>
      <c r="D5" s="72">
        <f>EXP(SUMPRODUCT(LN(1+'Quarterly returns'!Z6:Z25))/5)-1</f>
        <v>1.8114271752995181E-2</v>
      </c>
      <c r="E5" s="72">
        <f>EXP(SUMPRODUCT(LN(1+'Quarterly returns'!AA6:AA25))/5)-1</f>
        <v>1.8475127367437505E-2</v>
      </c>
      <c r="F5" s="72">
        <f>EXP(SUMPRODUCT(LN(1+'Quarterly returns'!AB6:AB25))/5)-1</f>
        <v>7.7365809044231959E-3</v>
      </c>
      <c r="G5" s="342">
        <f t="shared" ref="G5:G36" si="0">IF(D5&gt;=C5,1,0)</f>
        <v>0</v>
      </c>
      <c r="H5" s="342">
        <f t="shared" ref="H5:H36" si="1">IF(F5&gt;=C5,1,0)</f>
        <v>0</v>
      </c>
      <c r="I5" s="72">
        <f>SQRT((SUMPRODUCT(('Quarterly returns'!Z6:Z25-'Quarterly returns'!AA6:AA25)^2)-SUMPRODUCT(('Quarterly returns'!Z6:Z25-'Quarterly returns'!AA6:AA25))^2/20)/19)*2</f>
        <v>2.3932454361712444E-2</v>
      </c>
      <c r="J5" s="128">
        <f>SQRT((SUMPRODUCT(('Quarterly returns'!AB6:AB25-'Quarterly returns'!AA6:AA25)^2)-SUMPRODUCT(('Quarterly returns'!AB6:AB25-'Quarterly returns'!AA6:AA25))^2/20)/19)*2</f>
        <v>1.3383111345163437E-2</v>
      </c>
      <c r="L5" s="386">
        <v>5</v>
      </c>
      <c r="M5" s="72">
        <f>EXP(SUMPRODUCT(LN(1+'Quarterly returns'!Z66:Z85))*4/20)-1</f>
        <v>7.0238277460718646E-2</v>
      </c>
      <c r="N5" s="72">
        <f>EXP(SUMPRODUCT(LN(1+'Quarterly returns'!AA66:AA85))*4/20)-1</f>
        <v>7.5762595366314356E-2</v>
      </c>
      <c r="O5" s="72">
        <f>EXP(SUMPRODUCT(LN(1+'Quarterly returns'!AB66:AB85))*4/20)-1</f>
        <v>8.4806041869762261E-2</v>
      </c>
      <c r="P5" s="72">
        <f>INDEX('RBA 5Y yield'!$B$5:$B$661,MATCH('Quarterly returns'!A65,'RBA 5Y yield'!$A$5:$A$661,1))+Inputs!$B$24</f>
        <v>4.7080000000000004E-2</v>
      </c>
      <c r="Q5" s="149" t="str">
        <f>IF(M5&gt;=P5,"YES","NO")</f>
        <v>YES</v>
      </c>
      <c r="R5" s="305" t="str">
        <f>IF(O5&gt;=P5,"YES","NO")</f>
        <v>YES</v>
      </c>
    </row>
    <row r="6" spans="1:18" x14ac:dyDescent="0.2">
      <c r="A6" s="385">
        <f>'Quarterly returns'!A26</f>
        <v>40724</v>
      </c>
      <c r="B6" s="313">
        <f>'Quarterly returns'!A6</f>
        <v>38898</v>
      </c>
      <c r="C6" s="72">
        <f>INDEX('RBA 5Y yield'!$B$5:$B$661,MATCH(B6,'RBA 5Y yield'!$A$5:$A$661,1))+Inputs!$B$24</f>
        <v>9.7483E-2</v>
      </c>
      <c r="D6" s="72">
        <f>EXP(SUMPRODUCT(LN(1+'Quarterly returns'!Z7:Z26))/5)-1</f>
        <v>1.7742215628443914E-2</v>
      </c>
      <c r="E6" s="72">
        <f>EXP(SUMPRODUCT(LN(1+'Quarterly returns'!AA7:AA26))/5)-1</f>
        <v>1.785243110704271E-2</v>
      </c>
      <c r="F6" s="72">
        <f>EXP(SUMPRODUCT(LN(1+'Quarterly returns'!AB7:AB26))/5)-1</f>
        <v>6.887848940477781E-3</v>
      </c>
      <c r="G6" s="342">
        <f t="shared" si="0"/>
        <v>0</v>
      </c>
      <c r="H6" s="342">
        <f t="shared" si="1"/>
        <v>0</v>
      </c>
      <c r="I6" s="72">
        <f>SQRT((SUMPRODUCT(('Quarterly returns'!Z7:Z26-'Quarterly returns'!AA7:AA26)^2)-SUMPRODUCT(('Quarterly returns'!Z7:Z26-'Quarterly returns'!AA7:AA26))^2/20)/19)*2</f>
        <v>2.3876093347983341E-2</v>
      </c>
      <c r="J6" s="128">
        <f>SQRT((SUMPRODUCT(('Quarterly returns'!AB7:AB26-'Quarterly returns'!AA7:AA26)^2)-SUMPRODUCT(('Quarterly returns'!AB7:AB26-'Quarterly returns'!AA7:AA26))^2/20)/19)*2</f>
        <v>1.350075147090617E-2</v>
      </c>
      <c r="L6" s="386">
        <v>10</v>
      </c>
      <c r="M6" s="72">
        <f>EXP(SUMPRODUCT(LN(1+'Quarterly returns'!Z46:Z85))*4/40)-1</f>
        <v>7.8948233532036394E-2</v>
      </c>
      <c r="N6" s="72">
        <f>EXP(SUMPRODUCT(LN(1+'Quarterly returns'!AA46:AA85))*4/40)-1</f>
        <v>8.2621317917636494E-2</v>
      </c>
      <c r="O6" s="72">
        <f>EXP(SUMPRODUCT(LN(1+'Quarterly returns'!AB46:AB85))*4/40)-1</f>
        <v>9.0714535876666114E-2</v>
      </c>
      <c r="P6" s="72">
        <f>INDEX('RBA 5Y yield'!$B$5:$B$661,MATCH('Quarterly returns'!A45,'RBA 5Y yield'!$A$5:$A$661,1))+Inputs!$B$24</f>
        <v>6.1340000000000006E-2</v>
      </c>
      <c r="Q6" s="149" t="str">
        <f>IF(M6&gt;=P6,"YES","NO")</f>
        <v>YES</v>
      </c>
      <c r="R6" s="305" t="str">
        <f>IF(O6&gt;=P6,"YES","NO")</f>
        <v>YES</v>
      </c>
    </row>
    <row r="7" spans="1:18" x14ac:dyDescent="0.2">
      <c r="A7" s="385">
        <f>'Quarterly returns'!A27</f>
        <v>40816</v>
      </c>
      <c r="B7" s="313">
        <f>'Quarterly returns'!A7</f>
        <v>38989</v>
      </c>
      <c r="C7" s="72">
        <f>INDEX('RBA 5Y yield'!$B$5:$B$661,MATCH(B7,'RBA 5Y yield'!$A$5:$A$661,1))+Inputs!$B$24</f>
        <v>9.8402000000000003E-2</v>
      </c>
      <c r="D7" s="72">
        <f>EXP(SUMPRODUCT(LN(1+'Quarterly returns'!Z8:Z27))/5)-1</f>
        <v>-1.7133204260566526E-4</v>
      </c>
      <c r="E7" s="72">
        <f>EXP(SUMPRODUCT(LN(1+'Quarterly returns'!AA8:AA27))/5)-1</f>
        <v>3.4397319072074772E-3</v>
      </c>
      <c r="F7" s="72">
        <f>EXP(SUMPRODUCT(LN(1+'Quarterly returns'!AB8:AB27))/5)-1</f>
        <v>-9.3438915999903838E-3</v>
      </c>
      <c r="G7" s="342">
        <f t="shared" si="0"/>
        <v>0</v>
      </c>
      <c r="H7" s="342">
        <f t="shared" si="1"/>
        <v>0</v>
      </c>
      <c r="I7" s="72">
        <f>SQRT((SUMPRODUCT(('Quarterly returns'!Z8:Z27-'Quarterly returns'!AA8:AA27)^2)-SUMPRODUCT(('Quarterly returns'!Z8:Z27-'Quarterly returns'!AA8:AA27))^2/20)/19)*2</f>
        <v>2.4344476214431907E-2</v>
      </c>
      <c r="J7" s="128">
        <f>SQRT((SUMPRODUCT(('Quarterly returns'!AB8:AB27-'Quarterly returns'!AA8:AA27)^2)-SUMPRODUCT(('Quarterly returns'!AB8:AB27-'Quarterly returns'!AA8:AA27))^2/20)/19)*2</f>
        <v>1.3852079274645152E-2</v>
      </c>
      <c r="L7" s="386">
        <v>15</v>
      </c>
      <c r="M7" s="72">
        <f>EXP(SUMPRODUCT(LN(1+'Quarterly returns'!Z26:Z85))*4/60)-1</f>
        <v>8.3517285924374463E-2</v>
      </c>
      <c r="N7" s="72">
        <f>EXP(SUMPRODUCT(LN(1+'Quarterly returns'!AA26:AA85))*4/60)-1</f>
        <v>8.662187276334854E-2</v>
      </c>
      <c r="O7" s="72">
        <f>EXP(SUMPRODUCT(LN(1+'Quarterly returns'!AB26:AB85))*4/60)-1</f>
        <v>9.2163514233834176E-2</v>
      </c>
      <c r="P7" s="72">
        <f>INDEX('RBA 5Y yield'!$B$5:$B$661,MATCH('Quarterly returns'!A25,'RBA 5Y yield'!$A$5:$A$661,1))+Inputs!$B$24</f>
        <v>9.2075000000000004E-2</v>
      </c>
      <c r="Q7" s="149" t="str">
        <f>IF(M7&gt;=P7,"YES","NO")</f>
        <v>NO</v>
      </c>
      <c r="R7" s="305" t="str">
        <f>IF(O7&gt;=P7,"YES","NO")</f>
        <v>YES</v>
      </c>
    </row>
    <row r="8" spans="1:18" x14ac:dyDescent="0.2">
      <c r="A8" s="385">
        <f>'Quarterly returns'!A28</f>
        <v>40907</v>
      </c>
      <c r="B8" s="313">
        <f>'Quarterly returns'!A8</f>
        <v>39080</v>
      </c>
      <c r="C8" s="72">
        <f>INDEX('RBA 5Y yield'!$B$5:$B$661,MATCH(B8,'RBA 5Y yield'!$A$5:$A$661,1))+Inputs!$B$24</f>
        <v>9.7957000000000002E-2</v>
      </c>
      <c r="D8" s="72">
        <f>EXP(SUMPRODUCT(LN(1+'Quarterly returns'!Z9:Z28))/5)-1</f>
        <v>-6.8260341798290769E-3</v>
      </c>
      <c r="E8" s="72">
        <f>EXP(SUMPRODUCT(LN(1+'Quarterly returns'!AA9:AA28))/5)-1</f>
        <v>-5.5232488822298809E-4</v>
      </c>
      <c r="F8" s="72">
        <f>EXP(SUMPRODUCT(LN(1+'Quarterly returns'!AB9:AB28))/5)-1</f>
        <v>-1.4320077705457068E-2</v>
      </c>
      <c r="G8" s="342">
        <f t="shared" si="0"/>
        <v>0</v>
      </c>
      <c r="H8" s="342">
        <f t="shared" si="1"/>
        <v>0</v>
      </c>
      <c r="I8" s="72">
        <f>SQRT((SUMPRODUCT(('Quarterly returns'!Z9:Z28-'Quarterly returns'!AA9:AA28)^2)-SUMPRODUCT(('Quarterly returns'!Z9:Z28-'Quarterly returns'!AA9:AA28))^2/20)/19)*2</f>
        <v>2.347750294121536E-2</v>
      </c>
      <c r="J8" s="128">
        <f>SQRT((SUMPRODUCT(('Quarterly returns'!AB9:AB28-'Quarterly returns'!AA9:AA28)^2)-SUMPRODUCT(('Quarterly returns'!AB9:AB28-'Quarterly returns'!AA9:AA28))^2/20)/19)*2</f>
        <v>1.3557114570436344E-2</v>
      </c>
      <c r="L8" s="387">
        <v>20</v>
      </c>
      <c r="M8" s="372">
        <f>EXP(SUMPRODUCT(LN(1+'Quarterly returns'!Z6:Z85))*4/80)-1</f>
        <v>6.6782823780299871E-2</v>
      </c>
      <c r="N8" s="372">
        <f>EXP(SUMPRODUCT(LN(1+'Quarterly returns'!AA6:AA85))*4/80)-1</f>
        <v>6.9169198887697236E-2</v>
      </c>
      <c r="O8" s="372">
        <f>EXP(SUMPRODUCT(LN(1+'Quarterly returns'!AB6:AB85))*4/80)-1</f>
        <v>7.0415782824255757E-2</v>
      </c>
      <c r="P8" s="372">
        <f>INDEX('RBA 5Y yield'!$B$5:$B$661,MATCH('Quarterly returns'!A5,'RBA 5Y yield'!$A$5:$A$661,1))+Inputs!$B$24</f>
        <v>9.2976000000000003E-2</v>
      </c>
      <c r="Q8" s="388" t="str">
        <f>IF(M8&gt;=P8,"YES","NO")</f>
        <v>NO</v>
      </c>
      <c r="R8" s="307" t="str">
        <f>IF(O8&gt;=P8,"YES","NO")</f>
        <v>NO</v>
      </c>
    </row>
    <row r="9" spans="1:18" x14ac:dyDescent="0.2">
      <c r="A9" s="385">
        <f>'Quarterly returns'!A29</f>
        <v>40998</v>
      </c>
      <c r="B9" s="313">
        <f>'Quarterly returns'!A9</f>
        <v>39171</v>
      </c>
      <c r="C9" s="72">
        <f>INDEX('RBA 5Y yield'!$B$5:$B$661,MATCH(B9,'RBA 5Y yield'!$A$5:$A$661,1))+Inputs!$B$24</f>
        <v>9.9650000000000002E-2</v>
      </c>
      <c r="D9" s="72">
        <f>EXP(SUMPRODUCT(LN(1+'Quarterly returns'!Z10:Z29))/5)-1</f>
        <v>-2.4285309561700164E-4</v>
      </c>
      <c r="E9" s="72">
        <f>EXP(SUMPRODUCT(LN(1+'Quarterly returns'!AA10:AA29))/5)-1</f>
        <v>6.9988527558735303E-3</v>
      </c>
      <c r="F9" s="72">
        <f>EXP(SUMPRODUCT(LN(1+'Quarterly returns'!AB10:AB29))/5)-1</f>
        <v>-5.118986806856296E-3</v>
      </c>
      <c r="G9" s="342">
        <f t="shared" si="0"/>
        <v>0</v>
      </c>
      <c r="H9" s="342">
        <f t="shared" si="1"/>
        <v>0</v>
      </c>
      <c r="I9" s="72">
        <f>SQRT((SUMPRODUCT(('Quarterly returns'!Z10:Z29-'Quarterly returns'!AA10:AA29)^2)-SUMPRODUCT(('Quarterly returns'!Z10:Z29-'Quarterly returns'!AA10:AA29))^2/20)/19)*2</f>
        <v>2.3102987434949117E-2</v>
      </c>
      <c r="J9" s="128">
        <f>SQRT((SUMPRODUCT(('Quarterly returns'!AB10:AB29-'Quarterly returns'!AA10:AA29)^2)-SUMPRODUCT(('Quarterly returns'!AB10:AB29-'Quarterly returns'!AA10:AA29))^2/20)/19)*2</f>
        <v>1.452940288758317E-2</v>
      </c>
    </row>
    <row r="10" spans="1:18" x14ac:dyDescent="0.2">
      <c r="A10" s="385">
        <f>'Quarterly returns'!A30</f>
        <v>41089</v>
      </c>
      <c r="B10" s="313">
        <f>'Quarterly returns'!A10</f>
        <v>39262</v>
      </c>
      <c r="C10" s="72">
        <f>INDEX('RBA 5Y yield'!$B$5:$B$661,MATCH(B10,'RBA 5Y yield'!$A$5:$A$661,1))+Inputs!$B$24</f>
        <v>0.100717</v>
      </c>
      <c r="D10" s="72">
        <f>EXP(SUMPRODUCT(LN(1+'Quarterly returns'!Z11:Z30))/5)-1</f>
        <v>-6.2843340276597104E-3</v>
      </c>
      <c r="E10" s="72">
        <f>EXP(SUMPRODUCT(LN(1+'Quarterly returns'!AA11:AA30))/5)-1</f>
        <v>3.0980994057072664E-4</v>
      </c>
      <c r="F10" s="72">
        <f>EXP(SUMPRODUCT(LN(1+'Quarterly returns'!AB11:AB30))/5)-1</f>
        <v>-1.3232054808203109E-2</v>
      </c>
      <c r="G10" s="342">
        <f t="shared" si="0"/>
        <v>0</v>
      </c>
      <c r="H10" s="342">
        <f t="shared" si="1"/>
        <v>0</v>
      </c>
      <c r="I10" s="72">
        <f>SQRT((SUMPRODUCT(('Quarterly returns'!Z11:Z30-'Quarterly returns'!AA11:AA30)^2)-SUMPRODUCT(('Quarterly returns'!Z11:Z30-'Quarterly returns'!AA11:AA30))^2/20)/19)*2</f>
        <v>2.3026826480674077E-2</v>
      </c>
      <c r="J10" s="128">
        <f>SQRT((SUMPRODUCT(('Quarterly returns'!AB11:AB30-'Quarterly returns'!AA11:AA30)^2)-SUMPRODUCT(('Quarterly returns'!AB11:AB30-'Quarterly returns'!AA11:AA30))^2/20)/19)*2</f>
        <v>1.4543052123407471E-2</v>
      </c>
    </row>
    <row r="11" spans="1:18" x14ac:dyDescent="0.2">
      <c r="A11" s="385">
        <f>'Quarterly returns'!A31</f>
        <v>41180</v>
      </c>
      <c r="B11" s="313">
        <f>'Quarterly returns'!A11</f>
        <v>39353</v>
      </c>
      <c r="C11" s="72">
        <f>INDEX('RBA 5Y yield'!$B$5:$B$661,MATCH(B11,'RBA 5Y yield'!$A$5:$A$661,1))+Inputs!$B$24</f>
        <v>0.101316</v>
      </c>
      <c r="D11" s="72">
        <f>EXP(SUMPRODUCT(LN(1+'Quarterly returns'!Z12:Z31))/5)-1</f>
        <v>1.5877478150949642E-4</v>
      </c>
      <c r="E11" s="72">
        <f>EXP(SUMPRODUCT(LN(1+'Quarterly returns'!AA12:AA31))/5)-1</f>
        <v>6.1681057808986584E-3</v>
      </c>
      <c r="F11" s="72">
        <f>EXP(SUMPRODUCT(LN(1+'Quarterly returns'!AB12:AB31))/5)-1</f>
        <v>-6.9360097427967338E-3</v>
      </c>
      <c r="G11" s="342">
        <f t="shared" si="0"/>
        <v>0</v>
      </c>
      <c r="H11" s="342">
        <f t="shared" si="1"/>
        <v>0</v>
      </c>
      <c r="I11" s="72">
        <f>SQRT((SUMPRODUCT(('Quarterly returns'!Z12:Z31-'Quarterly returns'!AA12:AA31)^2)-SUMPRODUCT(('Quarterly returns'!Z12:Z31-'Quarterly returns'!AA12:AA31))^2/20)/19)*2</f>
        <v>2.323738558658427E-2</v>
      </c>
      <c r="J11" s="128">
        <f>SQRT((SUMPRODUCT(('Quarterly returns'!AB12:AB31-'Quarterly returns'!AA12:AA31)^2)-SUMPRODUCT(('Quarterly returns'!AB12:AB31-'Quarterly returns'!AA12:AA31))^2/20)/19)*2</f>
        <v>1.4791645588792984E-2</v>
      </c>
      <c r="L11" s="247" t="s">
        <v>563</v>
      </c>
      <c r="M11" s="248"/>
      <c r="N11" s="248"/>
      <c r="O11" s="249"/>
    </row>
    <row r="12" spans="1:18" ht="28" x14ac:dyDescent="0.2">
      <c r="A12" s="385">
        <f>'Quarterly returns'!A32</f>
        <v>41274</v>
      </c>
      <c r="B12" s="313">
        <f>'Quarterly returns'!A12</f>
        <v>39447</v>
      </c>
      <c r="C12" s="72">
        <f>INDEX('RBA 5Y yield'!$B$5:$B$661,MATCH(B12,'RBA 5Y yield'!$A$5:$A$661,1))+Inputs!$B$24</f>
        <v>0.10463700000000001</v>
      </c>
      <c r="D12" s="72">
        <f>EXP(SUMPRODUCT(LN(1+'Quarterly returns'!Z13:Z32))/5)-1</f>
        <v>1.2004477733330132E-2</v>
      </c>
      <c r="E12" s="72">
        <f>EXP(SUMPRODUCT(LN(1+'Quarterly returns'!AA13:AA32))/5)-1</f>
        <v>1.4173209645844675E-2</v>
      </c>
      <c r="F12" s="72">
        <f>EXP(SUMPRODUCT(LN(1+'Quarterly returns'!AB13:AB32))/5)-1</f>
        <v>2.1562776306336406E-3</v>
      </c>
      <c r="G12" s="342">
        <f t="shared" si="0"/>
        <v>0</v>
      </c>
      <c r="H12" s="342">
        <f t="shared" si="1"/>
        <v>0</v>
      </c>
      <c r="I12" s="72">
        <f>SQRT((SUMPRODUCT(('Quarterly returns'!Z13:Z32-'Quarterly returns'!AA13:AA32)^2)-SUMPRODUCT(('Quarterly returns'!Z13:Z32-'Quarterly returns'!AA13:AA32))^2/20)/19)*2</f>
        <v>2.2660463817219544E-2</v>
      </c>
      <c r="J12" s="128">
        <f>SQRT((SUMPRODUCT(('Quarterly returns'!AB13:AB32-'Quarterly returns'!AA13:AA32)^2)-SUMPRODUCT(('Quarterly returns'!AB13:AB32-'Quarterly returns'!AA13:AA32))^2/20)/19)*2</f>
        <v>1.5143284145107615E-2</v>
      </c>
      <c r="L12" s="252" t="s">
        <v>64</v>
      </c>
      <c r="M12" s="253" t="s">
        <v>6</v>
      </c>
      <c r="N12" s="253" t="s">
        <v>7</v>
      </c>
      <c r="O12" s="254" t="s">
        <v>8</v>
      </c>
    </row>
    <row r="13" spans="1:18" x14ac:dyDescent="0.2">
      <c r="A13" s="385">
        <f>'Quarterly returns'!A33</f>
        <v>41362</v>
      </c>
      <c r="B13" s="313">
        <f>'Quarterly returns'!A13</f>
        <v>39538</v>
      </c>
      <c r="C13" s="72">
        <f>INDEX('RBA 5Y yield'!$B$5:$B$661,MATCH(B13,'RBA 5Y yield'!$A$5:$A$661,1))+Inputs!$B$24</f>
        <v>0.10100300000000001</v>
      </c>
      <c r="D13" s="72">
        <f>EXP(SUMPRODUCT(LN(1+'Quarterly returns'!Z14:Z33))/5)-1</f>
        <v>4.3665536642239378E-2</v>
      </c>
      <c r="E13" s="72">
        <f>EXP(SUMPRODUCT(LN(1+'Quarterly returns'!AA14:AA33))/5)-1</f>
        <v>4.1275527253610278E-2</v>
      </c>
      <c r="F13" s="72">
        <f>EXP(SUMPRODUCT(LN(1+'Quarterly returns'!AB14:AB33))/5)-1</f>
        <v>3.2985165650823101E-2</v>
      </c>
      <c r="G13" s="342">
        <f t="shared" si="0"/>
        <v>0</v>
      </c>
      <c r="H13" s="342">
        <f t="shared" si="1"/>
        <v>0</v>
      </c>
      <c r="I13" s="72">
        <f>SQRT((SUMPRODUCT(('Quarterly returns'!Z14:Z33-'Quarterly returns'!AA14:AA33)^2)-SUMPRODUCT(('Quarterly returns'!Z14:Z33-'Quarterly returns'!AA14:AA33))^2/20)/19)*2</f>
        <v>2.234633959347351E-2</v>
      </c>
      <c r="J13" s="128">
        <f>SQRT((SUMPRODUCT(('Quarterly returns'!AB14:AB33-'Quarterly returns'!AA14:AA33)^2)-SUMPRODUCT(('Quarterly returns'!AB14:AB33-'Quarterly returns'!AA14:AA33))^2/20)/19)*2</f>
        <v>1.3896222591119903E-2</v>
      </c>
      <c r="L13" s="255" t="s">
        <v>72</v>
      </c>
      <c r="M13" s="68">
        <f>AVERAGE(G5:G65)</f>
        <v>0.73770491803278693</v>
      </c>
      <c r="N13" s="68">
        <f>SUMPRODUCT((E5:E65&gt;=C5:C65)*1)/61</f>
        <v>0.78688524590163933</v>
      </c>
      <c r="O13" s="256">
        <f>AVERAGE(H5:H65)</f>
        <v>0.78688524590163933</v>
      </c>
    </row>
    <row r="14" spans="1:18" x14ac:dyDescent="0.2">
      <c r="A14" s="385">
        <f>'Quarterly returns'!A34</f>
        <v>41453</v>
      </c>
      <c r="B14" s="313">
        <f>'Quarterly returns'!A14</f>
        <v>39629</v>
      </c>
      <c r="C14" s="72">
        <f>INDEX('RBA 5Y yield'!$B$5:$B$661,MATCH(B14,'RBA 5Y yield'!$A$5:$A$661,1))+Inputs!$B$24</f>
        <v>0.106903</v>
      </c>
      <c r="D14" s="72">
        <f>EXP(SUMPRODUCT(LN(1+'Quarterly returns'!Z15:Z34))/5)-1</f>
        <v>5.545941129034615E-2</v>
      </c>
      <c r="E14" s="72">
        <f>EXP(SUMPRODUCT(LN(1+'Quarterly returns'!AA15:AA34))/5)-1</f>
        <v>5.5525535338301069E-2</v>
      </c>
      <c r="F14" s="72">
        <f>EXP(SUMPRODUCT(LN(1+'Quarterly returns'!AB15:AB34))/5)-1</f>
        <v>5.0056927860339107E-2</v>
      </c>
      <c r="G14" s="342">
        <f t="shared" si="0"/>
        <v>0</v>
      </c>
      <c r="H14" s="342">
        <f t="shared" si="1"/>
        <v>0</v>
      </c>
      <c r="I14" s="72">
        <f>SQRT((SUMPRODUCT(('Quarterly returns'!Z15:Z34-'Quarterly returns'!AA15:AA34)^2)-SUMPRODUCT(('Quarterly returns'!Z15:Z34-'Quarterly returns'!AA15:AA34))^2/20)/19)*2</f>
        <v>2.3575935917802281E-2</v>
      </c>
      <c r="J14" s="128">
        <f>SQRT((SUMPRODUCT(('Quarterly returns'!AB15:AB34-'Quarterly returns'!AA15:AA34)^2)-SUMPRODUCT(('Quarterly returns'!AB15:AB34-'Quarterly returns'!AA15:AA34))^2/20)/19)*2</f>
        <v>1.4726873708513033E-2</v>
      </c>
      <c r="L14" s="255" t="s">
        <v>73</v>
      </c>
      <c r="M14" s="68">
        <f>COUNTIF(D5:D65,"&lt;0")/61</f>
        <v>6.5573770491803282E-2</v>
      </c>
      <c r="N14" s="68">
        <f>COUNTIF(E5:E65,"&lt;0")/61</f>
        <v>1.6393442622950821E-2</v>
      </c>
      <c r="O14" s="256">
        <f>COUNTIF(F5:F65,"&lt;0")/61</f>
        <v>8.1967213114754092E-2</v>
      </c>
    </row>
    <row r="15" spans="1:18" x14ac:dyDescent="0.2">
      <c r="A15" s="385">
        <f>'Quarterly returns'!A35</f>
        <v>41547</v>
      </c>
      <c r="B15" s="313">
        <f>'Quarterly returns'!A15</f>
        <v>39721</v>
      </c>
      <c r="C15" s="72">
        <f>INDEX('RBA 5Y yield'!$B$5:$B$661,MATCH(B15,'RBA 5Y yield'!$A$5:$A$661,1))+Inputs!$B$24</f>
        <v>9.5364000000000004E-2</v>
      </c>
      <c r="D15" s="72">
        <f>EXP(SUMPRODUCT(LN(1+'Quarterly returns'!Z16:Z35))/5)-1</f>
        <v>6.5863088733740804E-2</v>
      </c>
      <c r="E15" s="72">
        <f>EXP(SUMPRODUCT(LN(1+'Quarterly returns'!AA16:AA35))/5)-1</f>
        <v>6.2419605616001128E-2</v>
      </c>
      <c r="F15" s="72">
        <f>EXP(SUMPRODUCT(LN(1+'Quarterly returns'!AB16:AB35))/5)-1</f>
        <v>5.8306414138397544E-2</v>
      </c>
      <c r="G15" s="342">
        <f t="shared" si="0"/>
        <v>0</v>
      </c>
      <c r="H15" s="342">
        <f t="shared" si="1"/>
        <v>0</v>
      </c>
      <c r="I15" s="72">
        <f>SQRT((SUMPRODUCT(('Quarterly returns'!Z16:Z35-'Quarterly returns'!AA16:AA35)^2)-SUMPRODUCT(('Quarterly returns'!Z16:Z35-'Quarterly returns'!AA16:AA35))^2/20)/19)*2</f>
        <v>2.3562656283942086E-2</v>
      </c>
      <c r="J15" s="128">
        <f>SQRT((SUMPRODUCT(('Quarterly returns'!AB16:AB35-'Quarterly returns'!AA16:AA35)^2)-SUMPRODUCT(('Quarterly returns'!AB16:AB35-'Quarterly returns'!AA16:AA35))^2/20)/19)*2</f>
        <v>1.4796308672493591E-2</v>
      </c>
      <c r="L15" s="255" t="s">
        <v>564</v>
      </c>
      <c r="M15" s="68">
        <f>COUNTIF(I5:I65,"&lt;="&amp;Inputs!$B$27)/61</f>
        <v>3.2786885245901641E-2</v>
      </c>
      <c r="N15" s="77"/>
      <c r="O15" s="256">
        <f>COUNTIF(J5:J65,"&lt;="&amp;Inputs!$B$27)/61</f>
        <v>0.98360655737704916</v>
      </c>
    </row>
    <row r="16" spans="1:18" x14ac:dyDescent="0.2">
      <c r="A16" s="385">
        <f>'Quarterly returns'!A36</f>
        <v>41639</v>
      </c>
      <c r="B16" s="313">
        <f>'Quarterly returns'!A16</f>
        <v>39813</v>
      </c>
      <c r="C16" s="72">
        <f>INDEX('RBA 5Y yield'!$B$5:$B$661,MATCH(B16,'RBA 5Y yield'!$A$5:$A$661,1))+Inputs!$B$24</f>
        <v>7.7220999999999998E-2</v>
      </c>
      <c r="D16" s="72">
        <f>EXP(SUMPRODUCT(LN(1+'Quarterly returns'!Z17:Z36))/5)-1</f>
        <v>0.10141614102078655</v>
      </c>
      <c r="E16" s="72">
        <f>EXP(SUMPRODUCT(LN(1+'Quarterly returns'!AA17:AA36))/5)-1</f>
        <v>9.4890007182960368E-2</v>
      </c>
      <c r="F16" s="72">
        <f>EXP(SUMPRODUCT(LN(1+'Quarterly returns'!AB17:AB36))/5)-1</f>
        <v>9.6741133590983353E-2</v>
      </c>
      <c r="G16" s="342">
        <f t="shared" si="0"/>
        <v>1</v>
      </c>
      <c r="H16" s="342">
        <f t="shared" si="1"/>
        <v>1</v>
      </c>
      <c r="I16" s="72">
        <f>SQRT((SUMPRODUCT(('Quarterly returns'!Z17:Z36-'Quarterly returns'!AA17:AA36)^2)-SUMPRODUCT(('Quarterly returns'!Z17:Z36-'Quarterly returns'!AA17:AA36))^2/20)/19)*2</f>
        <v>2.1897236618227619E-2</v>
      </c>
      <c r="J16" s="128">
        <f>SQRT((SUMPRODUCT(('Quarterly returns'!AB17:AB36-'Quarterly returns'!AA17:AA36)^2)-SUMPRODUCT(('Quarterly returns'!AB17:AB36-'Quarterly returns'!AA17:AA36))^2/20)/19)*2</f>
        <v>1.1859248830851658E-2</v>
      </c>
      <c r="L16" s="258" t="s">
        <v>74</v>
      </c>
      <c r="M16" s="296">
        <f>AVERAGE(I5:I65)</f>
        <v>2.0263130315189906E-2</v>
      </c>
      <c r="N16" s="260"/>
      <c r="O16" s="384">
        <f>AVERAGE(J5:J65)</f>
        <v>1.1703947828151791E-2</v>
      </c>
    </row>
    <row r="17" spans="1:10" x14ac:dyDescent="0.2">
      <c r="A17" s="385">
        <f>'Quarterly returns'!A37</f>
        <v>41729</v>
      </c>
      <c r="B17" s="313">
        <f>'Quarterly returns'!A17</f>
        <v>39903</v>
      </c>
      <c r="C17" s="72">
        <f>INDEX('RBA 5Y yield'!$B$5:$B$661,MATCH(B17,'RBA 5Y yield'!$A$5:$A$661,1))+Inputs!$B$24</f>
        <v>7.7285999999999994E-2</v>
      </c>
      <c r="D17" s="72">
        <f>EXP(SUMPRODUCT(LN(1+'Quarterly returns'!Z18:Z37))/5)-1</f>
        <v>0.1149321962104759</v>
      </c>
      <c r="E17" s="72">
        <f>EXP(SUMPRODUCT(LN(1+'Quarterly returns'!AA18:AA37))/5)-1</f>
        <v>0.10547399599603202</v>
      </c>
      <c r="F17" s="72">
        <f>EXP(SUMPRODUCT(LN(1+'Quarterly returns'!AB18:AB37))/5)-1</f>
        <v>0.10744291872471234</v>
      </c>
      <c r="G17" s="342">
        <f t="shared" si="0"/>
        <v>1</v>
      </c>
      <c r="H17" s="342">
        <f t="shared" si="1"/>
        <v>1</v>
      </c>
      <c r="I17" s="72">
        <f>SQRT((SUMPRODUCT(('Quarterly returns'!Z18:Z37-'Quarterly returns'!AA18:AA37)^2)-SUMPRODUCT(('Quarterly returns'!Z18:Z37-'Quarterly returns'!AA18:AA37))^2/20)/19)*2</f>
        <v>2.167845941262167E-2</v>
      </c>
      <c r="J17" s="128">
        <f>SQRT((SUMPRODUCT(('Quarterly returns'!AB18:AB37-'Quarterly returns'!AA18:AA37)^2)-SUMPRODUCT(('Quarterly returns'!AB18:AB37-'Quarterly returns'!AA18:AA37))^2/20)/19)*2</f>
        <v>1.1838855006413535E-2</v>
      </c>
    </row>
    <row r="18" spans="1:10" x14ac:dyDescent="0.2">
      <c r="A18" s="385">
        <f>'Quarterly returns'!A38</f>
        <v>41820</v>
      </c>
      <c r="B18" s="313">
        <f>'Quarterly returns'!A18</f>
        <v>39994</v>
      </c>
      <c r="C18" s="72">
        <f>INDEX('RBA 5Y yield'!$B$5:$B$661,MATCH(B18,'RBA 5Y yield'!$A$5:$A$661,1))+Inputs!$B$24</f>
        <v>9.1020999999999991E-2</v>
      </c>
      <c r="D18" s="72">
        <f>EXP(SUMPRODUCT(LN(1+'Quarterly returns'!Z19:Z38))/5)-1</f>
        <v>0.10706503746936424</v>
      </c>
      <c r="E18" s="72">
        <f>EXP(SUMPRODUCT(LN(1+'Quarterly returns'!AA19:AA38))/5)-1</f>
        <v>0.1006514633713389</v>
      </c>
      <c r="F18" s="72">
        <f>EXP(SUMPRODUCT(LN(1+'Quarterly returns'!AB19:AB38))/5)-1</f>
        <v>0.10151922082351428</v>
      </c>
      <c r="G18" s="342">
        <f t="shared" si="0"/>
        <v>1</v>
      </c>
      <c r="H18" s="342">
        <f t="shared" si="1"/>
        <v>1</v>
      </c>
      <c r="I18" s="72">
        <f>SQRT((SUMPRODUCT(('Quarterly returns'!Z19:Z38-'Quarterly returns'!AA19:AA38)^2)-SUMPRODUCT(('Quarterly returns'!Z19:Z38-'Quarterly returns'!AA19:AA38))^2/20)/19)*2</f>
        <v>2.1461974499845479E-2</v>
      </c>
      <c r="J18" s="128">
        <f>SQRT((SUMPRODUCT(('Quarterly returns'!AB19:AB38-'Quarterly returns'!AA19:AA38)^2)-SUMPRODUCT(('Quarterly returns'!AB19:AB38-'Quarterly returns'!AA19:AA38))^2/20)/19)*2</f>
        <v>1.1629839185971668E-2</v>
      </c>
    </row>
    <row r="19" spans="1:10" x14ac:dyDescent="0.2">
      <c r="A19" s="385">
        <f>'Quarterly returns'!A39</f>
        <v>41912</v>
      </c>
      <c r="B19" s="313">
        <f>'Quarterly returns'!A19</f>
        <v>40086</v>
      </c>
      <c r="C19" s="72">
        <f>INDEX('RBA 5Y yield'!$B$5:$B$661,MATCH(B19,'RBA 5Y yield'!$A$5:$A$661,1))+Inputs!$B$24</f>
        <v>9.1395000000000004E-2</v>
      </c>
      <c r="D19" s="72">
        <f>EXP(SUMPRODUCT(LN(1+'Quarterly returns'!Z20:Z39))/5)-1</f>
        <v>8.7493594566552035E-2</v>
      </c>
      <c r="E19" s="72">
        <f>EXP(SUMPRODUCT(LN(1+'Quarterly returns'!AA20:AA39))/5)-1</f>
        <v>8.8408810252007308E-2</v>
      </c>
      <c r="F19" s="72">
        <f>EXP(SUMPRODUCT(LN(1+'Quarterly returns'!AB20:AB39))/5)-1</f>
        <v>8.8998384978232536E-2</v>
      </c>
      <c r="G19" s="342">
        <f t="shared" si="0"/>
        <v>0</v>
      </c>
      <c r="H19" s="342">
        <f t="shared" si="1"/>
        <v>0</v>
      </c>
      <c r="I19" s="72">
        <f>SQRT((SUMPRODUCT(('Quarterly returns'!Z20:Z39-'Quarterly returns'!AA20:AA39)^2)-SUMPRODUCT(('Quarterly returns'!Z20:Z39-'Quarterly returns'!AA20:AA39))^2/20)/19)*2</f>
        <v>1.7308677048654412E-2</v>
      </c>
      <c r="J19" s="128">
        <f>SQRT((SUMPRODUCT(('Quarterly returns'!AB20:AB39-'Quarterly returns'!AA20:AA39)^2)-SUMPRODUCT(('Quarterly returns'!AB20:AB39-'Quarterly returns'!AA20:AA39))^2/20)/19)*2</f>
        <v>1.1518733098846682E-2</v>
      </c>
    </row>
    <row r="20" spans="1:10" x14ac:dyDescent="0.2">
      <c r="A20" s="385">
        <f>'Quarterly returns'!A40</f>
        <v>42004</v>
      </c>
      <c r="B20" s="313">
        <f>'Quarterly returns'!A20</f>
        <v>40178</v>
      </c>
      <c r="C20" s="72">
        <f>INDEX('RBA 5Y yield'!$B$5:$B$661,MATCH(B20,'RBA 5Y yield'!$A$5:$A$661,1))+Inputs!$B$24</f>
        <v>9.1499999999999998E-2</v>
      </c>
      <c r="D20" s="72">
        <f>EXP(SUMPRODUCT(LN(1+'Quarterly returns'!Z21:Z40))/5)-1</f>
        <v>9.4610222667861787E-2</v>
      </c>
      <c r="E20" s="72">
        <f>EXP(SUMPRODUCT(LN(1+'Quarterly returns'!AA21:AA40))/5)-1</f>
        <v>9.432066470591316E-2</v>
      </c>
      <c r="F20" s="72">
        <f>EXP(SUMPRODUCT(LN(1+'Quarterly returns'!AB21:AB40))/5)-1</f>
        <v>9.458972950680522E-2</v>
      </c>
      <c r="G20" s="342">
        <f t="shared" si="0"/>
        <v>1</v>
      </c>
      <c r="H20" s="342">
        <f t="shared" si="1"/>
        <v>1</v>
      </c>
      <c r="I20" s="72">
        <f>SQRT((SUMPRODUCT(('Quarterly returns'!Z21:Z40-'Quarterly returns'!AA21:AA40)^2)-SUMPRODUCT(('Quarterly returns'!Z21:Z40-'Quarterly returns'!AA21:AA40))^2/20)/19)*2</f>
        <v>1.7353809615144933E-2</v>
      </c>
      <c r="J20" s="128">
        <f>SQRT((SUMPRODUCT(('Quarterly returns'!AB21:AB40-'Quarterly returns'!AA21:AA40)^2)-SUMPRODUCT(('Quarterly returns'!AB21:AB40-'Quarterly returns'!AA21:AA40))^2/20)/19)*2</f>
        <v>1.143783546586565E-2</v>
      </c>
    </row>
    <row r="21" spans="1:10" x14ac:dyDescent="0.2">
      <c r="A21" s="385">
        <f>'Quarterly returns'!A41</f>
        <v>42094</v>
      </c>
      <c r="B21" s="313">
        <f>'Quarterly returns'!A21</f>
        <v>40268</v>
      </c>
      <c r="C21" s="72">
        <f>INDEX('RBA 5Y yield'!$B$5:$B$661,MATCH(B21,'RBA 5Y yield'!$A$5:$A$661,1))+Inputs!$B$24</f>
        <v>9.3400000000000011E-2</v>
      </c>
      <c r="D21" s="72">
        <f>EXP(SUMPRODUCT(LN(1+'Quarterly returns'!Z22:Z41))/5)-1</f>
        <v>0.10840520087598837</v>
      </c>
      <c r="E21" s="72">
        <f>EXP(SUMPRODUCT(LN(1+'Quarterly returns'!AA22:AA41))/5)-1</f>
        <v>0.1078609965836943</v>
      </c>
      <c r="F21" s="72">
        <f>EXP(SUMPRODUCT(LN(1+'Quarterly returns'!AB22:AB41))/5)-1</f>
        <v>0.10955893841312636</v>
      </c>
      <c r="G21" s="342">
        <f t="shared" si="0"/>
        <v>1</v>
      </c>
      <c r="H21" s="342">
        <f t="shared" si="1"/>
        <v>1</v>
      </c>
      <c r="I21" s="72">
        <f>SQRT((SUMPRODUCT(('Quarterly returns'!Z22:Z41-'Quarterly returns'!AA22:AA41)^2)-SUMPRODUCT(('Quarterly returns'!Z22:Z41-'Quarterly returns'!AA22:AA41))^2/20)/19)*2</f>
        <v>1.7485103200356258E-2</v>
      </c>
      <c r="J21" s="128">
        <f>SQRT((SUMPRODUCT(('Quarterly returns'!AB22:AB41-'Quarterly returns'!AA22:AA41)^2)-SUMPRODUCT(('Quarterly returns'!AB22:AB41-'Quarterly returns'!AA22:AA41))^2/20)/19)*2</f>
        <v>1.2122172530156683E-2</v>
      </c>
    </row>
    <row r="22" spans="1:10" x14ac:dyDescent="0.2">
      <c r="A22" s="385">
        <f>'Quarterly returns'!A42</f>
        <v>42185</v>
      </c>
      <c r="B22" s="313">
        <f>'Quarterly returns'!A22</f>
        <v>40359</v>
      </c>
      <c r="C22" s="72">
        <f>INDEX('RBA 5Y yield'!$B$5:$B$661,MATCH(B22,'RBA 5Y yield'!$A$5:$A$661,1))+Inputs!$B$24</f>
        <v>8.9724999999999999E-2</v>
      </c>
      <c r="D22" s="72">
        <f>EXP(SUMPRODUCT(LN(1+'Quarterly returns'!Z23:Z42))/5)-1</f>
        <v>0.10819258073006832</v>
      </c>
      <c r="E22" s="72">
        <f>EXP(SUMPRODUCT(LN(1+'Quarterly returns'!AA23:AA42))/5)-1</f>
        <v>0.10843897774021349</v>
      </c>
      <c r="F22" s="72">
        <f>EXP(SUMPRODUCT(LN(1+'Quarterly returns'!AB23:AB42))/5)-1</f>
        <v>0.11092707607759134</v>
      </c>
      <c r="G22" s="342">
        <f t="shared" si="0"/>
        <v>1</v>
      </c>
      <c r="H22" s="342">
        <f t="shared" si="1"/>
        <v>1</v>
      </c>
      <c r="I22" s="72">
        <f>SQRT((SUMPRODUCT(('Quarterly returns'!Z23:Z42-'Quarterly returns'!AA23:AA42)^2)-SUMPRODUCT(('Quarterly returns'!Z23:Z42-'Quarterly returns'!AA23:AA42))^2/20)/19)*2</f>
        <v>1.8194945208815323E-2</v>
      </c>
      <c r="J22" s="128">
        <f>SQRT((SUMPRODUCT(('Quarterly returns'!AB23:AB42-'Quarterly returns'!AA23:AA42)^2)-SUMPRODUCT(('Quarterly returns'!AB23:AB42-'Quarterly returns'!AA23:AA42))^2/20)/19)*2</f>
        <v>1.19144887248451E-2</v>
      </c>
    </row>
    <row r="23" spans="1:10" x14ac:dyDescent="0.2">
      <c r="A23" s="385">
        <f>'Quarterly returns'!A43</f>
        <v>42277</v>
      </c>
      <c r="B23" s="313">
        <f>'Quarterly returns'!A23</f>
        <v>40451</v>
      </c>
      <c r="C23" s="72">
        <f>INDEX('RBA 5Y yield'!$B$5:$B$661,MATCH(B23,'RBA 5Y yield'!$A$5:$A$661,1))+Inputs!$B$24</f>
        <v>8.8075000000000001E-2</v>
      </c>
      <c r="D23" s="72">
        <f>EXP(SUMPRODUCT(LN(1+'Quarterly returns'!Z24:Z43))/5)-1</f>
        <v>0.10053500273119576</v>
      </c>
      <c r="E23" s="72">
        <f>EXP(SUMPRODUCT(LN(1+'Quarterly returns'!AA24:AA43))/5)-1</f>
        <v>0.1044148402773446</v>
      </c>
      <c r="F23" s="72">
        <f>EXP(SUMPRODUCT(LN(1+'Quarterly returns'!AB24:AB43))/5)-1</f>
        <v>0.10736419605564218</v>
      </c>
      <c r="G23" s="342">
        <f t="shared" si="0"/>
        <v>1</v>
      </c>
      <c r="H23" s="342">
        <f t="shared" si="1"/>
        <v>1</v>
      </c>
      <c r="I23" s="72">
        <f>SQRT((SUMPRODUCT(('Quarterly returns'!Z24:Z43-'Quarterly returns'!AA24:AA43)^2)-SUMPRODUCT(('Quarterly returns'!Z24:Z43-'Quarterly returns'!AA24:AA43))^2/20)/19)*2</f>
        <v>1.6994382009162225E-2</v>
      </c>
      <c r="J23" s="128">
        <f>SQRT((SUMPRODUCT(('Quarterly returns'!AB24:AB43-'Quarterly returns'!AA24:AA43)^2)-SUMPRODUCT(('Quarterly returns'!AB24:AB43-'Quarterly returns'!AA24:AA43))^2/20)/19)*2</f>
        <v>1.1629585743886686E-2</v>
      </c>
    </row>
    <row r="24" spans="1:10" x14ac:dyDescent="0.2">
      <c r="A24" s="385">
        <f>'Quarterly returns'!A44</f>
        <v>42369</v>
      </c>
      <c r="B24" s="313">
        <f>'Quarterly returns'!A24</f>
        <v>40543</v>
      </c>
      <c r="C24" s="72">
        <f>INDEX('RBA 5Y yield'!$B$5:$B$661,MATCH(B24,'RBA 5Y yield'!$A$5:$A$661,1))+Inputs!$B$24</f>
        <v>9.3299999999999994E-2</v>
      </c>
      <c r="D24" s="72">
        <f>EXP(SUMPRODUCT(LN(1+'Quarterly returns'!Z25:Z44))/5)-1</f>
        <v>0.10215514921867719</v>
      </c>
      <c r="E24" s="72">
        <f>EXP(SUMPRODUCT(LN(1+'Quarterly returns'!AA25:AA44))/5)-1</f>
        <v>0.10397889554022965</v>
      </c>
      <c r="F24" s="72">
        <f>EXP(SUMPRODUCT(LN(1+'Quarterly returns'!AB25:AB44))/5)-1</f>
        <v>0.1059870581087039</v>
      </c>
      <c r="G24" s="342">
        <f t="shared" si="0"/>
        <v>1</v>
      </c>
      <c r="H24" s="342">
        <f t="shared" si="1"/>
        <v>1</v>
      </c>
      <c r="I24" s="72">
        <f>SQRT((SUMPRODUCT(('Quarterly returns'!Z25:Z44-'Quarterly returns'!AA25:AA44)^2)-SUMPRODUCT(('Quarterly returns'!Z25:Z44-'Quarterly returns'!AA25:AA44))^2/20)/19)*2</f>
        <v>1.7956163194092271E-2</v>
      </c>
      <c r="J24" s="128">
        <f>SQRT((SUMPRODUCT(('Quarterly returns'!AB25:AB44-'Quarterly returns'!AA25:AA44)^2)-SUMPRODUCT(('Quarterly returns'!AB25:AB44-'Quarterly returns'!AA25:AA44))^2/20)/19)*2</f>
        <v>1.1763535690375337E-2</v>
      </c>
    </row>
    <row r="25" spans="1:10" x14ac:dyDescent="0.2">
      <c r="A25" s="385">
        <f>'Quarterly returns'!A45</f>
        <v>42460</v>
      </c>
      <c r="B25" s="313">
        <f>'Quarterly returns'!A25</f>
        <v>40633</v>
      </c>
      <c r="C25" s="72">
        <f>INDEX('RBA 5Y yield'!$B$5:$B$661,MATCH(B25,'RBA 5Y yield'!$A$5:$A$661,1))+Inputs!$B$24</f>
        <v>9.2075000000000004E-2</v>
      </c>
      <c r="D25" s="72">
        <f>EXP(SUMPRODUCT(LN(1+'Quarterly returns'!Z26:Z45))/5)-1</f>
        <v>9.2713518729043987E-2</v>
      </c>
      <c r="E25" s="72">
        <f>EXP(SUMPRODUCT(LN(1+'Quarterly returns'!AA26:AA45))/5)-1</f>
        <v>9.4667386215169014E-2</v>
      </c>
      <c r="F25" s="72">
        <f>EXP(SUMPRODUCT(LN(1+'Quarterly returns'!AB26:AB45))/5)-1</f>
        <v>9.5067248265514825E-2</v>
      </c>
      <c r="G25" s="342">
        <f t="shared" si="0"/>
        <v>1</v>
      </c>
      <c r="H25" s="342">
        <f t="shared" si="1"/>
        <v>1</v>
      </c>
      <c r="I25" s="72">
        <f>SQRT((SUMPRODUCT(('Quarterly returns'!Z26:Z45-'Quarterly returns'!AA26:AA45)^2)-SUMPRODUCT(('Quarterly returns'!Z26:Z45-'Quarterly returns'!AA26:AA45))^2/20)/19)*2</f>
        <v>1.7925986032585463E-2</v>
      </c>
      <c r="J25" s="128">
        <f>SQRT((SUMPRODUCT(('Quarterly returns'!AB26:AB45-'Quarterly returns'!AA26:AA45)^2)-SUMPRODUCT(('Quarterly returns'!AB26:AB45-'Quarterly returns'!AA26:AA45))^2/20)/19)*2</f>
        <v>1.213371868024175E-2</v>
      </c>
    </row>
    <row r="26" spans="1:10" x14ac:dyDescent="0.2">
      <c r="A26" s="385">
        <f>'Quarterly returns'!A46</f>
        <v>42551</v>
      </c>
      <c r="B26" s="313">
        <f>'Quarterly returns'!A26</f>
        <v>40724</v>
      </c>
      <c r="C26" s="72">
        <f>INDEX('RBA 5Y yield'!$B$5:$B$661,MATCH(B26,'RBA 5Y yield'!$A$5:$A$661,1))+Inputs!$B$24</f>
        <v>8.8849999999999998E-2</v>
      </c>
      <c r="D26" s="72">
        <f>EXP(SUMPRODUCT(LN(1+'Quarterly returns'!Z27:Z46))/5)-1</f>
        <v>0.10603914952928783</v>
      </c>
      <c r="E26" s="72">
        <f>EXP(SUMPRODUCT(LN(1+'Quarterly returns'!AA27:AA46))/5)-1</f>
        <v>0.10764502859609459</v>
      </c>
      <c r="F26" s="72">
        <f>EXP(SUMPRODUCT(LN(1+'Quarterly returns'!AB27:AB46))/5)-1</f>
        <v>0.11117173663665803</v>
      </c>
      <c r="G26" s="342">
        <f t="shared" si="0"/>
        <v>1</v>
      </c>
      <c r="H26" s="342">
        <f t="shared" si="1"/>
        <v>1</v>
      </c>
      <c r="I26" s="72">
        <f>SQRT((SUMPRODUCT(('Quarterly returns'!Z27:Z46-'Quarterly returns'!AA27:AA46)^2)-SUMPRODUCT(('Quarterly returns'!Z27:Z46-'Quarterly returns'!AA27:AA46))^2/20)/19)*2</f>
        <v>1.7869860494750971E-2</v>
      </c>
      <c r="J26" s="128">
        <f>SQRT((SUMPRODUCT(('Quarterly returns'!AB27:AB46-'Quarterly returns'!AA27:AA46)^2)-SUMPRODUCT(('Quarterly returns'!AB27:AB46-'Quarterly returns'!AA27:AA46))^2/20)/19)*2</f>
        <v>1.1273861496169697E-2</v>
      </c>
    </row>
    <row r="27" spans="1:10" x14ac:dyDescent="0.2">
      <c r="A27" s="385">
        <f>'Quarterly returns'!A47</f>
        <v>42643</v>
      </c>
      <c r="B27" s="313">
        <f>'Quarterly returns'!A27</f>
        <v>40816</v>
      </c>
      <c r="C27" s="72">
        <f>INDEX('RBA 5Y yield'!$B$5:$B$661,MATCH(B27,'RBA 5Y yield'!$A$5:$A$661,1))+Inputs!$B$24</f>
        <v>7.7875E-2</v>
      </c>
      <c r="D27" s="72">
        <f>EXP(SUMPRODUCT(LN(1+'Quarterly returns'!Z28:Z47))/5)-1</f>
        <v>0.12313408742454346</v>
      </c>
      <c r="E27" s="72">
        <f>EXP(SUMPRODUCT(LN(1+'Quarterly returns'!AA28:AA47))/5)-1</f>
        <v>0.12092554542178591</v>
      </c>
      <c r="F27" s="72">
        <f>EXP(SUMPRODUCT(LN(1+'Quarterly returns'!AB28:AB47))/5)-1</f>
        <v>0.12727584957147298</v>
      </c>
      <c r="G27" s="342">
        <f t="shared" si="0"/>
        <v>1</v>
      </c>
      <c r="H27" s="342">
        <f t="shared" si="1"/>
        <v>1</v>
      </c>
      <c r="I27" s="72">
        <f>SQRT((SUMPRODUCT(('Quarterly returns'!Z28:Z47-'Quarterly returns'!AA28:AA47)^2)-SUMPRODUCT(('Quarterly returns'!Z28:Z47-'Quarterly returns'!AA28:AA47))^2/20)/19)*2</f>
        <v>1.7162318924094963E-2</v>
      </c>
      <c r="J27" s="128">
        <f>SQRT((SUMPRODUCT(('Quarterly returns'!AB28:AB47-'Quarterly returns'!AA28:AA47)^2)-SUMPRODUCT(('Quarterly returns'!AB28:AB47-'Quarterly returns'!AA28:AA47))^2/20)/19)*2</f>
        <v>1.0063530770925035E-2</v>
      </c>
    </row>
    <row r="28" spans="1:10" x14ac:dyDescent="0.2">
      <c r="A28" s="385">
        <f>'Quarterly returns'!A48</f>
        <v>42734</v>
      </c>
      <c r="B28" s="313">
        <f>'Quarterly returns'!A28</f>
        <v>40907</v>
      </c>
      <c r="C28" s="72">
        <f>INDEX('RBA 5Y yield'!$B$5:$B$661,MATCH(B28,'RBA 5Y yield'!$A$5:$A$661,1))+Inputs!$B$24</f>
        <v>7.5725000000000001E-2</v>
      </c>
      <c r="D28" s="72">
        <f>EXP(SUMPRODUCT(LN(1+'Quarterly returns'!Z29:Z48))/5)-1</f>
        <v>0.12661271698621945</v>
      </c>
      <c r="E28" s="72">
        <f>EXP(SUMPRODUCT(LN(1+'Quarterly returns'!AA29:AA48))/5)-1</f>
        <v>0.12557389267023433</v>
      </c>
      <c r="F28" s="72">
        <f>EXP(SUMPRODUCT(LN(1+'Quarterly returns'!AB29:AB48))/5)-1</f>
        <v>0.13409592518783287</v>
      </c>
      <c r="G28" s="342">
        <f t="shared" si="0"/>
        <v>1</v>
      </c>
      <c r="H28" s="342">
        <f t="shared" si="1"/>
        <v>1</v>
      </c>
      <c r="I28" s="72">
        <f>SQRT((SUMPRODUCT(('Quarterly returns'!Z29:Z48-'Quarterly returns'!AA29:AA48)^2)-SUMPRODUCT(('Quarterly returns'!Z29:Z48-'Quarterly returns'!AA29:AA48))^2/20)/19)*2</f>
        <v>1.7428972370136103E-2</v>
      </c>
      <c r="J28" s="128">
        <f>SQRT((SUMPRODUCT(('Quarterly returns'!AB29:AB48-'Quarterly returns'!AA29:AA48)^2)-SUMPRODUCT(('Quarterly returns'!AB29:AB48-'Quarterly returns'!AA29:AA48))^2/20)/19)*2</f>
        <v>1.0242761963268197E-2</v>
      </c>
    </row>
    <row r="29" spans="1:10" x14ac:dyDescent="0.2">
      <c r="A29" s="385">
        <f>'Quarterly returns'!A49</f>
        <v>42825</v>
      </c>
      <c r="B29" s="313">
        <f>'Quarterly returns'!A29</f>
        <v>40998</v>
      </c>
      <c r="C29" s="72">
        <f>INDEX('RBA 5Y yield'!$B$5:$B$661,MATCH(B29,'RBA 5Y yield'!$A$5:$A$661,1))+Inputs!$B$24</f>
        <v>7.6200000000000004E-2</v>
      </c>
      <c r="D29" s="72">
        <f>EXP(SUMPRODUCT(LN(1+'Quarterly returns'!Z30:Z49))/5)-1</f>
        <v>0.11522478064253128</v>
      </c>
      <c r="E29" s="72">
        <f>EXP(SUMPRODUCT(LN(1+'Quarterly returns'!AA30:AA49))/5)-1</f>
        <v>0.11403687347093761</v>
      </c>
      <c r="F29" s="72">
        <f>EXP(SUMPRODUCT(LN(1+'Quarterly returns'!AB30:AB49))/5)-1</f>
        <v>0.12050280079113285</v>
      </c>
      <c r="G29" s="342">
        <f t="shared" si="0"/>
        <v>1</v>
      </c>
      <c r="H29" s="342">
        <f t="shared" si="1"/>
        <v>1</v>
      </c>
      <c r="I29" s="72">
        <f>SQRT((SUMPRODUCT(('Quarterly returns'!Z30:Z49-'Quarterly returns'!AA30:AA49)^2)-SUMPRODUCT(('Quarterly returns'!Z30:Z49-'Quarterly returns'!AA30:AA49))^2/20)/19)*2</f>
        <v>1.7458557781927831E-2</v>
      </c>
      <c r="J29" s="128">
        <f>SQRT((SUMPRODUCT(('Quarterly returns'!AB30:AB49-'Quarterly returns'!AA30:AA49)^2)-SUMPRODUCT(('Quarterly returns'!AB30:AB49-'Quarterly returns'!AA30:AA49))^2/20)/19)*2</f>
        <v>9.8226648711527281E-3</v>
      </c>
    </row>
    <row r="30" spans="1:10" x14ac:dyDescent="0.2">
      <c r="A30" s="385">
        <f>'Quarterly returns'!A50</f>
        <v>42916</v>
      </c>
      <c r="B30" s="313">
        <f>'Quarterly returns'!A30</f>
        <v>41089</v>
      </c>
      <c r="C30" s="72">
        <f>INDEX('RBA 5Y yield'!$B$5:$B$661,MATCH(B30,'RBA 5Y yield'!$A$5:$A$661,1))+Inputs!$B$24</f>
        <v>6.7500000000000004E-2</v>
      </c>
      <c r="D30" s="72">
        <f>EXP(SUMPRODUCT(LN(1+'Quarterly returns'!Z31:Z50))/5)-1</f>
        <v>0.11877639481204039</v>
      </c>
      <c r="E30" s="72">
        <f>EXP(SUMPRODUCT(LN(1+'Quarterly returns'!AA31:AA50))/5)-1</f>
        <v>0.11841258903134211</v>
      </c>
      <c r="F30" s="72">
        <f>EXP(SUMPRODUCT(LN(1+'Quarterly returns'!AB31:AB50))/5)-1</f>
        <v>0.12668596744168226</v>
      </c>
      <c r="G30" s="342">
        <f t="shared" si="0"/>
        <v>1</v>
      </c>
      <c r="H30" s="342">
        <f t="shared" si="1"/>
        <v>1</v>
      </c>
      <c r="I30" s="72">
        <f>SQRT((SUMPRODUCT(('Quarterly returns'!Z31:Z50-'Quarterly returns'!AA31:AA50)^2)-SUMPRODUCT(('Quarterly returns'!Z31:Z50-'Quarterly returns'!AA31:AA50))^2/20)/19)*2</f>
        <v>1.7660541517861662E-2</v>
      </c>
      <c r="J30" s="128">
        <f>SQRT((SUMPRODUCT(('Quarterly returns'!AB31:AB50-'Quarterly returns'!AA31:AA50)^2)-SUMPRODUCT(('Quarterly returns'!AB31:AB50-'Quarterly returns'!AA31:AA50))^2/20)/19)*2</f>
        <v>9.0034234601874628E-3</v>
      </c>
    </row>
    <row r="31" spans="1:10" x14ac:dyDescent="0.2">
      <c r="A31" s="385">
        <f>'Quarterly returns'!A51</f>
        <v>43007</v>
      </c>
      <c r="B31" s="313">
        <f>'Quarterly returns'!A31</f>
        <v>41180</v>
      </c>
      <c r="C31" s="72">
        <f>INDEX('RBA 5Y yield'!$B$5:$B$661,MATCH(B31,'RBA 5Y yield'!$A$5:$A$661,1))+Inputs!$B$24</f>
        <v>6.8174999999999999E-2</v>
      </c>
      <c r="D31" s="72">
        <f>EXP(SUMPRODUCT(LN(1+'Quarterly returns'!Z32:Z51))/5)-1</f>
        <v>0.10979477155771566</v>
      </c>
      <c r="E31" s="72">
        <f>EXP(SUMPRODUCT(LN(1+'Quarterly returns'!AA32:AA51))/5)-1</f>
        <v>0.11139573748873577</v>
      </c>
      <c r="F31" s="72">
        <f>EXP(SUMPRODUCT(LN(1+'Quarterly returns'!AB32:AB51))/5)-1</f>
        <v>0.11907231027613996</v>
      </c>
      <c r="G31" s="342">
        <f t="shared" si="0"/>
        <v>1</v>
      </c>
      <c r="H31" s="342">
        <f t="shared" si="1"/>
        <v>1</v>
      </c>
      <c r="I31" s="72">
        <f>SQRT((SUMPRODUCT(('Quarterly returns'!Z32:Z51-'Quarterly returns'!AA32:AA51)^2)-SUMPRODUCT(('Quarterly returns'!Z32:Z51-'Quarterly returns'!AA32:AA51))^2/20)/19)*2</f>
        <v>1.733960805160218E-2</v>
      </c>
      <c r="J31" s="128">
        <f>SQRT((SUMPRODUCT(('Quarterly returns'!AB32:AB51-'Quarterly returns'!AA32:AA51)^2)-SUMPRODUCT(('Quarterly returns'!AB32:AB51-'Quarterly returns'!AA32:AA51))^2/20)/19)*2</f>
        <v>8.9192357132199512E-3</v>
      </c>
    </row>
    <row r="32" spans="1:10" x14ac:dyDescent="0.2">
      <c r="A32" s="385">
        <f>'Quarterly returns'!A52</f>
        <v>43098</v>
      </c>
      <c r="B32" s="313">
        <f>'Quarterly returns'!A32</f>
        <v>41274</v>
      </c>
      <c r="C32" s="72">
        <f>INDEX('RBA 5Y yield'!$B$5:$B$661,MATCH(B32,'RBA 5Y yield'!$A$5:$A$661,1))+Inputs!$B$24</f>
        <v>6.8250000000000005E-2</v>
      </c>
      <c r="D32" s="72">
        <f>EXP(SUMPRODUCT(LN(1+'Quarterly returns'!Z33:Z52))/5)-1</f>
        <v>0.1119542256026127</v>
      </c>
      <c r="E32" s="72">
        <f>EXP(SUMPRODUCT(LN(1+'Quarterly returns'!AA33:AA52))/5)-1</f>
        <v>0.1142279377760651</v>
      </c>
      <c r="F32" s="72">
        <f>EXP(SUMPRODUCT(LN(1+'Quarterly returns'!AB33:AB52))/5)-1</f>
        <v>0.12206031034902853</v>
      </c>
      <c r="G32" s="342">
        <f t="shared" si="0"/>
        <v>1</v>
      </c>
      <c r="H32" s="342">
        <f t="shared" si="1"/>
        <v>1</v>
      </c>
      <c r="I32" s="72">
        <f>SQRT((SUMPRODUCT(('Quarterly returns'!Z33:Z52-'Quarterly returns'!AA33:AA52)^2)-SUMPRODUCT(('Quarterly returns'!Z33:Z52-'Quarterly returns'!AA33:AA52))^2/20)/19)*2</f>
        <v>1.7163156271811204E-2</v>
      </c>
      <c r="J32" s="128">
        <f>SQRT((SUMPRODUCT(('Quarterly returns'!AB33:AB52-'Quarterly returns'!AA33:AA52)^2)-SUMPRODUCT(('Quarterly returns'!AB33:AB52-'Quarterly returns'!AA33:AA52))^2/20)/19)*2</f>
        <v>8.9652608609530702E-3</v>
      </c>
    </row>
    <row r="33" spans="1:10" x14ac:dyDescent="0.2">
      <c r="A33" s="385">
        <f>'Quarterly returns'!A53</f>
        <v>43189</v>
      </c>
      <c r="B33" s="313">
        <f>'Quarterly returns'!A33</f>
        <v>41362</v>
      </c>
      <c r="C33" s="72">
        <f>INDEX('RBA 5Y yield'!$B$5:$B$661,MATCH(B33,'RBA 5Y yield'!$A$5:$A$661,1))+Inputs!$B$24</f>
        <v>7.0199999999999999E-2</v>
      </c>
      <c r="D33" s="72">
        <f>EXP(SUMPRODUCT(LN(1+'Quarterly returns'!Z34:Z53))/5)-1</f>
        <v>9.4746843867708153E-2</v>
      </c>
      <c r="E33" s="72">
        <f>EXP(SUMPRODUCT(LN(1+'Quarterly returns'!AA34:AA53))/5)-1</f>
        <v>0.10080200786006244</v>
      </c>
      <c r="F33" s="72">
        <f>EXP(SUMPRODUCT(LN(1+'Quarterly returns'!AB34:AB53))/5)-1</f>
        <v>0.10790907294472318</v>
      </c>
      <c r="G33" s="342">
        <f t="shared" si="0"/>
        <v>1</v>
      </c>
      <c r="H33" s="342">
        <f t="shared" si="1"/>
        <v>1</v>
      </c>
      <c r="I33" s="72">
        <f>SQRT((SUMPRODUCT(('Quarterly returns'!Z34:Z53-'Quarterly returns'!AA34:AA53)^2)-SUMPRODUCT(('Quarterly returns'!Z34:Z53-'Quarterly returns'!AA34:AA53))^2/20)/19)*2</f>
        <v>1.6779604398597058E-2</v>
      </c>
      <c r="J33" s="128">
        <f>SQRT((SUMPRODUCT(('Quarterly returns'!AB34:AB53-'Quarterly returns'!AA34:AA53)^2)-SUMPRODUCT(('Quarterly returns'!AB34:AB53-'Quarterly returns'!AA34:AA53))^2/20)/19)*2</f>
        <v>9.0408757780711078E-3</v>
      </c>
    </row>
    <row r="34" spans="1:10" x14ac:dyDescent="0.2">
      <c r="A34" s="385">
        <f>'Quarterly returns'!A54</f>
        <v>43280</v>
      </c>
      <c r="B34" s="313">
        <f>'Quarterly returns'!A34</f>
        <v>41453</v>
      </c>
      <c r="C34" s="72">
        <f>INDEX('RBA 5Y yield'!$B$5:$B$661,MATCH(B34,'RBA 5Y yield'!$A$5:$A$661,1))+Inputs!$B$24</f>
        <v>6.7875000000000005E-2</v>
      </c>
      <c r="D34" s="72">
        <f>EXP(SUMPRODUCT(LN(1+'Quarterly returns'!Z35:Z54))/5)-1</f>
        <v>0.10131274633564491</v>
      </c>
      <c r="E34" s="72">
        <f>EXP(SUMPRODUCT(LN(1+'Quarterly returns'!AA35:AA54))/5)-1</f>
        <v>0.10206638796812761</v>
      </c>
      <c r="F34" s="72">
        <f>EXP(SUMPRODUCT(LN(1+'Quarterly returns'!AB35:AB54))/5)-1</f>
        <v>0.10810869582615723</v>
      </c>
      <c r="G34" s="342">
        <f t="shared" si="0"/>
        <v>1</v>
      </c>
      <c r="H34" s="342">
        <f t="shared" si="1"/>
        <v>1</v>
      </c>
      <c r="I34" s="72">
        <f>SQRT((SUMPRODUCT(('Quarterly returns'!Z35:Z54-'Quarterly returns'!AA35:AA54)^2)-SUMPRODUCT(('Quarterly returns'!Z35:Z54-'Quarterly returns'!AA35:AA54))^2/20)/19)*2</f>
        <v>1.5820637170364384E-2</v>
      </c>
      <c r="J34" s="128">
        <f>SQRT((SUMPRODUCT(('Quarterly returns'!AB35:AB54-'Quarterly returns'!AA35:AA54)^2)-SUMPRODUCT(('Quarterly returns'!AB35:AB54-'Quarterly returns'!AA35:AA54))^2/20)/19)*2</f>
        <v>8.3568158170197211E-3</v>
      </c>
    </row>
    <row r="35" spans="1:10" x14ac:dyDescent="0.2">
      <c r="A35" s="385">
        <f>'Quarterly returns'!A55</f>
        <v>43371</v>
      </c>
      <c r="B35" s="313">
        <f>'Quarterly returns'!A35</f>
        <v>41547</v>
      </c>
      <c r="C35" s="72">
        <f>INDEX('RBA 5Y yield'!$B$5:$B$661,MATCH(B35,'RBA 5Y yield'!$A$5:$A$661,1))+Inputs!$B$24</f>
        <v>7.331E-2</v>
      </c>
      <c r="D35" s="72">
        <f>EXP(SUMPRODUCT(LN(1+'Quarterly returns'!Z36:Z55))/5)-1</f>
        <v>9.5985407662285915E-2</v>
      </c>
      <c r="E35" s="72">
        <f>EXP(SUMPRODUCT(LN(1+'Quarterly returns'!AA36:AA55))/5)-1</f>
        <v>9.8695662436274256E-2</v>
      </c>
      <c r="F35" s="72">
        <f>EXP(SUMPRODUCT(LN(1+'Quarterly returns'!AB36:AB55))/5)-1</f>
        <v>0.1048287676362345</v>
      </c>
      <c r="G35" s="342">
        <f t="shared" si="0"/>
        <v>1</v>
      </c>
      <c r="H35" s="342">
        <f t="shared" si="1"/>
        <v>1</v>
      </c>
      <c r="I35" s="72">
        <f>SQRT((SUMPRODUCT(('Quarterly returns'!Z36:Z55-'Quarterly returns'!AA36:AA55)^2)-SUMPRODUCT(('Quarterly returns'!Z36:Z55-'Quarterly returns'!AA36:AA55))^2/20)/19)*2</f>
        <v>1.5205409650557937E-2</v>
      </c>
      <c r="J35" s="128">
        <f>SQRT((SUMPRODUCT(('Quarterly returns'!AB36:AB55-'Quarterly returns'!AA36:AA55)^2)-SUMPRODUCT(('Quarterly returns'!AB36:AB55-'Quarterly returns'!AA36:AA55))^2/20)/19)*2</f>
        <v>8.379526904256869E-3</v>
      </c>
    </row>
    <row r="36" spans="1:10" x14ac:dyDescent="0.2">
      <c r="A36" s="385">
        <f>'Quarterly returns'!A56</f>
        <v>43465</v>
      </c>
      <c r="B36" s="313">
        <f>'Quarterly returns'!A36</f>
        <v>41639</v>
      </c>
      <c r="C36" s="72">
        <f>INDEX('RBA 5Y yield'!$B$5:$B$661,MATCH(B36,'RBA 5Y yield'!$A$5:$A$661,1))+Inputs!$B$24</f>
        <v>7.461000000000001E-2</v>
      </c>
      <c r="D36" s="72">
        <f>EXP(SUMPRODUCT(LN(1+'Quarterly returns'!Z37:Z56))/5)-1</f>
        <v>7.3805863909190306E-2</v>
      </c>
      <c r="E36" s="72">
        <f>EXP(SUMPRODUCT(LN(1+'Quarterly returns'!AA37:AA56))/5)-1</f>
        <v>7.5002160966330944E-2</v>
      </c>
      <c r="F36" s="72">
        <f>EXP(SUMPRODUCT(LN(1+'Quarterly returns'!AB37:AB56))/5)-1</f>
        <v>7.738277970545826E-2</v>
      </c>
      <c r="G36" s="342">
        <f t="shared" si="0"/>
        <v>0</v>
      </c>
      <c r="H36" s="342">
        <f t="shared" si="1"/>
        <v>1</v>
      </c>
      <c r="I36" s="72">
        <f>SQRT((SUMPRODUCT(('Quarterly returns'!Z37:Z56-'Quarterly returns'!AA37:AA56)^2)-SUMPRODUCT(('Quarterly returns'!Z37:Z56-'Quarterly returns'!AA37:AA56))^2/20)/19)*2</f>
        <v>1.4596220651330916E-2</v>
      </c>
      <c r="J36" s="128">
        <f>SQRT((SUMPRODUCT(('Quarterly returns'!AB37:AB56-'Quarterly returns'!AA37:AA56)^2)-SUMPRODUCT(('Quarterly returns'!AB37:AB56-'Quarterly returns'!AA37:AA56))^2/20)/19)*2</f>
        <v>9.7523364209799179E-3</v>
      </c>
    </row>
    <row r="37" spans="1:10" x14ac:dyDescent="0.2">
      <c r="A37" s="385">
        <f>'Quarterly returns'!A57</f>
        <v>43553</v>
      </c>
      <c r="B37" s="313">
        <f>'Quarterly returns'!A37</f>
        <v>41729</v>
      </c>
      <c r="C37" s="72">
        <f>INDEX('RBA 5Y yield'!$B$5:$B$661,MATCH(B37,'RBA 5Y yield'!$A$5:$A$661,1))+Inputs!$B$24</f>
        <v>7.4110000000000009E-2</v>
      </c>
      <c r="D37" s="72">
        <f>EXP(SUMPRODUCT(LN(1+'Quarterly returns'!Z38:Z57))/5)-1</f>
        <v>8.9644891467909327E-2</v>
      </c>
      <c r="E37" s="72">
        <f>EXP(SUMPRODUCT(LN(1+'Quarterly returns'!AA38:AA57))/5)-1</f>
        <v>9.0051373799893586E-2</v>
      </c>
      <c r="F37" s="72">
        <f>EXP(SUMPRODUCT(LN(1+'Quarterly returns'!AB38:AB57))/5)-1</f>
        <v>9.5445423404353136E-2</v>
      </c>
      <c r="G37" s="342">
        <f t="shared" ref="G37:G65" si="2">IF(D37&gt;=C37,1,0)</f>
        <v>1</v>
      </c>
      <c r="H37" s="342">
        <f t="shared" ref="H37:H65" si="3">IF(F37&gt;=C37,1,0)</f>
        <v>1</v>
      </c>
      <c r="I37" s="72">
        <f>SQRT((SUMPRODUCT(('Quarterly returns'!Z38:Z57-'Quarterly returns'!AA38:AA57)^2)-SUMPRODUCT(('Quarterly returns'!Z38:Z57-'Quarterly returns'!AA38:AA57))^2/20)/19)*2</f>
        <v>1.5166528695183677E-2</v>
      </c>
      <c r="J37" s="128">
        <f>SQRT((SUMPRODUCT(('Quarterly returns'!AB38:AB57-'Quarterly returns'!AA38:AA57)^2)-SUMPRODUCT(('Quarterly returns'!AB38:AB57-'Quarterly returns'!AA38:AA57))^2/20)/19)*2</f>
        <v>1.0293490440819328E-2</v>
      </c>
    </row>
    <row r="38" spans="1:10" x14ac:dyDescent="0.2">
      <c r="A38" s="385">
        <f>'Quarterly returns'!A58</f>
        <v>43644</v>
      </c>
      <c r="B38" s="313">
        <f>'Quarterly returns'!A38</f>
        <v>41820</v>
      </c>
      <c r="C38" s="72">
        <f>INDEX('RBA 5Y yield'!$B$5:$B$661,MATCH(B38,'RBA 5Y yield'!$A$5:$A$661,1))+Inputs!$B$24</f>
        <v>7.1179999999999993E-2</v>
      </c>
      <c r="D38" s="72">
        <f>EXP(SUMPRODUCT(LN(1+'Quarterly returns'!Z39:Z58))/5)-1</f>
        <v>9.6122868218283752E-2</v>
      </c>
      <c r="E38" s="72">
        <f>EXP(SUMPRODUCT(LN(1+'Quarterly returns'!AA39:AA58))/5)-1</f>
        <v>9.4455374787023816E-2</v>
      </c>
      <c r="F38" s="72">
        <f>EXP(SUMPRODUCT(LN(1+'Quarterly returns'!AB39:AB58))/5)-1</f>
        <v>0.10017539793991204</v>
      </c>
      <c r="G38" s="342">
        <f t="shared" si="2"/>
        <v>1</v>
      </c>
      <c r="H38" s="342">
        <f t="shared" si="3"/>
        <v>1</v>
      </c>
      <c r="I38" s="72">
        <f>SQRT((SUMPRODUCT(('Quarterly returns'!Z39:Z58-'Quarterly returns'!AA39:AA58)^2)-SUMPRODUCT(('Quarterly returns'!Z39:Z58-'Quarterly returns'!AA39:AA58))^2/20)/19)*2</f>
        <v>1.5327374316470478E-2</v>
      </c>
      <c r="J38" s="128">
        <f>SQRT((SUMPRODUCT(('Quarterly returns'!AB39:AB58-'Quarterly returns'!AA39:AA58)^2)-SUMPRODUCT(('Quarterly returns'!AB39:AB58-'Quarterly returns'!AA39:AA58))^2/20)/19)*2</f>
        <v>1.027566121606985E-2</v>
      </c>
    </row>
    <row r="39" spans="1:10" x14ac:dyDescent="0.2">
      <c r="A39" s="385">
        <f>'Quarterly returns'!A59</f>
        <v>43738</v>
      </c>
      <c r="B39" s="313">
        <f>'Quarterly returns'!A39</f>
        <v>41912</v>
      </c>
      <c r="C39" s="72">
        <f>INDEX('RBA 5Y yield'!$B$5:$B$661,MATCH(B39,'RBA 5Y yield'!$A$5:$A$661,1))+Inputs!$B$24</f>
        <v>7.041E-2</v>
      </c>
      <c r="D39" s="72">
        <f>EXP(SUMPRODUCT(LN(1+'Quarterly returns'!Z40:Z59))/5)-1</f>
        <v>9.8881587610582411E-2</v>
      </c>
      <c r="E39" s="72">
        <f>EXP(SUMPRODUCT(LN(1+'Quarterly returns'!AA40:AA59))/5)-1</f>
        <v>9.5972561100041709E-2</v>
      </c>
      <c r="F39" s="72">
        <f>EXP(SUMPRODUCT(LN(1+'Quarterly returns'!AB40:AB59))/5)-1</f>
        <v>0.10132381321018435</v>
      </c>
      <c r="G39" s="342">
        <f t="shared" si="2"/>
        <v>1</v>
      </c>
      <c r="H39" s="342">
        <f t="shared" si="3"/>
        <v>1</v>
      </c>
      <c r="I39" s="72">
        <f>SQRT((SUMPRODUCT(('Quarterly returns'!Z40:Z59-'Quarterly returns'!AA40:AA59)^2)-SUMPRODUCT(('Quarterly returns'!Z40:Z59-'Quarterly returns'!AA40:AA59))^2/20)/19)*2</f>
        <v>1.4956196309049983E-2</v>
      </c>
      <c r="J39" s="128">
        <f>SQRT((SUMPRODUCT(('Quarterly returns'!AB40:AB59-'Quarterly returns'!AA40:AA59)^2)-SUMPRODUCT(('Quarterly returns'!AB40:AB59-'Quarterly returns'!AA40:AA59))^2/20)/19)*2</f>
        <v>1.0233933905053269E-2</v>
      </c>
    </row>
    <row r="40" spans="1:10" x14ac:dyDescent="0.2">
      <c r="A40" s="385">
        <f>'Quarterly returns'!A60</f>
        <v>43830</v>
      </c>
      <c r="B40" s="313">
        <f>'Quarterly returns'!A40</f>
        <v>42004</v>
      </c>
      <c r="C40" s="72">
        <f>INDEX('RBA 5Y yield'!$B$5:$B$661,MATCH(B40,'RBA 5Y yield'!$A$5:$A$661,1))+Inputs!$B$24</f>
        <v>6.4350000000000004E-2</v>
      </c>
      <c r="D40" s="72">
        <f>EXP(SUMPRODUCT(LN(1+'Quarterly returns'!Z41:Z60))/5)-1</f>
        <v>8.6810822280062094E-2</v>
      </c>
      <c r="E40" s="72">
        <f>EXP(SUMPRODUCT(LN(1+'Quarterly returns'!AA41:AA60))/5)-1</f>
        <v>8.6428524739224466E-2</v>
      </c>
      <c r="F40" s="72">
        <f>EXP(SUMPRODUCT(LN(1+'Quarterly returns'!AB41:AB60))/5)-1</f>
        <v>9.1928649264119144E-2</v>
      </c>
      <c r="G40" s="342">
        <f t="shared" si="2"/>
        <v>1</v>
      </c>
      <c r="H40" s="342">
        <f t="shared" si="3"/>
        <v>1</v>
      </c>
      <c r="I40" s="72">
        <f>SQRT((SUMPRODUCT(('Quarterly returns'!Z41:Z60-'Quarterly returns'!AA41:AA60)^2)-SUMPRODUCT(('Quarterly returns'!Z41:Z60-'Quarterly returns'!AA41:AA60))^2/20)/19)*2</f>
        <v>1.5418669015965232E-2</v>
      </c>
      <c r="J40" s="128">
        <f>SQRT((SUMPRODUCT(('Quarterly returns'!AB41:AB60-'Quarterly returns'!AA41:AA60)^2)-SUMPRODUCT(('Quarterly returns'!AB41:AB60-'Quarterly returns'!AA41:AA60))^2/20)/19)*2</f>
        <v>1.0258938821560905E-2</v>
      </c>
    </row>
    <row r="41" spans="1:10" x14ac:dyDescent="0.2">
      <c r="A41" s="385">
        <f>'Quarterly returns'!A61</f>
        <v>43921</v>
      </c>
      <c r="B41" s="313">
        <f>'Quarterly returns'!A41</f>
        <v>42094</v>
      </c>
      <c r="C41" s="72">
        <f>INDEX('RBA 5Y yield'!$B$5:$B$661,MATCH(B41,'RBA 5Y yield'!$A$5:$A$661,1))+Inputs!$B$24</f>
        <v>5.978E-2</v>
      </c>
      <c r="D41" s="72">
        <f>EXP(SUMPRODUCT(LN(1+'Quarterly returns'!Z42:Z61))/5)-1</f>
        <v>4.1870122755690797E-2</v>
      </c>
      <c r="E41" s="72">
        <f>EXP(SUMPRODUCT(LN(1+'Quarterly returns'!AA42:AA61))/5)-1</f>
        <v>4.9817383133908599E-2</v>
      </c>
      <c r="F41" s="72">
        <f>EXP(SUMPRODUCT(LN(1+'Quarterly returns'!AB42:AB61))/5)-1</f>
        <v>4.8946241719497463E-2</v>
      </c>
      <c r="G41" s="342">
        <f t="shared" si="2"/>
        <v>0</v>
      </c>
      <c r="H41" s="342">
        <f t="shared" si="3"/>
        <v>0</v>
      </c>
      <c r="I41" s="72">
        <f>SQRT((SUMPRODUCT(('Quarterly returns'!Z42:Z61-'Quarterly returns'!AA42:AA61)^2)-SUMPRODUCT(('Quarterly returns'!Z42:Z61-'Quarterly returns'!AA42:AA61))^2/20)/19)*2</f>
        <v>1.9828058432653024E-2</v>
      </c>
      <c r="J41" s="128">
        <f>SQRT((SUMPRODUCT(('Quarterly returns'!AB42:AB61-'Quarterly returns'!AA42:AA61)^2)-SUMPRODUCT(('Quarterly returns'!AB42:AB61-'Quarterly returns'!AA42:AA61))^2/20)/19)*2</f>
        <v>1.3004997577009049E-2</v>
      </c>
    </row>
    <row r="42" spans="1:10" x14ac:dyDescent="0.2">
      <c r="A42" s="385">
        <f>'Quarterly returns'!A62</f>
        <v>44012</v>
      </c>
      <c r="B42" s="313">
        <f>'Quarterly returns'!A42</f>
        <v>42185</v>
      </c>
      <c r="C42" s="72">
        <f>INDEX('RBA 5Y yield'!$B$5:$B$661,MATCH(B42,'RBA 5Y yield'!$A$5:$A$661,1))+Inputs!$B$24</f>
        <v>6.2880000000000005E-2</v>
      </c>
      <c r="D42" s="72">
        <f>EXP(SUMPRODUCT(LN(1+'Quarterly returns'!Z43:Z62))/5)-1</f>
        <v>6.6999485426270988E-2</v>
      </c>
      <c r="E42" s="72">
        <f>EXP(SUMPRODUCT(LN(1+'Quarterly returns'!AA43:AA62))/5)-1</f>
        <v>6.539836998830606E-2</v>
      </c>
      <c r="F42" s="72">
        <f>EXP(SUMPRODUCT(LN(1+'Quarterly returns'!AB43:AB62))/5)-1</f>
        <v>6.6362700129976915E-2</v>
      </c>
      <c r="G42" s="342">
        <f t="shared" si="2"/>
        <v>1</v>
      </c>
      <c r="H42" s="342">
        <f t="shared" si="3"/>
        <v>1</v>
      </c>
      <c r="I42" s="72">
        <f>SQRT((SUMPRODUCT(('Quarterly returns'!Z43:Z62-'Quarterly returns'!AA43:AA62)^2)-SUMPRODUCT(('Quarterly returns'!Z43:Z62-'Quarterly returns'!AA43:AA62))^2/20)/19)*2</f>
        <v>2.2116858928203947E-2</v>
      </c>
      <c r="J42" s="128">
        <f>SQRT((SUMPRODUCT(('Quarterly returns'!AB43:AB62-'Quarterly returns'!AA43:AA62)^2)-SUMPRODUCT(('Quarterly returns'!AB43:AB62-'Quarterly returns'!AA43:AA62))^2/20)/19)*2</f>
        <v>1.347200733468799E-2</v>
      </c>
    </row>
    <row r="43" spans="1:10" x14ac:dyDescent="0.2">
      <c r="A43" s="385">
        <f>'Quarterly returns'!A63</f>
        <v>44104</v>
      </c>
      <c r="B43" s="313">
        <f>'Quarterly returns'!A43</f>
        <v>42277</v>
      </c>
      <c r="C43" s="72">
        <f>INDEX('RBA 5Y yield'!$B$5:$B$661,MATCH(B43,'RBA 5Y yield'!$A$5:$A$661,1))+Inputs!$B$24</f>
        <v>6.1010000000000002E-2</v>
      </c>
      <c r="D43" s="72">
        <f>EXP(SUMPRODUCT(LN(1+'Quarterly returns'!Z44:Z63))/5)-1</f>
        <v>7.0070730425939587E-2</v>
      </c>
      <c r="E43" s="72">
        <f>EXP(SUMPRODUCT(LN(1+'Quarterly returns'!AA44:AA63))/5)-1</f>
        <v>6.9708688059091584E-2</v>
      </c>
      <c r="F43" s="72">
        <f>EXP(SUMPRODUCT(LN(1+'Quarterly returns'!AB44:AB63))/5)-1</f>
        <v>7.1631984839683804E-2</v>
      </c>
      <c r="G43" s="342">
        <f t="shared" si="2"/>
        <v>1</v>
      </c>
      <c r="H43" s="342">
        <f t="shared" si="3"/>
        <v>1</v>
      </c>
      <c r="I43" s="72">
        <f>SQRT((SUMPRODUCT(('Quarterly returns'!Z44:Z63-'Quarterly returns'!AA44:AA63)^2)-SUMPRODUCT(('Quarterly returns'!Z44:Z63-'Quarterly returns'!AA44:AA63))^2/20)/19)*2</f>
        <v>2.2470743608134999E-2</v>
      </c>
      <c r="J43" s="128">
        <f>SQRT((SUMPRODUCT(('Quarterly returns'!AB44:AB63-'Quarterly returns'!AA44:AA63)^2)-SUMPRODUCT(('Quarterly returns'!AB44:AB63-'Quarterly returns'!AA44:AA63))^2/20)/19)*2</f>
        <v>1.3221398215540294E-2</v>
      </c>
    </row>
    <row r="44" spans="1:10" x14ac:dyDescent="0.2">
      <c r="A44" s="385">
        <f>'Quarterly returns'!A64</f>
        <v>44196</v>
      </c>
      <c r="B44" s="313">
        <f>'Quarterly returns'!A44</f>
        <v>42369</v>
      </c>
      <c r="C44" s="72">
        <f>INDEX('RBA 5Y yield'!$B$5:$B$661,MATCH(B44,'RBA 5Y yield'!$A$5:$A$661,1))+Inputs!$B$24</f>
        <v>6.2840000000000007E-2</v>
      </c>
      <c r="D44" s="72">
        <f>EXP(SUMPRODUCT(LN(1+'Quarterly returns'!Z45:Z64))/5)-1</f>
        <v>7.7335588953850953E-2</v>
      </c>
      <c r="E44" s="72">
        <f>EXP(SUMPRODUCT(LN(1+'Quarterly returns'!AA45:AA64))/5)-1</f>
        <v>7.7259398125835377E-2</v>
      </c>
      <c r="F44" s="72">
        <f>EXP(SUMPRODUCT(LN(1+'Quarterly returns'!AB45:AB64))/5)-1</f>
        <v>8.1401282098907846E-2</v>
      </c>
      <c r="G44" s="342">
        <f t="shared" si="2"/>
        <v>1</v>
      </c>
      <c r="H44" s="342">
        <f t="shared" si="3"/>
        <v>1</v>
      </c>
      <c r="I44" s="72">
        <f>SQRT((SUMPRODUCT(('Quarterly returns'!Z45:Z64-'Quarterly returns'!AA45:AA64)^2)-SUMPRODUCT(('Quarterly returns'!Z45:Z64-'Quarterly returns'!AA45:AA64))^2/20)/19)*2</f>
        <v>2.2362893105617811E-2</v>
      </c>
      <c r="J44" s="128">
        <f>SQRT((SUMPRODUCT(('Quarterly returns'!AB45:AB64-'Quarterly returns'!AA45:AA64)^2)-SUMPRODUCT(('Quarterly returns'!AB45:AB64-'Quarterly returns'!AA45:AA64))^2/20)/19)*2</f>
        <v>1.3428977577365272E-2</v>
      </c>
    </row>
    <row r="45" spans="1:10" x14ac:dyDescent="0.2">
      <c r="A45" s="385">
        <f>'Quarterly returns'!A65</f>
        <v>44286</v>
      </c>
      <c r="B45" s="313">
        <f>'Quarterly returns'!A45</f>
        <v>42460</v>
      </c>
      <c r="C45" s="72">
        <f>INDEX('RBA 5Y yield'!$B$5:$B$661,MATCH(B45,'RBA 5Y yield'!$A$5:$A$661,1))+Inputs!$B$24</f>
        <v>6.1340000000000006E-2</v>
      </c>
      <c r="D45" s="72">
        <f>EXP(SUMPRODUCT(LN(1+'Quarterly returns'!Z46:Z65))/5)-1</f>
        <v>8.7729074130998175E-2</v>
      </c>
      <c r="E45" s="72">
        <f>EXP(SUMPRODUCT(LN(1+'Quarterly returns'!AA46:AA65))/5)-1</f>
        <v>8.9523769517763974E-2</v>
      </c>
      <c r="F45" s="72">
        <f>EXP(SUMPRODUCT(LN(1+'Quarterly returns'!AB46:AB65))/5)-1</f>
        <v>9.6655211029399002E-2</v>
      </c>
      <c r="G45" s="342">
        <f t="shared" si="2"/>
        <v>1</v>
      </c>
      <c r="H45" s="342">
        <f t="shared" si="3"/>
        <v>1</v>
      </c>
      <c r="I45" s="72">
        <f>SQRT((SUMPRODUCT(('Quarterly returns'!Z46:Z65-'Quarterly returns'!AA46:AA65)^2)-SUMPRODUCT(('Quarterly returns'!Z46:Z65-'Quarterly returns'!AA46:AA65))^2/20)/19)*2</f>
        <v>2.2526241179019642E-2</v>
      </c>
      <c r="J45" s="128">
        <f>SQRT((SUMPRODUCT(('Quarterly returns'!AB46:AB65-'Quarterly returns'!AA46:AA65)^2)-SUMPRODUCT(('Quarterly returns'!AB46:AB65-'Quarterly returns'!AA46:AA65))^2/20)/19)*2</f>
        <v>1.3245492894302116E-2</v>
      </c>
    </row>
    <row r="46" spans="1:10" x14ac:dyDescent="0.2">
      <c r="A46" s="385">
        <f>'Quarterly returns'!A66</f>
        <v>44377</v>
      </c>
      <c r="B46" s="313">
        <f>'Quarterly returns'!A46</f>
        <v>42551</v>
      </c>
      <c r="C46" s="72">
        <f>INDEX('RBA 5Y yield'!$B$5:$B$661,MATCH(B46,'RBA 5Y yield'!$A$5:$A$661,1))+Inputs!$B$24</f>
        <v>5.7209999999999997E-2</v>
      </c>
      <c r="D46" s="72">
        <f>EXP(SUMPRODUCT(LN(1+'Quarterly returns'!Z47:Z66))/5)-1</f>
        <v>9.3389571485528178E-2</v>
      </c>
      <c r="E46" s="72">
        <f>EXP(SUMPRODUCT(LN(1+'Quarterly returns'!AA47:AA66))/5)-1</f>
        <v>9.4978883079840148E-2</v>
      </c>
      <c r="F46" s="72">
        <f>EXP(SUMPRODUCT(LN(1+'Quarterly returns'!AB47:AB66))/5)-1</f>
        <v>0.10236688674004046</v>
      </c>
      <c r="G46" s="342">
        <f t="shared" si="2"/>
        <v>1</v>
      </c>
      <c r="H46" s="342">
        <f t="shared" si="3"/>
        <v>1</v>
      </c>
      <c r="I46" s="72">
        <f>SQRT((SUMPRODUCT(('Quarterly returns'!Z47:Z66-'Quarterly returns'!AA47:AA66)^2)-SUMPRODUCT(('Quarterly returns'!Z47:Z66-'Quarterly returns'!AA47:AA66))^2/20)/19)*2</f>
        <v>2.2505977725909655E-2</v>
      </c>
      <c r="J46" s="128">
        <f>SQRT((SUMPRODUCT(('Quarterly returns'!AB47:AB66-'Quarterly returns'!AA47:AA66)^2)-SUMPRODUCT(('Quarterly returns'!AB47:AB66-'Quarterly returns'!AA47:AA66))^2/20)/19)*2</f>
        <v>1.3299547379815051E-2</v>
      </c>
    </row>
    <row r="47" spans="1:10" x14ac:dyDescent="0.2">
      <c r="A47" s="385">
        <f>'Quarterly returns'!A67</f>
        <v>44469</v>
      </c>
      <c r="B47" s="313">
        <f>'Quarterly returns'!A47</f>
        <v>42643</v>
      </c>
      <c r="C47" s="72">
        <f>INDEX('RBA 5Y yield'!$B$5:$B$661,MATCH(B47,'RBA 5Y yield'!$A$5:$A$661,1))+Inputs!$B$24</f>
        <v>5.6950000000000001E-2</v>
      </c>
      <c r="D47" s="72">
        <f>EXP(SUMPRODUCT(LN(1+'Quarterly returns'!Z48:Z67))/5)-1</f>
        <v>9.2955176778384274E-2</v>
      </c>
      <c r="E47" s="72">
        <f>EXP(SUMPRODUCT(LN(1+'Quarterly returns'!AA48:AA67))/5)-1</f>
        <v>9.6509628336191922E-2</v>
      </c>
      <c r="F47" s="72">
        <f>EXP(SUMPRODUCT(LN(1+'Quarterly returns'!AB48:AB67))/5)-1</f>
        <v>0.10308531560273781</v>
      </c>
      <c r="G47" s="342">
        <f t="shared" si="2"/>
        <v>1</v>
      </c>
      <c r="H47" s="342">
        <f t="shared" si="3"/>
        <v>1</v>
      </c>
      <c r="I47" s="72">
        <f>SQRT((SUMPRODUCT(('Quarterly returns'!Z48:Z67-'Quarterly returns'!AA48:AA67)^2)-SUMPRODUCT(('Quarterly returns'!Z48:Z67-'Quarterly returns'!AA48:AA67))^2/20)/19)*2</f>
        <v>2.2453222387276799E-2</v>
      </c>
      <c r="J47" s="128">
        <f>SQRT((SUMPRODUCT(('Quarterly returns'!AB48:AB67-'Quarterly returns'!AA48:AA67)^2)-SUMPRODUCT(('Quarterly returns'!AB48:AB67-'Quarterly returns'!AA48:AA67))^2/20)/19)*2</f>
        <v>1.3401216626496078E-2</v>
      </c>
    </row>
    <row r="48" spans="1:10" x14ac:dyDescent="0.2">
      <c r="A48" s="385">
        <f>'Quarterly returns'!A68</f>
        <v>44561</v>
      </c>
      <c r="B48" s="313">
        <f>'Quarterly returns'!A48</f>
        <v>42734</v>
      </c>
      <c r="C48" s="72">
        <f>INDEX('RBA 5Y yield'!$B$5:$B$661,MATCH(B48,'RBA 5Y yield'!$A$5:$A$661,1))+Inputs!$B$24</f>
        <v>6.0160000000000005E-2</v>
      </c>
      <c r="D48" s="72">
        <f>EXP(SUMPRODUCT(LN(1+'Quarterly returns'!Z49:Z68))/5)-1</f>
        <v>9.2543721109386246E-2</v>
      </c>
      <c r="E48" s="72">
        <f>EXP(SUMPRODUCT(LN(1+'Quarterly returns'!AA49:AA68))/5)-1</f>
        <v>9.4659398224150593E-2</v>
      </c>
      <c r="F48" s="72">
        <f>EXP(SUMPRODUCT(LN(1+'Quarterly returns'!AB49:AB68))/5)-1</f>
        <v>0.10010040752127281</v>
      </c>
      <c r="G48" s="342">
        <f t="shared" si="2"/>
        <v>1</v>
      </c>
      <c r="H48" s="342">
        <f t="shared" si="3"/>
        <v>1</v>
      </c>
      <c r="I48" s="72">
        <f>SQRT((SUMPRODUCT(('Quarterly returns'!Z49:Z68-'Quarterly returns'!AA49:AA68)^2)-SUMPRODUCT(('Quarterly returns'!Z49:Z68-'Quarterly returns'!AA49:AA68))^2/20)/19)*2</f>
        <v>2.2287481471028082E-2</v>
      </c>
      <c r="J48" s="128">
        <f>SQRT((SUMPRODUCT(('Quarterly returns'!AB49:AB68-'Quarterly returns'!AA49:AA68)^2)-SUMPRODUCT(('Quarterly returns'!AB49:AB68-'Quarterly returns'!AA49:AA68))^2/20)/19)*2</f>
        <v>1.3121990218953876E-2</v>
      </c>
    </row>
    <row r="49" spans="1:10" x14ac:dyDescent="0.2">
      <c r="A49" s="385">
        <f>'Quarterly returns'!A69</f>
        <v>44651</v>
      </c>
      <c r="B49" s="313">
        <f>'Quarterly returns'!A49</f>
        <v>42825</v>
      </c>
      <c r="C49" s="72">
        <f>INDEX('RBA 5Y yield'!$B$5:$B$661,MATCH(B49,'RBA 5Y yield'!$A$5:$A$661,1))+Inputs!$B$24</f>
        <v>6.2939999999999996E-2</v>
      </c>
      <c r="D49" s="72">
        <f>EXP(SUMPRODUCT(LN(1+'Quarterly returns'!Z50:Z69))/5)-1</f>
        <v>8.2660843151380892E-2</v>
      </c>
      <c r="E49" s="72">
        <f>EXP(SUMPRODUCT(LN(1+'Quarterly returns'!AA50:AA69))/5)-1</f>
        <v>8.5419785409777793E-2</v>
      </c>
      <c r="F49" s="72">
        <f>EXP(SUMPRODUCT(LN(1+'Quarterly returns'!AB50:AB69))/5)-1</f>
        <v>9.1061042058271369E-2</v>
      </c>
      <c r="G49" s="342">
        <f t="shared" si="2"/>
        <v>1</v>
      </c>
      <c r="H49" s="342">
        <f t="shared" si="3"/>
        <v>1</v>
      </c>
      <c r="I49" s="72">
        <f>SQRT((SUMPRODUCT(('Quarterly returns'!Z50:Z69-'Quarterly returns'!AA50:AA69)^2)-SUMPRODUCT(('Quarterly returns'!Z50:Z69-'Quarterly returns'!AA50:AA69))^2/20)/19)*2</f>
        <v>2.2145649165300044E-2</v>
      </c>
      <c r="J49" s="128">
        <f>SQRT((SUMPRODUCT(('Quarterly returns'!AB50:AB69-'Quarterly returns'!AA50:AA69)^2)-SUMPRODUCT(('Quarterly returns'!AB50:AB69-'Quarterly returns'!AA50:AA69))^2/20)/19)*2</f>
        <v>1.3091578616687269E-2</v>
      </c>
    </row>
    <row r="50" spans="1:10" x14ac:dyDescent="0.2">
      <c r="A50" s="385">
        <f>'Quarterly returns'!A70</f>
        <v>44742</v>
      </c>
      <c r="B50" s="313">
        <f>'Quarterly returns'!A50</f>
        <v>42916</v>
      </c>
      <c r="C50" s="72">
        <f>INDEX('RBA 5Y yield'!$B$5:$B$661,MATCH(B50,'RBA 5Y yield'!$A$5:$A$661,1))+Inputs!$B$24</f>
        <v>5.987E-2</v>
      </c>
      <c r="D50" s="72">
        <f>EXP(SUMPRODUCT(LN(1+'Quarterly returns'!Z51:Z70))/5)-1</f>
        <v>6.392170510471118E-2</v>
      </c>
      <c r="E50" s="72">
        <f>EXP(SUMPRODUCT(LN(1+'Quarterly returns'!AA51:AA70))/5)-1</f>
        <v>6.8956413487798462E-2</v>
      </c>
      <c r="F50" s="72">
        <f>EXP(SUMPRODUCT(LN(1+'Quarterly returns'!AB51:AB70))/5)-1</f>
        <v>7.4345222413177758E-2</v>
      </c>
      <c r="G50" s="342">
        <f t="shared" si="2"/>
        <v>1</v>
      </c>
      <c r="H50" s="342">
        <f t="shared" si="3"/>
        <v>1</v>
      </c>
      <c r="I50" s="72">
        <f>SQRT((SUMPRODUCT(('Quarterly returns'!Z51:Z70-'Quarterly returns'!AA51:AA70)^2)-SUMPRODUCT(('Quarterly returns'!Z51:Z70-'Quarterly returns'!AA51:AA70))^2/20)/19)*2</f>
        <v>2.3073215421296714E-2</v>
      </c>
      <c r="J50" s="128">
        <f>SQRT((SUMPRODUCT(('Quarterly returns'!AB51:AB70-'Quarterly returns'!AA51:AA70)^2)-SUMPRODUCT(('Quarterly returns'!AB51:AB70-'Quarterly returns'!AA51:AA70))^2/20)/19)*2</f>
        <v>1.31037495271398E-2</v>
      </c>
    </row>
    <row r="51" spans="1:10" x14ac:dyDescent="0.2">
      <c r="A51" s="385">
        <f>'Quarterly returns'!A71</f>
        <v>44834</v>
      </c>
      <c r="B51" s="313">
        <f>'Quarterly returns'!A51</f>
        <v>43007</v>
      </c>
      <c r="C51" s="72">
        <f>INDEX('RBA 5Y yield'!$B$5:$B$661,MATCH(B51,'RBA 5Y yield'!$A$5:$A$661,1))+Inputs!$B$24</f>
        <v>6.1859999999999998E-2</v>
      </c>
      <c r="D51" s="72">
        <f>EXP(SUMPRODUCT(LN(1+'Quarterly returns'!Z52:Z71))/5)-1</f>
        <v>6.2738456951444865E-2</v>
      </c>
      <c r="E51" s="72">
        <f>EXP(SUMPRODUCT(LN(1+'Quarterly returns'!AA52:AA71))/5)-1</f>
        <v>6.606385750309629E-2</v>
      </c>
      <c r="F51" s="72">
        <f>EXP(SUMPRODUCT(LN(1+'Quarterly returns'!AB52:AB71))/5)-1</f>
        <v>7.1200218560005801E-2</v>
      </c>
      <c r="G51" s="342">
        <f t="shared" si="2"/>
        <v>1</v>
      </c>
      <c r="H51" s="342">
        <f t="shared" si="3"/>
        <v>1</v>
      </c>
      <c r="I51" s="72">
        <f>SQRT((SUMPRODUCT(('Quarterly returns'!Z52:Z71-'Quarterly returns'!AA52:AA71)^2)-SUMPRODUCT(('Quarterly returns'!Z52:Z71-'Quarterly returns'!AA52:AA71))^2/20)/19)*2</f>
        <v>2.3277281327285175E-2</v>
      </c>
      <c r="J51" s="128">
        <f>SQRT((SUMPRODUCT(('Quarterly returns'!AB52:AB71-'Quarterly returns'!AA52:AA71)^2)-SUMPRODUCT(('Quarterly returns'!AB52:AB71-'Quarterly returns'!AA52:AA71))^2/20)/19)*2</f>
        <v>1.3105316541659154E-2</v>
      </c>
    </row>
    <row r="52" spans="1:10" x14ac:dyDescent="0.2">
      <c r="A52" s="385">
        <f>'Quarterly returns'!A72</f>
        <v>44925</v>
      </c>
      <c r="B52" s="313">
        <f>'Quarterly returns'!A52</f>
        <v>43098</v>
      </c>
      <c r="C52" s="72">
        <f>INDEX('RBA 5Y yield'!$B$5:$B$661,MATCH(B52,'RBA 5Y yield'!$A$5:$A$661,1))+Inputs!$B$24</f>
        <v>6.1719999999999997E-2</v>
      </c>
      <c r="D52" s="72">
        <f>EXP(SUMPRODUCT(LN(1+'Quarterly returns'!Z53:Z72))/5)-1</f>
        <v>6.0430890950906813E-2</v>
      </c>
      <c r="E52" s="72">
        <f>EXP(SUMPRODUCT(LN(1+'Quarterly returns'!AA53:AA72))/5)-1</f>
        <v>6.2696102937519926E-2</v>
      </c>
      <c r="F52" s="72">
        <f>EXP(SUMPRODUCT(LN(1+'Quarterly returns'!AB53:AB72))/5)-1</f>
        <v>6.6544292174297803E-2</v>
      </c>
      <c r="G52" s="342">
        <f t="shared" si="2"/>
        <v>0</v>
      </c>
      <c r="H52" s="342">
        <f t="shared" si="3"/>
        <v>1</v>
      </c>
      <c r="I52" s="72">
        <f>SQRT((SUMPRODUCT(('Quarterly returns'!Z53:Z72-'Quarterly returns'!AA53:AA72)^2)-SUMPRODUCT(('Quarterly returns'!Z53:Z72-'Quarterly returns'!AA53:AA72))^2/20)/19)*2</f>
        <v>2.3531022662886588E-2</v>
      </c>
      <c r="J52" s="128">
        <f>SQRT((SUMPRODUCT(('Quarterly returns'!AB53:AB72-'Quarterly returns'!AA53:AA72)^2)-SUMPRODUCT(('Quarterly returns'!AB53:AB72-'Quarterly returns'!AA53:AA72))^2/20)/19)*2</f>
        <v>1.3046392233132361E-2</v>
      </c>
    </row>
    <row r="53" spans="1:10" x14ac:dyDescent="0.2">
      <c r="A53" s="385">
        <f>'Quarterly returns'!A73</f>
        <v>45016</v>
      </c>
      <c r="B53" s="313">
        <f>'Quarterly returns'!A53</f>
        <v>43189</v>
      </c>
      <c r="C53" s="72">
        <f>INDEX('RBA 5Y yield'!$B$5:$B$661,MATCH(B53,'RBA 5Y yield'!$A$5:$A$661,1))+Inputs!$B$24</f>
        <v>6.4149999999999999E-2</v>
      </c>
      <c r="D53" s="72">
        <f>EXP(SUMPRODUCT(LN(1+'Quarterly returns'!Z54:Z73))/5)-1</f>
        <v>7.3739743823662884E-2</v>
      </c>
      <c r="E53" s="72">
        <f>EXP(SUMPRODUCT(LN(1+'Quarterly returns'!AA54:AA73))/5)-1</f>
        <v>7.4683307063649451E-2</v>
      </c>
      <c r="F53" s="72">
        <f>EXP(SUMPRODUCT(LN(1+'Quarterly returns'!AB54:AB73))/5)-1</f>
        <v>7.9221861015975836E-2</v>
      </c>
      <c r="G53" s="342">
        <f t="shared" si="2"/>
        <v>1</v>
      </c>
      <c r="H53" s="342">
        <f t="shared" si="3"/>
        <v>1</v>
      </c>
      <c r="I53" s="72">
        <f>SQRT((SUMPRODUCT(('Quarterly returns'!Z54:Z73-'Quarterly returns'!AA54:AA73)^2)-SUMPRODUCT(('Quarterly returns'!Z54:Z73-'Quarterly returns'!AA54:AA73))^2/20)/19)*2</f>
        <v>2.3254751468975789E-2</v>
      </c>
      <c r="J53" s="128">
        <f>SQRT((SUMPRODUCT(('Quarterly returns'!AB54:AB73-'Quarterly returns'!AA54:AA73)^2)-SUMPRODUCT(('Quarterly returns'!AB54:AB73-'Quarterly returns'!AA54:AA73))^2/20)/19)*2</f>
        <v>1.3023635312517162E-2</v>
      </c>
    </row>
    <row r="54" spans="1:10" x14ac:dyDescent="0.2">
      <c r="A54" s="385">
        <f>'Quarterly returns'!A74</f>
        <v>45107</v>
      </c>
      <c r="B54" s="313">
        <f>'Quarterly returns'!A54</f>
        <v>43280</v>
      </c>
      <c r="C54" s="72">
        <f>INDEX('RBA 5Y yield'!$B$5:$B$661,MATCH(B54,'RBA 5Y yield'!$A$5:$A$661,1))+Inputs!$B$24</f>
        <v>6.4149999999999999E-2</v>
      </c>
      <c r="D54" s="72">
        <f>EXP(SUMPRODUCT(LN(1+'Quarterly returns'!Z55:Z74))/5)-1</f>
        <v>6.4697627690645021E-2</v>
      </c>
      <c r="E54" s="72">
        <f>EXP(SUMPRODUCT(LN(1+'Quarterly returns'!AA55:AA74))/5)-1</f>
        <v>6.8664404435360371E-2</v>
      </c>
      <c r="F54" s="72">
        <f>EXP(SUMPRODUCT(LN(1+'Quarterly returns'!AB55:AB74))/5)-1</f>
        <v>7.3116609206263616E-2</v>
      </c>
      <c r="G54" s="342">
        <f t="shared" si="2"/>
        <v>1</v>
      </c>
      <c r="H54" s="342">
        <f t="shared" si="3"/>
        <v>1</v>
      </c>
      <c r="I54" s="72">
        <f>SQRT((SUMPRODUCT(('Quarterly returns'!Z55:Z74-'Quarterly returns'!AA55:AA74)^2)-SUMPRODUCT(('Quarterly returns'!Z55:Z74-'Quarterly returns'!AA55:AA74))^2/20)/19)*2</f>
        <v>2.3019891904922964E-2</v>
      </c>
      <c r="J54" s="128">
        <f>SQRT((SUMPRODUCT(('Quarterly returns'!AB55:AB74-'Quarterly returns'!AA55:AA74)^2)-SUMPRODUCT(('Quarterly returns'!AB55:AB74-'Quarterly returns'!AA55:AA74))^2/20)/19)*2</f>
        <v>1.3002364989902065E-2</v>
      </c>
    </row>
    <row r="55" spans="1:10" x14ac:dyDescent="0.2">
      <c r="A55" s="385">
        <f>'Quarterly returns'!A75</f>
        <v>45198</v>
      </c>
      <c r="B55" s="313">
        <f>'Quarterly returns'!A55</f>
        <v>43371</v>
      </c>
      <c r="C55" s="72">
        <f>INDEX('RBA 5Y yield'!$B$5:$B$661,MATCH(B55,'RBA 5Y yield'!$A$5:$A$661,1))+Inputs!$B$24</f>
        <v>6.2390000000000001E-2</v>
      </c>
      <c r="D55" s="72">
        <f>EXP(SUMPRODUCT(LN(1+'Quarterly returns'!Z56:Z75))/5)-1</f>
        <v>5.7833629179004031E-2</v>
      </c>
      <c r="E55" s="72">
        <f>EXP(SUMPRODUCT(LN(1+'Quarterly returns'!AA56:AA75))/5)-1</f>
        <v>6.4048220595998684E-2</v>
      </c>
      <c r="F55" s="72">
        <f>EXP(SUMPRODUCT(LN(1+'Quarterly returns'!AB56:AB75))/5)-1</f>
        <v>6.7894222290911577E-2</v>
      </c>
      <c r="G55" s="342">
        <f t="shared" si="2"/>
        <v>0</v>
      </c>
      <c r="H55" s="342">
        <f t="shared" si="3"/>
        <v>1</v>
      </c>
      <c r="I55" s="72">
        <f>SQRT((SUMPRODUCT(('Quarterly returns'!Z56:Z75-'Quarterly returns'!AA56:AA75)^2)-SUMPRODUCT(('Quarterly returns'!Z56:Z75-'Quarterly returns'!AA56:AA75))^2/20)/19)*2</f>
        <v>2.3471710424762472E-2</v>
      </c>
      <c r="J55" s="128">
        <f>SQRT((SUMPRODUCT(('Quarterly returns'!AB56:AB75-'Quarterly returns'!AA56:AA75)^2)-SUMPRODUCT(('Quarterly returns'!AB56:AB75-'Quarterly returns'!AA56:AA75))^2/20)/19)*2</f>
        <v>1.2954614863633718E-2</v>
      </c>
    </row>
    <row r="56" spans="1:10" x14ac:dyDescent="0.2">
      <c r="A56" s="385">
        <f>'Quarterly returns'!A76</f>
        <v>45289</v>
      </c>
      <c r="B56" s="313">
        <f>'Quarterly returns'!A56</f>
        <v>43465</v>
      </c>
      <c r="C56" s="72">
        <f>INDEX('RBA 5Y yield'!$B$5:$B$661,MATCH(B56,'RBA 5Y yield'!$A$5:$A$661,1))+Inputs!$B$24</f>
        <v>6.0969999999999996E-2</v>
      </c>
      <c r="D56" s="72">
        <f>EXP(SUMPRODUCT(LN(1+'Quarterly returns'!Z57:Z76))/5)-1</f>
        <v>8.2825030647579068E-2</v>
      </c>
      <c r="E56" s="72">
        <f>EXP(SUMPRODUCT(LN(1+'Quarterly returns'!AA57:AA76))/5)-1</f>
        <v>8.5581152041307895E-2</v>
      </c>
      <c r="F56" s="72">
        <f>EXP(SUMPRODUCT(LN(1+'Quarterly returns'!AB57:AB76))/5)-1</f>
        <v>9.1209883802036984E-2</v>
      </c>
      <c r="G56" s="342">
        <f t="shared" si="2"/>
        <v>1</v>
      </c>
      <c r="H56" s="342">
        <f t="shared" si="3"/>
        <v>1</v>
      </c>
      <c r="I56" s="72">
        <f>SQRT((SUMPRODUCT(('Quarterly returns'!Z57:Z76-'Quarterly returns'!AA57:AA76)^2)-SUMPRODUCT(('Quarterly returns'!Z57:Z76-'Quarterly returns'!AA57:AA76))^2/20)/19)*2</f>
        <v>2.4494299239476679E-2</v>
      </c>
      <c r="J56" s="128">
        <f>SQRT((SUMPRODUCT(('Quarterly returns'!AB57:AB76-'Quarterly returns'!AA57:AA76)^2)-SUMPRODUCT(('Quarterly returns'!AB57:AB76-'Quarterly returns'!AA57:AA76))^2/20)/19)*2</f>
        <v>1.1941997513199598E-2</v>
      </c>
    </row>
    <row r="57" spans="1:10" x14ac:dyDescent="0.2">
      <c r="A57" s="385">
        <f>'Quarterly returns'!A77</f>
        <v>45380</v>
      </c>
      <c r="B57" s="313">
        <f>'Quarterly returns'!A57</f>
        <v>43553</v>
      </c>
      <c r="C57" s="72">
        <f>INDEX('RBA 5Y yield'!$B$5:$B$661,MATCH(B57,'RBA 5Y yield'!$A$5:$A$661,1))+Inputs!$B$24</f>
        <v>5.7430000000000002E-2</v>
      </c>
      <c r="D57" s="72">
        <f>EXP(SUMPRODUCT(LN(1+'Quarterly returns'!Z58:Z77))/5)-1</f>
        <v>7.6752408317629639E-2</v>
      </c>
      <c r="E57" s="72">
        <f>EXP(SUMPRODUCT(LN(1+'Quarterly returns'!AA58:AA77))/5)-1</f>
        <v>8.3390232323612201E-2</v>
      </c>
      <c r="F57" s="72">
        <f>EXP(SUMPRODUCT(LN(1+'Quarterly returns'!AB58:AB77))/5)-1</f>
        <v>8.8475540501889327E-2</v>
      </c>
      <c r="G57" s="342">
        <f t="shared" si="2"/>
        <v>1</v>
      </c>
      <c r="H57" s="342">
        <f t="shared" si="3"/>
        <v>1</v>
      </c>
      <c r="I57" s="72">
        <f>SQRT((SUMPRODUCT(('Quarterly returns'!Z58:Z77-'Quarterly returns'!AA58:AA77)^2)-SUMPRODUCT(('Quarterly returns'!Z58:Z77-'Quarterly returns'!AA58:AA77))^2/20)/19)*2</f>
        <v>2.4131798083249764E-2</v>
      </c>
      <c r="J57" s="128">
        <f>SQRT((SUMPRODUCT(('Quarterly returns'!AB58:AB77-'Quarterly returns'!AA58:AA77)^2)-SUMPRODUCT(('Quarterly returns'!AB58:AB77-'Quarterly returns'!AA58:AA77))^2/20)/19)*2</f>
        <v>1.1588938738168394E-2</v>
      </c>
    </row>
    <row r="58" spans="1:10" x14ac:dyDescent="0.2">
      <c r="A58" s="385">
        <f>'Quarterly returns'!A78</f>
        <v>45471</v>
      </c>
      <c r="B58" s="313">
        <f>'Quarterly returns'!A58</f>
        <v>43644</v>
      </c>
      <c r="C58" s="72">
        <f>INDEX('RBA 5Y yield'!$B$5:$B$661,MATCH(B58,'RBA 5Y yield'!$A$5:$A$661,1))+Inputs!$B$24</f>
        <v>5.2909999999999999E-2</v>
      </c>
      <c r="D58" s="72">
        <f>EXP(SUMPRODUCT(LN(1+'Quarterly returns'!Z59:Z78))/5)-1</f>
        <v>6.4477923894174394E-2</v>
      </c>
      <c r="E58" s="72">
        <f>EXP(SUMPRODUCT(LN(1+'Quarterly returns'!AA59:AA78))/5)-1</f>
        <v>7.2803841489367471E-2</v>
      </c>
      <c r="F58" s="72">
        <f>EXP(SUMPRODUCT(LN(1+'Quarterly returns'!AB59:AB78))/5)-1</f>
        <v>7.8075038190473123E-2</v>
      </c>
      <c r="G58" s="342">
        <f t="shared" si="2"/>
        <v>1</v>
      </c>
      <c r="H58" s="342">
        <f t="shared" si="3"/>
        <v>1</v>
      </c>
      <c r="I58" s="72">
        <f>SQRT((SUMPRODUCT(('Quarterly returns'!Z59:Z78-'Quarterly returns'!AA59:AA78)^2)-SUMPRODUCT(('Quarterly returns'!Z59:Z78-'Quarterly returns'!AA59:AA78))^2/20)/19)*2</f>
        <v>2.3867299292837863E-2</v>
      </c>
      <c r="J58" s="128">
        <f>SQRT((SUMPRODUCT(('Quarterly returns'!AB59:AB78-'Quarterly returns'!AA59:AA78)^2)-SUMPRODUCT(('Quarterly returns'!AB59:AB78-'Quarterly returns'!AA59:AA78))^2/20)/19)*2</f>
        <v>1.1601329863322959E-2</v>
      </c>
    </row>
    <row r="59" spans="1:10" x14ac:dyDescent="0.2">
      <c r="A59" s="385">
        <f>'Quarterly returns'!A79</f>
        <v>45565</v>
      </c>
      <c r="B59" s="313">
        <f>'Quarterly returns'!A59</f>
        <v>43738</v>
      </c>
      <c r="C59" s="72">
        <f>INDEX('RBA 5Y yield'!$B$5:$B$661,MATCH(B59,'RBA 5Y yield'!$A$5:$A$661,1))+Inputs!$B$24</f>
        <v>4.8100000000000004E-2</v>
      </c>
      <c r="D59" s="72">
        <f>EXP(SUMPRODUCT(LN(1+'Quarterly returns'!Z60:Z79))/5)-1</f>
        <v>6.7121973380403599E-2</v>
      </c>
      <c r="E59" s="72">
        <f>EXP(SUMPRODUCT(LN(1+'Quarterly returns'!AA60:AA79))/5)-1</f>
        <v>7.3156037689943609E-2</v>
      </c>
      <c r="F59" s="72">
        <f>EXP(SUMPRODUCT(LN(1+'Quarterly returns'!AB60:AB79))/5)-1</f>
        <v>7.7560520034213543E-2</v>
      </c>
      <c r="G59" s="342">
        <f t="shared" si="2"/>
        <v>1</v>
      </c>
      <c r="H59" s="342">
        <f t="shared" si="3"/>
        <v>1</v>
      </c>
      <c r="I59" s="72">
        <f>SQRT((SUMPRODUCT(('Quarterly returns'!Z60:Z79-'Quarterly returns'!AA60:AA79)^2)-SUMPRODUCT(('Quarterly returns'!Z60:Z79-'Quarterly returns'!AA60:AA79))^2/20)/19)*2</f>
        <v>2.4450289713367816E-2</v>
      </c>
      <c r="J59" s="128">
        <f>SQRT((SUMPRODUCT(('Quarterly returns'!AB60:AB79-'Quarterly returns'!AA60:AA79)^2)-SUMPRODUCT(('Quarterly returns'!AB60:AB79-'Quarterly returns'!AA60:AA79))^2/20)/19)*2</f>
        <v>1.1730276063336851E-2</v>
      </c>
    </row>
    <row r="60" spans="1:10" x14ac:dyDescent="0.2">
      <c r="A60" s="385">
        <f>'Quarterly returns'!A80</f>
        <v>45657</v>
      </c>
      <c r="B60" s="313">
        <f>'Quarterly returns'!A60</f>
        <v>43830</v>
      </c>
      <c r="C60" s="72">
        <f>INDEX('RBA 5Y yield'!$B$5:$B$661,MATCH(B60,'RBA 5Y yield'!$A$5:$A$661,1))+Inputs!$B$24</f>
        <v>4.8739999999999999E-2</v>
      </c>
      <c r="D60" s="72">
        <f>EXP(SUMPRODUCT(LN(1+'Quarterly returns'!Z61:Z80))/5)-1</f>
        <v>7.2480785142654325E-2</v>
      </c>
      <c r="E60" s="72">
        <f>EXP(SUMPRODUCT(LN(1+'Quarterly returns'!AA61:AA80))/5)-1</f>
        <v>7.9209171828579894E-2</v>
      </c>
      <c r="F60" s="72">
        <f>EXP(SUMPRODUCT(LN(1+'Quarterly returns'!AB61:AB80))/5)-1</f>
        <v>8.491569931675258E-2</v>
      </c>
      <c r="G60" s="342">
        <f t="shared" si="2"/>
        <v>1</v>
      </c>
      <c r="H60" s="342">
        <f t="shared" si="3"/>
        <v>1</v>
      </c>
      <c r="I60" s="72">
        <f>SQRT((SUMPRODUCT(('Quarterly returns'!Z61:Z80-'Quarterly returns'!AA61:AA80)^2)-SUMPRODUCT(('Quarterly returns'!Z61:Z80-'Quarterly returns'!AA61:AA80))^2/20)/19)*2</f>
        <v>2.4705253178069837E-2</v>
      </c>
      <c r="J60" s="128">
        <f>SQRT((SUMPRODUCT(('Quarterly returns'!AB61:AB80-'Quarterly returns'!AA61:AA80)^2)-SUMPRODUCT(('Quarterly returns'!AB61:AB80-'Quarterly returns'!AA61:AA80))^2/20)/19)*2</f>
        <v>1.2289107201894519E-2</v>
      </c>
    </row>
    <row r="61" spans="1:10" x14ac:dyDescent="0.2">
      <c r="A61" s="385">
        <f>'Quarterly returns'!A81</f>
        <v>45747</v>
      </c>
      <c r="B61" s="313">
        <f>'Quarterly returns'!A61</f>
        <v>43921</v>
      </c>
      <c r="C61" s="72">
        <f>INDEX('RBA 5Y yield'!$B$5:$B$661,MATCH(B61,'RBA 5Y yield'!$A$5:$A$661,1))+Inputs!$B$24</f>
        <v>4.4999999999999998E-2</v>
      </c>
      <c r="D61" s="72">
        <f>EXP(SUMPRODUCT(LN(1+'Quarterly returns'!Z62:Z81))/5)-1</f>
        <v>9.6980257193159058E-2</v>
      </c>
      <c r="E61" s="72">
        <f>EXP(SUMPRODUCT(LN(1+'Quarterly returns'!AA62:AA81))/5)-1</f>
        <v>9.7336388038247623E-2</v>
      </c>
      <c r="F61" s="72">
        <f>EXP(SUMPRODUCT(LN(1+'Quarterly returns'!AB62:AB81))/5)-1</f>
        <v>0.10779543908333244</v>
      </c>
      <c r="G61" s="342">
        <f t="shared" si="2"/>
        <v>1</v>
      </c>
      <c r="H61" s="342">
        <f t="shared" si="3"/>
        <v>1</v>
      </c>
      <c r="I61" s="72">
        <f>SQRT((SUMPRODUCT(('Quarterly returns'!Z62:Z81-'Quarterly returns'!AA62:AA81)^2)-SUMPRODUCT(('Quarterly returns'!Z62:Z81-'Quarterly returns'!AA62:AA81))^2/20)/19)*2</f>
        <v>2.097013361263864E-2</v>
      </c>
      <c r="J61" s="128">
        <f>SQRT((SUMPRODUCT(('Quarterly returns'!AB62:AB81-'Quarterly returns'!AA62:AA81)^2)-SUMPRODUCT(('Quarterly returns'!AB62:AB81-'Quarterly returns'!AA62:AA81))^2/20)/19)*2</f>
        <v>7.8431270847588996E-3</v>
      </c>
    </row>
    <row r="62" spans="1:10" x14ac:dyDescent="0.2">
      <c r="A62" s="385">
        <f>'Quarterly returns'!A82</f>
        <v>45838</v>
      </c>
      <c r="B62" s="313">
        <f>'Quarterly returns'!A62</f>
        <v>44012</v>
      </c>
      <c r="C62" s="72">
        <f>INDEX('RBA 5Y yield'!$B$5:$B$661,MATCH(B62,'RBA 5Y yield'!$A$5:$A$661,1))+Inputs!$B$24</f>
        <v>4.403E-2</v>
      </c>
      <c r="D62" s="72">
        <f>EXP(SUMPRODUCT(LN(1+'Quarterly returns'!Z63:Z82))/5)-1</f>
        <v>9.0192041178368765E-2</v>
      </c>
      <c r="E62" s="72">
        <f>EXP(SUMPRODUCT(LN(1+'Quarterly returns'!AA63:AA82))/5)-1</f>
        <v>9.4746849795114718E-2</v>
      </c>
      <c r="F62" s="72">
        <f>EXP(SUMPRODUCT(LN(1+'Quarterly returns'!AB63:AB82))/5)-1</f>
        <v>0.1032692447282364</v>
      </c>
      <c r="G62" s="342">
        <f t="shared" si="2"/>
        <v>1</v>
      </c>
      <c r="H62" s="342">
        <f t="shared" si="3"/>
        <v>1</v>
      </c>
      <c r="I62" s="72">
        <f>SQRT((SUMPRODUCT(('Quarterly returns'!Z63:Z82-'Quarterly returns'!AA63:AA82)^2)-SUMPRODUCT(('Quarterly returns'!Z63:Z82-'Quarterly returns'!AA63:AA82))^2/20)/19)*2</f>
        <v>1.6855829638850711E-2</v>
      </c>
      <c r="J62" s="128">
        <f>SQRT((SUMPRODUCT(('Quarterly returns'!AB63:AB82-'Quarterly returns'!AA63:AA82)^2)-SUMPRODUCT(('Quarterly returns'!AB63:AB82-'Quarterly returns'!AA63:AA82))^2/20)/19)*2</f>
        <v>7.538779196828437E-3</v>
      </c>
    </row>
    <row r="63" spans="1:10" x14ac:dyDescent="0.2">
      <c r="A63" s="385">
        <f>'Quarterly returns'!A83</f>
        <v>45930</v>
      </c>
      <c r="B63" s="313">
        <f>'Quarterly returns'!A63</f>
        <v>44104</v>
      </c>
      <c r="C63" s="72">
        <f>INDEX('RBA 5Y yield'!$B$5:$B$661,MATCH(B63,'RBA 5Y yield'!$A$5:$A$661,1))+Inputs!$B$24</f>
        <v>4.3930000000000004E-2</v>
      </c>
      <c r="D63" s="72">
        <f>EXP(SUMPRODUCT(LN(1+'Quarterly returns'!Z64:Z83))/5)-1</f>
        <v>9.6515798076960646E-2</v>
      </c>
      <c r="E63" s="72">
        <f>EXP(SUMPRODUCT(LN(1+'Quarterly returns'!AA64:AA83))/5)-1</f>
        <v>9.9400471355970632E-2</v>
      </c>
      <c r="F63" s="72">
        <f>EXP(SUMPRODUCT(LN(1+'Quarterly returns'!AB64:AB83))/5)-1</f>
        <v>0.10969664302351156</v>
      </c>
      <c r="G63" s="342">
        <f t="shared" si="2"/>
        <v>1</v>
      </c>
      <c r="H63" s="342">
        <f t="shared" si="3"/>
        <v>1</v>
      </c>
      <c r="I63" s="72">
        <f>SQRT((SUMPRODUCT(('Quarterly returns'!Z64:Z83-'Quarterly returns'!AA64:AA83)^2)-SUMPRODUCT(('Quarterly returns'!Z64:Z83-'Quarterly returns'!AA64:AA83))^2/20)/19)*2</f>
        <v>1.6456929141164971E-2</v>
      </c>
      <c r="J63" s="128">
        <f>SQRT((SUMPRODUCT(('Quarterly returns'!AB64:AB83-'Quarterly returns'!AA64:AA83)^2)-SUMPRODUCT(('Quarterly returns'!AB64:AB83-'Quarterly returns'!AA64:AA83))^2/20)/19)*2</f>
        <v>7.7776184069896954E-3</v>
      </c>
    </row>
    <row r="64" spans="1:10" x14ac:dyDescent="0.2">
      <c r="A64" s="385">
        <f>'Quarterly returns'!A84</f>
        <v>46022</v>
      </c>
      <c r="B64" s="313">
        <f>'Quarterly returns'!A64</f>
        <v>44196</v>
      </c>
      <c r="C64" s="72">
        <f>INDEX('RBA 5Y yield'!$B$5:$B$661,MATCH(B64,'RBA 5Y yield'!$A$5:$A$661,1))+Inputs!$B$24</f>
        <v>4.3430000000000003E-2</v>
      </c>
      <c r="D64" s="72">
        <f>EXP(SUMPRODUCT(LN(1+'Quarterly returns'!Z65:Z84))/5)-1</f>
        <v>8.2021456186899933E-2</v>
      </c>
      <c r="E64" s="72">
        <f>EXP(SUMPRODUCT(LN(1+'Quarterly returns'!AA65:AA84))/5)-1</f>
        <v>8.8627629798105012E-2</v>
      </c>
      <c r="F64" s="72">
        <f>EXP(SUMPRODUCT(LN(1+'Quarterly returns'!AB65:AB84))/5)-1</f>
        <v>9.7932469973212921E-2</v>
      </c>
      <c r="G64" s="342">
        <f t="shared" si="2"/>
        <v>1</v>
      </c>
      <c r="H64" s="342">
        <f t="shared" si="3"/>
        <v>1</v>
      </c>
      <c r="I64" s="72">
        <f>SQRT((SUMPRODUCT(('Quarterly returns'!Z65:Z84-'Quarterly returns'!AA65:AA84)^2)-SUMPRODUCT(('Quarterly returns'!Z65:Z84-'Quarterly returns'!AA65:AA84))^2/20)/19)*2</f>
        <v>1.5600676425530088E-2</v>
      </c>
      <c r="J64" s="128">
        <f>SQRT((SUMPRODUCT(('Quarterly returns'!AB65:AB84-'Quarterly returns'!AA65:AA84)^2)-SUMPRODUCT(('Quarterly returns'!AB65:AB84-'Quarterly returns'!AA65:AA84))^2/20)/19)*2</f>
        <v>7.4051638960689311E-3</v>
      </c>
    </row>
    <row r="65" spans="1:10" x14ac:dyDescent="0.2">
      <c r="A65" s="389">
        <f>'Quarterly returns'!A85</f>
        <v>46112</v>
      </c>
      <c r="B65" s="390">
        <f>'Quarterly returns'!A65</f>
        <v>44286</v>
      </c>
      <c r="C65" s="134">
        <f>INDEX('RBA 5Y yield'!$B$5:$B$661,MATCH(B65,'RBA 5Y yield'!$A$5:$A$661,1))+Inputs!$B$24</f>
        <v>4.7080000000000004E-2</v>
      </c>
      <c r="D65" s="134">
        <f>EXP(SUMPRODUCT(LN(1+'Quarterly returns'!Z66:Z85))/5)-1</f>
        <v>7.0238277460718646E-2</v>
      </c>
      <c r="E65" s="134">
        <f>EXP(SUMPRODUCT(LN(1+'Quarterly returns'!AA66:AA85))/5)-1</f>
        <v>7.5762595366314356E-2</v>
      </c>
      <c r="F65" s="134">
        <f>EXP(SUMPRODUCT(LN(1+'Quarterly returns'!AB66:AB85))/5)-1</f>
        <v>8.4806041869762261E-2</v>
      </c>
      <c r="G65" s="391">
        <f t="shared" si="2"/>
        <v>1</v>
      </c>
      <c r="H65" s="391">
        <f t="shared" si="3"/>
        <v>1</v>
      </c>
      <c r="I65" s="134">
        <f>SQRT((SUMPRODUCT(('Quarterly returns'!Z66:Z85-'Quarterly returns'!AA66:AA85)^2)-SUMPRODUCT(('Quarterly returns'!Z66:Z85-'Quarterly returns'!AA66:AA85))^2/20)/19)*2</f>
        <v>1.5439927248926053E-2</v>
      </c>
      <c r="J65" s="135">
        <f>SQRT((SUMPRODUCT(('Quarterly returns'!AB66:AB85-'Quarterly returns'!AA66:AA85)^2)-SUMPRODUCT(('Quarterly returns'!AB66:AB85-'Quarterly returns'!AA66:AA85))^2/20)/19)*2</f>
        <v>7.2510218685191488E-3</v>
      </c>
    </row>
  </sheetData>
  <pageMargins left="0.75" right="0.75" top="1" bottom="1" header="0.5" footer="0.5"/>
  <pageSetup fitToHeight="0"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375623"/>
    <pageSetUpPr fitToPage="1"/>
  </sheetPr>
  <dimension ref="A1:D30"/>
  <sheetViews>
    <sheetView showGridLines="0" workbookViewId="0">
      <selection activeCell="F6" sqref="F6"/>
    </sheetView>
  </sheetViews>
  <sheetFormatPr baseColWidth="10" defaultColWidth="8.83203125" defaultRowHeight="15" x14ac:dyDescent="0.2"/>
  <cols>
    <col min="1" max="1" width="44" customWidth="1"/>
    <col min="2" max="2" width="20.6640625" customWidth="1"/>
    <col min="3" max="3" width="14" customWidth="1"/>
    <col min="4" max="4" width="12" customWidth="1"/>
  </cols>
  <sheetData>
    <row r="1" spans="1:4" ht="19" x14ac:dyDescent="0.2">
      <c r="A1" s="53" t="s">
        <v>565</v>
      </c>
    </row>
    <row r="3" spans="1:4" x14ac:dyDescent="0.2">
      <c r="A3" s="58" t="s">
        <v>566</v>
      </c>
      <c r="B3" s="59"/>
      <c r="C3" s="59"/>
      <c r="D3" s="60"/>
    </row>
    <row r="4" spans="1:4" x14ac:dyDescent="0.2">
      <c r="A4" s="199" t="s">
        <v>13</v>
      </c>
      <c r="B4" s="421" t="str">
        <f>IF(COUNTIF(D7:D30,"FAIL")=0,"ALL CHECKS PASS","FAIL: "&amp;COUNTIF(D7:D30,"FAIL")&amp;" check(s)")</f>
        <v>ALL CHECKS PASS</v>
      </c>
      <c r="C4" s="200"/>
      <c r="D4" s="202"/>
    </row>
    <row r="5" spans="1:4" x14ac:dyDescent="0.2">
      <c r="A5" s="58" t="s">
        <v>567</v>
      </c>
      <c r="B5" s="59"/>
      <c r="C5" s="59"/>
      <c r="D5" s="60"/>
    </row>
    <row r="6" spans="1:4" x14ac:dyDescent="0.2">
      <c r="A6" s="64" t="s">
        <v>568</v>
      </c>
      <c r="B6" s="65" t="s">
        <v>76</v>
      </c>
      <c r="C6" s="65" t="s">
        <v>12</v>
      </c>
      <c r="D6" s="66" t="s">
        <v>13</v>
      </c>
    </row>
    <row r="7" spans="1:4" x14ac:dyDescent="0.2">
      <c r="A7" s="71" t="s">
        <v>569</v>
      </c>
      <c r="B7" s="68">
        <f>Inputs!B16</f>
        <v>1</v>
      </c>
      <c r="C7" s="68">
        <f>1</f>
        <v>1</v>
      </c>
      <c r="D7" s="411" t="str">
        <f>IF(ABS(B7-C7)&lt;0.000001,"PASS","FAIL")</f>
        <v>PASS</v>
      </c>
    </row>
    <row r="8" spans="1:4" x14ac:dyDescent="0.2">
      <c r="A8" s="71" t="s">
        <v>570</v>
      </c>
      <c r="B8" s="68">
        <f>Inputs!C16</f>
        <v>1.0000000000000002</v>
      </c>
      <c r="C8" s="68">
        <f>1</f>
        <v>1</v>
      </c>
      <c r="D8" s="411" t="str">
        <f>IF(ABS(B8-C8)&lt;0.000001,"PASS","FAIL")</f>
        <v>PASS</v>
      </c>
    </row>
    <row r="9" spans="1:4" x14ac:dyDescent="0.2">
      <c r="A9" s="71" t="s">
        <v>571</v>
      </c>
      <c r="B9" s="68">
        <f>Portfolio!E17</f>
        <v>1</v>
      </c>
      <c r="C9" s="68">
        <f>1</f>
        <v>1</v>
      </c>
      <c r="D9" s="411" t="str">
        <f>IF(ABS(B9-C9)&lt;0.000001,"PASS","FAIL")</f>
        <v>PASS</v>
      </c>
    </row>
    <row r="10" spans="1:4" x14ac:dyDescent="0.2">
      <c r="A10" s="71" t="s">
        <v>572</v>
      </c>
      <c r="B10" s="72">
        <f>MIN(Portfolio!E6:E16)</f>
        <v>0</v>
      </c>
      <c r="C10" s="72">
        <f>0</f>
        <v>0</v>
      </c>
      <c r="D10" s="411" t="str">
        <f>IF(B10&gt;=C10-0.000001,"PASS","FAIL")</f>
        <v>PASS</v>
      </c>
    </row>
    <row r="11" spans="1:4" x14ac:dyDescent="0.2">
      <c r="A11" s="71" t="s">
        <v>573</v>
      </c>
      <c r="B11" s="68">
        <f>Portfolio!B38</f>
        <v>1</v>
      </c>
      <c r="C11" s="68">
        <f>1</f>
        <v>1</v>
      </c>
      <c r="D11" s="411" t="str">
        <f>IF(B11&gt;=C11,"PASS","FAIL")</f>
        <v>PASS</v>
      </c>
    </row>
    <row r="12" spans="1:4" x14ac:dyDescent="0.2">
      <c r="A12" s="71" t="s">
        <v>574</v>
      </c>
      <c r="B12" s="68">
        <f>Portfolio!B34</f>
        <v>0.61999999999999988</v>
      </c>
      <c r="C12" s="68">
        <f>Inputs!$B$32</f>
        <v>0.62</v>
      </c>
      <c r="D12" s="411" t="str">
        <f>IF(AND(B12&gt;=Inputs!$B$31-0.000001,B12&lt;=C12+0.000001),"PASS","FAIL")</f>
        <v>PASS</v>
      </c>
    </row>
    <row r="13" spans="1:4" x14ac:dyDescent="0.2">
      <c r="A13" s="71" t="s">
        <v>575</v>
      </c>
      <c r="B13" s="68">
        <f>Portfolio!B35</f>
        <v>6.0000000000000005E-2</v>
      </c>
      <c r="C13" s="68">
        <f>Inputs!$B$33</f>
        <v>0.3</v>
      </c>
      <c r="D13" s="411" t="str">
        <f>IF(B13&lt;=C13,"PASS","FAIL")</f>
        <v>PASS</v>
      </c>
    </row>
    <row r="14" spans="1:4" x14ac:dyDescent="0.2">
      <c r="A14" s="71" t="s">
        <v>576</v>
      </c>
      <c r="B14" s="68">
        <f>Portfolio!B36</f>
        <v>0.02</v>
      </c>
      <c r="C14" s="68">
        <f>Inputs!$B$34</f>
        <v>0.02</v>
      </c>
      <c r="D14" s="411" t="str">
        <f>IF(B14&gt;=C14,"PASS","FAIL")</f>
        <v>PASS</v>
      </c>
    </row>
    <row r="15" spans="1:4" x14ac:dyDescent="0.2">
      <c r="A15" s="71" t="s">
        <v>577</v>
      </c>
      <c r="B15" s="72">
        <f>Portfolio!B33</f>
        <v>1.0997193071421192E-2</v>
      </c>
      <c r="C15" s="72">
        <f>Inputs!$B$45</f>
        <v>1.0999999999999999E-2</v>
      </c>
      <c r="D15" s="411" t="str">
        <f>IF(B15&lt;=C15+0.00005,"PASS","FAIL")</f>
        <v>PASS</v>
      </c>
    </row>
    <row r="16" spans="1:4" x14ac:dyDescent="0.2">
      <c r="A16" s="71" t="s">
        <v>578</v>
      </c>
      <c r="B16" s="72">
        <f>Bootstrap!D12</f>
        <v>1.405107452298854E-2</v>
      </c>
      <c r="C16" s="72">
        <f>Inputs!$B$27</f>
        <v>1.4999999999999999E-2</v>
      </c>
      <c r="D16" s="411" t="str">
        <f>IF(B16&lt;=C16,"PASS","FAIL")</f>
        <v>PASS</v>
      </c>
    </row>
    <row r="17" spans="1:4" x14ac:dyDescent="0.2">
      <c r="A17" s="71" t="s">
        <v>579</v>
      </c>
      <c r="B17" s="68">
        <f>Bootstrap!D6</f>
        <v>7.3999999999999996E-2</v>
      </c>
      <c r="C17" s="68">
        <f>Inputs!$B$28</f>
        <v>0.25</v>
      </c>
      <c r="D17" s="411" t="str">
        <f>IF(B17&lt;=C17,"PASS","FAIL")</f>
        <v>PASS</v>
      </c>
    </row>
    <row r="18" spans="1:4" x14ac:dyDescent="0.2">
      <c r="A18" s="71" t="s">
        <v>580</v>
      </c>
      <c r="B18" s="68">
        <f>Bootstrap!D7</f>
        <v>2.6278647117227945E-2</v>
      </c>
      <c r="C18" s="68">
        <f>Inputs!$B$28</f>
        <v>0.25</v>
      </c>
      <c r="D18" s="411" t="str">
        <f>IF(B18&lt;=C18,"PASS","FAIL")</f>
        <v>PASS</v>
      </c>
    </row>
    <row r="19" spans="1:4" x14ac:dyDescent="0.2">
      <c r="A19" s="71" t="s">
        <v>581</v>
      </c>
      <c r="B19" s="72">
        <f>MAX(Portfolio!H10:H13)</f>
        <v>9.9999999999999985E-3</v>
      </c>
      <c r="C19" s="72">
        <f>Inputs!$B$47</f>
        <v>0.02</v>
      </c>
      <c r="D19" s="411" t="str">
        <f>IF(B19&lt;=C19+0.000001,"PASS","FAIL")</f>
        <v>PASS</v>
      </c>
    </row>
    <row r="20" spans="1:4" x14ac:dyDescent="0.2">
      <c r="A20" s="71" t="s">
        <v>582</v>
      </c>
      <c r="B20" s="342">
        <f>COUNT('Quarterly returns'!N6:X85)</f>
        <v>880</v>
      </c>
      <c r="C20" s="342">
        <f>880</f>
        <v>880</v>
      </c>
      <c r="D20" s="411" t="str">
        <f>IF(B20=C20,"PASS","FAIL")</f>
        <v>PASS</v>
      </c>
    </row>
    <row r="21" spans="1:4" x14ac:dyDescent="0.2">
      <c r="A21" s="71" t="s">
        <v>583</v>
      </c>
      <c r="B21" s="342">
        <f>COUNT(Bootstrap!B102:F1101)</f>
        <v>5000</v>
      </c>
      <c r="C21" s="342">
        <f>5000</f>
        <v>5000</v>
      </c>
      <c r="D21" s="411" t="str">
        <f>IF(AND(B21=C21,MIN(Bootstrap!B102:F1101)&gt;=1,MAX(Bootstrap!B102:F1101)&lt;=77),"PASS","FAIL")</f>
        <v>PASS</v>
      </c>
    </row>
    <row r="22" spans="1:4" x14ac:dyDescent="0.2">
      <c r="A22" s="71" t="s">
        <v>584</v>
      </c>
      <c r="B22" s="232">
        <f>(Risk!B41-Risk!B5)+(Risk!G46-Risk!G10)+(Risk!L51-Risk!L15)</f>
        <v>0</v>
      </c>
      <c r="C22" s="232">
        <f>0</f>
        <v>0</v>
      </c>
      <c r="D22" s="411" t="str">
        <f>IF(ABS(B22)&lt;0.0000001,"PASS","FAIL")</f>
        <v>PASS</v>
      </c>
    </row>
    <row r="23" spans="1:4" x14ac:dyDescent="0.2">
      <c r="A23" s="71" t="s">
        <v>585</v>
      </c>
      <c r="B23" s="116">
        <f>SUM(Forecast!C55:C113)/2</f>
        <v>11</v>
      </c>
      <c r="C23" s="116">
        <f>11</f>
        <v>11</v>
      </c>
      <c r="D23" s="411" t="str">
        <f>IF(ABS(B23-C23)&lt;0.000001,"PASS","FAIL")</f>
        <v>PASS</v>
      </c>
    </row>
    <row r="24" spans="1:4" x14ac:dyDescent="0.2">
      <c r="A24" s="71" t="s">
        <v>586</v>
      </c>
      <c r="B24" s="342">
        <f>COUNT(Oil!O5:O701)</f>
        <v>697</v>
      </c>
      <c r="C24" s="342">
        <f>697</f>
        <v>697</v>
      </c>
      <c r="D24" s="411" t="str">
        <f>IF(B24=C24,"PASS","FAIL")</f>
        <v>PASS</v>
      </c>
    </row>
    <row r="25" spans="1:4" x14ac:dyDescent="0.2">
      <c r="A25" s="71" t="s">
        <v>587</v>
      </c>
      <c r="B25" s="342">
        <f>MIN(Oil!G11:G19)</f>
        <v>434</v>
      </c>
      <c r="C25" s="342">
        <f>30</f>
        <v>30</v>
      </c>
      <c r="D25" s="411" t="str">
        <f>IF(B25&gt;=C25,"PASS","FAIL")</f>
        <v>PASS</v>
      </c>
    </row>
    <row r="26" spans="1:4" x14ac:dyDescent="0.2">
      <c r="A26" s="71" t="s">
        <v>588</v>
      </c>
      <c r="B26" s="115">
        <f>SUM(Methods!B6:H16)</f>
        <v>6.9999999999999991</v>
      </c>
      <c r="C26" s="115">
        <f>7</f>
        <v>7</v>
      </c>
      <c r="D26" s="411" t="str">
        <f>IF(ABS(B26-C26)&lt;0.0001,"PASS","FAIL")</f>
        <v>PASS</v>
      </c>
    </row>
    <row r="27" spans="1:4" x14ac:dyDescent="0.2">
      <c r="A27" s="71" t="s">
        <v>589</v>
      </c>
      <c r="B27" s="115">
        <f>SUM(Validation!B113:K123)+SUM(Validation!B131:K141)</f>
        <v>19.999999999999993</v>
      </c>
      <c r="C27" s="115">
        <f>20</f>
        <v>20</v>
      </c>
      <c r="D27" s="411" t="str">
        <f>IF(ABS(B27-C27)&lt;0.0001,"PASS","FAIL")</f>
        <v>PASS</v>
      </c>
    </row>
    <row r="28" spans="1:4" x14ac:dyDescent="0.2">
      <c r="A28" s="71" t="s">
        <v>590</v>
      </c>
      <c r="B28" s="115">
        <f>SUM(Portfolio!B43:G53)</f>
        <v>5.9999999999999956</v>
      </c>
      <c r="C28" s="115">
        <f>6</f>
        <v>6</v>
      </c>
      <c r="D28" s="411" t="str">
        <f>IF(ABS(B28-C28)&lt;0.0001,"PASS","FAIL")</f>
        <v>PASS</v>
      </c>
    </row>
    <row r="29" spans="1:4" x14ac:dyDescent="0.2">
      <c r="A29" s="71" t="s">
        <v>591</v>
      </c>
      <c r="B29" s="342">
        <f>COUNT('Track record'!D5:D65)</f>
        <v>61</v>
      </c>
      <c r="C29" s="342">
        <f>61</f>
        <v>61</v>
      </c>
      <c r="D29" s="411" t="str">
        <f>IF(B29=C29,"PASS","FAIL")</f>
        <v>PASS</v>
      </c>
    </row>
    <row r="30" spans="1:4" x14ac:dyDescent="0.2">
      <c r="A30" s="73" t="s">
        <v>592</v>
      </c>
      <c r="B30" s="392">
        <f>Portfolio!B32-Risk!N56</f>
        <v>3.3701751640383137E-4</v>
      </c>
      <c r="C30" s="392">
        <f>0</f>
        <v>0</v>
      </c>
      <c r="D30" s="412" t="str">
        <f>IF(B30&gt;=C30,"PASS","FAIL")</f>
        <v>PASS</v>
      </c>
    </row>
  </sheetData>
  <conditionalFormatting sqref="B4">
    <cfRule type="cellIs" dxfId="6" priority="7" operator="equal">
      <formula>"ALL CHECKS PASS"</formula>
    </cfRule>
  </conditionalFormatting>
  <conditionalFormatting sqref="D7:D30">
    <cfRule type="cellIs" dxfId="5" priority="1" operator="equal">
      <formula>"MET"</formula>
    </cfRule>
    <cfRule type="cellIs" dxfId="4" priority="2" operator="equal">
      <formula>"PASS"</formula>
    </cfRule>
    <cfRule type="cellIs" dxfId="3" priority="3" operator="equal">
      <formula>"INFO"</formula>
    </cfRule>
    <cfRule type="cellIs" dxfId="2" priority="4" operator="equal">
      <formula>"NOT MET"</formula>
    </cfRule>
    <cfRule type="cellIs" dxfId="1" priority="5" operator="equal">
      <formula>"FAIL"</formula>
    </cfRule>
    <cfRule type="cellIs" dxfId="0" priority="6" operator="equal">
      <formula>"MAX FEASIBLE"</formula>
    </cfRule>
  </conditionalFormatting>
  <pageMargins left="0.75" right="0.75" top="1" bottom="1" header="0.5" footer="0.5"/>
  <pageSetup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595959"/>
    <pageSetUpPr fitToPage="1"/>
  </sheetPr>
  <dimension ref="A1:AD85"/>
  <sheetViews>
    <sheetView showGridLines="0" workbookViewId="0">
      <pane xSplit="1" ySplit="4" topLeftCell="B5" activePane="bottomRight" state="frozen"/>
      <selection pane="topRight"/>
      <selection pane="bottomLeft"/>
      <selection pane="bottomRight"/>
    </sheetView>
  </sheetViews>
  <sheetFormatPr baseColWidth="10" defaultColWidth="8.83203125" defaultRowHeight="15" x14ac:dyDescent="0.2"/>
  <cols>
    <col min="1" max="1" width="12" customWidth="1"/>
    <col min="2" max="12" width="10" customWidth="1"/>
    <col min="13" max="13" width="3" customWidth="1"/>
    <col min="14" max="24" width="10" customWidth="1"/>
    <col min="25" max="25" width="3" customWidth="1"/>
    <col min="26" max="30" width="11" customWidth="1"/>
  </cols>
  <sheetData>
    <row r="1" spans="1:30" ht="19" x14ac:dyDescent="0.2">
      <c r="A1" s="53" t="s">
        <v>593</v>
      </c>
    </row>
    <row r="3" spans="1:30" x14ac:dyDescent="0.2">
      <c r="A3" s="203" t="s">
        <v>594</v>
      </c>
      <c r="B3" s="204"/>
      <c r="C3" s="204"/>
      <c r="D3" s="204"/>
      <c r="E3" s="204"/>
      <c r="F3" s="204"/>
      <c r="G3" s="204"/>
      <c r="H3" s="204"/>
      <c r="I3" s="204"/>
      <c r="J3" s="204"/>
      <c r="K3" s="204"/>
      <c r="L3" s="205"/>
      <c r="N3" s="136" t="s">
        <v>595</v>
      </c>
      <c r="O3" s="137"/>
      <c r="P3" s="137"/>
      <c r="Q3" s="137"/>
      <c r="R3" s="137"/>
      <c r="S3" s="137"/>
      <c r="T3" s="137"/>
      <c r="U3" s="137"/>
      <c r="V3" s="137"/>
      <c r="W3" s="137"/>
      <c r="X3" s="138"/>
      <c r="Z3" s="247" t="s">
        <v>596</v>
      </c>
      <c r="AA3" s="248"/>
      <c r="AB3" s="248"/>
      <c r="AC3" s="248"/>
      <c r="AD3" s="249"/>
    </row>
    <row r="4" spans="1:30" ht="42" customHeight="1" x14ac:dyDescent="0.2">
      <c r="A4" s="206" t="s">
        <v>150</v>
      </c>
      <c r="B4" s="207" t="s">
        <v>14</v>
      </c>
      <c r="C4" s="207" t="s">
        <v>16</v>
      </c>
      <c r="D4" s="207" t="s">
        <v>18</v>
      </c>
      <c r="E4" s="207" t="s">
        <v>20</v>
      </c>
      <c r="F4" s="207" t="s">
        <v>22</v>
      </c>
      <c r="G4" s="207" t="s">
        <v>24</v>
      </c>
      <c r="H4" s="207" t="s">
        <v>26</v>
      </c>
      <c r="I4" s="207" t="s">
        <v>28</v>
      </c>
      <c r="J4" s="207" t="s">
        <v>30</v>
      </c>
      <c r="K4" s="207" t="s">
        <v>32</v>
      </c>
      <c r="L4" s="208" t="s">
        <v>34</v>
      </c>
      <c r="N4" s="139" t="s">
        <v>14</v>
      </c>
      <c r="O4" s="140" t="s">
        <v>16</v>
      </c>
      <c r="P4" s="140" t="s">
        <v>18</v>
      </c>
      <c r="Q4" s="140" t="s">
        <v>20</v>
      </c>
      <c r="R4" s="140" t="s">
        <v>22</v>
      </c>
      <c r="S4" s="140" t="s">
        <v>24</v>
      </c>
      <c r="T4" s="140" t="s">
        <v>26</v>
      </c>
      <c r="U4" s="140" t="s">
        <v>28</v>
      </c>
      <c r="V4" s="140" t="s">
        <v>30</v>
      </c>
      <c r="W4" s="140" t="s">
        <v>32</v>
      </c>
      <c r="X4" s="141" t="s">
        <v>34</v>
      </c>
      <c r="Z4" s="252" t="s">
        <v>6</v>
      </c>
      <c r="AA4" s="253" t="s">
        <v>7</v>
      </c>
      <c r="AB4" s="253" t="s">
        <v>8</v>
      </c>
      <c r="AC4" s="253" t="s">
        <v>597</v>
      </c>
      <c r="AD4" s="254" t="s">
        <v>598</v>
      </c>
    </row>
    <row r="5" spans="1:30" x14ac:dyDescent="0.2">
      <c r="A5" s="393">
        <f>Data!A257</f>
        <v>38807</v>
      </c>
      <c r="B5" s="72">
        <f>Data!B257/Data!B254-1</f>
        <v>9.3882110127455398E-2</v>
      </c>
      <c r="C5" s="72">
        <f>Data!C257/Data!C254-1</f>
        <v>9.2440309490524619E-2</v>
      </c>
      <c r="D5" s="72">
        <f>Data!D257/Data!D254-1</f>
        <v>0.12824846360924558</v>
      </c>
      <c r="E5" s="72">
        <f>Data!E257/Data!E254-1</f>
        <v>0.16017303502252322</v>
      </c>
      <c r="F5" s="72">
        <f>Data!F257/Data!F254-1</f>
        <v>1.4384653207635045E-2</v>
      </c>
      <c r="G5" s="72">
        <f>Data!G257/Data!G254-1</f>
        <v>1.3918022293715193E-2</v>
      </c>
      <c r="H5" s="72">
        <f>Data!H257/Data!H254-1</f>
        <v>-4.1159507589998423E-3</v>
      </c>
      <c r="I5" s="72">
        <f>Data!I257/Data!I254-1</f>
        <v>0.11159084526818308</v>
      </c>
      <c r="J5" s="72">
        <f>Data!J257/Data!J254-1</f>
        <v>8.5183701986981664E-3</v>
      </c>
      <c r="K5" s="72">
        <f>Data!K257/Data!K254-1</f>
        <v>-4.6507386467264933E-3</v>
      </c>
      <c r="L5" s="211">
        <f>Data!L257/Data!L254-1</f>
        <v>1.389878499578634E-2</v>
      </c>
      <c r="N5" s="288"/>
      <c r="O5" s="77"/>
      <c r="P5" s="77"/>
      <c r="Q5" s="77"/>
      <c r="R5" s="77"/>
      <c r="S5" s="77"/>
      <c r="T5" s="77"/>
      <c r="U5" s="77"/>
      <c r="V5" s="77"/>
      <c r="W5" s="77"/>
      <c r="X5" s="289"/>
      <c r="Z5" s="257"/>
      <c r="AA5" s="77"/>
      <c r="AB5" s="77"/>
      <c r="AC5" s="77"/>
      <c r="AD5" s="251"/>
    </row>
    <row r="6" spans="1:30" x14ac:dyDescent="0.2">
      <c r="A6" s="393">
        <f>Data!A260</f>
        <v>38898</v>
      </c>
      <c r="B6" s="72">
        <f>Data!B260/Data!B257-1</f>
        <v>-2.180981903020851E-3</v>
      </c>
      <c r="C6" s="72">
        <f>Data!C260/Data!C257-1</f>
        <v>-6.768354413328459E-2</v>
      </c>
      <c r="D6" s="72">
        <f>Data!D260/Data!D257-1</f>
        <v>-6.7941461236878276E-2</v>
      </c>
      <c r="E6" s="72">
        <f>Data!E260/Data!E257-1</f>
        <v>-5.2269687623089589E-2</v>
      </c>
      <c r="F6" s="72">
        <f>Data!F260/Data!F257-1</f>
        <v>2.4458257881059486E-2</v>
      </c>
      <c r="G6" s="72">
        <f>Data!G260/Data!G257-1</f>
        <v>3.9447848652756079E-2</v>
      </c>
      <c r="H6" s="72">
        <f>Data!H260/Data!H257-1</f>
        <v>3.0542549119999318E-2</v>
      </c>
      <c r="I6" s="72">
        <f>Data!I260/Data!I257-1</f>
        <v>0.10430416521931329</v>
      </c>
      <c r="J6" s="72">
        <f>Data!J260/Data!J257-1</f>
        <v>1.1194305688988493E-4</v>
      </c>
      <c r="K6" s="72">
        <f>Data!K260/Data!K257-1</f>
        <v>1.511681172697843E-3</v>
      </c>
      <c r="L6" s="211">
        <f>Data!L260/Data!L257-1</f>
        <v>1.4128440366972139E-2</v>
      </c>
      <c r="N6" s="394">
        <f t="shared" ref="N6:N37" si="0">B6</f>
        <v>-2.180981903020851E-3</v>
      </c>
      <c r="O6" s="72">
        <f t="shared" ref="O6:O37" si="1">C6</f>
        <v>-6.768354413328459E-2</v>
      </c>
      <c r="P6" s="72">
        <f t="shared" ref="P6:P37" si="2">D6</f>
        <v>-6.7941461236878276E-2</v>
      </c>
      <c r="Q6" s="72">
        <f t="shared" ref="Q6:Q37" si="3">E6</f>
        <v>-5.2269687623089589E-2</v>
      </c>
      <c r="R6" s="72">
        <f t="shared" ref="R6:R37" si="4">F6</f>
        <v>2.4458257881059486E-2</v>
      </c>
      <c r="S6" s="72">
        <f>(G6-Inputs!$B$39*G5)/(1-Inputs!$B$39)</f>
        <v>8.6860383319546305E-2</v>
      </c>
      <c r="T6" s="72">
        <f t="shared" ref="T6:T37" si="5">H6</f>
        <v>3.0542549119999318E-2</v>
      </c>
      <c r="U6" s="72">
        <f>(I6-Inputs!$B$40*I5)/(1-Inputs!$B$40)</f>
        <v>0.10200310836177547</v>
      </c>
      <c r="V6" s="72">
        <f t="shared" ref="V6:V37" si="6">J6</f>
        <v>1.1194305688988493E-4</v>
      </c>
      <c r="W6" s="72">
        <f t="shared" ref="W6:W37" si="7">K6</f>
        <v>1.511681172697843E-3</v>
      </c>
      <c r="X6" s="145">
        <f t="shared" ref="X6:X37" si="8">L6</f>
        <v>1.4128440366972139E-2</v>
      </c>
      <c r="Z6" s="395">
        <f>SUMPRODUCT($N6:$X6,Risk!$B$56:$L$56)</f>
        <v>-1.8509353572136854E-2</v>
      </c>
      <c r="AA6" s="72">
        <f>SUMPRODUCT($N6:$X6,Risk!$B$57:$L$57)</f>
        <v>-1.3072053822443877E-2</v>
      </c>
      <c r="AB6" s="72">
        <f>SUMPRODUCT($N6:$X6,Risk!$B$58:$L$58)</f>
        <v>-2.1768461954388307E-2</v>
      </c>
      <c r="AC6" s="72">
        <f>SUMPRODUCT($N6:$X6,Risk!$B$63:$L$63)</f>
        <v>-2.1150588021444997E-2</v>
      </c>
      <c r="AD6" s="263">
        <f>SUMPRODUCT($N6:$X6,Risk!$B$64:$L$64)</f>
        <v>-1.2312422267610007E-2</v>
      </c>
    </row>
    <row r="7" spans="1:30" x14ac:dyDescent="0.2">
      <c r="A7" s="393">
        <f>Data!A263</f>
        <v>38989</v>
      </c>
      <c r="B7" s="72">
        <f>Data!B263/Data!B260-1</f>
        <v>2.8803415141083422E-2</v>
      </c>
      <c r="C7" s="72">
        <f>Data!C263/Data!C260-1</f>
        <v>4.6301303017043383E-2</v>
      </c>
      <c r="D7" s="72">
        <f>Data!D263/Data!D260-1</f>
        <v>5.0436493826741868E-2</v>
      </c>
      <c r="E7" s="72">
        <f>Data!E263/Data!E260-1</f>
        <v>9.5765133179939621E-2</v>
      </c>
      <c r="F7" s="72">
        <f>Data!F263/Data!F260-1</f>
        <v>-0.15899849794152188</v>
      </c>
      <c r="G7" s="72">
        <f>Data!G263/Data!G260-1</f>
        <v>2.1235814965479882E-2</v>
      </c>
      <c r="H7" s="72">
        <f>Data!H263/Data!H260-1</f>
        <v>4.6650578300000412E-2</v>
      </c>
      <c r="I7" s="72">
        <f>Data!I263/Data!I260-1</f>
        <v>3.8590220188733149E-2</v>
      </c>
      <c r="J7" s="72">
        <f>Data!J263/Data!J260-1</f>
        <v>1.9883507776004006E-2</v>
      </c>
      <c r="K7" s="72">
        <f>Data!K263/Data!K260-1</f>
        <v>3.57224534601841E-2</v>
      </c>
      <c r="L7" s="211">
        <f>Data!L263/Data!L260-1</f>
        <v>1.5236113624027547E-2</v>
      </c>
      <c r="N7" s="394">
        <f t="shared" si="0"/>
        <v>2.8803415141083422E-2</v>
      </c>
      <c r="O7" s="72">
        <f t="shared" si="1"/>
        <v>4.6301303017043383E-2</v>
      </c>
      <c r="P7" s="72">
        <f t="shared" si="2"/>
        <v>5.0436493826741868E-2</v>
      </c>
      <c r="Q7" s="72">
        <f t="shared" si="3"/>
        <v>9.5765133179939621E-2</v>
      </c>
      <c r="R7" s="72">
        <f t="shared" si="4"/>
        <v>-0.15899849794152188</v>
      </c>
      <c r="S7" s="72">
        <f>(G7-Inputs!$B$39*G6)/(1-Inputs!$B$39)</f>
        <v>-1.2586533310890198E-2</v>
      </c>
      <c r="T7" s="72">
        <f t="shared" si="5"/>
        <v>4.6650578300000412E-2</v>
      </c>
      <c r="U7" s="72">
        <f>(I7-Inputs!$B$40*I6)/(1-Inputs!$B$40)</f>
        <v>1.7838448073813105E-2</v>
      </c>
      <c r="V7" s="72">
        <f t="shared" si="6"/>
        <v>1.9883507776004006E-2</v>
      </c>
      <c r="W7" s="72">
        <f t="shared" si="7"/>
        <v>3.57224534601841E-2</v>
      </c>
      <c r="X7" s="145">
        <f t="shared" si="8"/>
        <v>1.5236113624027547E-2</v>
      </c>
      <c r="Z7" s="395">
        <f>SUMPRODUCT($N7:$X7,Risk!$B$56:$L$56)</f>
        <v>3.726499037473327E-2</v>
      </c>
      <c r="AA7" s="72">
        <f>SUMPRODUCT($N7:$X7,Risk!$B$57:$L$57)</f>
        <v>3.1825439191580394E-2</v>
      </c>
      <c r="AB7" s="72">
        <f>SUMPRODUCT($N7:$X7,Risk!$B$58:$L$58)</f>
        <v>3.1489238366336859E-2</v>
      </c>
      <c r="AC7" s="72">
        <f>SUMPRODUCT($N7:$X7,Risk!$B$63:$L$63)</f>
        <v>3.1504272722191487E-2</v>
      </c>
      <c r="AD7" s="263">
        <f>SUMPRODUCT($N7:$X7,Risk!$B$64:$L$64)</f>
        <v>3.0601488645763432E-2</v>
      </c>
    </row>
    <row r="8" spans="1:30" x14ac:dyDescent="0.2">
      <c r="A8" s="393">
        <f>Data!A266</f>
        <v>39080</v>
      </c>
      <c r="B8" s="72">
        <f>Data!B266/Data!B263-1</f>
        <v>0.11284762686821881</v>
      </c>
      <c r="C8" s="72">
        <f>Data!C266/Data!C263-1</f>
        <v>1.4080907722025859E-2</v>
      </c>
      <c r="D8" s="72">
        <f>Data!D266/Data!D263-1</f>
        <v>8.5522875278441601E-2</v>
      </c>
      <c r="E8" s="72">
        <f>Data!E266/Data!E263-1</f>
        <v>5.1651939713760919E-2</v>
      </c>
      <c r="F8" s="72">
        <f>Data!F266/Data!F263-1</f>
        <v>-9.5833580284450104E-2</v>
      </c>
      <c r="G8" s="72">
        <f>Data!G266/Data!G263-1</f>
        <v>2.0910835498671343E-2</v>
      </c>
      <c r="H8" s="72">
        <f>Data!H266/Data!H263-1</f>
        <v>-6.042686992000279E-3</v>
      </c>
      <c r="I8" s="72">
        <f>Data!I266/Data!I263-1</f>
        <v>9.7303101639615086E-2</v>
      </c>
      <c r="J8" s="72">
        <f>Data!J266/Data!J263-1</f>
        <v>2.6484553438128611E-3</v>
      </c>
      <c r="K8" s="72">
        <f>Data!K266/Data!K263-1</f>
        <v>1.1261261261261479E-2</v>
      </c>
      <c r="L8" s="211">
        <f>Data!L266/Data!L263-1</f>
        <v>1.5638338255028694E-2</v>
      </c>
      <c r="N8" s="394">
        <f t="shared" si="0"/>
        <v>0.11284762686821881</v>
      </c>
      <c r="O8" s="72">
        <f t="shared" si="1"/>
        <v>1.4080907722025859E-2</v>
      </c>
      <c r="P8" s="72">
        <f t="shared" si="2"/>
        <v>8.5522875278441601E-2</v>
      </c>
      <c r="Q8" s="72">
        <f t="shared" si="3"/>
        <v>5.1651939713760919E-2</v>
      </c>
      <c r="R8" s="72">
        <f t="shared" si="4"/>
        <v>-9.5833580284450104E-2</v>
      </c>
      <c r="S8" s="72">
        <f>(G8-Inputs!$B$39*G7)/(1-Inputs!$B$39)</f>
        <v>2.0307302203169772E-2</v>
      </c>
      <c r="T8" s="72">
        <f t="shared" si="5"/>
        <v>-6.042686992000279E-3</v>
      </c>
      <c r="U8" s="72">
        <f>(I8-Inputs!$B$40*I7)/(1-Inputs!$B$40)</f>
        <v>0.11584401157147255</v>
      </c>
      <c r="V8" s="72">
        <f t="shared" si="6"/>
        <v>2.6484553438128611E-3</v>
      </c>
      <c r="W8" s="72">
        <f t="shared" si="7"/>
        <v>1.1261261261261479E-2</v>
      </c>
      <c r="X8" s="145">
        <f t="shared" si="8"/>
        <v>1.5638338255028694E-2</v>
      </c>
      <c r="Z8" s="395">
        <f>SUMPRODUCT($N8:$X8,Risk!$B$56:$L$56)</f>
        <v>5.5513279143393643E-2</v>
      </c>
      <c r="AA8" s="72">
        <f>SUMPRODUCT($N8:$X8,Risk!$B$57:$L$57)</f>
        <v>4.2244052485034503E-2</v>
      </c>
      <c r="AB8" s="72">
        <f>SUMPRODUCT($N8:$X8,Risk!$B$58:$L$58)</f>
        <v>4.544586862368924E-2</v>
      </c>
      <c r="AC8" s="72">
        <f>SUMPRODUCT($N8:$X8,Risk!$B$63:$L$63)</f>
        <v>4.4906637580562292E-2</v>
      </c>
      <c r="AD8" s="263">
        <f>SUMPRODUCT($N8:$X8,Risk!$B$64:$L$64)</f>
        <v>3.9923508747867903E-2</v>
      </c>
    </row>
    <row r="9" spans="1:30" x14ac:dyDescent="0.2">
      <c r="A9" s="393">
        <f>Data!A269</f>
        <v>39171</v>
      </c>
      <c r="B9" s="72">
        <f>Data!B269/Data!B266-1</f>
        <v>7.0857953809705609E-2</v>
      </c>
      <c r="C9" s="72">
        <f>Data!C269/Data!C266-1</f>
        <v>-2.7267198449612007E-3</v>
      </c>
      <c r="D9" s="72">
        <f>Data!D269/Data!D266-1</f>
        <v>-1.4327634799519151E-3</v>
      </c>
      <c r="E9" s="72">
        <f>Data!E269/Data!E266-1</f>
        <v>2.738425815779677E-2</v>
      </c>
      <c r="F9" s="72">
        <f>Data!F269/Data!F266-1</f>
        <v>2.6457886747493609E-2</v>
      </c>
      <c r="G9" s="72">
        <f>Data!G269/Data!G266-1</f>
        <v>1.1798543250459481E-2</v>
      </c>
      <c r="H9" s="72">
        <f>Data!H269/Data!H266-1</f>
        <v>4.4527814764000473E-2</v>
      </c>
      <c r="I9" s="72">
        <f>Data!I269/Data!I266-1</f>
        <v>2.7902191777384733E-2</v>
      </c>
      <c r="J9" s="72">
        <f>Data!J269/Data!J266-1</f>
        <v>1.4002420477403854E-2</v>
      </c>
      <c r="K9" s="72">
        <f>Data!K269/Data!K266-1</f>
        <v>1.4105419450630707E-2</v>
      </c>
      <c r="L9" s="211">
        <f>Data!L269/Data!L266-1</f>
        <v>1.572041214537423E-2</v>
      </c>
      <c r="N9" s="394">
        <f t="shared" si="0"/>
        <v>7.0857953809705609E-2</v>
      </c>
      <c r="O9" s="72">
        <f t="shared" si="1"/>
        <v>-2.7267198449612007E-3</v>
      </c>
      <c r="P9" s="72">
        <f t="shared" si="2"/>
        <v>-1.4327634799519151E-3</v>
      </c>
      <c r="Q9" s="72">
        <f t="shared" si="3"/>
        <v>2.738425815779677E-2</v>
      </c>
      <c r="R9" s="72">
        <f t="shared" si="4"/>
        <v>2.6457886747493609E-2</v>
      </c>
      <c r="S9" s="72">
        <f>(G9-Inputs!$B$39*G8)/(1-Inputs!$B$39)</f>
        <v>-5.1242852105054084E-3</v>
      </c>
      <c r="T9" s="72">
        <f t="shared" si="5"/>
        <v>4.4527814764000473E-2</v>
      </c>
      <c r="U9" s="72">
        <f>(I9-Inputs!$B$40*I8)/(1-Inputs!$B$40)</f>
        <v>5.9861149787856739E-3</v>
      </c>
      <c r="V9" s="72">
        <f t="shared" si="6"/>
        <v>1.4002420477403854E-2</v>
      </c>
      <c r="W9" s="72">
        <f t="shared" si="7"/>
        <v>1.4105419450630707E-2</v>
      </c>
      <c r="X9" s="145">
        <f t="shared" si="8"/>
        <v>1.572041214537423E-2</v>
      </c>
      <c r="Z9" s="395">
        <f>SUMPRODUCT($N9:$X9,Risk!$B$56:$L$56)</f>
        <v>3.4865488848506911E-2</v>
      </c>
      <c r="AA9" s="72">
        <f>SUMPRODUCT($N9:$X9,Risk!$B$57:$L$57)</f>
        <v>2.4705899593758265E-2</v>
      </c>
      <c r="AB9" s="72">
        <f>SUMPRODUCT($N9:$X9,Risk!$B$58:$L$58)</f>
        <v>2.3962981075720015E-2</v>
      </c>
      <c r="AC9" s="72">
        <f>SUMPRODUCT($N9:$X9,Risk!$B$63:$L$63)</f>
        <v>2.4607869165527336E-2</v>
      </c>
      <c r="AD9" s="263">
        <f>SUMPRODUCT($N9:$X9,Risk!$B$64:$L$64)</f>
        <v>2.4587925939640553E-2</v>
      </c>
    </row>
    <row r="10" spans="1:30" x14ac:dyDescent="0.2">
      <c r="A10" s="393">
        <f>Data!A272</f>
        <v>39262</v>
      </c>
      <c r="B10" s="72">
        <f>Data!B272/Data!B269-1</f>
        <v>6.2630349286109999E-2</v>
      </c>
      <c r="C10" s="72">
        <f>Data!C272/Data!C269-1</f>
        <v>1.0726126531951152E-2</v>
      </c>
      <c r="D10" s="72">
        <f>Data!D272/Data!D269-1</f>
        <v>7.266500836229528E-2</v>
      </c>
      <c r="E10" s="72">
        <f>Data!E272/Data!E269-1</f>
        <v>-0.11973696145019308</v>
      </c>
      <c r="F10" s="72">
        <f>Data!F272/Data!F269-1</f>
        <v>-3.5052161390727976E-2</v>
      </c>
      <c r="G10" s="72">
        <f>Data!G272/Data!G269-1</f>
        <v>4.7854296344798763E-2</v>
      </c>
      <c r="H10" s="72">
        <f>Data!H272/Data!H269-1</f>
        <v>3.3719171800000058E-2</v>
      </c>
      <c r="I10" s="72">
        <f>Data!I272/Data!I269-1</f>
        <v>9.400593182067829E-2</v>
      </c>
      <c r="J10" s="72">
        <f>Data!J272/Data!J269-1</f>
        <v>2.8697589728337025E-3</v>
      </c>
      <c r="K10" s="72">
        <f>Data!K272/Data!K269-1</f>
        <v>-4.6938248212902156E-3</v>
      </c>
      <c r="L10" s="211">
        <f>Data!L272/Data!L269-1</f>
        <v>1.6147394425201522E-2</v>
      </c>
      <c r="N10" s="394">
        <f t="shared" si="0"/>
        <v>6.2630349286109999E-2</v>
      </c>
      <c r="O10" s="72">
        <f t="shared" si="1"/>
        <v>1.0726126531951152E-2</v>
      </c>
      <c r="P10" s="72">
        <f t="shared" si="2"/>
        <v>7.266500836229528E-2</v>
      </c>
      <c r="Q10" s="72">
        <f t="shared" si="3"/>
        <v>-0.11973696145019308</v>
      </c>
      <c r="R10" s="72">
        <f t="shared" si="4"/>
        <v>-3.5052161390727976E-2</v>
      </c>
      <c r="S10" s="72">
        <f>(G10-Inputs!$B$39*G9)/(1-Inputs!$B$39)</f>
        <v>0.11481498066285745</v>
      </c>
      <c r="T10" s="72">
        <f t="shared" si="5"/>
        <v>3.3719171800000058E-2</v>
      </c>
      <c r="U10" s="72">
        <f>(I10-Inputs!$B$40*I9)/(1-Inputs!$B$40)</f>
        <v>0.11488079709750783</v>
      </c>
      <c r="V10" s="72">
        <f t="shared" si="6"/>
        <v>2.8697589728337025E-3</v>
      </c>
      <c r="W10" s="72">
        <f t="shared" si="7"/>
        <v>-4.6938248212902156E-3</v>
      </c>
      <c r="X10" s="145">
        <f t="shared" si="8"/>
        <v>1.6147394425201522E-2</v>
      </c>
      <c r="Z10" s="395">
        <f>SUMPRODUCT($N10:$X10,Risk!$B$56:$L$56)</f>
        <v>1.6408944345800869E-2</v>
      </c>
      <c r="AA10" s="72">
        <f>SUMPRODUCT($N10:$X10,Risk!$B$57:$L$57)</f>
        <v>2.1897792869415511E-2</v>
      </c>
      <c r="AB10" s="72">
        <f>SUMPRODUCT($N10:$X10,Risk!$B$58:$L$58)</f>
        <v>2.2633683081709221E-2</v>
      </c>
      <c r="AC10" s="72">
        <f>SUMPRODUCT($N10:$X10,Risk!$B$63:$L$63)</f>
        <v>2.0719208210038136E-2</v>
      </c>
      <c r="AD10" s="263">
        <f>SUMPRODUCT($N10:$X10,Risk!$B$64:$L$64)</f>
        <v>1.4552725458102636E-2</v>
      </c>
    </row>
    <row r="11" spans="1:30" x14ac:dyDescent="0.2">
      <c r="A11" s="393">
        <f>Data!A275</f>
        <v>39353</v>
      </c>
      <c r="B11" s="72">
        <f>Data!B275/Data!B272-1</f>
        <v>5.4826777521899572E-2</v>
      </c>
      <c r="C11" s="72">
        <f>Data!C275/Data!C272-1</f>
        <v>-4.230175160096894E-2</v>
      </c>
      <c r="D11" s="72">
        <f>Data!D275/Data!D272-1</f>
        <v>7.9609221374399519E-2</v>
      </c>
      <c r="E11" s="72">
        <f>Data!E275/Data!E272-1</f>
        <v>-4.0991998231941551E-2</v>
      </c>
      <c r="F11" s="72">
        <f>Data!F275/Data!F272-1</f>
        <v>6.8641848486632906E-2</v>
      </c>
      <c r="G11" s="72">
        <f>Data!G275/Data!G272-1</f>
        <v>3.8778718971763881E-2</v>
      </c>
      <c r="H11" s="72">
        <f>Data!H275/Data!H272-1</f>
        <v>5.9652797549000214E-2</v>
      </c>
      <c r="I11" s="72">
        <f>Data!I275/Data!I272-1</f>
        <v>-3.0100521013465942E-2</v>
      </c>
      <c r="J11" s="72">
        <f>Data!J275/Data!J272-1</f>
        <v>1.4835770759417111E-2</v>
      </c>
      <c r="K11" s="72">
        <f>Data!K275/Data!K272-1</f>
        <v>2.9225976723055602E-2</v>
      </c>
      <c r="L11" s="211">
        <f>Data!L275/Data!L272-1</f>
        <v>1.6373626747273606E-2</v>
      </c>
      <c r="N11" s="394">
        <f t="shared" si="0"/>
        <v>5.4826777521899572E-2</v>
      </c>
      <c r="O11" s="72">
        <f t="shared" si="1"/>
        <v>-4.230175160096894E-2</v>
      </c>
      <c r="P11" s="72">
        <f t="shared" si="2"/>
        <v>7.9609221374399519E-2</v>
      </c>
      <c r="Q11" s="72">
        <f t="shared" si="3"/>
        <v>-4.0991998231941551E-2</v>
      </c>
      <c r="R11" s="72">
        <f t="shared" si="4"/>
        <v>6.8641848486632906E-2</v>
      </c>
      <c r="S11" s="72">
        <f>(G11-Inputs!$B$39*G10)/(1-Inputs!$B$39)</f>
        <v>2.1924075278984816E-2</v>
      </c>
      <c r="T11" s="72">
        <f t="shared" si="5"/>
        <v>5.9652797549000214E-2</v>
      </c>
      <c r="U11" s="72">
        <f>(I11-Inputs!$B$40*I10)/(1-Inputs!$B$40)</f>
        <v>-6.9292032434774636E-2</v>
      </c>
      <c r="V11" s="72">
        <f t="shared" si="6"/>
        <v>1.4835770759417111E-2</v>
      </c>
      <c r="W11" s="72">
        <f t="shared" si="7"/>
        <v>2.9225976723055602E-2</v>
      </c>
      <c r="X11" s="145">
        <f t="shared" si="8"/>
        <v>1.6373626747273606E-2</v>
      </c>
      <c r="Z11" s="395">
        <f>SUMPRODUCT($N11:$X11,Risk!$B$56:$L$56)</f>
        <v>1.5080758489438056E-2</v>
      </c>
      <c r="AA11" s="72">
        <f>SUMPRODUCT($N11:$X11,Risk!$B$57:$L$57)</f>
        <v>1.1036048596619811E-2</v>
      </c>
      <c r="AB11" s="72">
        <f>SUMPRODUCT($N11:$X11,Risk!$B$58:$L$58)</f>
        <v>1.2870726200361707E-2</v>
      </c>
      <c r="AC11" s="72">
        <f>SUMPRODUCT($N11:$X11,Risk!$B$63:$L$63)</f>
        <v>1.1248301160919244E-2</v>
      </c>
      <c r="AD11" s="263">
        <f>SUMPRODUCT($N11:$X11,Risk!$B$64:$L$64)</f>
        <v>1.7794238886942027E-2</v>
      </c>
    </row>
    <row r="12" spans="1:30" x14ac:dyDescent="0.2">
      <c r="A12" s="393">
        <f>Data!A278</f>
        <v>39447</v>
      </c>
      <c r="B12" s="72">
        <f>Data!B278/Data!B275-1</f>
        <v>-1.7313281901245703E-2</v>
      </c>
      <c r="C12" s="72">
        <f>Data!C278/Data!C275-1</f>
        <v>-2.1733511929453386E-2</v>
      </c>
      <c r="D12" s="72">
        <f>Data!D278/Data!D275-1</f>
        <v>3.7027074891167189E-2</v>
      </c>
      <c r="E12" s="72">
        <f>Data!E278/Data!E275-1</f>
        <v>-0.11270629677378152</v>
      </c>
      <c r="F12" s="72">
        <f>Data!F278/Data!F275-1</f>
        <v>0.12517244805375149</v>
      </c>
      <c r="G12" s="72">
        <f>Data!G278/Data!G275-1</f>
        <v>4.1000923319990834E-2</v>
      </c>
      <c r="H12" s="72">
        <f>Data!H278/Data!H275-1</f>
        <v>5.2806820160000711E-3</v>
      </c>
      <c r="I12" s="72">
        <f>Data!I278/Data!I275-1</f>
        <v>4.9393224823143678E-2</v>
      </c>
      <c r="J12" s="72">
        <f>Data!J278/Data!J275-1</f>
        <v>2.547548909737074E-3</v>
      </c>
      <c r="K12" s="72">
        <f>Data!K278/Data!K275-1</f>
        <v>2.6399310591252334E-2</v>
      </c>
      <c r="L12" s="211">
        <f>Data!L278/Data!L275-1</f>
        <v>1.7431289339999712E-2</v>
      </c>
      <c r="N12" s="394">
        <f t="shared" si="0"/>
        <v>-1.7313281901245703E-2</v>
      </c>
      <c r="O12" s="72">
        <f t="shared" si="1"/>
        <v>-2.1733511929453386E-2</v>
      </c>
      <c r="P12" s="72">
        <f t="shared" si="2"/>
        <v>3.7027074891167189E-2</v>
      </c>
      <c r="Q12" s="72">
        <f t="shared" si="3"/>
        <v>-0.11270629677378152</v>
      </c>
      <c r="R12" s="72">
        <f t="shared" si="4"/>
        <v>0.12517244805375149</v>
      </c>
      <c r="S12" s="72">
        <f>(G12-Inputs!$B$39*G11)/(1-Inputs!$B$39)</f>
        <v>4.5127874252412319E-2</v>
      </c>
      <c r="T12" s="72">
        <f t="shared" si="5"/>
        <v>5.2806820160000711E-3</v>
      </c>
      <c r="U12" s="72">
        <f>(I12-Inputs!$B$40*I11)/(1-Inputs!$B$40)</f>
        <v>7.4496512982073035E-2</v>
      </c>
      <c r="V12" s="72">
        <f t="shared" si="6"/>
        <v>2.547548909737074E-3</v>
      </c>
      <c r="W12" s="72">
        <f t="shared" si="7"/>
        <v>2.6399310591252334E-2</v>
      </c>
      <c r="X12" s="145">
        <f t="shared" si="8"/>
        <v>1.7431289339999712E-2</v>
      </c>
      <c r="Z12" s="395">
        <f>SUMPRODUCT($N12:$X12,Risk!$B$56:$L$56)</f>
        <v>-1.8828377386206383E-2</v>
      </c>
      <c r="AA12" s="72">
        <f>SUMPRODUCT($N12:$X12,Risk!$B$57:$L$57)</f>
        <v>-5.3863136495711514E-3</v>
      </c>
      <c r="AB12" s="72">
        <f>SUMPRODUCT($N12:$X12,Risk!$B$58:$L$58)</f>
        <v>-7.1299865827255263E-3</v>
      </c>
      <c r="AC12" s="72">
        <f>SUMPRODUCT($N12:$X12,Risk!$B$63:$L$63)</f>
        <v>-9.1945492515181377E-3</v>
      </c>
      <c r="AD12" s="263">
        <f>SUMPRODUCT($N12:$X12,Risk!$B$64:$L$64)</f>
        <v>-3.0357638883971999E-3</v>
      </c>
    </row>
    <row r="13" spans="1:30" x14ac:dyDescent="0.2">
      <c r="A13" s="393">
        <f>Data!A281</f>
        <v>39538</v>
      </c>
      <c r="B13" s="72">
        <f>Data!B281/Data!B278-1</f>
        <v>-0.1467672046973344</v>
      </c>
      <c r="C13" s="72">
        <f>Data!C281/Data!C278-1</f>
        <v>-0.15154158098296311</v>
      </c>
      <c r="D13" s="72">
        <f>Data!D281/Data!D278-1</f>
        <v>-0.14332002141885647</v>
      </c>
      <c r="E13" s="72">
        <f>Data!E281/Data!E278-1</f>
        <v>-7.7226961716570064E-2</v>
      </c>
      <c r="F13" s="72">
        <f>Data!F281/Data!F278-1</f>
        <v>5.7335172591622241E-2</v>
      </c>
      <c r="G13" s="72">
        <f>Data!G281/Data!G278-1</f>
        <v>7.4383054358655443E-3</v>
      </c>
      <c r="H13" s="72">
        <f>Data!H281/Data!H278-1</f>
        <v>1.1607932016000078E-2</v>
      </c>
      <c r="I13" s="72">
        <f>Data!I281/Data!I278-1</f>
        <v>-6.5001260564075958E-3</v>
      </c>
      <c r="J13" s="72">
        <f>Data!J281/Data!J278-1</f>
        <v>2.2113144725521838E-2</v>
      </c>
      <c r="K13" s="72">
        <f>Data!K281/Data!K278-1</f>
        <v>2.7256158745111003E-2</v>
      </c>
      <c r="L13" s="211">
        <f>Data!L281/Data!L278-1</f>
        <v>1.8151956255116675E-2</v>
      </c>
      <c r="N13" s="394">
        <f t="shared" si="0"/>
        <v>-0.1467672046973344</v>
      </c>
      <c r="O13" s="72">
        <f t="shared" si="1"/>
        <v>-0.15154158098296311</v>
      </c>
      <c r="P13" s="72">
        <f t="shared" si="2"/>
        <v>-0.14332002141885647</v>
      </c>
      <c r="Q13" s="72">
        <f t="shared" si="3"/>
        <v>-7.7226961716570064E-2</v>
      </c>
      <c r="R13" s="72">
        <f t="shared" si="4"/>
        <v>5.7335172591622241E-2</v>
      </c>
      <c r="S13" s="72">
        <f>(G13-Inputs!$B$39*G12)/(1-Inputs!$B$39)</f>
        <v>-5.4892270634652851E-2</v>
      </c>
      <c r="T13" s="72">
        <f t="shared" si="5"/>
        <v>1.1607932016000078E-2</v>
      </c>
      <c r="U13" s="72">
        <f>(I13-Inputs!$B$40*I12)/(1-Inputs!$B$40)</f>
        <v>-2.4150657913107994E-2</v>
      </c>
      <c r="V13" s="72">
        <f t="shared" si="6"/>
        <v>2.2113144725521838E-2</v>
      </c>
      <c r="W13" s="72">
        <f t="shared" si="7"/>
        <v>2.7256158745111003E-2</v>
      </c>
      <c r="X13" s="145">
        <f t="shared" si="8"/>
        <v>1.8151956255116675E-2</v>
      </c>
      <c r="Z13" s="395">
        <f>SUMPRODUCT($N13:$X13,Risk!$B$56:$L$56)</f>
        <v>-8.9969792900888065E-2</v>
      </c>
      <c r="AA13" s="72">
        <f>SUMPRODUCT($N13:$X13,Risk!$B$57:$L$57)</f>
        <v>-7.8102884018594998E-2</v>
      </c>
      <c r="AB13" s="72">
        <f>SUMPRODUCT($N13:$X13,Risk!$B$58:$L$58)</f>
        <v>-9.4129359447618188E-2</v>
      </c>
      <c r="AC13" s="72">
        <f>SUMPRODUCT($N13:$X13,Risk!$B$63:$L$63)</f>
        <v>-9.316293911515737E-2</v>
      </c>
      <c r="AD13" s="263">
        <f>SUMPRODUCT($N13:$X13,Risk!$B$64:$L$64)</f>
        <v>-6.3370009780295111E-2</v>
      </c>
    </row>
    <row r="14" spans="1:30" x14ac:dyDescent="0.2">
      <c r="A14" s="393">
        <f>Data!A284</f>
        <v>39629</v>
      </c>
      <c r="B14" s="72">
        <f>Data!B284/Data!B281-1</f>
        <v>-6.3140762400540895E-3</v>
      </c>
      <c r="C14" s="72">
        <f>Data!C284/Data!C281-1</f>
        <v>-5.638319964091576E-2</v>
      </c>
      <c r="D14" s="72">
        <f>Data!D284/Data!D281-1</f>
        <v>-6.308370272669106E-2</v>
      </c>
      <c r="E14" s="72">
        <f>Data!E284/Data!E281-1</f>
        <v>-0.13533045366360164</v>
      </c>
      <c r="F14" s="72">
        <f>Data!F284/Data!F281-1</f>
        <v>0.22376105392835655</v>
      </c>
      <c r="G14" s="72">
        <f>Data!G284/Data!G281-1</f>
        <v>-5.8370688746240962E-3</v>
      </c>
      <c r="H14" s="72">
        <f>Data!H284/Data!H281-1</f>
        <v>5.4128726420000106E-2</v>
      </c>
      <c r="I14" s="72">
        <f>Data!I284/Data!I281-1</f>
        <v>-1.7895758859614253E-2</v>
      </c>
      <c r="J14" s="72">
        <f>Data!J284/Data!J281-1</f>
        <v>4.1226684269219938E-3</v>
      </c>
      <c r="K14" s="72">
        <f>Data!K284/Data!K281-1</f>
        <v>-5.6614305079344396E-3</v>
      </c>
      <c r="L14" s="211">
        <f>Data!L284/Data!L281-1</f>
        <v>1.95060512356795E-2</v>
      </c>
      <c r="N14" s="394">
        <f t="shared" si="0"/>
        <v>-6.3140762400540895E-3</v>
      </c>
      <c r="O14" s="72">
        <f t="shared" si="1"/>
        <v>-5.638319964091576E-2</v>
      </c>
      <c r="P14" s="72">
        <f t="shared" si="2"/>
        <v>-6.308370272669106E-2</v>
      </c>
      <c r="Q14" s="72">
        <f t="shared" si="3"/>
        <v>-0.13533045366360164</v>
      </c>
      <c r="R14" s="72">
        <f t="shared" si="4"/>
        <v>0.22376105392835655</v>
      </c>
      <c r="S14" s="72">
        <f>(G14-Inputs!$B$39*G13)/(1-Inputs!$B$39)</f>
        <v>-3.0491335451247714E-2</v>
      </c>
      <c r="T14" s="72">
        <f t="shared" si="5"/>
        <v>5.4128726420000106E-2</v>
      </c>
      <c r="U14" s="72">
        <f>(I14-Inputs!$B$40*I13)/(1-Inputs!$B$40)</f>
        <v>-2.1494379744837408E-2</v>
      </c>
      <c r="V14" s="72">
        <f t="shared" si="6"/>
        <v>4.1226684269219938E-3</v>
      </c>
      <c r="W14" s="72">
        <f t="shared" si="7"/>
        <v>-5.6614305079344396E-3</v>
      </c>
      <c r="X14" s="145">
        <f t="shared" si="8"/>
        <v>1.95060512356795E-2</v>
      </c>
      <c r="Z14" s="395">
        <f>SUMPRODUCT($N14:$X14,Risk!$B$56:$L$56)</f>
        <v>-2.5804406380663843E-2</v>
      </c>
      <c r="AA14" s="72">
        <f>SUMPRODUCT($N14:$X14,Risk!$B$57:$L$57)</f>
        <v>-2.2006847344859852E-2</v>
      </c>
      <c r="AB14" s="72">
        <f>SUMPRODUCT($N14:$X14,Risk!$B$58:$L$58)</f>
        <v>-2.6631999944022024E-2</v>
      </c>
      <c r="AC14" s="72">
        <f>SUMPRODUCT($N14:$X14,Risk!$B$63:$L$63)</f>
        <v>-2.6713013350014969E-2</v>
      </c>
      <c r="AD14" s="263">
        <f>SUMPRODUCT($N14:$X14,Risk!$B$64:$L$64)</f>
        <v>-2.0829085050289648E-2</v>
      </c>
    </row>
    <row r="15" spans="1:30" x14ac:dyDescent="0.2">
      <c r="A15" s="393">
        <f>Data!A287</f>
        <v>39721</v>
      </c>
      <c r="B15" s="72">
        <f>Data!B287/Data!B284-1</f>
        <v>-0.11889597499560234</v>
      </c>
      <c r="C15" s="72">
        <f>Data!C287/Data!C284-1</f>
        <v>7.929189731055275E-2</v>
      </c>
      <c r="D15" s="72">
        <f>Data!D287/Data!D284-1</f>
        <v>-3.6045094494307595E-2</v>
      </c>
      <c r="E15" s="72">
        <f>Data!E287/Data!E284-1</f>
        <v>0.22247086551608763</v>
      </c>
      <c r="F15" s="72">
        <f>Data!F287/Data!F284-1</f>
        <v>-0.13141667020416381</v>
      </c>
      <c r="G15" s="72">
        <f>Data!G287/Data!G284-1</f>
        <v>-1.9288306023936719E-2</v>
      </c>
      <c r="H15" s="72">
        <f>Data!H287/Data!H284-1</f>
        <v>3.464533087999988E-2</v>
      </c>
      <c r="I15" s="72">
        <f>Data!I287/Data!I284-1</f>
        <v>-2.9995281641090221E-2</v>
      </c>
      <c r="J15" s="72">
        <f>Data!J287/Data!J284-1</f>
        <v>5.3248223308788312E-2</v>
      </c>
      <c r="K15" s="72">
        <f>Data!K287/Data!K284-1</f>
        <v>2.0248596631917026E-2</v>
      </c>
      <c r="L15" s="211">
        <f>Data!L287/Data!L284-1</f>
        <v>1.9341912492575997E-2</v>
      </c>
      <c r="N15" s="394">
        <f t="shared" si="0"/>
        <v>-0.11889597499560234</v>
      </c>
      <c r="O15" s="72">
        <f t="shared" si="1"/>
        <v>7.929189731055275E-2</v>
      </c>
      <c r="P15" s="72">
        <f t="shared" si="2"/>
        <v>-3.6045094494307595E-2</v>
      </c>
      <c r="Q15" s="72">
        <f t="shared" si="3"/>
        <v>0.22247086551608763</v>
      </c>
      <c r="R15" s="72">
        <f t="shared" si="4"/>
        <v>-0.13141667020416381</v>
      </c>
      <c r="S15" s="72">
        <f>(G15-Inputs!$B$39*G14)/(1-Inputs!$B$39)</f>
        <v>-4.4269175015517304E-2</v>
      </c>
      <c r="T15" s="72">
        <f t="shared" si="5"/>
        <v>3.464533087999988E-2</v>
      </c>
      <c r="U15" s="72">
        <f>(I15-Inputs!$B$40*I14)/(1-Inputs!$B$40)</f>
        <v>-3.3816183572082638E-2</v>
      </c>
      <c r="V15" s="72">
        <f t="shared" si="6"/>
        <v>5.3248223308788312E-2</v>
      </c>
      <c r="W15" s="72">
        <f t="shared" si="7"/>
        <v>2.0248596631917026E-2</v>
      </c>
      <c r="X15" s="145">
        <f t="shared" si="8"/>
        <v>1.9341912492575997E-2</v>
      </c>
      <c r="Z15" s="395">
        <f>SUMPRODUCT($N15:$X15,Risk!$B$56:$L$56)</f>
        <v>1.5081311168303028E-3</v>
      </c>
      <c r="AA15" s="72">
        <f>SUMPRODUCT($N15:$X15,Risk!$B$57:$L$57)</f>
        <v>9.2431058888258772E-3</v>
      </c>
      <c r="AB15" s="72">
        <f>SUMPRODUCT($N15:$X15,Risk!$B$58:$L$58)</f>
        <v>5.7442739571343677E-3</v>
      </c>
      <c r="AC15" s="72">
        <f>SUMPRODUCT($N15:$X15,Risk!$B$63:$L$63)</f>
        <v>8.4494758927763855E-3</v>
      </c>
      <c r="AD15" s="263">
        <f>SUMPRODUCT($N15:$X15,Risk!$B$64:$L$64)</f>
        <v>9.5256387563349247E-3</v>
      </c>
    </row>
    <row r="16" spans="1:30" x14ac:dyDescent="0.2">
      <c r="A16" s="393">
        <f>Data!A290</f>
        <v>39813</v>
      </c>
      <c r="B16" s="72">
        <f>Data!B290/Data!B287-1</f>
        <v>-0.20198103352277996</v>
      </c>
      <c r="C16" s="72">
        <f>Data!C290/Data!C287-1</f>
        <v>-0.10079123125602241</v>
      </c>
      <c r="D16" s="72">
        <f>Data!D290/Data!D287-1</f>
        <v>-0.11693994926117468</v>
      </c>
      <c r="E16" s="72">
        <f>Data!E290/Data!E287-1</f>
        <v>-0.25119358018150373</v>
      </c>
      <c r="F16" s="72">
        <f>Data!F290/Data!F287-1</f>
        <v>-0.4003538980300676</v>
      </c>
      <c r="G16" s="72">
        <f>Data!G290/Data!G287-1</f>
        <v>-1.0677830216977213E-2</v>
      </c>
      <c r="H16" s="72">
        <f>Data!H290/Data!H287-1</f>
        <v>3.8005526655999988E-2</v>
      </c>
      <c r="I16" s="72">
        <f>Data!I290/Data!I287-1</f>
        <v>-8.8703326229963797E-2</v>
      </c>
      <c r="J16" s="72">
        <f>Data!J290/Data!J287-1</f>
        <v>6.3384521066004673E-2</v>
      </c>
      <c r="K16" s="72">
        <f>Data!K290/Data!K287-1</f>
        <v>4.8143053645117062E-2</v>
      </c>
      <c r="L16" s="211">
        <f>Data!L290/Data!L287-1</f>
        <v>1.6939434761733985E-2</v>
      </c>
      <c r="N16" s="394">
        <f t="shared" si="0"/>
        <v>-0.20198103352277996</v>
      </c>
      <c r="O16" s="72">
        <f t="shared" si="1"/>
        <v>-0.10079123125602241</v>
      </c>
      <c r="P16" s="72">
        <f t="shared" si="2"/>
        <v>-0.11693994926117468</v>
      </c>
      <c r="Q16" s="72">
        <f t="shared" si="3"/>
        <v>-0.25119358018150373</v>
      </c>
      <c r="R16" s="72">
        <f t="shared" si="4"/>
        <v>-0.4003538980300676</v>
      </c>
      <c r="S16" s="72">
        <f>(G16-Inputs!$B$39*G15)/(1-Inputs!$B$39)</f>
        <v>5.3130534245190144E-3</v>
      </c>
      <c r="T16" s="72">
        <f t="shared" si="5"/>
        <v>3.8005526655999988E-2</v>
      </c>
      <c r="U16" s="72">
        <f>(I16-Inputs!$B$40*I15)/(1-Inputs!$B$40)</f>
        <v>-0.10724270873171335</v>
      </c>
      <c r="V16" s="72">
        <f t="shared" si="6"/>
        <v>6.3384521066004673E-2</v>
      </c>
      <c r="W16" s="72">
        <f t="shared" si="7"/>
        <v>4.8143053645117062E-2</v>
      </c>
      <c r="X16" s="145">
        <f t="shared" si="8"/>
        <v>1.6939434761733985E-2</v>
      </c>
      <c r="Z16" s="395">
        <f>SUMPRODUCT($N16:$X16,Risk!$B$56:$L$56)</f>
        <v>-0.11152513479363541</v>
      </c>
      <c r="AA16" s="72">
        <f>SUMPRODUCT($N16:$X16,Risk!$B$57:$L$57)</f>
        <v>-9.0917691831272102E-2</v>
      </c>
      <c r="AB16" s="72">
        <f>SUMPRODUCT($N16:$X16,Risk!$B$58:$L$58)</f>
        <v>-0.11108137149098557</v>
      </c>
      <c r="AC16" s="72">
        <f>SUMPRODUCT($N16:$X16,Risk!$B$63:$L$63)</f>
        <v>-0.11201728407433155</v>
      </c>
      <c r="AD16" s="263">
        <f>SUMPRODUCT($N16:$X16,Risk!$B$64:$L$64)</f>
        <v>-8.4090415230127002E-2</v>
      </c>
    </row>
    <row r="17" spans="1:30" x14ac:dyDescent="0.2">
      <c r="A17" s="393">
        <f>Data!A293</f>
        <v>39903</v>
      </c>
      <c r="B17" s="72">
        <f>Data!B293/Data!B290-1</f>
        <v>-1.6703385095341527E-2</v>
      </c>
      <c r="C17" s="72">
        <f>Data!C293/Data!C290-1</f>
        <v>-9.5776617868225777E-2</v>
      </c>
      <c r="D17" s="72">
        <f>Data!D293/Data!D290-1</f>
        <v>4.5770704834260378E-2</v>
      </c>
      <c r="E17" s="72">
        <f>Data!E293/Data!E290-1</f>
        <v>-0.23660842757114675</v>
      </c>
      <c r="F17" s="72">
        <f>Data!F293/Data!F290-1</f>
        <v>-0.10332890219466684</v>
      </c>
      <c r="G17" s="72">
        <f>Data!G293/Data!G290-1</f>
        <v>6.8921039022029618E-4</v>
      </c>
      <c r="H17" s="72">
        <f>Data!H293/Data!H290-1</f>
        <v>4.5540639499999758E-2</v>
      </c>
      <c r="I17" s="72">
        <f>Data!I293/Data!I290-1</f>
        <v>-5.4305140751096048E-2</v>
      </c>
      <c r="J17" s="72">
        <f>Data!J293/Data!J290-1</f>
        <v>2.7680290903537852E-3</v>
      </c>
      <c r="K17" s="72">
        <f>Data!K293/Data!K290-1</f>
        <v>6.3929508811397806E-3</v>
      </c>
      <c r="L17" s="211">
        <f>Data!L293/Data!L290-1</f>
        <v>9.5754092123776502E-3</v>
      </c>
      <c r="N17" s="394">
        <f t="shared" si="0"/>
        <v>-1.6703385095341527E-2</v>
      </c>
      <c r="O17" s="72">
        <f t="shared" si="1"/>
        <v>-9.5776617868225777E-2</v>
      </c>
      <c r="P17" s="72">
        <f t="shared" si="2"/>
        <v>4.5770704834260378E-2</v>
      </c>
      <c r="Q17" s="72">
        <f t="shared" si="3"/>
        <v>-0.23660842757114675</v>
      </c>
      <c r="R17" s="72">
        <f t="shared" si="4"/>
        <v>-0.10332890219466684</v>
      </c>
      <c r="S17" s="72">
        <f>(G17-Inputs!$B$39*G16)/(1-Inputs!$B$39)</f>
        <v>2.1799428660729959E-2</v>
      </c>
      <c r="T17" s="72">
        <f t="shared" si="5"/>
        <v>4.5540639499999758E-2</v>
      </c>
      <c r="U17" s="72">
        <f>(I17-Inputs!$B$40*I16)/(1-Inputs!$B$40)</f>
        <v>-4.3442555863032542E-2</v>
      </c>
      <c r="V17" s="72">
        <f t="shared" si="6"/>
        <v>2.7680290903537852E-3</v>
      </c>
      <c r="W17" s="72">
        <f t="shared" si="7"/>
        <v>6.3929508811397806E-3</v>
      </c>
      <c r="X17" s="145">
        <f t="shared" si="8"/>
        <v>9.5754092123776502E-3</v>
      </c>
      <c r="Z17" s="395">
        <f>SUMPRODUCT($N17:$X17,Risk!$B$56:$L$56)</f>
        <v>-4.7900601289985766E-2</v>
      </c>
      <c r="AA17" s="72">
        <f>SUMPRODUCT($N17:$X17,Risk!$B$57:$L$57)</f>
        <v>-4.1887356502963616E-2</v>
      </c>
      <c r="AB17" s="72">
        <f>SUMPRODUCT($N17:$X17,Risk!$B$58:$L$58)</f>
        <v>-4.6465676086086247E-2</v>
      </c>
      <c r="AC17" s="72">
        <f>SUMPRODUCT($N17:$X17,Risk!$B$63:$L$63)</f>
        <v>-4.9551270444467929E-2</v>
      </c>
      <c r="AD17" s="263">
        <f>SUMPRODUCT($N17:$X17,Risk!$B$64:$L$64)</f>
        <v>-3.8357973054640809E-2</v>
      </c>
    </row>
    <row r="18" spans="1:30" x14ac:dyDescent="0.2">
      <c r="A18" s="393">
        <f>Data!A296</f>
        <v>39994</v>
      </c>
      <c r="B18" s="72">
        <f>Data!B296/Data!B293-1</f>
        <v>0.12604816604876934</v>
      </c>
      <c r="C18" s="72">
        <f>Data!C296/Data!C293-1</f>
        <v>3.3539493909118256E-3</v>
      </c>
      <c r="D18" s="72">
        <f>Data!D296/Data!D293-1</f>
        <v>7.0618126775357615E-2</v>
      </c>
      <c r="E18" s="72">
        <f>Data!E296/Data!E293-1</f>
        <v>5.8089903189764147E-2</v>
      </c>
      <c r="F18" s="72">
        <f>Data!F296/Data!F293-1</f>
        <v>2.4800908350886441E-2</v>
      </c>
      <c r="G18" s="72">
        <f>Data!G296/Data!G293-1</f>
        <v>4.4694833794530098E-2</v>
      </c>
      <c r="H18" s="72">
        <f>Data!H296/Data!H293-1</f>
        <v>-8.205892267999837E-3</v>
      </c>
      <c r="I18" s="72">
        <f>Data!I296/Data!I293-1</f>
        <v>3.3999892490459427E-3</v>
      </c>
      <c r="J18" s="72">
        <f>Data!J296/Data!J293-1</f>
        <v>-1.3258175961763485E-2</v>
      </c>
      <c r="K18" s="72">
        <f>Data!K296/Data!K293-1</f>
        <v>2.1683649708462926E-2</v>
      </c>
      <c r="L18" s="211">
        <f>Data!L296/Data!L293-1</f>
        <v>7.8531258134617588E-3</v>
      </c>
      <c r="N18" s="394">
        <f t="shared" si="0"/>
        <v>0.12604816604876934</v>
      </c>
      <c r="O18" s="72">
        <f t="shared" si="1"/>
        <v>3.3539493909118256E-3</v>
      </c>
      <c r="P18" s="72">
        <f t="shared" si="2"/>
        <v>7.0618126775357615E-2</v>
      </c>
      <c r="Q18" s="72">
        <f t="shared" si="3"/>
        <v>5.8089903189764147E-2</v>
      </c>
      <c r="R18" s="72">
        <f t="shared" si="4"/>
        <v>2.4800908350886441E-2</v>
      </c>
      <c r="S18" s="72">
        <f>(G18-Inputs!$B$39*G17)/(1-Inputs!$B$39)</f>
        <v>0.12641956297396259</v>
      </c>
      <c r="T18" s="72">
        <f t="shared" si="5"/>
        <v>-8.205892267999837E-3</v>
      </c>
      <c r="U18" s="72">
        <f>(I18-Inputs!$B$40*I17)/(1-Inputs!$B$40)</f>
        <v>2.1622661880669726E-2</v>
      </c>
      <c r="V18" s="72">
        <f t="shared" si="6"/>
        <v>-1.3258175961763485E-2</v>
      </c>
      <c r="W18" s="72">
        <f t="shared" si="7"/>
        <v>2.1683649708462926E-2</v>
      </c>
      <c r="X18" s="145">
        <f t="shared" si="8"/>
        <v>7.8531258134617588E-3</v>
      </c>
      <c r="Z18" s="395">
        <f>SUMPRODUCT($N18:$X18,Risk!$B$56:$L$56)</f>
        <v>5.7194731006021356E-2</v>
      </c>
      <c r="AA18" s="72">
        <f>SUMPRODUCT($N18:$X18,Risk!$B$57:$L$57)</f>
        <v>4.6485976404339234E-2</v>
      </c>
      <c r="AB18" s="72">
        <f>SUMPRODUCT($N18:$X18,Risk!$B$58:$L$58)</f>
        <v>5.1820173419173381E-2</v>
      </c>
      <c r="AC18" s="72">
        <f>SUMPRODUCT($N18:$X18,Risk!$B$63:$L$63)</f>
        <v>5.1246813082221752E-2</v>
      </c>
      <c r="AD18" s="263">
        <f>SUMPRODUCT($N18:$X18,Risk!$B$64:$L$64)</f>
        <v>4.8546924980716041E-2</v>
      </c>
    </row>
    <row r="19" spans="1:30" x14ac:dyDescent="0.2">
      <c r="A19" s="393">
        <f>Data!A299</f>
        <v>40086</v>
      </c>
      <c r="B19" s="72">
        <f>Data!B299/Data!B296-1</f>
        <v>0.21549571697748293</v>
      </c>
      <c r="C19" s="72">
        <f>Data!C299/Data!C296-1</f>
        <v>5.307876218504548E-2</v>
      </c>
      <c r="D19" s="72">
        <f>Data!D299/Data!D296-1</f>
        <v>7.1261184184797877E-2</v>
      </c>
      <c r="E19" s="72">
        <f>Data!E299/Data!E296-1</f>
        <v>0.18733230791229194</v>
      </c>
      <c r="F19" s="72">
        <f>Data!F299/Data!F296-1</f>
        <v>-0.10010526363743544</v>
      </c>
      <c r="G19" s="72">
        <f>Data!G299/Data!G296-1</f>
        <v>4.5255709084680129E-2</v>
      </c>
      <c r="H19" s="72">
        <f>Data!H299/Data!H296-1</f>
        <v>1.5195206228999947E-2</v>
      </c>
      <c r="I19" s="72">
        <f>Data!I299/Data!I296-1</f>
        <v>7.0407821603160725E-2</v>
      </c>
      <c r="J19" s="72">
        <f>Data!J299/Data!J296-1</f>
        <v>1.7634288582465185E-2</v>
      </c>
      <c r="K19" s="72">
        <f>Data!K299/Data!K296-1</f>
        <v>3.9110219710092098E-2</v>
      </c>
      <c r="L19" s="211">
        <f>Data!L299/Data!L296-1</f>
        <v>8.0321948509263219E-3</v>
      </c>
      <c r="N19" s="394">
        <f t="shared" si="0"/>
        <v>0.21549571697748293</v>
      </c>
      <c r="O19" s="72">
        <f t="shared" si="1"/>
        <v>5.307876218504548E-2</v>
      </c>
      <c r="P19" s="72">
        <f t="shared" si="2"/>
        <v>7.1261184184797877E-2</v>
      </c>
      <c r="Q19" s="72">
        <f t="shared" si="3"/>
        <v>0.18733230791229194</v>
      </c>
      <c r="R19" s="72">
        <f t="shared" si="4"/>
        <v>-0.10010526363743544</v>
      </c>
      <c r="S19" s="72">
        <f>(G19-Inputs!$B$39*G18)/(1-Inputs!$B$39)</f>
        <v>4.6297334623530195E-2</v>
      </c>
      <c r="T19" s="72">
        <f t="shared" si="5"/>
        <v>1.5195206228999947E-2</v>
      </c>
      <c r="U19" s="72">
        <f>(I19-Inputs!$B$40*I18)/(1-Inputs!$B$40)</f>
        <v>9.1568189714986453E-2</v>
      </c>
      <c r="V19" s="72">
        <f t="shared" si="6"/>
        <v>1.7634288582465185E-2</v>
      </c>
      <c r="W19" s="72">
        <f t="shared" si="7"/>
        <v>3.9110219710092098E-2</v>
      </c>
      <c r="X19" s="145">
        <f t="shared" si="8"/>
        <v>8.0321948509263219E-3</v>
      </c>
      <c r="Z19" s="395">
        <f>SUMPRODUCT($N19:$X19,Risk!$B$56:$L$56)</f>
        <v>0.12188348452297347</v>
      </c>
      <c r="AA19" s="72">
        <f>SUMPRODUCT($N19:$X19,Risk!$B$57:$L$57)</f>
        <v>9.2391483000116473E-2</v>
      </c>
      <c r="AB19" s="72">
        <f>SUMPRODUCT($N19:$X19,Risk!$B$58:$L$58)</f>
        <v>9.7427090002215708E-2</v>
      </c>
      <c r="AC19" s="72">
        <f>SUMPRODUCT($N19:$X19,Risk!$B$63:$L$63)</f>
        <v>9.8730197285659529E-2</v>
      </c>
      <c r="AD19" s="263">
        <f>SUMPRODUCT($N19:$X19,Risk!$B$64:$L$64)</f>
        <v>9.0333848027201735E-2</v>
      </c>
    </row>
    <row r="20" spans="1:30" x14ac:dyDescent="0.2">
      <c r="A20" s="393">
        <f>Data!A302</f>
        <v>40178</v>
      </c>
      <c r="B20" s="72">
        <f>Data!B302/Data!B299-1</f>
        <v>3.7103948347741778E-2</v>
      </c>
      <c r="C20" s="72">
        <f>Data!C302/Data!C299-1</f>
        <v>2.6528114253779878E-2</v>
      </c>
      <c r="D20" s="72">
        <f>Data!D302/Data!D299-1</f>
        <v>5.1990623845842743E-2</v>
      </c>
      <c r="E20" s="72">
        <f>Data!E302/Data!E299-1</f>
        <v>2.8146739464277815E-2</v>
      </c>
      <c r="F20" s="72">
        <f>Data!F302/Data!F299-1</f>
        <v>6.3904380561347063E-2</v>
      </c>
      <c r="G20" s="72">
        <f>Data!G302/Data!G299-1</f>
        <v>5.8484540143833641E-2</v>
      </c>
      <c r="H20" s="72">
        <f>Data!H302/Data!H299-1</f>
        <v>-3.1099154464000023E-2</v>
      </c>
      <c r="I20" s="72">
        <f>Data!I302/Data!I299-1</f>
        <v>5.7994044193088401E-2</v>
      </c>
      <c r="J20" s="72">
        <f>Data!J302/Data!J299-1</f>
        <v>1.0349281793300857E-2</v>
      </c>
      <c r="K20" s="72">
        <f>Data!K302/Data!K299-1</f>
        <v>1.1124758729601503E-2</v>
      </c>
      <c r="L20" s="211">
        <f>Data!L302/Data!L299-1</f>
        <v>8.8456026718550795E-3</v>
      </c>
      <c r="N20" s="394">
        <f t="shared" si="0"/>
        <v>3.7103948347741778E-2</v>
      </c>
      <c r="O20" s="72">
        <f t="shared" si="1"/>
        <v>2.6528114253779878E-2</v>
      </c>
      <c r="P20" s="72">
        <f t="shared" si="2"/>
        <v>5.1990623845842743E-2</v>
      </c>
      <c r="Q20" s="72">
        <f t="shared" si="3"/>
        <v>2.8146739464277815E-2</v>
      </c>
      <c r="R20" s="72">
        <f t="shared" si="4"/>
        <v>6.3904380561347063E-2</v>
      </c>
      <c r="S20" s="72">
        <f>(G20-Inputs!$B$39*G19)/(1-Inputs!$B$39)</f>
        <v>8.3052369253690167E-2</v>
      </c>
      <c r="T20" s="72">
        <f t="shared" si="5"/>
        <v>-3.1099154464000023E-2</v>
      </c>
      <c r="U20" s="72">
        <f>(I20-Inputs!$B$40*I19)/(1-Inputs!$B$40)</f>
        <v>5.4073903958328715E-2</v>
      </c>
      <c r="V20" s="72">
        <f t="shared" si="6"/>
        <v>1.0349281793300857E-2</v>
      </c>
      <c r="W20" s="72">
        <f t="shared" si="7"/>
        <v>1.1124758729601503E-2</v>
      </c>
      <c r="X20" s="145">
        <f t="shared" si="8"/>
        <v>8.8456026718550795E-3</v>
      </c>
      <c r="Z20" s="395">
        <f>SUMPRODUCT($N20:$X20,Risk!$B$56:$L$56)</f>
        <v>2.6023441290673566E-2</v>
      </c>
      <c r="AA20" s="72">
        <f>SUMPRODUCT($N20:$X20,Risk!$B$57:$L$57)</f>
        <v>2.8230664535932596E-2</v>
      </c>
      <c r="AB20" s="72">
        <f>SUMPRODUCT($N20:$X20,Risk!$B$58:$L$58)</f>
        <v>3.2235926028003653E-2</v>
      </c>
      <c r="AC20" s="72">
        <f>SUMPRODUCT($N20:$X20,Risk!$B$63:$L$63)</f>
        <v>3.1818446757364588E-2</v>
      </c>
      <c r="AD20" s="263">
        <f>SUMPRODUCT($N20:$X20,Risk!$B$64:$L$64)</f>
        <v>2.8617887841421403E-2</v>
      </c>
    </row>
    <row r="21" spans="1:30" x14ac:dyDescent="0.2">
      <c r="A21" s="393">
        <f>Data!A305</f>
        <v>40268</v>
      </c>
      <c r="B21" s="72">
        <f>Data!B305/Data!B302-1</f>
        <v>1.4525532906290994E-2</v>
      </c>
      <c r="C21" s="72">
        <f>Data!C305/Data!C302-1</f>
        <v>2.6718364357498858E-2</v>
      </c>
      <c r="D21" s="72">
        <f>Data!D305/Data!D302-1</f>
        <v>-6.1023353880039766E-3</v>
      </c>
      <c r="E21" s="72">
        <f>Data!E305/Data!E302-1</f>
        <v>3.9299599030329091E-2</v>
      </c>
      <c r="F21" s="72">
        <f>Data!F305/Data!F302-1</f>
        <v>-2.890662716767145E-2</v>
      </c>
      <c r="G21" s="72">
        <f>Data!G305/Data!G302-1</f>
        <v>3.4344235274801571E-2</v>
      </c>
      <c r="H21" s="72">
        <f>Data!H305/Data!H302-1</f>
        <v>-9.9117566218000164E-2</v>
      </c>
      <c r="I21" s="72">
        <f>Data!I305/Data!I302-1</f>
        <v>1.7502986151353594E-2</v>
      </c>
      <c r="J21" s="72">
        <f>Data!J305/Data!J302-1</f>
        <v>1.2554450983872867E-2</v>
      </c>
      <c r="K21" s="72">
        <f>Data!K305/Data!K302-1</f>
        <v>2.6950576148827343E-2</v>
      </c>
      <c r="L21" s="211">
        <f>Data!L305/Data!L302-1</f>
        <v>1.0223970515274017E-2</v>
      </c>
      <c r="N21" s="394">
        <f t="shared" si="0"/>
        <v>1.4525532906290994E-2</v>
      </c>
      <c r="O21" s="72">
        <f t="shared" si="1"/>
        <v>2.6718364357498858E-2</v>
      </c>
      <c r="P21" s="72">
        <f t="shared" si="2"/>
        <v>-6.1023353880039766E-3</v>
      </c>
      <c r="Q21" s="72">
        <f t="shared" si="3"/>
        <v>3.9299599030329091E-2</v>
      </c>
      <c r="R21" s="72">
        <f t="shared" si="4"/>
        <v>-2.890662716767145E-2</v>
      </c>
      <c r="S21" s="72">
        <f>(G21-Inputs!$B$39*G20)/(1-Inputs!$B$39)</f>
        <v>-1.048775948197227E-2</v>
      </c>
      <c r="T21" s="72">
        <f t="shared" si="5"/>
        <v>-9.9117566218000164E-2</v>
      </c>
      <c r="U21" s="72">
        <f>(I21-Inputs!$B$40*I20)/(1-Inputs!$B$40)</f>
        <v>4.7163362434373413E-3</v>
      </c>
      <c r="V21" s="72">
        <f t="shared" si="6"/>
        <v>1.2554450983872867E-2</v>
      </c>
      <c r="W21" s="72">
        <f t="shared" si="7"/>
        <v>2.6950576148827343E-2</v>
      </c>
      <c r="X21" s="145">
        <f t="shared" si="8"/>
        <v>1.0223970515274017E-2</v>
      </c>
      <c r="Z21" s="395">
        <f>SUMPRODUCT($N21:$X21,Risk!$B$56:$L$56)</f>
        <v>1.9838737612605382E-2</v>
      </c>
      <c r="AA21" s="72">
        <f>SUMPRODUCT($N21:$X21,Risk!$B$57:$L$57)</f>
        <v>1.3706040755737893E-2</v>
      </c>
      <c r="AB21" s="72">
        <f>SUMPRODUCT($N21:$X21,Risk!$B$58:$L$58)</f>
        <v>1.5929878393847432E-2</v>
      </c>
      <c r="AC21" s="72">
        <f>SUMPRODUCT($N21:$X21,Risk!$B$63:$L$63)</f>
        <v>1.6304237719872574E-2</v>
      </c>
      <c r="AD21" s="263">
        <f>SUMPRODUCT($N21:$X21,Risk!$B$64:$L$64)</f>
        <v>1.7013570749718297E-2</v>
      </c>
    </row>
    <row r="22" spans="1:30" x14ac:dyDescent="0.2">
      <c r="A22" s="393">
        <f>Data!A308</f>
        <v>40359</v>
      </c>
      <c r="B22" s="72">
        <f>Data!B308/Data!B305-1</f>
        <v>-0.11035820654514428</v>
      </c>
      <c r="C22" s="72">
        <f>Data!C308/Data!C305-1</f>
        <v>-3.3168165608310596E-2</v>
      </c>
      <c r="D22" s="72">
        <f>Data!D308/Data!D305-1</f>
        <v>2.6594007179344681E-2</v>
      </c>
      <c r="E22" s="72">
        <f>Data!E308/Data!E305-1</f>
        <v>3.7391983444315713E-2</v>
      </c>
      <c r="F22" s="72">
        <f>Data!F308/Data!F305-1</f>
        <v>-2.6436936415148216E-2</v>
      </c>
      <c r="G22" s="72">
        <f>Data!G308/Data!G305-1</f>
        <v>2.260832380411304E-2</v>
      </c>
      <c r="H22" s="72">
        <f>Data!H308/Data!H305-1</f>
        <v>1.2276086434000133E-2</v>
      </c>
      <c r="I22" s="72">
        <f>Data!I308/Data!I305-1</f>
        <v>2.1699966293571293E-2</v>
      </c>
      <c r="J22" s="72">
        <f>Data!J308/Data!J305-1</f>
        <v>3.6004538075498749E-2</v>
      </c>
      <c r="K22" s="72">
        <f>Data!K308/Data!K305-1</f>
        <v>2.4823833583993649E-2</v>
      </c>
      <c r="L22" s="211">
        <f>Data!L308/Data!L305-1</f>
        <v>1.1207970112079746E-2</v>
      </c>
      <c r="N22" s="394">
        <f t="shared" si="0"/>
        <v>-0.11035820654514428</v>
      </c>
      <c r="O22" s="72">
        <f t="shared" si="1"/>
        <v>-3.3168165608310596E-2</v>
      </c>
      <c r="P22" s="72">
        <f t="shared" si="2"/>
        <v>2.6594007179344681E-2</v>
      </c>
      <c r="Q22" s="72">
        <f t="shared" si="3"/>
        <v>3.7391983444315713E-2</v>
      </c>
      <c r="R22" s="72">
        <f t="shared" si="4"/>
        <v>-2.6436936415148216E-2</v>
      </c>
      <c r="S22" s="72">
        <f>(G22-Inputs!$B$39*G21)/(1-Inputs!$B$39)</f>
        <v>8.1305964426290592E-4</v>
      </c>
      <c r="T22" s="72">
        <f t="shared" si="5"/>
        <v>1.2276086434000133E-2</v>
      </c>
      <c r="U22" s="72">
        <f>(I22-Inputs!$B$40*I21)/(1-Inputs!$B$40)</f>
        <v>2.3025328443745302E-2</v>
      </c>
      <c r="V22" s="72">
        <f t="shared" si="6"/>
        <v>3.6004538075498749E-2</v>
      </c>
      <c r="W22" s="72">
        <f t="shared" si="7"/>
        <v>2.4823833583993649E-2</v>
      </c>
      <c r="X22" s="145">
        <f t="shared" si="8"/>
        <v>1.1207970112079746E-2</v>
      </c>
      <c r="Z22" s="395">
        <f>SUMPRODUCT($N22:$X22,Risk!$B$56:$L$56)</f>
        <v>-3.886657208939838E-2</v>
      </c>
      <c r="AA22" s="72">
        <f>SUMPRODUCT($N22:$X22,Risk!$B$57:$L$57)</f>
        <v>-2.3456199497384114E-2</v>
      </c>
      <c r="AB22" s="72">
        <f>SUMPRODUCT($N22:$X22,Risk!$B$58:$L$58)</f>
        <v>-2.7959167834366059E-2</v>
      </c>
      <c r="AC22" s="72">
        <f>SUMPRODUCT($N22:$X22,Risk!$B$63:$L$63)</f>
        <v>-2.8336870206837714E-2</v>
      </c>
      <c r="AD22" s="263">
        <f>SUMPRODUCT($N22:$X22,Risk!$B$64:$L$64)</f>
        <v>-1.5354809241326959E-2</v>
      </c>
    </row>
    <row r="23" spans="1:30" x14ac:dyDescent="0.2">
      <c r="A23" s="393">
        <f>Data!A311</f>
        <v>40451</v>
      </c>
      <c r="B23" s="72">
        <f>Data!B311/Data!B308-1</f>
        <v>8.6824178792622719E-2</v>
      </c>
      <c r="C23" s="72">
        <f>Data!C311/Data!C308-1</f>
        <v>-4.5694986306834107E-2</v>
      </c>
      <c r="D23" s="72">
        <f>Data!D311/Data!D308-1</f>
        <v>-1.5313058837773452E-2</v>
      </c>
      <c r="E23" s="72">
        <f>Data!E311/Data!E308-1</f>
        <v>-1.8218916164351229E-2</v>
      </c>
      <c r="F23" s="72">
        <f>Data!F311/Data!F308-1</f>
        <v>-5.5553201421876364E-2</v>
      </c>
      <c r="G23" s="72">
        <f>Data!G311/Data!G308-1</f>
        <v>-9.5008637233057192E-3</v>
      </c>
      <c r="H23" s="72">
        <f>Data!H311/Data!H308-1</f>
        <v>9.481397569999972E-2</v>
      </c>
      <c r="I23" s="72">
        <f>Data!I311/Data!I308-1</f>
        <v>4.9599563159810733E-2</v>
      </c>
      <c r="J23" s="72">
        <f>Data!J311/Data!J308-1</f>
        <v>1.2763582459674572E-2</v>
      </c>
      <c r="K23" s="72">
        <f>Data!K311/Data!K308-1</f>
        <v>4.3300464993569099E-2</v>
      </c>
      <c r="L23" s="211">
        <f>Data!L311/Data!L308-1</f>
        <v>1.20435255209419E-2</v>
      </c>
      <c r="N23" s="394">
        <f t="shared" si="0"/>
        <v>8.6824178792622719E-2</v>
      </c>
      <c r="O23" s="72">
        <f t="shared" si="1"/>
        <v>-4.5694986306834107E-2</v>
      </c>
      <c r="P23" s="72">
        <f t="shared" si="2"/>
        <v>-1.5313058837773452E-2</v>
      </c>
      <c r="Q23" s="72">
        <f t="shared" si="3"/>
        <v>-1.8218916164351229E-2</v>
      </c>
      <c r="R23" s="72">
        <f t="shared" si="4"/>
        <v>-5.5553201421876364E-2</v>
      </c>
      <c r="S23" s="72">
        <f>(G23-Inputs!$B$39*G22)/(1-Inputs!$B$39)</f>
        <v>-6.9132211988511993E-2</v>
      </c>
      <c r="T23" s="72">
        <f t="shared" si="5"/>
        <v>9.481397569999972E-2</v>
      </c>
      <c r="U23" s="72">
        <f>(I23-Inputs!$B$40*I22)/(1-Inputs!$B$40)</f>
        <v>5.840996217020214E-2</v>
      </c>
      <c r="V23" s="72">
        <f t="shared" si="6"/>
        <v>1.2763582459674572E-2</v>
      </c>
      <c r="W23" s="72">
        <f t="shared" si="7"/>
        <v>4.3300464993569099E-2</v>
      </c>
      <c r="X23" s="145">
        <f t="shared" si="8"/>
        <v>1.20435255209419E-2</v>
      </c>
      <c r="Z23" s="395">
        <f>SUMPRODUCT($N23:$X23,Risk!$B$56:$L$56)</f>
        <v>2.9990403994149793E-2</v>
      </c>
      <c r="AA23" s="72">
        <f>SUMPRODUCT($N23:$X23,Risk!$B$57:$L$57)</f>
        <v>1.5944834055395932E-2</v>
      </c>
      <c r="AB23" s="72">
        <f>SUMPRODUCT($N23:$X23,Risk!$B$58:$L$58)</f>
        <v>8.5090237002595753E-3</v>
      </c>
      <c r="AC23" s="72">
        <f>SUMPRODUCT($N23:$X23,Risk!$B$63:$L$63)</f>
        <v>8.6137100850128649E-3</v>
      </c>
      <c r="AD23" s="263">
        <f>SUMPRODUCT($N23:$X23,Risk!$B$64:$L$64)</f>
        <v>1.7350041822399936E-2</v>
      </c>
    </row>
    <row r="24" spans="1:30" x14ac:dyDescent="0.2">
      <c r="A24" s="393">
        <f>Data!A314</f>
        <v>40543</v>
      </c>
      <c r="B24" s="72">
        <f>Data!B314/Data!B311-1</f>
        <v>5.3147395594733249E-2</v>
      </c>
      <c r="C24" s="72">
        <f>Data!C314/Data!C311-1</f>
        <v>2.4094983842753992E-2</v>
      </c>
      <c r="D24" s="72">
        <f>Data!D314/Data!D311-1</f>
        <v>-9.5169332030398124E-4</v>
      </c>
      <c r="E24" s="72">
        <f>Data!E314/Data!E311-1</f>
        <v>2.2575932268609211E-3</v>
      </c>
      <c r="F24" s="72">
        <f>Data!F314/Data!F311-1</f>
        <v>7.1298192387709625E-2</v>
      </c>
      <c r="G24" s="72">
        <f>Data!G314/Data!G311-1</f>
        <v>8.8422571271342676E-3</v>
      </c>
      <c r="H24" s="72">
        <f>Data!H314/Data!H311-1</f>
        <v>6.8676309728000318E-2</v>
      </c>
      <c r="I24" s="72">
        <f>Data!I314/Data!I311-1</f>
        <v>-1.1499609815312506E-2</v>
      </c>
      <c r="J24" s="72">
        <f>Data!J314/Data!J311-1</f>
        <v>-1.9280050770804635E-3</v>
      </c>
      <c r="K24" s="72">
        <f>Data!K314/Data!K311-1</f>
        <v>-4.7730433683143003E-3</v>
      </c>
      <c r="L24" s="211">
        <f>Data!L314/Data!L311-1</f>
        <v>1.2380098149555208E-2</v>
      </c>
      <c r="N24" s="394">
        <f t="shared" si="0"/>
        <v>5.3147395594733249E-2</v>
      </c>
      <c r="O24" s="72">
        <f t="shared" si="1"/>
        <v>2.4094983842753992E-2</v>
      </c>
      <c r="P24" s="72">
        <f t="shared" si="2"/>
        <v>-9.5169332030398124E-4</v>
      </c>
      <c r="Q24" s="72">
        <f t="shared" si="3"/>
        <v>2.2575932268609211E-3</v>
      </c>
      <c r="R24" s="72">
        <f t="shared" si="4"/>
        <v>7.1298192387709625E-2</v>
      </c>
      <c r="S24" s="72">
        <f>(G24-Inputs!$B$39*G23)/(1-Inputs!$B$39)</f>
        <v>4.29080529922371E-2</v>
      </c>
      <c r="T24" s="72">
        <f t="shared" si="5"/>
        <v>6.8676309728000318E-2</v>
      </c>
      <c r="U24" s="72">
        <f>(I24-Inputs!$B$40*I23)/(1-Inputs!$B$40)</f>
        <v>-3.0794085491667213E-2</v>
      </c>
      <c r="V24" s="72">
        <f t="shared" si="6"/>
        <v>-1.9280050770804635E-3</v>
      </c>
      <c r="W24" s="72">
        <f t="shared" si="7"/>
        <v>-4.7730433683143003E-3</v>
      </c>
      <c r="X24" s="145">
        <f t="shared" si="8"/>
        <v>1.2380098149555208E-2</v>
      </c>
      <c r="Z24" s="395">
        <f>SUMPRODUCT($N24:$X24,Risk!$B$56:$L$56)</f>
        <v>2.6499276968571843E-2</v>
      </c>
      <c r="AA24" s="72">
        <f>SUMPRODUCT($N24:$X24,Risk!$B$57:$L$57)</f>
        <v>2.3483406434852274E-2</v>
      </c>
      <c r="AB24" s="72">
        <f>SUMPRODUCT($N24:$X24,Risk!$B$58:$L$58)</f>
        <v>2.4681039954215948E-2</v>
      </c>
      <c r="AC24" s="72">
        <f>SUMPRODUCT($N24:$X24,Risk!$B$63:$L$63)</f>
        <v>2.5006181426629758E-2</v>
      </c>
      <c r="AD24" s="263">
        <f>SUMPRODUCT($N24:$X24,Risk!$B$64:$L$64)</f>
        <v>1.9124491776536356E-2</v>
      </c>
    </row>
    <row r="25" spans="1:30" x14ac:dyDescent="0.2">
      <c r="A25" s="393">
        <f>Data!A317</f>
        <v>40633</v>
      </c>
      <c r="B25" s="72">
        <f>Data!B317/Data!B314-1</f>
        <v>2.9209007560712319E-2</v>
      </c>
      <c r="C25" s="72">
        <f>Data!C317/Data!C314-1</f>
        <v>2.7849805981074338E-2</v>
      </c>
      <c r="D25" s="72">
        <f>Data!D317/Data!D314-1</f>
        <v>-1.826348199160388E-3</v>
      </c>
      <c r="E25" s="72">
        <f>Data!E317/Data!E314-1</f>
        <v>3.9393940612611145E-2</v>
      </c>
      <c r="F25" s="72">
        <f>Data!F317/Data!F314-1</f>
        <v>0.10582084064972408</v>
      </c>
      <c r="G25" s="72">
        <f>Data!G317/Data!G314-1</f>
        <v>-5.7132728531043009E-3</v>
      </c>
      <c r="H25" s="72">
        <f>Data!H317/Data!H314-1</f>
        <v>1.271197708799976E-2</v>
      </c>
      <c r="I25" s="72">
        <f>Data!I317/Data!I314-1</f>
        <v>1.4900825630735692E-2</v>
      </c>
      <c r="J25" s="72">
        <f>Data!J317/Data!J314-1</f>
        <v>2.0402282660313409E-2</v>
      </c>
      <c r="K25" s="72">
        <f>Data!K317/Data!K314-1</f>
        <v>9.5601079879308326E-3</v>
      </c>
      <c r="L25" s="211">
        <f>Data!L317/Data!L314-1</f>
        <v>1.2231527149193289E-2</v>
      </c>
      <c r="N25" s="394">
        <f t="shared" si="0"/>
        <v>2.9209007560712319E-2</v>
      </c>
      <c r="O25" s="72">
        <f t="shared" si="1"/>
        <v>2.7849805981074338E-2</v>
      </c>
      <c r="P25" s="72">
        <f t="shared" si="2"/>
        <v>-1.826348199160388E-3</v>
      </c>
      <c r="Q25" s="72">
        <f t="shared" si="3"/>
        <v>3.9393940612611145E-2</v>
      </c>
      <c r="R25" s="72">
        <f t="shared" si="4"/>
        <v>0.10582084064972408</v>
      </c>
      <c r="S25" s="72">
        <f>(G25-Inputs!$B$39*G24)/(1-Inputs!$B$39)</f>
        <v>-3.2744971387833076E-2</v>
      </c>
      <c r="T25" s="72">
        <f t="shared" si="5"/>
        <v>1.271197708799976E-2</v>
      </c>
      <c r="U25" s="72">
        <f>(I25-Inputs!$B$40*I24)/(1-Inputs!$B$40)</f>
        <v>2.3237805245277229E-2</v>
      </c>
      <c r="V25" s="72">
        <f t="shared" si="6"/>
        <v>2.0402282660313409E-2</v>
      </c>
      <c r="W25" s="72">
        <f t="shared" si="7"/>
        <v>9.5601079879308326E-3</v>
      </c>
      <c r="X25" s="145">
        <f t="shared" si="8"/>
        <v>1.2231527149193289E-2</v>
      </c>
      <c r="Z25" s="395">
        <f>SUMPRODUCT($N25:$X25,Risk!$B$56:$L$56)</f>
        <v>2.5874316220285919E-2</v>
      </c>
      <c r="AA25" s="72">
        <f>SUMPRODUCT($N25:$X25,Risk!$B$57:$L$57)</f>
        <v>2.2521529701737094E-2</v>
      </c>
      <c r="AB25" s="72">
        <f>SUMPRODUCT($N25:$X25,Risk!$B$58:$L$58)</f>
        <v>2.3609750933792167E-2</v>
      </c>
      <c r="AC25" s="72">
        <f>SUMPRODUCT($N25:$X25,Risk!$B$63:$L$63)</f>
        <v>2.4349334090100132E-2</v>
      </c>
      <c r="AD25" s="263">
        <f>SUMPRODUCT($N25:$X25,Risk!$B$64:$L$64)</f>
        <v>2.1788367963455447E-2</v>
      </c>
    </row>
    <row r="26" spans="1:30" x14ac:dyDescent="0.2">
      <c r="A26" s="393">
        <f>Data!A320</f>
        <v>40724</v>
      </c>
      <c r="B26" s="72">
        <f>Data!B320/Data!B317-1</f>
        <v>-4.7784092977550374E-2</v>
      </c>
      <c r="C26" s="72">
        <f>Data!C320/Data!C317-1</f>
        <v>-3.8218439244591784E-2</v>
      </c>
      <c r="D26" s="72">
        <f>Data!D320/Data!D317-1</f>
        <v>-5.8938826240871101E-2</v>
      </c>
      <c r="E26" s="72">
        <f>Data!E320/Data!E317-1</f>
        <v>-1.9588469093065886E-3</v>
      </c>
      <c r="F26" s="72">
        <f>Data!F320/Data!F317-1</f>
        <v>-0.11072816525406337</v>
      </c>
      <c r="G26" s="72">
        <f>Data!G320/Data!G317-1</f>
        <v>-3.8357613154585968E-3</v>
      </c>
      <c r="H26" s="72">
        <f>Data!H320/Data!H317-1</f>
        <v>4.3964286572000466E-2</v>
      </c>
      <c r="I26" s="72">
        <f>Data!I320/Data!I317-1</f>
        <v>3.0498476696700694E-2</v>
      </c>
      <c r="J26" s="72">
        <f>Data!J320/Data!J317-1</f>
        <v>2.3302554588494173E-2</v>
      </c>
      <c r="K26" s="72">
        <f>Data!K320/Data!K317-1</f>
        <v>2.8707607122632206E-2</v>
      </c>
      <c r="L26" s="211">
        <f>Data!L320/Data!L317-1</f>
        <v>1.2283029544498003E-2</v>
      </c>
      <c r="N26" s="394">
        <f t="shared" si="0"/>
        <v>-4.7784092977550374E-2</v>
      </c>
      <c r="O26" s="72">
        <f t="shared" si="1"/>
        <v>-3.8218439244591784E-2</v>
      </c>
      <c r="P26" s="72">
        <f t="shared" si="2"/>
        <v>-5.8938826240871101E-2</v>
      </c>
      <c r="Q26" s="72">
        <f t="shared" si="3"/>
        <v>-1.9588469093065886E-3</v>
      </c>
      <c r="R26" s="72">
        <f t="shared" si="4"/>
        <v>-0.11072816525406337</v>
      </c>
      <c r="S26" s="72">
        <f>(G26-Inputs!$B$39*G25)/(1-Inputs!$B$39)</f>
        <v>-3.4895417411657511E-4</v>
      </c>
      <c r="T26" s="72">
        <f t="shared" si="5"/>
        <v>4.3964286572000466E-2</v>
      </c>
      <c r="U26" s="72">
        <f>(I26-Inputs!$B$40*I25)/(1-Inputs!$B$40)</f>
        <v>3.5424050717531748E-2</v>
      </c>
      <c r="V26" s="72">
        <f t="shared" si="6"/>
        <v>2.3302554588494173E-2</v>
      </c>
      <c r="W26" s="72">
        <f t="shared" si="7"/>
        <v>2.8707607122632206E-2</v>
      </c>
      <c r="X26" s="145">
        <f t="shared" si="8"/>
        <v>1.2283029544498003E-2</v>
      </c>
      <c r="Z26" s="395">
        <f>SUMPRODUCT($N26:$X26,Risk!$B$56:$L$56)</f>
        <v>-2.0301405904669608E-2</v>
      </c>
      <c r="AA26" s="72">
        <f>SUMPRODUCT($N26:$X26,Risk!$B$57:$L$57)</f>
        <v>-1.6085408316854687E-2</v>
      </c>
      <c r="AB26" s="72">
        <f>SUMPRODUCT($N26:$X26,Risk!$B$58:$L$58)</f>
        <v>-2.5880940636717576E-2</v>
      </c>
      <c r="AC26" s="72">
        <f>SUMPRODUCT($N26:$X26,Risk!$B$63:$L$63)</f>
        <v>-2.515215099460873E-2</v>
      </c>
      <c r="AD26" s="263">
        <f>SUMPRODUCT($N26:$X26,Risk!$B$64:$L$64)</f>
        <v>-1.3310049934680893E-2</v>
      </c>
    </row>
    <row r="27" spans="1:30" x14ac:dyDescent="0.2">
      <c r="A27" s="393">
        <f>Data!A323</f>
        <v>40816</v>
      </c>
      <c r="B27" s="72">
        <f>Data!B323/Data!B320-1</f>
        <v>-0.11276951637198307</v>
      </c>
      <c r="C27" s="72">
        <f>Data!C323/Data!C320-1</f>
        <v>-6.043563736791191E-2</v>
      </c>
      <c r="D27" s="72">
        <f>Data!D323/Data!D320-1</f>
        <v>-6.2784069184710356E-2</v>
      </c>
      <c r="E27" s="72">
        <f>Data!E323/Data!E320-1</f>
        <v>-4.9077779387828979E-2</v>
      </c>
      <c r="F27" s="72">
        <f>Data!F323/Data!F320-1</f>
        <v>-2.7215775614195636E-2</v>
      </c>
      <c r="G27" s="72">
        <f>Data!G323/Data!G320-1</f>
        <v>-1.4700186754326938E-2</v>
      </c>
      <c r="H27" s="72">
        <f>Data!H323/Data!H320-1</f>
        <v>-1.2336610867999975E-2</v>
      </c>
      <c r="I27" s="72">
        <f>Data!I323/Data!I320-1</f>
        <v>5.2943334905906081E-3</v>
      </c>
      <c r="J27" s="72">
        <f>Data!J323/Data!J320-1</f>
        <v>4.6316195174593844E-2</v>
      </c>
      <c r="K27" s="72">
        <f>Data!K323/Data!K320-1</f>
        <v>4.2830710888878576E-2</v>
      </c>
      <c r="L27" s="211">
        <f>Data!L323/Data!L320-1</f>
        <v>1.2362540909009567E-2</v>
      </c>
      <c r="N27" s="394">
        <f t="shared" si="0"/>
        <v>-0.11276951637198307</v>
      </c>
      <c r="O27" s="72">
        <f t="shared" si="1"/>
        <v>-6.043563736791191E-2</v>
      </c>
      <c r="P27" s="72">
        <f t="shared" si="2"/>
        <v>-6.2784069184710356E-2</v>
      </c>
      <c r="Q27" s="72">
        <f t="shared" si="3"/>
        <v>-4.9077779387828979E-2</v>
      </c>
      <c r="R27" s="72">
        <f t="shared" si="4"/>
        <v>-2.7215775614195636E-2</v>
      </c>
      <c r="S27" s="72">
        <f>(G27-Inputs!$B$39*G26)/(1-Inputs!$B$39)</f>
        <v>-3.4876976855082432E-2</v>
      </c>
      <c r="T27" s="72">
        <f t="shared" si="5"/>
        <v>-1.2336610867999975E-2</v>
      </c>
      <c r="U27" s="72">
        <f>(I27-Inputs!$B$40*I26)/(1-Inputs!$B$40)</f>
        <v>-2.6648696271283656E-3</v>
      </c>
      <c r="V27" s="72">
        <f t="shared" si="6"/>
        <v>4.6316195174593844E-2</v>
      </c>
      <c r="W27" s="72">
        <f t="shared" si="7"/>
        <v>4.2830710888878576E-2</v>
      </c>
      <c r="X27" s="145">
        <f t="shared" si="8"/>
        <v>1.2362540909009567E-2</v>
      </c>
      <c r="Z27" s="395">
        <f>SUMPRODUCT($N27:$X27,Risk!$B$56:$L$56)</f>
        <v>-5.0863447950228485E-2</v>
      </c>
      <c r="AA27" s="72">
        <f>SUMPRODUCT($N27:$X27,Risk!$B$57:$L$57)</f>
        <v>-3.9187585714385784E-2</v>
      </c>
      <c r="AB27" s="72">
        <f>SUMPRODUCT($N27:$X27,Risk!$B$58:$L$58)</f>
        <v>-4.9014684751716019E-2</v>
      </c>
      <c r="AC27" s="72">
        <f>SUMPRODUCT($N27:$X27,Risk!$B$63:$L$63)</f>
        <v>-4.8780726952517117E-2</v>
      </c>
      <c r="AD27" s="263">
        <f>SUMPRODUCT($N27:$X27,Risk!$B$64:$L$64)</f>
        <v>-2.9399561037939902E-2</v>
      </c>
    </row>
    <row r="28" spans="1:30" x14ac:dyDescent="0.2">
      <c r="A28" s="393">
        <f>Data!A326</f>
        <v>40907</v>
      </c>
      <c r="B28" s="72">
        <f>Data!B326/Data!B323-1</f>
        <v>1.8607865979804572E-2</v>
      </c>
      <c r="C28" s="72">
        <f>Data!C326/Data!C323-1</f>
        <v>2.3064853825533582E-2</v>
      </c>
      <c r="D28" s="72">
        <f>Data!D326/Data!D323-1</f>
        <v>-5.8704969520073647E-3</v>
      </c>
      <c r="E28" s="72">
        <f>Data!E326/Data!E323-1</f>
        <v>3.3976037774185119E-2</v>
      </c>
      <c r="F28" s="72">
        <f>Data!F326/Data!F323-1</f>
        <v>3.2906377639373652E-2</v>
      </c>
      <c r="G28" s="72">
        <f>Data!G326/Data!G323-1</f>
        <v>-5.0087170740947817E-3</v>
      </c>
      <c r="H28" s="72">
        <f>Data!H326/Data!H323-1</f>
        <v>5.8201662880000171E-2</v>
      </c>
      <c r="I28" s="72">
        <f>Data!I326/Data!I323-1</f>
        <v>2.4204818020648666E-2</v>
      </c>
      <c r="J28" s="72">
        <f>Data!J326/Data!J323-1</f>
        <v>1.9400524242919825E-2</v>
      </c>
      <c r="K28" s="72">
        <f>Data!K326/Data!K323-1</f>
        <v>2.0411155752367849E-2</v>
      </c>
      <c r="L28" s="211">
        <f>Data!L326/Data!L323-1</f>
        <v>1.2206134755727849E-2</v>
      </c>
      <c r="N28" s="394">
        <f t="shared" si="0"/>
        <v>1.8607865979804572E-2</v>
      </c>
      <c r="O28" s="72">
        <f t="shared" si="1"/>
        <v>2.3064853825533582E-2</v>
      </c>
      <c r="P28" s="72">
        <f t="shared" si="2"/>
        <v>-5.8704969520073647E-3</v>
      </c>
      <c r="Q28" s="72">
        <f t="shared" si="3"/>
        <v>3.3976037774185119E-2</v>
      </c>
      <c r="R28" s="72">
        <f t="shared" si="4"/>
        <v>3.2906377639373652E-2</v>
      </c>
      <c r="S28" s="72">
        <f>(G28-Inputs!$B$39*G27)/(1-Inputs!$B$39)</f>
        <v>1.2989726617764936E-2</v>
      </c>
      <c r="T28" s="72">
        <f t="shared" si="5"/>
        <v>5.8201662880000171E-2</v>
      </c>
      <c r="U28" s="72">
        <f>(I28-Inputs!$B$40*I27)/(1-Inputs!$B$40)</f>
        <v>3.0176549977509105E-2</v>
      </c>
      <c r="V28" s="72">
        <f t="shared" si="6"/>
        <v>1.9400524242919825E-2</v>
      </c>
      <c r="W28" s="72">
        <f t="shared" si="7"/>
        <v>2.0411155752367849E-2</v>
      </c>
      <c r="X28" s="145">
        <f t="shared" si="8"/>
        <v>1.2206134755727849E-2</v>
      </c>
      <c r="Z28" s="395">
        <f>SUMPRODUCT($N28:$X28,Risk!$B$56:$L$56)</f>
        <v>2.085112146397541E-2</v>
      </c>
      <c r="AA28" s="72">
        <f>SUMPRODUCT($N28:$X28,Risk!$B$57:$L$57)</f>
        <v>2.1676183987554016E-2</v>
      </c>
      <c r="AB28" s="72">
        <f>SUMPRODUCT($N28:$X28,Risk!$B$58:$L$58)</f>
        <v>1.9451322552845998E-2</v>
      </c>
      <c r="AC28" s="72">
        <f>SUMPRODUCT($N28:$X28,Risk!$B$63:$L$63)</f>
        <v>1.9993132153808858E-2</v>
      </c>
      <c r="AD28" s="263">
        <f>SUMPRODUCT($N28:$X28,Risk!$B$64:$L$64)</f>
        <v>2.0063125674170987E-2</v>
      </c>
    </row>
    <row r="29" spans="1:30" x14ac:dyDescent="0.2">
      <c r="A29" s="393">
        <f>Data!A329</f>
        <v>40998</v>
      </c>
      <c r="B29" s="72">
        <f>Data!B329/Data!B326-1</f>
        <v>8.9994790026669325E-2</v>
      </c>
      <c r="C29" s="72">
        <f>Data!C329/Data!C326-1</f>
        <v>0.10181729878764556</v>
      </c>
      <c r="D29" s="72">
        <f>Data!D329/Data!D326-1</f>
        <v>9.5944100368590579E-2</v>
      </c>
      <c r="E29" s="72">
        <f>Data!E329/Data!E326-1</f>
        <v>9.5195046515586412E-2</v>
      </c>
      <c r="F29" s="72">
        <f>Data!F329/Data!F326-1</f>
        <v>4.7839294231493135E-2</v>
      </c>
      <c r="G29" s="72">
        <f>Data!G329/Data!G326-1</f>
        <v>9.0544485916046469E-3</v>
      </c>
      <c r="H29" s="72">
        <f>Data!H329/Data!H326-1</f>
        <v>1.798379591999999E-2</v>
      </c>
      <c r="I29" s="72">
        <f>Data!I329/Data!I326-1</f>
        <v>1.5700888902465016E-2</v>
      </c>
      <c r="J29" s="72">
        <f>Data!J329/Data!J326-1</f>
        <v>7.8440725002169032E-3</v>
      </c>
      <c r="K29" s="72">
        <f>Data!K329/Data!K326-1</f>
        <v>2.227331513148445E-2</v>
      </c>
      <c r="L29" s="211">
        <f>Data!L329/Data!L326-1</f>
        <v>1.1164094316375328E-2</v>
      </c>
      <c r="N29" s="394">
        <f t="shared" si="0"/>
        <v>8.9994790026669325E-2</v>
      </c>
      <c r="O29" s="72">
        <f t="shared" si="1"/>
        <v>0.10181729878764556</v>
      </c>
      <c r="P29" s="72">
        <f t="shared" si="2"/>
        <v>9.5944100368590579E-2</v>
      </c>
      <c r="Q29" s="72">
        <f t="shared" si="3"/>
        <v>9.5195046515586412E-2</v>
      </c>
      <c r="R29" s="72">
        <f t="shared" si="4"/>
        <v>4.7839294231493135E-2</v>
      </c>
      <c r="S29" s="72">
        <f>(G29-Inputs!$B$39*G28)/(1-Inputs!$B$39)</f>
        <v>3.5171756256475013E-2</v>
      </c>
      <c r="T29" s="72">
        <f t="shared" si="5"/>
        <v>1.798379591999999E-2</v>
      </c>
      <c r="U29" s="72">
        <f>(I29-Inputs!$B$40*I28)/(1-Inputs!$B$40)</f>
        <v>1.3015437601985968E-2</v>
      </c>
      <c r="V29" s="72">
        <f t="shared" si="6"/>
        <v>7.8440725002169032E-3</v>
      </c>
      <c r="W29" s="72">
        <f t="shared" si="7"/>
        <v>2.227331513148445E-2</v>
      </c>
      <c r="X29" s="145">
        <f t="shared" si="8"/>
        <v>1.1164094316375328E-2</v>
      </c>
      <c r="Z29" s="395">
        <f>SUMPRODUCT($N29:$X29,Risk!$B$56:$L$56)</f>
        <v>6.9620843107453062E-2</v>
      </c>
      <c r="AA29" s="72">
        <f>SUMPRODUCT($N29:$X29,Risk!$B$57:$L$57)</f>
        <v>6.4005333829949135E-2</v>
      </c>
      <c r="AB29" s="72">
        <f>SUMPRODUCT($N29:$X29,Risk!$B$58:$L$58)</f>
        <v>7.2655879710940896E-2</v>
      </c>
      <c r="AC29" s="72">
        <f>SUMPRODUCT($N29:$X29,Risk!$B$63:$L$63)</f>
        <v>7.2186650597277066E-2</v>
      </c>
      <c r="AD29" s="263">
        <f>SUMPRODUCT($N29:$X29,Risk!$B$64:$L$64)</f>
        <v>5.9311203953078297E-2</v>
      </c>
    </row>
    <row r="30" spans="1:30" x14ac:dyDescent="0.2">
      <c r="A30" s="393">
        <f>Data!A332</f>
        <v>41089</v>
      </c>
      <c r="B30" s="72">
        <f>Data!B332/Data!B329-1</f>
        <v>-5.6353412457915031E-2</v>
      </c>
      <c r="C30" s="72">
        <f>Data!C332/Data!C329-1</f>
        <v>-3.0282079450714594E-2</v>
      </c>
      <c r="D30" s="72">
        <f>Data!D332/Data!D329-1</f>
        <v>-4.1241885474700757E-2</v>
      </c>
      <c r="E30" s="72">
        <f>Data!E332/Data!E329-1</f>
        <v>5.0174494901704669E-2</v>
      </c>
      <c r="F30" s="72">
        <f>Data!F332/Data!F329-1</f>
        <v>-0.11452903244880341</v>
      </c>
      <c r="G30" s="72">
        <f>Data!G332/Data!G329-1</f>
        <v>7.0122500481883954E-3</v>
      </c>
      <c r="H30" s="72">
        <f>Data!H332/Data!H329-1</f>
        <v>1.0104313328000103E-2</v>
      </c>
      <c r="I30" s="72">
        <f>Data!I332/Data!I329-1</f>
        <v>-2.105199843613681E-3</v>
      </c>
      <c r="J30" s="72">
        <f>Data!J332/Data!J329-1</f>
        <v>4.569137241910437E-2</v>
      </c>
      <c r="K30" s="72">
        <f>Data!K332/Data!K329-1</f>
        <v>2.5766095023896485E-2</v>
      </c>
      <c r="L30" s="211">
        <f>Data!L332/Data!L329-1</f>
        <v>1.0466800430524836E-2</v>
      </c>
      <c r="N30" s="394">
        <f t="shared" si="0"/>
        <v>-5.6353412457915031E-2</v>
      </c>
      <c r="O30" s="72">
        <f t="shared" si="1"/>
        <v>-3.0282079450714594E-2</v>
      </c>
      <c r="P30" s="72">
        <f t="shared" si="2"/>
        <v>-4.1241885474700757E-2</v>
      </c>
      <c r="Q30" s="72">
        <f t="shared" si="3"/>
        <v>5.0174494901704669E-2</v>
      </c>
      <c r="R30" s="72">
        <f t="shared" si="4"/>
        <v>-0.11452903244880341</v>
      </c>
      <c r="S30" s="72">
        <f>(G30-Inputs!$B$39*G29)/(1-Inputs!$B$39)</f>
        <v>3.2195956104153554E-3</v>
      </c>
      <c r="T30" s="72">
        <f t="shared" si="5"/>
        <v>1.0104313328000103E-2</v>
      </c>
      <c r="U30" s="72">
        <f>(I30-Inputs!$B$40*I29)/(1-Inputs!$B$40)</f>
        <v>-7.7281752371122156E-3</v>
      </c>
      <c r="V30" s="72">
        <f t="shared" si="6"/>
        <v>4.569137241910437E-2</v>
      </c>
      <c r="W30" s="72">
        <f t="shared" si="7"/>
        <v>2.5766095023896485E-2</v>
      </c>
      <c r="X30" s="145">
        <f t="shared" si="8"/>
        <v>1.0466800430524836E-2</v>
      </c>
      <c r="Z30" s="395">
        <f>SUMPRODUCT($N30:$X30,Risk!$B$56:$L$56)</f>
        <v>-1.3932661888224356E-2</v>
      </c>
      <c r="AA30" s="72">
        <f>SUMPRODUCT($N30:$X30,Risk!$B$57:$L$57)</f>
        <v>-1.1594344225281645E-2</v>
      </c>
      <c r="AB30" s="72">
        <f>SUMPRODUCT($N30:$X30,Risk!$B$58:$L$58)</f>
        <v>-1.83887079343668E-2</v>
      </c>
      <c r="AC30" s="72">
        <f>SUMPRODUCT($N30:$X30,Risk!$B$63:$L$63)</f>
        <v>-1.7108813353892551E-2</v>
      </c>
      <c r="AD30" s="263">
        <f>SUMPRODUCT($N30:$X30,Risk!$B$64:$L$64)</f>
        <v>-5.7256032297197147E-3</v>
      </c>
    </row>
    <row r="31" spans="1:30" x14ac:dyDescent="0.2">
      <c r="A31" s="393">
        <f>Data!A335</f>
        <v>41180</v>
      </c>
      <c r="B31" s="72">
        <f>Data!B335/Data!B332-1</f>
        <v>8.2012186014211341E-2</v>
      </c>
      <c r="C31" s="72">
        <f>Data!C335/Data!C332-1</f>
        <v>4.2162308525169667E-2</v>
      </c>
      <c r="D31" s="72">
        <f>Data!D335/Data!D332-1</f>
        <v>4.5324508949988962E-2</v>
      </c>
      <c r="E31" s="72">
        <f>Data!E335/Data!E332-1</f>
        <v>1.2814661172108943E-2</v>
      </c>
      <c r="F31" s="72">
        <f>Data!F335/Data!F332-1</f>
        <v>9.9424395929595955E-2</v>
      </c>
      <c r="G31" s="72">
        <f>Data!G335/Data!G332-1</f>
        <v>1.001566786706487E-3</v>
      </c>
      <c r="H31" s="72">
        <f>Data!H335/Data!H332-1</f>
        <v>-2.801214870400015E-2</v>
      </c>
      <c r="I31" s="72">
        <f>Data!I335/Data!I332-1</f>
        <v>3.180535045156363E-2</v>
      </c>
      <c r="J31" s="72">
        <f>Data!J335/Data!J332-1</f>
        <v>1.9842363748325376E-2</v>
      </c>
      <c r="K31" s="72">
        <f>Data!K335/Data!K332-1</f>
        <v>2.8599619037178226E-2</v>
      </c>
      <c r="L31" s="211">
        <f>Data!L335/Data!L332-1</f>
        <v>9.0762406847550992E-3</v>
      </c>
      <c r="N31" s="394">
        <f t="shared" si="0"/>
        <v>8.2012186014211341E-2</v>
      </c>
      <c r="O31" s="72">
        <f t="shared" si="1"/>
        <v>4.2162308525169667E-2</v>
      </c>
      <c r="P31" s="72">
        <f t="shared" si="2"/>
        <v>4.5324508949988962E-2</v>
      </c>
      <c r="Q31" s="72">
        <f t="shared" si="3"/>
        <v>1.2814661172108943E-2</v>
      </c>
      <c r="R31" s="72">
        <f t="shared" si="4"/>
        <v>9.9424395929595955E-2</v>
      </c>
      <c r="S31" s="72">
        <f>(G31-Inputs!$B$39*G30)/(1-Inputs!$B$39)</f>
        <v>-1.0161130698902772E-2</v>
      </c>
      <c r="T31" s="72">
        <f t="shared" si="5"/>
        <v>-2.801214870400015E-2</v>
      </c>
      <c r="U31" s="72">
        <f>(I31-Inputs!$B$40*I30)/(1-Inputs!$B$40)</f>
        <v>4.2513945281619628E-2</v>
      </c>
      <c r="V31" s="72">
        <f t="shared" si="6"/>
        <v>1.9842363748325376E-2</v>
      </c>
      <c r="W31" s="72">
        <f t="shared" si="7"/>
        <v>2.8599619037178226E-2</v>
      </c>
      <c r="X31" s="145">
        <f t="shared" si="8"/>
        <v>9.0762406847550992E-3</v>
      </c>
      <c r="Z31" s="395">
        <f>SUMPRODUCT($N31:$X31,Risk!$B$56:$L$56)</f>
        <v>4.8418463161085286E-2</v>
      </c>
      <c r="AA31" s="72">
        <f>SUMPRODUCT($N31:$X31,Risk!$B$57:$L$57)</f>
        <v>4.0990423620514027E-2</v>
      </c>
      <c r="AB31" s="72">
        <f>SUMPRODUCT($N31:$X31,Risk!$B$58:$L$58)</f>
        <v>4.5598675106308398E-2</v>
      </c>
      <c r="AC31" s="72">
        <f>SUMPRODUCT($N31:$X31,Risk!$B$63:$L$63)</f>
        <v>4.5282607959366998E-2</v>
      </c>
      <c r="AD31" s="263">
        <f>SUMPRODUCT($N31:$X31,Risk!$B$64:$L$64)</f>
        <v>4.1001899335756029E-2</v>
      </c>
    </row>
    <row r="32" spans="1:30" x14ac:dyDescent="0.2">
      <c r="A32" s="393">
        <f>Data!A338</f>
        <v>41274</v>
      </c>
      <c r="B32" s="72">
        <f>Data!B338/Data!B335-1</f>
        <v>6.7824019450045459E-2</v>
      </c>
      <c r="C32" s="72">
        <f>Data!C338/Data!C335-1</f>
        <v>3.2411840799489777E-2</v>
      </c>
      <c r="D32" s="72">
        <f>Data!D338/Data!D335-1</f>
        <v>5.5355290879697483E-2</v>
      </c>
      <c r="E32" s="72">
        <f>Data!E338/Data!E335-1</f>
        <v>4.820907954911835E-2</v>
      </c>
      <c r="F32" s="72">
        <f>Data!F338/Data!F335-1</f>
        <v>-3.1216279697055649E-2</v>
      </c>
      <c r="G32" s="72">
        <f>Data!G338/Data!G335-1</f>
        <v>2.502213329845171E-2</v>
      </c>
      <c r="H32" s="72">
        <f>Data!H338/Data!H335-1</f>
        <v>-1.2824571748000113E-2</v>
      </c>
      <c r="I32" s="72">
        <f>Data!I338/Data!I335-1</f>
        <v>1.2501338733703848E-2</v>
      </c>
      <c r="J32" s="72">
        <f>Data!J338/Data!J335-1</f>
        <v>2.0776880509405515E-3</v>
      </c>
      <c r="K32" s="72">
        <f>Data!K338/Data!K335-1</f>
        <v>1.669331201705293E-2</v>
      </c>
      <c r="L32" s="211">
        <f>Data!L338/Data!L335-1</f>
        <v>8.4068657155997872E-3</v>
      </c>
      <c r="N32" s="394">
        <f t="shared" si="0"/>
        <v>6.7824019450045459E-2</v>
      </c>
      <c r="O32" s="72">
        <f t="shared" si="1"/>
        <v>3.2411840799489777E-2</v>
      </c>
      <c r="P32" s="72">
        <f t="shared" si="2"/>
        <v>5.5355290879697483E-2</v>
      </c>
      <c r="Q32" s="72">
        <f t="shared" si="3"/>
        <v>4.820907954911835E-2</v>
      </c>
      <c r="R32" s="72">
        <f t="shared" si="4"/>
        <v>-3.1216279697055649E-2</v>
      </c>
      <c r="S32" s="72">
        <f>(G32-Inputs!$B$39*G31)/(1-Inputs!$B$39)</f>
        <v>6.9631756820264262E-2</v>
      </c>
      <c r="T32" s="72">
        <f t="shared" si="5"/>
        <v>-1.2824571748000113E-2</v>
      </c>
      <c r="U32" s="72">
        <f>(I32-Inputs!$B$40*I31)/(1-Inputs!$B$40)</f>
        <v>6.4053350333270753E-3</v>
      </c>
      <c r="V32" s="72">
        <f t="shared" si="6"/>
        <v>2.0776880509405515E-3</v>
      </c>
      <c r="W32" s="72">
        <f t="shared" si="7"/>
        <v>1.669331201705293E-2</v>
      </c>
      <c r="X32" s="145">
        <f t="shared" si="8"/>
        <v>8.4068657155997872E-3</v>
      </c>
      <c r="Z32" s="395">
        <f>SUMPRODUCT($N32:$X32,Risk!$B$56:$L$56)</f>
        <v>4.0668482663925275E-2</v>
      </c>
      <c r="AA32" s="72">
        <f>SUMPRODUCT($N32:$X32,Risk!$B$57:$L$57)</f>
        <v>3.4814172715325525E-2</v>
      </c>
      <c r="AB32" s="72">
        <f>SUMPRODUCT($N32:$X32,Risk!$B$58:$L$58)</f>
        <v>3.9162533933027273E-2</v>
      </c>
      <c r="AC32" s="72">
        <f>SUMPRODUCT($N32:$X32,Risk!$B$63:$L$63)</f>
        <v>3.8806719547077144E-2</v>
      </c>
      <c r="AD32" s="263">
        <f>SUMPRODUCT($N32:$X32,Risk!$B$64:$L$64)</f>
        <v>3.445722896570496E-2</v>
      </c>
    </row>
    <row r="33" spans="1:30" x14ac:dyDescent="0.2">
      <c r="A33" s="393">
        <f>Data!A341</f>
        <v>41362</v>
      </c>
      <c r="B33" s="72">
        <f>Data!B341/Data!B338-1</f>
        <v>8.044317167708015E-2</v>
      </c>
      <c r="C33" s="72">
        <f>Data!C341/Data!C338-1</f>
        <v>9.4732044158545525E-2</v>
      </c>
      <c r="D33" s="72">
        <f>Data!D341/Data!D338-1</f>
        <v>-8.5563358809696011E-3</v>
      </c>
      <c r="E33" s="72">
        <f>Data!E341/Data!E338-1</f>
        <v>8.6707109305768304E-2</v>
      </c>
      <c r="F33" s="72">
        <f>Data!F341/Data!F338-1</f>
        <v>1.3113175516692444E-3</v>
      </c>
      <c r="G33" s="72">
        <f>Data!G341/Data!G338-1</f>
        <v>9.8572682847439808E-3</v>
      </c>
      <c r="H33" s="72">
        <f>Data!H341/Data!H338-1</f>
        <v>4.4487952410000364E-2</v>
      </c>
      <c r="I33" s="72">
        <f>Data!I341/Data!I338-1</f>
        <v>2.5501716461684865E-2</v>
      </c>
      <c r="J33" s="72">
        <f>Data!J341/Data!J338-1</f>
        <v>1.6345482849320359E-3</v>
      </c>
      <c r="K33" s="72">
        <f>Data!K341/Data!K338-1</f>
        <v>1.2697705502339396E-2</v>
      </c>
      <c r="L33" s="211">
        <f>Data!L341/Data!L338-1</f>
        <v>7.4114758335488418E-3</v>
      </c>
      <c r="N33" s="394">
        <f t="shared" si="0"/>
        <v>8.044317167708015E-2</v>
      </c>
      <c r="O33" s="72">
        <f t="shared" si="1"/>
        <v>9.4732044158545525E-2</v>
      </c>
      <c r="P33" s="72">
        <f t="shared" si="2"/>
        <v>-8.5563358809696011E-3</v>
      </c>
      <c r="Q33" s="72">
        <f t="shared" si="3"/>
        <v>8.6707109305768304E-2</v>
      </c>
      <c r="R33" s="72">
        <f t="shared" si="4"/>
        <v>1.3113175516692444E-3</v>
      </c>
      <c r="S33" s="72">
        <f>(G33-Inputs!$B$39*G32)/(1-Inputs!$B$39)</f>
        <v>-1.8306052454998945E-2</v>
      </c>
      <c r="T33" s="72">
        <f t="shared" si="5"/>
        <v>4.4487952410000364E-2</v>
      </c>
      <c r="U33" s="72">
        <f>(I33-Inputs!$B$40*I32)/(1-Inputs!$B$40)</f>
        <v>2.9607098902099921E-2</v>
      </c>
      <c r="V33" s="72">
        <f t="shared" si="6"/>
        <v>1.6345482849320359E-3</v>
      </c>
      <c r="W33" s="72">
        <f t="shared" si="7"/>
        <v>1.2697705502339396E-2</v>
      </c>
      <c r="X33" s="145">
        <f t="shared" si="8"/>
        <v>7.4114758335488418E-3</v>
      </c>
      <c r="Z33" s="395">
        <f>SUMPRODUCT($N33:$X33,Risk!$B$56:$L$56)</f>
        <v>6.1574190424393375E-2</v>
      </c>
      <c r="AA33" s="72">
        <f>SUMPRODUCT($N33:$X33,Risk!$B$57:$L$57)</f>
        <v>5.1840995000096389E-2</v>
      </c>
      <c r="AB33" s="72">
        <f>SUMPRODUCT($N33:$X33,Risk!$B$58:$L$58)</f>
        <v>5.4045484031144064E-2</v>
      </c>
      <c r="AC33" s="72">
        <f>SUMPRODUCT($N33:$X33,Risk!$B$63:$L$63)</f>
        <v>5.5236813221762229E-2</v>
      </c>
      <c r="AD33" s="263">
        <f>SUMPRODUCT($N33:$X33,Risk!$B$64:$L$64)</f>
        <v>4.2938888966325056E-2</v>
      </c>
    </row>
    <row r="34" spans="1:30" x14ac:dyDescent="0.2">
      <c r="A34" s="393">
        <f>Data!A344</f>
        <v>41453</v>
      </c>
      <c r="B34" s="72">
        <f>Data!B344/Data!B341-1</f>
        <v>-3.3340406231792685E-2</v>
      </c>
      <c r="C34" s="72">
        <f>Data!C344/Data!C341-1</f>
        <v>0.16109010427877735</v>
      </c>
      <c r="D34" s="72">
        <f>Data!D344/Data!D341-1</f>
        <v>9.0093300274284971E-2</v>
      </c>
      <c r="E34" s="72">
        <f>Data!E344/Data!E341-1</f>
        <v>0.11476641723365599</v>
      </c>
      <c r="F34" s="72">
        <f>Data!F344/Data!F341-1</f>
        <v>7.1416004390006282E-2</v>
      </c>
      <c r="G34" s="72">
        <f>Data!G344/Data!G341-1</f>
        <v>2.829344852988247E-2</v>
      </c>
      <c r="H34" s="72">
        <f>Data!H344/Data!H341-1</f>
        <v>-1.5225071662000156E-2</v>
      </c>
      <c r="I34" s="72">
        <f>Data!I344/Data!I341-1</f>
        <v>6.1399971869285919E-2</v>
      </c>
      <c r="J34" s="72">
        <f>Data!J344/Data!J341-1</f>
        <v>4.0475469534200226E-3</v>
      </c>
      <c r="K34" s="72">
        <f>Data!K344/Data!K341-1</f>
        <v>-1.2409099143397162E-2</v>
      </c>
      <c r="L34" s="211">
        <f>Data!L344/Data!L341-1</f>
        <v>7.5006253728187033E-3</v>
      </c>
      <c r="N34" s="394">
        <f t="shared" si="0"/>
        <v>-3.3340406231792685E-2</v>
      </c>
      <c r="O34" s="72">
        <f t="shared" si="1"/>
        <v>0.16109010427877735</v>
      </c>
      <c r="P34" s="72">
        <f t="shared" si="2"/>
        <v>9.0093300274284971E-2</v>
      </c>
      <c r="Q34" s="72">
        <f t="shared" si="3"/>
        <v>0.11476641723365599</v>
      </c>
      <c r="R34" s="72">
        <f t="shared" si="4"/>
        <v>7.1416004390006282E-2</v>
      </c>
      <c r="S34" s="72">
        <f>(G34-Inputs!$B$39*G33)/(1-Inputs!$B$39)</f>
        <v>6.2532068985139674E-2</v>
      </c>
      <c r="T34" s="72">
        <f t="shared" si="5"/>
        <v>-1.5225071662000156E-2</v>
      </c>
      <c r="U34" s="72">
        <f>(I34-Inputs!$B$40*I33)/(1-Inputs!$B$40)</f>
        <v>7.2736263050633618E-2</v>
      </c>
      <c r="V34" s="72">
        <f t="shared" si="6"/>
        <v>4.0475469534200226E-3</v>
      </c>
      <c r="W34" s="72">
        <f t="shared" si="7"/>
        <v>-1.2409099143397162E-2</v>
      </c>
      <c r="X34" s="145">
        <f t="shared" si="8"/>
        <v>7.5006253728187033E-3</v>
      </c>
      <c r="Z34" s="395">
        <f>SUMPRODUCT($N34:$X34,Risk!$B$56:$L$56)</f>
        <v>3.0497947974042539E-2</v>
      </c>
      <c r="AA34" s="72">
        <f>SUMPRODUCT($N34:$X34,Risk!$B$57:$L$57)</f>
        <v>4.6769905391148649E-2</v>
      </c>
      <c r="AB34" s="72">
        <f>SUMPRODUCT($N34:$X34,Risk!$B$58:$L$58)</f>
        <v>5.6503313238500677E-2</v>
      </c>
      <c r="AC34" s="72">
        <f>SUMPRODUCT($N34:$X34,Risk!$B$63:$L$63)</f>
        <v>5.6157499372309287E-2</v>
      </c>
      <c r="AD34" s="263">
        <f>SUMPRODUCT($N34:$X34,Risk!$B$64:$L$64)</f>
        <v>3.5998559350446761E-2</v>
      </c>
    </row>
    <row r="35" spans="1:30" x14ac:dyDescent="0.2">
      <c r="A35" s="393">
        <f>Data!A347</f>
        <v>41547</v>
      </c>
      <c r="B35" s="72">
        <f>Data!B347/Data!B344-1</f>
        <v>0.10777330646428096</v>
      </c>
      <c r="C35" s="72">
        <f>Data!C347/Data!C344-1</f>
        <v>4.2733162076066922E-2</v>
      </c>
      <c r="D35" s="72">
        <f>Data!D347/Data!D344-1</f>
        <v>3.5364223290785368E-2</v>
      </c>
      <c r="E35" s="72">
        <f>Data!E347/Data!E344-1</f>
        <v>-3.0021214786231876E-2</v>
      </c>
      <c r="F35" s="72">
        <f>Data!F347/Data!F344-1</f>
        <v>2.569246429843508E-2</v>
      </c>
      <c r="G35" s="72">
        <f>Data!G347/Data!G344-1</f>
        <v>2.7671227638695006E-2</v>
      </c>
      <c r="H35" s="72">
        <f>Data!H347/Data!H344-1</f>
        <v>3.0195262029000025E-2</v>
      </c>
      <c r="I35" s="72">
        <f>Data!I347/Data!I344-1</f>
        <v>2.6998135927133182E-2</v>
      </c>
      <c r="J35" s="72">
        <f>Data!J347/Data!J344-1</f>
        <v>1.0354964444841519E-2</v>
      </c>
      <c r="K35" s="72">
        <f>Data!K347/Data!K344-1</f>
        <v>1.4438635797858979E-2</v>
      </c>
      <c r="L35" s="211">
        <f>Data!L347/Data!L344-1</f>
        <v>6.972403238169278E-3</v>
      </c>
      <c r="N35" s="394">
        <f t="shared" si="0"/>
        <v>0.10777330646428096</v>
      </c>
      <c r="O35" s="72">
        <f t="shared" si="1"/>
        <v>4.2733162076066922E-2</v>
      </c>
      <c r="P35" s="72">
        <f t="shared" si="2"/>
        <v>3.5364223290785368E-2</v>
      </c>
      <c r="Q35" s="72">
        <f t="shared" si="3"/>
        <v>-3.0021214786231876E-2</v>
      </c>
      <c r="R35" s="72">
        <f t="shared" si="4"/>
        <v>2.569246429843508E-2</v>
      </c>
      <c r="S35" s="72">
        <f>(G35-Inputs!$B$39*G34)/(1-Inputs!$B$39)</f>
        <v>2.6515674555061146E-2</v>
      </c>
      <c r="T35" s="72">
        <f t="shared" si="5"/>
        <v>3.0195262029000025E-2</v>
      </c>
      <c r="U35" s="72">
        <f>(I35-Inputs!$B$40*I34)/(1-Inputs!$B$40)</f>
        <v>1.6134398261190213E-2</v>
      </c>
      <c r="V35" s="72">
        <f t="shared" si="6"/>
        <v>1.0354964444841519E-2</v>
      </c>
      <c r="W35" s="72">
        <f t="shared" si="7"/>
        <v>1.4438635797858979E-2</v>
      </c>
      <c r="X35" s="145">
        <f t="shared" si="8"/>
        <v>6.972403238169278E-3</v>
      </c>
      <c r="Z35" s="395">
        <f>SUMPRODUCT($N35:$X35,Risk!$B$56:$L$56)</f>
        <v>5.1850237279529379E-2</v>
      </c>
      <c r="AA35" s="72">
        <f>SUMPRODUCT($N35:$X35,Risk!$B$57:$L$57)</f>
        <v>4.2635367057628486E-2</v>
      </c>
      <c r="AB35" s="72">
        <f>SUMPRODUCT($N35:$X35,Risk!$B$58:$L$58)</f>
        <v>4.5876698303670492E-2</v>
      </c>
      <c r="AC35" s="72">
        <f>SUMPRODUCT($N35:$X35,Risk!$B$63:$L$63)</f>
        <v>4.549347745561403E-2</v>
      </c>
      <c r="AD35" s="263">
        <f>SUMPRODUCT($N35:$X35,Risk!$B$64:$L$64)</f>
        <v>3.7552295275941124E-2</v>
      </c>
    </row>
    <row r="36" spans="1:30" x14ac:dyDescent="0.2">
      <c r="A36" s="393">
        <f>Data!A350</f>
        <v>41639</v>
      </c>
      <c r="B36" s="72">
        <f>Data!B350/Data!B347-1</f>
        <v>3.420619940257752E-2</v>
      </c>
      <c r="C36" s="72">
        <f>Data!C350/Data!C347-1</f>
        <v>0.13448758856832432</v>
      </c>
      <c r="D36" s="72">
        <f>Data!D350/Data!D347-1</f>
        <v>7.6382219887182856E-2</v>
      </c>
      <c r="E36" s="72">
        <f>Data!E350/Data!E347-1</f>
        <v>4.6489508475433539E-2</v>
      </c>
      <c r="F36" s="72">
        <f>Data!F350/Data!F347-1</f>
        <v>4.1745600042960129E-2</v>
      </c>
      <c r="G36" s="72">
        <f>Data!G350/Data!G347-1</f>
        <v>4.2824109420313894E-2</v>
      </c>
      <c r="H36" s="72">
        <f>Data!H350/Data!H347-1</f>
        <v>2.6286730568000349E-2</v>
      </c>
      <c r="I36" s="72">
        <f>Data!I350/Data!I347-1</f>
        <v>9.819439307004818E-2</v>
      </c>
      <c r="J36" s="72">
        <f>Data!J350/Data!J347-1</f>
        <v>3.6953929095475679E-3</v>
      </c>
      <c r="K36" s="72">
        <f>Data!K350/Data!K347-1</f>
        <v>7.9948337100423927E-3</v>
      </c>
      <c r="L36" s="211">
        <f>Data!L350/Data!L347-1</f>
        <v>6.4727169732112788E-3</v>
      </c>
      <c r="N36" s="394">
        <f t="shared" si="0"/>
        <v>3.420619940257752E-2</v>
      </c>
      <c r="O36" s="72">
        <f t="shared" si="1"/>
        <v>0.13448758856832432</v>
      </c>
      <c r="P36" s="72">
        <f t="shared" si="2"/>
        <v>7.6382219887182856E-2</v>
      </c>
      <c r="Q36" s="72">
        <f t="shared" si="3"/>
        <v>4.6489508475433539E-2</v>
      </c>
      <c r="R36" s="72">
        <f t="shared" si="4"/>
        <v>4.1745600042960129E-2</v>
      </c>
      <c r="S36" s="72">
        <f>(G36-Inputs!$B$39*G35)/(1-Inputs!$B$39)</f>
        <v>7.0965175586177542E-2</v>
      </c>
      <c r="T36" s="72">
        <f t="shared" si="5"/>
        <v>2.6286730568000349E-2</v>
      </c>
      <c r="U36" s="72">
        <f>(I36-Inputs!$B$40*I35)/(1-Inputs!$B$40)</f>
        <v>0.12067742164149503</v>
      </c>
      <c r="V36" s="72">
        <f t="shared" si="6"/>
        <v>3.6953929095475679E-3</v>
      </c>
      <c r="W36" s="72">
        <f t="shared" si="7"/>
        <v>7.9948337100423927E-3</v>
      </c>
      <c r="X36" s="145">
        <f t="shared" si="8"/>
        <v>6.4727169732112788E-3</v>
      </c>
      <c r="Z36" s="395">
        <f>SUMPRODUCT($N36:$X36,Risk!$B$56:$L$56)</f>
        <v>4.6875934143599543E-2</v>
      </c>
      <c r="AA36" s="72">
        <f>SUMPRODUCT($N36:$X36,Risk!$B$57:$L$57)</f>
        <v>5.6757366868028652E-2</v>
      </c>
      <c r="AB36" s="72">
        <f>SUMPRODUCT($N36:$X36,Risk!$B$58:$L$58)</f>
        <v>6.2491652443757185E-2</v>
      </c>
      <c r="AC36" s="72">
        <f>SUMPRODUCT($N36:$X36,Risk!$B$63:$L$63)</f>
        <v>6.1774876504421282E-2</v>
      </c>
      <c r="AD36" s="263">
        <f>SUMPRODUCT($N36:$X36,Risk!$B$64:$L$64)</f>
        <v>4.4737247394067862E-2</v>
      </c>
    </row>
    <row r="37" spans="1:30" x14ac:dyDescent="0.2">
      <c r="A37" s="393">
        <f>Data!A353</f>
        <v>41729</v>
      </c>
      <c r="B37" s="72">
        <f>Data!B353/Data!B350-1</f>
        <v>2.2027575018241929E-2</v>
      </c>
      <c r="C37" s="72">
        <f>Data!C353/Data!C350-1</f>
        <v>-2.3608680244995073E-2</v>
      </c>
      <c r="D37" s="72">
        <f>Data!D353/Data!D350-1</f>
        <v>-3.9244610730833851E-2</v>
      </c>
      <c r="E37" s="72">
        <f>Data!E353/Data!E350-1</f>
        <v>3.1150993166604968E-2</v>
      </c>
      <c r="F37" s="72">
        <f>Data!F353/Data!F350-1</f>
        <v>-6.3463901134912515E-3</v>
      </c>
      <c r="G37" s="72">
        <f>Data!G353/Data!G350-1</f>
        <v>1.7251996475630804E-2</v>
      </c>
      <c r="H37" s="72">
        <f>Data!H353/Data!H350-1</f>
        <v>1.8806023400000038E-2</v>
      </c>
      <c r="I37" s="72">
        <f>Data!I353/Data!I350-1</f>
        <v>3.3502005263817303E-2</v>
      </c>
      <c r="J37" s="72">
        <f>Data!J353/Data!J350-1</f>
        <v>1.4517926672167336E-2</v>
      </c>
      <c r="K37" s="72">
        <f>Data!K353/Data!K350-1</f>
        <v>2.6715698836553781E-2</v>
      </c>
      <c r="L37" s="211">
        <f>Data!L353/Data!L350-1</f>
        <v>6.4298340278678978E-3</v>
      </c>
      <c r="N37" s="394">
        <f t="shared" si="0"/>
        <v>2.2027575018241929E-2</v>
      </c>
      <c r="O37" s="72">
        <f t="shared" si="1"/>
        <v>-2.3608680244995073E-2</v>
      </c>
      <c r="P37" s="72">
        <f t="shared" si="2"/>
        <v>-3.9244610730833851E-2</v>
      </c>
      <c r="Q37" s="72">
        <f t="shared" si="3"/>
        <v>3.1150993166604968E-2</v>
      </c>
      <c r="R37" s="72">
        <f t="shared" si="4"/>
        <v>-6.3463901134912515E-3</v>
      </c>
      <c r="S37" s="72">
        <f>(G37-Inputs!$B$39*G36)/(1-Inputs!$B$39)</f>
        <v>-3.0239070421637797E-2</v>
      </c>
      <c r="T37" s="72">
        <f t="shared" si="5"/>
        <v>1.8806023400000038E-2</v>
      </c>
      <c r="U37" s="72">
        <f>(I37-Inputs!$B$40*I36)/(1-Inputs!$B$40)</f>
        <v>1.3072830167112814E-2</v>
      </c>
      <c r="V37" s="72">
        <f t="shared" si="6"/>
        <v>1.4517926672167336E-2</v>
      </c>
      <c r="W37" s="72">
        <f t="shared" si="7"/>
        <v>2.6715698836553781E-2</v>
      </c>
      <c r="X37" s="145">
        <f t="shared" si="8"/>
        <v>6.4298340278678978E-3</v>
      </c>
      <c r="Z37" s="395">
        <f>SUMPRODUCT($N37:$X37,Risk!$B$56:$L$56)</f>
        <v>1.196942656465841E-2</v>
      </c>
      <c r="AA37" s="72">
        <f>SUMPRODUCT($N37:$X37,Risk!$B$57:$L$57)</f>
        <v>5.3256576061210493E-3</v>
      </c>
      <c r="AB37" s="72">
        <f>SUMPRODUCT($N37:$X37,Risk!$B$58:$L$58)</f>
        <v>9.7313731191895768E-4</v>
      </c>
      <c r="AC37" s="72">
        <f>SUMPRODUCT($N37:$X37,Risk!$B$63:$L$63)</f>
        <v>1.8899326992292277E-3</v>
      </c>
      <c r="AD37" s="263">
        <f>SUMPRODUCT($N37:$X37,Risk!$B$64:$L$64)</f>
        <v>8.7174862196178204E-3</v>
      </c>
    </row>
    <row r="38" spans="1:30" x14ac:dyDescent="0.2">
      <c r="A38" s="393">
        <f>Data!A356</f>
        <v>41820</v>
      </c>
      <c r="B38" s="72">
        <f>Data!B356/Data!B353-1</f>
        <v>4.7013300918645751E-3</v>
      </c>
      <c r="C38" s="72">
        <f>Data!C356/Data!C353-1</f>
        <v>2.7302398535723249E-2</v>
      </c>
      <c r="D38" s="72">
        <f>Data!D356/Data!D353-1</f>
        <v>3.3499867364468194E-2</v>
      </c>
      <c r="E38" s="72">
        <f>Data!E356/Data!E353-1</f>
        <v>5.825026547938883E-2</v>
      </c>
      <c r="F38" s="72">
        <f>Data!F356/Data!F353-1</f>
        <v>8.4426642656194595E-3</v>
      </c>
      <c r="G38" s="72">
        <f>Data!G356/Data!G353-1</f>
        <v>2.2321972765372289E-2</v>
      </c>
      <c r="H38" s="72">
        <f>Data!H356/Data!H353-1</f>
        <v>5.5259117349999443E-3</v>
      </c>
      <c r="I38" s="72">
        <f>Data!I356/Data!I353-1</f>
        <v>5.0098149930650759E-2</v>
      </c>
      <c r="J38" s="72">
        <f>Data!J356/Data!J353-1</f>
        <v>3.1149560954098154E-2</v>
      </c>
      <c r="K38" s="72">
        <f>Data!K356/Data!K353-1</f>
        <v>2.6407418038412844E-2</v>
      </c>
      <c r="L38" s="211">
        <f>Data!L356/Data!L353-1</f>
        <v>6.6796072875248136E-3</v>
      </c>
      <c r="N38" s="394">
        <f t="shared" ref="N38:N69" si="9">B38</f>
        <v>4.7013300918645751E-3</v>
      </c>
      <c r="O38" s="72">
        <f t="shared" ref="O38:O69" si="10">C38</f>
        <v>2.7302398535723249E-2</v>
      </c>
      <c r="P38" s="72">
        <f t="shared" ref="P38:P69" si="11">D38</f>
        <v>3.3499867364468194E-2</v>
      </c>
      <c r="Q38" s="72">
        <f t="shared" ref="Q38:Q69" si="12">E38</f>
        <v>5.825026547938883E-2</v>
      </c>
      <c r="R38" s="72">
        <f t="shared" ref="R38:R69" si="13">F38</f>
        <v>8.4426642656194595E-3</v>
      </c>
      <c r="S38" s="72">
        <f>(G38-Inputs!$B$39*G37)/(1-Inputs!$B$39)</f>
        <v>3.1737643017749333E-2</v>
      </c>
      <c r="T38" s="72">
        <f t="shared" ref="T38:T69" si="14">H38</f>
        <v>5.5259117349999443E-3</v>
      </c>
      <c r="U38" s="72">
        <f>(I38-Inputs!$B$40*I37)/(1-Inputs!$B$40)</f>
        <v>5.533903772017712E-2</v>
      </c>
      <c r="V38" s="72">
        <f t="shared" ref="V38:V69" si="15">J38</f>
        <v>3.1149560954098154E-2</v>
      </c>
      <c r="W38" s="72">
        <f t="shared" ref="W38:W69" si="16">K38</f>
        <v>2.6407418038412844E-2</v>
      </c>
      <c r="X38" s="145">
        <f t="shared" ref="X38:X69" si="17">L38</f>
        <v>6.6796072875248136E-3</v>
      </c>
      <c r="Z38" s="395">
        <f>SUMPRODUCT($N38:$X38,Risk!$B$56:$L$56)</f>
        <v>2.0418638388143853E-2</v>
      </c>
      <c r="AA38" s="72">
        <f>SUMPRODUCT($N38:$X38,Risk!$B$57:$L$57)</f>
        <v>2.3858249432311053E-2</v>
      </c>
      <c r="AB38" s="72">
        <f>SUMPRODUCT($N38:$X38,Risk!$B$58:$L$58)</f>
        <v>2.3988648456428546E-2</v>
      </c>
      <c r="AC38" s="72">
        <f>SUMPRODUCT($N38:$X38,Risk!$B$63:$L$63)</f>
        <v>2.4138381030775723E-2</v>
      </c>
      <c r="AD38" s="263">
        <f>SUMPRODUCT($N38:$X38,Risk!$B$64:$L$64)</f>
        <v>2.5190534588259046E-2</v>
      </c>
    </row>
    <row r="39" spans="1:30" x14ac:dyDescent="0.2">
      <c r="A39" s="393">
        <f>Data!A359</f>
        <v>41912</v>
      </c>
      <c r="B39" s="72">
        <f>Data!B359/Data!B356-1</f>
        <v>-2.9057787354342945E-3</v>
      </c>
      <c r="C39" s="72">
        <f>Data!C359/Data!C356-1</f>
        <v>8.867645889403919E-2</v>
      </c>
      <c r="D39" s="72">
        <f>Data!D359/Data!D356-1</f>
        <v>8.6159063867179642E-2</v>
      </c>
      <c r="E39" s="72">
        <f>Data!E359/Data!E356-1</f>
        <v>6.2555750836231994E-2</v>
      </c>
      <c r="F39" s="72">
        <f>Data!F359/Data!F356-1</f>
        <v>-5.5784315891724057E-2</v>
      </c>
      <c r="G39" s="72">
        <f>Data!G359/Data!G356-1</f>
        <v>1.5063947899261576E-2</v>
      </c>
      <c r="H39" s="72">
        <f>Data!H359/Data!H356-1</f>
        <v>2.7738164414000233E-2</v>
      </c>
      <c r="I39" s="72">
        <f>Data!I359/Data!I356-1</f>
        <v>6.6502587494857712E-2</v>
      </c>
      <c r="J39" s="72">
        <f>Data!J359/Data!J356-1</f>
        <v>9.709360684069912E-3</v>
      </c>
      <c r="K39" s="72">
        <f>Data!K359/Data!K356-1</f>
        <v>1.7763997811417021E-2</v>
      </c>
      <c r="L39" s="211">
        <f>Data!L359/Data!L356-1</f>
        <v>6.502605258132732E-3</v>
      </c>
      <c r="N39" s="394">
        <f t="shared" si="9"/>
        <v>-2.9057787354342945E-3</v>
      </c>
      <c r="O39" s="72">
        <f t="shared" si="10"/>
        <v>8.867645889403919E-2</v>
      </c>
      <c r="P39" s="72">
        <f t="shared" si="11"/>
        <v>8.6159063867179642E-2</v>
      </c>
      <c r="Q39" s="72">
        <f t="shared" si="12"/>
        <v>6.2555750836231994E-2</v>
      </c>
      <c r="R39" s="72">
        <f t="shared" si="13"/>
        <v>-5.5784315891724057E-2</v>
      </c>
      <c r="S39" s="72">
        <f>(G39-Inputs!$B$39*G38)/(1-Inputs!$B$39)</f>
        <v>1.584758862198824E-3</v>
      </c>
      <c r="T39" s="72">
        <f t="shared" si="14"/>
        <v>2.7738164414000233E-2</v>
      </c>
      <c r="U39" s="72">
        <f>(I39-Inputs!$B$40*I38)/(1-Inputs!$B$40)</f>
        <v>7.1682936199344127E-2</v>
      </c>
      <c r="V39" s="72">
        <f t="shared" si="15"/>
        <v>9.709360684069912E-3</v>
      </c>
      <c r="W39" s="72">
        <f t="shared" si="16"/>
        <v>1.7763997811417021E-2</v>
      </c>
      <c r="X39" s="145">
        <f t="shared" si="17"/>
        <v>6.502605258132732E-3</v>
      </c>
      <c r="Z39" s="395">
        <f>SUMPRODUCT($N39:$X39,Risk!$B$56:$L$56)</f>
        <v>2.6161261663850462E-2</v>
      </c>
      <c r="AA39" s="72">
        <f>SUMPRODUCT($N39:$X39,Risk!$B$57:$L$57)</f>
        <v>3.2974192981707888E-2</v>
      </c>
      <c r="AB39" s="72">
        <f>SUMPRODUCT($N39:$X39,Risk!$B$58:$L$58)</f>
        <v>3.6457399389762654E-2</v>
      </c>
      <c r="AC39" s="72">
        <f>SUMPRODUCT($N39:$X39,Risk!$B$63:$L$63)</f>
        <v>3.5505384901411974E-2</v>
      </c>
      <c r="AD39" s="263">
        <f>SUMPRODUCT($N39:$X39,Risk!$B$64:$L$64)</f>
        <v>2.7251727638026857E-2</v>
      </c>
    </row>
    <row r="40" spans="1:30" x14ac:dyDescent="0.2">
      <c r="A40" s="393">
        <f>Data!A362</f>
        <v>42004</v>
      </c>
      <c r="B40" s="72">
        <f>Data!B362/Data!B359-1</f>
        <v>2.5757546825372124E-2</v>
      </c>
      <c r="C40" s="72">
        <f>Data!C362/Data!C359-1</f>
        <v>0.10527903193284471</v>
      </c>
      <c r="D40" s="72">
        <f>Data!D362/Data!D359-1</f>
        <v>7.0134983804229112E-2</v>
      </c>
      <c r="E40" s="72">
        <f>Data!E362/Data!E359-1</f>
        <v>0.19922370029542558</v>
      </c>
      <c r="F40" s="72">
        <f>Data!F362/Data!F359-1</f>
        <v>-0.22654328585877703</v>
      </c>
      <c r="G40" s="72">
        <f>Data!G362/Data!G359-1</f>
        <v>2.3435191437415348E-2</v>
      </c>
      <c r="H40" s="72">
        <f>Data!H362/Data!H359-1</f>
        <v>2.3474591230000064E-2</v>
      </c>
      <c r="I40" s="72">
        <f>Data!I362/Data!I359-1</f>
        <v>5.7300443271410595E-2</v>
      </c>
      <c r="J40" s="72">
        <f>Data!J362/Data!J359-1</f>
        <v>3.9592637578248935E-2</v>
      </c>
      <c r="K40" s="72">
        <f>Data!K362/Data!K359-1</f>
        <v>2.9054070198074378E-2</v>
      </c>
      <c r="L40" s="211">
        <f>Data!L362/Data!L359-1</f>
        <v>7.0445613473122393E-3</v>
      </c>
      <c r="N40" s="394">
        <f t="shared" si="9"/>
        <v>2.5757546825372124E-2</v>
      </c>
      <c r="O40" s="72">
        <f t="shared" si="10"/>
        <v>0.10527903193284471</v>
      </c>
      <c r="P40" s="72">
        <f t="shared" si="11"/>
        <v>7.0134983804229112E-2</v>
      </c>
      <c r="Q40" s="72">
        <f t="shared" si="12"/>
        <v>0.19922370029542558</v>
      </c>
      <c r="R40" s="72">
        <f t="shared" si="13"/>
        <v>-0.22654328585877703</v>
      </c>
      <c r="S40" s="72">
        <f>(G40-Inputs!$B$39*G39)/(1-Inputs!$B$39)</f>
        <v>3.8981786579700924E-2</v>
      </c>
      <c r="T40" s="72">
        <f t="shared" si="14"/>
        <v>2.3474591230000064E-2</v>
      </c>
      <c r="U40" s="72">
        <f>(I40-Inputs!$B$40*I39)/(1-Inputs!$B$40)</f>
        <v>5.439450299032203E-2</v>
      </c>
      <c r="V40" s="72">
        <f t="shared" si="15"/>
        <v>3.9592637578248935E-2</v>
      </c>
      <c r="W40" s="72">
        <f t="shared" si="16"/>
        <v>2.9054070198074378E-2</v>
      </c>
      <c r="X40" s="145">
        <f t="shared" si="17"/>
        <v>7.0445613473122393E-3</v>
      </c>
      <c r="Z40" s="395">
        <f>SUMPRODUCT($N40:$X40,Risk!$B$56:$L$56)</f>
        <v>6.0037535693155508E-2</v>
      </c>
      <c r="AA40" s="72">
        <f>SUMPRODUCT($N40:$X40,Risk!$B$57:$L$57)</f>
        <v>5.6460613166613993E-2</v>
      </c>
      <c r="AB40" s="72">
        <f>SUMPRODUCT($N40:$X40,Risk!$B$58:$L$58)</f>
        <v>5.9008963697118513E-2</v>
      </c>
      <c r="AC40" s="72">
        <f>SUMPRODUCT($N40:$X40,Risk!$B$63:$L$63)</f>
        <v>6.0056948782960862E-2</v>
      </c>
      <c r="AD40" s="263">
        <f>SUMPRODUCT($N40:$X40,Risk!$B$64:$L$64)</f>
        <v>5.1967761547439192E-2</v>
      </c>
    </row>
    <row r="41" spans="1:30" x14ac:dyDescent="0.2">
      <c r="A41" s="393">
        <f>Data!A365</f>
        <v>42094</v>
      </c>
      <c r="B41" s="72">
        <f>Data!B365/Data!B362-1</f>
        <v>0.10206002359436184</v>
      </c>
      <c r="C41" s="72">
        <f>Data!C365/Data!C362-1</f>
        <v>0.12481702340105971</v>
      </c>
      <c r="D41" s="72">
        <f>Data!D365/Data!D362-1</f>
        <v>0.12417046723168923</v>
      </c>
      <c r="E41" s="72">
        <f>Data!E365/Data!E362-1</f>
        <v>0.13436860576694154</v>
      </c>
      <c r="F41" s="72">
        <f>Data!F365/Data!F362-1</f>
        <v>-1.6824931067754623E-2</v>
      </c>
      <c r="G41" s="72">
        <f>Data!G365/Data!G362-1</f>
        <v>1.8853553966935443E-2</v>
      </c>
      <c r="H41" s="72">
        <f>Data!H365/Data!H362-1</f>
        <v>9.5891574560000858E-3</v>
      </c>
      <c r="I41" s="72">
        <f>Data!I365/Data!I362-1</f>
        <v>6.8699114137948714E-2</v>
      </c>
      <c r="J41" s="72">
        <f>Data!J365/Data!J362-1</f>
        <v>2.6687613165617519E-2</v>
      </c>
      <c r="K41" s="72">
        <f>Data!K365/Data!K362-1</f>
        <v>2.5598458287863446E-2</v>
      </c>
      <c r="L41" s="211">
        <f>Data!L365/Data!L362-1</f>
        <v>6.6723105230190871E-3</v>
      </c>
      <c r="N41" s="394">
        <f t="shared" si="9"/>
        <v>0.10206002359436184</v>
      </c>
      <c r="O41" s="72">
        <f t="shared" si="10"/>
        <v>0.12481702340105971</v>
      </c>
      <c r="P41" s="72">
        <f t="shared" si="11"/>
        <v>0.12417046723168923</v>
      </c>
      <c r="Q41" s="72">
        <f t="shared" si="12"/>
        <v>0.13436860576694154</v>
      </c>
      <c r="R41" s="72">
        <f t="shared" si="13"/>
        <v>-1.6824931067754623E-2</v>
      </c>
      <c r="S41" s="72">
        <f>(G41-Inputs!$B$39*G40)/(1-Inputs!$B$39)</f>
        <v>1.0344798664615622E-2</v>
      </c>
      <c r="T41" s="72">
        <f t="shared" si="14"/>
        <v>9.5891574560000858E-3</v>
      </c>
      <c r="U41" s="72">
        <f>(I41-Inputs!$B$40*I40)/(1-Inputs!$B$40)</f>
        <v>7.2298694411592326E-2</v>
      </c>
      <c r="V41" s="72">
        <f t="shared" si="15"/>
        <v>2.6687613165617519E-2</v>
      </c>
      <c r="W41" s="72">
        <f t="shared" si="16"/>
        <v>2.5598458287863446E-2</v>
      </c>
      <c r="X41" s="145">
        <f t="shared" si="17"/>
        <v>6.6723105230190871E-3</v>
      </c>
      <c r="Z41" s="395">
        <f>SUMPRODUCT($N41:$X41,Risk!$B$56:$L$56)</f>
        <v>8.5742355069133885E-2</v>
      </c>
      <c r="AA41" s="72">
        <f>SUMPRODUCT($N41:$X41,Risk!$B$57:$L$57)</f>
        <v>7.7991650373926857E-2</v>
      </c>
      <c r="AB41" s="72">
        <f>SUMPRODUCT($N41:$X41,Risk!$B$58:$L$58)</f>
        <v>8.7323490567050202E-2</v>
      </c>
      <c r="AC41" s="72">
        <f>SUMPRODUCT($N41:$X41,Risk!$B$63:$L$63)</f>
        <v>8.7065241383559797E-2</v>
      </c>
      <c r="AD41" s="263">
        <f>SUMPRODUCT($N41:$X41,Risk!$B$64:$L$64)</f>
        <v>7.171147082887476E-2</v>
      </c>
    </row>
    <row r="42" spans="1:30" x14ac:dyDescent="0.2">
      <c r="A42" s="393">
        <f>Data!A368</f>
        <v>42185</v>
      </c>
      <c r="B42" s="72">
        <f>Data!B368/Data!B365-1</f>
        <v>-6.2498070041278386E-2</v>
      </c>
      <c r="C42" s="72">
        <f>Data!C368/Data!C365-1</f>
        <v>-1.1140122593290669E-2</v>
      </c>
      <c r="D42" s="72">
        <f>Data!D368/Data!D365-1</f>
        <v>2.092112611571384E-3</v>
      </c>
      <c r="E42" s="72">
        <f>Data!E368/Data!E365-1</f>
        <v>-8.6294909830394229E-2</v>
      </c>
      <c r="F42" s="72">
        <f>Data!F368/Data!F365-1</f>
        <v>8.0710613443138124E-2</v>
      </c>
      <c r="G42" s="72">
        <f>Data!G368/Data!G365-1</f>
        <v>4.9823163536656168E-2</v>
      </c>
      <c r="H42" s="72">
        <f>Data!H368/Data!H365-1</f>
        <v>2.2006644701000333E-2</v>
      </c>
      <c r="I42" s="72">
        <f>Data!I368/Data!I365-1</f>
        <v>2.1202048333482937E-2</v>
      </c>
      <c r="J42" s="72">
        <f>Data!J368/Data!J365-1</f>
        <v>-1.9879128549052605E-2</v>
      </c>
      <c r="K42" s="72">
        <f>Data!K368/Data!K365-1</f>
        <v>-1.6741564130717923E-2</v>
      </c>
      <c r="L42" s="211">
        <f>Data!L368/Data!L365-1</f>
        <v>5.5695851795320994E-3</v>
      </c>
      <c r="N42" s="394">
        <f t="shared" si="9"/>
        <v>-6.2498070041278386E-2</v>
      </c>
      <c r="O42" s="72">
        <f t="shared" si="10"/>
        <v>-1.1140122593290669E-2</v>
      </c>
      <c r="P42" s="72">
        <f t="shared" si="11"/>
        <v>2.092112611571384E-3</v>
      </c>
      <c r="Q42" s="72">
        <f t="shared" si="12"/>
        <v>-8.6294909830394229E-2</v>
      </c>
      <c r="R42" s="72">
        <f t="shared" si="13"/>
        <v>8.0710613443138124E-2</v>
      </c>
      <c r="S42" s="72">
        <f>(G42-Inputs!$B$39*G41)/(1-Inputs!$B$39)</f>
        <v>0.10733815273756608</v>
      </c>
      <c r="T42" s="72">
        <f t="shared" si="14"/>
        <v>2.2006644701000333E-2</v>
      </c>
      <c r="U42" s="72">
        <f>(I42-Inputs!$B$40*I41)/(1-Inputs!$B$40)</f>
        <v>6.2029749215463783E-3</v>
      </c>
      <c r="V42" s="72">
        <f t="shared" si="15"/>
        <v>-1.9879128549052605E-2</v>
      </c>
      <c r="W42" s="72">
        <f t="shared" si="16"/>
        <v>-1.6741564130717923E-2</v>
      </c>
      <c r="X42" s="145">
        <f t="shared" si="17"/>
        <v>5.5695851795320994E-3</v>
      </c>
      <c r="Z42" s="395">
        <f>SUMPRODUCT($N42:$X42,Risk!$B$56:$L$56)</f>
        <v>-3.9788066968456985E-2</v>
      </c>
      <c r="AA42" s="72">
        <f>SUMPRODUCT($N42:$X42,Risk!$B$57:$L$57)</f>
        <v>-2.0906181243932717E-2</v>
      </c>
      <c r="AB42" s="72">
        <f>SUMPRODUCT($N42:$X42,Risk!$B$58:$L$58)</f>
        <v>-2.195151337069853E-2</v>
      </c>
      <c r="AC42" s="72">
        <f>SUMPRODUCT($N42:$X42,Risk!$B$63:$L$63)</f>
        <v>-2.3173201266338848E-2</v>
      </c>
      <c r="AD42" s="263">
        <f>SUMPRODUCT($N42:$X42,Risk!$B$64:$L$64)</f>
        <v>-2.2754177175526257E-2</v>
      </c>
    </row>
    <row r="43" spans="1:30" x14ac:dyDescent="0.2">
      <c r="A43" s="393">
        <f>Data!A371</f>
        <v>42277</v>
      </c>
      <c r="B43" s="72">
        <f>Data!B371/Data!B368-1</f>
        <v>-5.7899158593797351E-2</v>
      </c>
      <c r="C43" s="72">
        <f>Data!C371/Data!C368-1</f>
        <v>1.1217848706603917E-2</v>
      </c>
      <c r="D43" s="72">
        <f>Data!D371/Data!D368-1</f>
        <v>-3.6536960787026063E-2</v>
      </c>
      <c r="E43" s="72">
        <f>Data!E371/Data!E368-1</f>
        <v>0.10633290373534132</v>
      </c>
      <c r="F43" s="72">
        <f>Data!F371/Data!F368-1</f>
        <v>-0.11670363842689357</v>
      </c>
      <c r="G43" s="72">
        <f>Data!G371/Data!G368-1</f>
        <v>2.3405456294746108E-2</v>
      </c>
      <c r="H43" s="72">
        <f>Data!H371/Data!H368-1</f>
        <v>6.8600796759996641E-3</v>
      </c>
      <c r="I43" s="72">
        <f>Data!I371/Data!I368-1</f>
        <v>3.5001906102460456E-2</v>
      </c>
      <c r="J43" s="72">
        <f>Data!J371/Data!J368-1</f>
        <v>2.2001891048007316E-2</v>
      </c>
      <c r="K43" s="72">
        <f>Data!K371/Data!K368-1</f>
        <v>1.8730429176643915E-2</v>
      </c>
      <c r="L43" s="211">
        <f>Data!L371/Data!L368-1</f>
        <v>5.3840436524483781E-3</v>
      </c>
      <c r="N43" s="394">
        <f t="shared" si="9"/>
        <v>-5.7899158593797351E-2</v>
      </c>
      <c r="O43" s="72">
        <f t="shared" si="10"/>
        <v>1.1217848706603917E-2</v>
      </c>
      <c r="P43" s="72">
        <f t="shared" si="11"/>
        <v>-3.6536960787026063E-2</v>
      </c>
      <c r="Q43" s="72">
        <f t="shared" si="12"/>
        <v>0.10633290373534132</v>
      </c>
      <c r="R43" s="72">
        <f t="shared" si="13"/>
        <v>-0.11670363842689357</v>
      </c>
      <c r="S43" s="72">
        <f>(G43-Inputs!$B$39*G42)/(1-Inputs!$B$39)</f>
        <v>-2.5656000011658287E-2</v>
      </c>
      <c r="T43" s="72">
        <f t="shared" si="14"/>
        <v>6.8600796759996641E-3</v>
      </c>
      <c r="U43" s="72">
        <f>(I43-Inputs!$B$40*I42)/(1-Inputs!$B$40)</f>
        <v>3.9359755924242831E-2</v>
      </c>
      <c r="V43" s="72">
        <f t="shared" si="15"/>
        <v>2.2001891048007316E-2</v>
      </c>
      <c r="W43" s="72">
        <f t="shared" si="16"/>
        <v>1.8730429176643915E-2</v>
      </c>
      <c r="X43" s="145">
        <f t="shared" si="17"/>
        <v>5.3840436524483781E-3</v>
      </c>
      <c r="Z43" s="395">
        <f>SUMPRODUCT($N43:$X43,Risk!$B$56:$L$56)</f>
        <v>-5.1072022756600294E-3</v>
      </c>
      <c r="AA43" s="72">
        <f>SUMPRODUCT($N43:$X43,Risk!$B$57:$L$57)</f>
        <v>-2.3634559563894919E-3</v>
      </c>
      <c r="AB43" s="72">
        <f>SUMPRODUCT($N43:$X43,Risk!$B$58:$L$58)</f>
        <v>-7.5596403854998806E-3</v>
      </c>
      <c r="AC43" s="72">
        <f>SUMPRODUCT($N43:$X43,Risk!$B$63:$L$63)</f>
        <v>-6.1332150720949307E-3</v>
      </c>
      <c r="AD43" s="263">
        <f>SUMPRODUCT($N43:$X43,Risk!$B$64:$L$64)</f>
        <v>-8.088910688957107E-4</v>
      </c>
    </row>
    <row r="44" spans="1:30" x14ac:dyDescent="0.2">
      <c r="A44" s="393">
        <f>Data!A374</f>
        <v>42369</v>
      </c>
      <c r="B44" s="72">
        <f>Data!B374/Data!B371-1</f>
        <v>6.6216328214616427E-2</v>
      </c>
      <c r="C44" s="72">
        <f>Data!C374/Data!C371-1</f>
        <v>2.6488905056901269E-2</v>
      </c>
      <c r="D44" s="72">
        <f>Data!D374/Data!D371-1</f>
        <v>-1.9668800128800235E-2</v>
      </c>
      <c r="E44" s="72">
        <f>Data!E374/Data!E371-1</f>
        <v>1.8026376917461562E-2</v>
      </c>
      <c r="F44" s="72">
        <f>Data!F374/Data!F371-1</f>
        <v>-0.19530041502264261</v>
      </c>
      <c r="G44" s="72">
        <f>Data!G374/Data!G371-1</f>
        <v>4.538717423963945E-3</v>
      </c>
      <c r="H44" s="72">
        <f>Data!H374/Data!H371-1</f>
        <v>3.4049891875000293E-2</v>
      </c>
      <c r="I44" s="72">
        <f>Data!I374/Data!I371-1</f>
        <v>5.4399256543493868E-2</v>
      </c>
      <c r="J44" s="72">
        <f>Data!J374/Data!J371-1</f>
        <v>-2.484205718333854E-3</v>
      </c>
      <c r="K44" s="72">
        <f>Data!K374/Data!K371-1</f>
        <v>5.9893096473089269E-3</v>
      </c>
      <c r="L44" s="211">
        <f>Data!L374/Data!L371-1</f>
        <v>5.4838321913690535E-3</v>
      </c>
      <c r="N44" s="394">
        <f t="shared" si="9"/>
        <v>6.6216328214616427E-2</v>
      </c>
      <c r="O44" s="72">
        <f t="shared" si="10"/>
        <v>2.6488905056901269E-2</v>
      </c>
      <c r="P44" s="72">
        <f t="shared" si="11"/>
        <v>-1.9668800128800235E-2</v>
      </c>
      <c r="Q44" s="72">
        <f t="shared" si="12"/>
        <v>1.8026376917461562E-2</v>
      </c>
      <c r="R44" s="72">
        <f t="shared" si="13"/>
        <v>-0.19530041502264261</v>
      </c>
      <c r="S44" s="72">
        <f>(G44-Inputs!$B$39*G43)/(1-Inputs!$B$39)</f>
        <v>-3.0499511907488643E-2</v>
      </c>
      <c r="T44" s="72">
        <f t="shared" si="14"/>
        <v>3.4049891875000293E-2</v>
      </c>
      <c r="U44" s="72">
        <f>(I44-Inputs!$B$40*I43)/(1-Inputs!$B$40)</f>
        <v>6.0524735630136002E-2</v>
      </c>
      <c r="V44" s="72">
        <f t="shared" si="15"/>
        <v>-2.484205718333854E-3</v>
      </c>
      <c r="W44" s="72">
        <f t="shared" si="16"/>
        <v>5.9893096473089269E-3</v>
      </c>
      <c r="X44" s="145">
        <f t="shared" si="17"/>
        <v>5.4838321913690535E-3</v>
      </c>
      <c r="Z44" s="395">
        <f>SUMPRODUCT($N44:$X44,Risk!$B$56:$L$56)</f>
        <v>3.4077332156403455E-2</v>
      </c>
      <c r="AA44" s="72">
        <f>SUMPRODUCT($N44:$X44,Risk!$B$57:$L$57)</f>
        <v>2.1465006803373831E-2</v>
      </c>
      <c r="AB44" s="72">
        <f>SUMPRODUCT($N44:$X44,Risk!$B$58:$L$58)</f>
        <v>1.8325309360752291E-2</v>
      </c>
      <c r="AC44" s="72">
        <f>SUMPRODUCT($N44:$X44,Risk!$B$63:$L$63)</f>
        <v>1.9015307878228044E-2</v>
      </c>
      <c r="AD44" s="263">
        <f>SUMPRODUCT($N44:$X44,Risk!$B$64:$L$64)</f>
        <v>1.4196233006093899E-2</v>
      </c>
    </row>
    <row r="45" spans="1:30" x14ac:dyDescent="0.2">
      <c r="A45" s="393">
        <f>Data!A377</f>
        <v>42460</v>
      </c>
      <c r="B45" s="72">
        <f>Data!B377/Data!B374-1</f>
        <v>-2.3529790019925723E-2</v>
      </c>
      <c r="C45" s="72">
        <f>Data!C377/Data!C374-1</f>
        <v>-7.1299436256498594E-2</v>
      </c>
      <c r="D45" s="72">
        <f>Data!D377/Data!D374-1</f>
        <v>-2.7962176282762208E-2</v>
      </c>
      <c r="E45" s="72">
        <f>Data!E377/Data!E374-1</f>
        <v>-9.6002923239768556E-4</v>
      </c>
      <c r="F45" s="72">
        <f>Data!F377/Data!F374-1</f>
        <v>-7.7815806214569516E-2</v>
      </c>
      <c r="G45" s="72">
        <f>Data!G377/Data!G374-1</f>
        <v>1.4638624238005882E-3</v>
      </c>
      <c r="H45" s="72">
        <f>Data!H377/Data!H374-1</f>
        <v>5.0740608999999548E-3</v>
      </c>
      <c r="I45" s="72">
        <f>Data!I377/Data!I374-1</f>
        <v>-2.460324711269235E-2</v>
      </c>
      <c r="J45" s="72">
        <f>Data!J377/Data!J374-1</f>
        <v>2.0478146113999784E-2</v>
      </c>
      <c r="K45" s="72">
        <f>Data!K377/Data!K374-1</f>
        <v>3.7114838071915734E-2</v>
      </c>
      <c r="L45" s="211">
        <f>Data!L377/Data!L374-1</f>
        <v>5.811207200000057E-3</v>
      </c>
      <c r="N45" s="394">
        <f t="shared" si="9"/>
        <v>-2.3529790019925723E-2</v>
      </c>
      <c r="O45" s="72">
        <f t="shared" si="10"/>
        <v>-7.1299436256498594E-2</v>
      </c>
      <c r="P45" s="72">
        <f t="shared" si="11"/>
        <v>-2.7962176282762208E-2</v>
      </c>
      <c r="Q45" s="72">
        <f t="shared" si="12"/>
        <v>-9.6002923239768556E-4</v>
      </c>
      <c r="R45" s="72">
        <f t="shared" si="13"/>
        <v>-7.7815806214569516E-2</v>
      </c>
      <c r="S45" s="72">
        <f>(G45-Inputs!$B$39*G44)/(1-Inputs!$B$39)</f>
        <v>-4.2465825765027887E-3</v>
      </c>
      <c r="T45" s="72">
        <f t="shared" si="14"/>
        <v>5.0740608999999548E-3</v>
      </c>
      <c r="U45" s="72">
        <f>(I45-Inputs!$B$40*I44)/(1-Inputs!$B$40)</f>
        <v>-4.9551406162014311E-2</v>
      </c>
      <c r="V45" s="72">
        <f t="shared" si="15"/>
        <v>2.0478146113999784E-2</v>
      </c>
      <c r="W45" s="72">
        <f t="shared" si="16"/>
        <v>3.7114838071915734E-2</v>
      </c>
      <c r="X45" s="145">
        <f t="shared" si="17"/>
        <v>5.811207200000057E-3</v>
      </c>
      <c r="Z45" s="395">
        <f>SUMPRODUCT($N45:$X45,Risk!$B$56:$L$56)</f>
        <v>-1.7320112715656543E-2</v>
      </c>
      <c r="AA45" s="72">
        <f>SUMPRODUCT($N45:$X45,Risk!$B$57:$L$57)</f>
        <v>-1.9879436292398057E-2</v>
      </c>
      <c r="AB45" s="72">
        <f>SUMPRODUCT($N45:$X45,Risk!$B$58:$L$58)</f>
        <v>-2.5934549070551899E-2</v>
      </c>
      <c r="AC45" s="72">
        <f>SUMPRODUCT($N45:$X45,Risk!$B$63:$L$63)</f>
        <v>-2.5771098363600149E-2</v>
      </c>
      <c r="AD45" s="263">
        <f>SUMPRODUCT($N45:$X45,Risk!$B$64:$L$64)</f>
        <v>-9.8893323521295137E-3</v>
      </c>
    </row>
    <row r="46" spans="1:30" x14ac:dyDescent="0.2">
      <c r="A46" s="393">
        <f>Data!A380</f>
        <v>42551</v>
      </c>
      <c r="B46" s="72">
        <f>Data!B380/Data!B377-1</f>
        <v>4.0000929766282445E-2</v>
      </c>
      <c r="C46" s="72">
        <f>Data!C380/Data!C377-1</f>
        <v>4.8495665593932147E-2</v>
      </c>
      <c r="D46" s="72">
        <f>Data!D380/Data!D377-1</f>
        <v>4.1702030598236073E-2</v>
      </c>
      <c r="E46" s="72">
        <f>Data!E380/Data!E377-1</f>
        <v>8.2194766282612575E-2</v>
      </c>
      <c r="F46" s="72">
        <f>Data!F380/Data!F377-1</f>
        <v>0.16403480106125512</v>
      </c>
      <c r="G46" s="72">
        <f>Data!G380/Data!G377-1</f>
        <v>2.2998627491202184E-2</v>
      </c>
      <c r="H46" s="72">
        <f>Data!H380/Data!H377-1</f>
        <v>-2.5975556251000342E-2</v>
      </c>
      <c r="I46" s="72">
        <f>Data!I380/Data!I377-1</f>
        <v>4.4700955949199761E-2</v>
      </c>
      <c r="J46" s="72">
        <f>Data!J380/Data!J377-1</f>
        <v>2.8735355707999899E-2</v>
      </c>
      <c r="K46" s="72">
        <f>Data!K380/Data!K377-1</f>
        <v>2.8694286487950249E-2</v>
      </c>
      <c r="L46" s="211">
        <f>Data!L380/Data!L377-1</f>
        <v>5.5100460800003859E-3</v>
      </c>
      <c r="N46" s="394">
        <f t="shared" si="9"/>
        <v>4.0000929766282445E-2</v>
      </c>
      <c r="O46" s="72">
        <f t="shared" si="10"/>
        <v>4.8495665593932147E-2</v>
      </c>
      <c r="P46" s="72">
        <f t="shared" si="11"/>
        <v>4.1702030598236073E-2</v>
      </c>
      <c r="Q46" s="72">
        <f t="shared" si="12"/>
        <v>8.2194766282612575E-2</v>
      </c>
      <c r="R46" s="72">
        <f t="shared" si="13"/>
        <v>0.16403480106125512</v>
      </c>
      <c r="S46" s="72">
        <f>(G46-Inputs!$B$39*G45)/(1-Inputs!$B$39)</f>
        <v>6.2991762616376581E-2</v>
      </c>
      <c r="T46" s="72">
        <f t="shared" si="14"/>
        <v>-2.5975556251000342E-2</v>
      </c>
      <c r="U46" s="72">
        <f>(I46-Inputs!$B$40*I45)/(1-Inputs!$B$40)</f>
        <v>6.6586493758218318E-2</v>
      </c>
      <c r="V46" s="72">
        <f t="shared" si="15"/>
        <v>2.8735355707999899E-2</v>
      </c>
      <c r="W46" s="72">
        <f t="shared" si="16"/>
        <v>2.8694286487950249E-2</v>
      </c>
      <c r="X46" s="145">
        <f t="shared" si="17"/>
        <v>5.5100460800003859E-3</v>
      </c>
      <c r="Z46" s="395">
        <f>SUMPRODUCT($N46:$X46,Risk!$B$56:$L$56)</f>
        <v>4.0910531154396697E-2</v>
      </c>
      <c r="AA46" s="72">
        <f>SUMPRODUCT($N46:$X46,Risk!$B$57:$L$57)</f>
        <v>4.363712171429928E-2</v>
      </c>
      <c r="AB46" s="72">
        <f>SUMPRODUCT($N46:$X46,Risk!$B$58:$L$58)</f>
        <v>4.7885960668359921E-2</v>
      </c>
      <c r="AC46" s="72">
        <f>SUMPRODUCT($N46:$X46,Risk!$B$63:$L$63)</f>
        <v>4.8217410015856173E-2</v>
      </c>
      <c r="AD46" s="263">
        <f>SUMPRODUCT($N46:$X46,Risk!$B$64:$L$64)</f>
        <v>4.5628896895832764E-2</v>
      </c>
    </row>
    <row r="47" spans="1:30" x14ac:dyDescent="0.2">
      <c r="A47" s="393">
        <f>Data!A383</f>
        <v>42643</v>
      </c>
      <c r="B47" s="72">
        <f>Data!B383/Data!B380-1</f>
        <v>5.2956167969305801E-2</v>
      </c>
      <c r="C47" s="72">
        <f>Data!C383/Data!C380-1</f>
        <v>2.0583524338201986E-2</v>
      </c>
      <c r="D47" s="72">
        <f>Data!D383/Data!D380-1</f>
        <v>4.8060281921542325E-2</v>
      </c>
      <c r="E47" s="72">
        <f>Data!E383/Data!E380-1</f>
        <v>-2.9201912712192524E-2</v>
      </c>
      <c r="F47" s="72">
        <f>Data!F383/Data!F380-1</f>
        <v>-6.7401288631832368E-2</v>
      </c>
      <c r="G47" s="72">
        <f>Data!G383/Data!G380-1</f>
        <v>1.8082773860800927E-2</v>
      </c>
      <c r="H47" s="72">
        <f>Data!H383/Data!H380-1</f>
        <v>1.8998911480001546E-3</v>
      </c>
      <c r="I47" s="72">
        <f>Data!I383/Data!I380-1</f>
        <v>2.8601113877051665E-2</v>
      </c>
      <c r="J47" s="72">
        <f>Data!J383/Data!J380-1</f>
        <v>9.4054916240000619E-3</v>
      </c>
      <c r="K47" s="72">
        <f>Data!K383/Data!K380-1</f>
        <v>8.2769846968968608E-3</v>
      </c>
      <c r="L47" s="211">
        <f>Data!L383/Data!L380-1</f>
        <v>4.8076540460002537E-3</v>
      </c>
      <c r="N47" s="394">
        <f t="shared" si="9"/>
        <v>5.2956167969305801E-2</v>
      </c>
      <c r="O47" s="72">
        <f t="shared" si="10"/>
        <v>2.0583524338201986E-2</v>
      </c>
      <c r="P47" s="72">
        <f t="shared" si="11"/>
        <v>4.8060281921542325E-2</v>
      </c>
      <c r="Q47" s="72">
        <f t="shared" si="12"/>
        <v>-2.9201912712192524E-2</v>
      </c>
      <c r="R47" s="72">
        <f t="shared" si="13"/>
        <v>-6.7401288631832368E-2</v>
      </c>
      <c r="S47" s="72">
        <f>(G47-Inputs!$B$39*G46)/(1-Inputs!$B$39)</f>
        <v>8.9533314043414511E-3</v>
      </c>
      <c r="T47" s="72">
        <f t="shared" si="14"/>
        <v>1.8998911480001546E-3</v>
      </c>
      <c r="U47" s="72">
        <f>(I47-Inputs!$B$40*I46)/(1-Inputs!$B$40)</f>
        <v>2.351695322268911E-2</v>
      </c>
      <c r="V47" s="72">
        <f t="shared" si="15"/>
        <v>9.4054916240000619E-3</v>
      </c>
      <c r="W47" s="72">
        <f t="shared" si="16"/>
        <v>8.2769846968968608E-3</v>
      </c>
      <c r="X47" s="145">
        <f t="shared" si="17"/>
        <v>4.8076540460002537E-3</v>
      </c>
      <c r="Z47" s="395">
        <f>SUMPRODUCT($N47:$X47,Risk!$B$56:$L$56)</f>
        <v>2.4788499086715245E-2</v>
      </c>
      <c r="AA47" s="72">
        <f>SUMPRODUCT($N47:$X47,Risk!$B$57:$L$57)</f>
        <v>1.9810375295387497E-2</v>
      </c>
      <c r="AB47" s="72">
        <f>SUMPRODUCT($N47:$X47,Risk!$B$58:$L$58)</f>
        <v>2.1924694171353086E-2</v>
      </c>
      <c r="AC47" s="72">
        <f>SUMPRODUCT($N47:$X47,Risk!$B$63:$L$63)</f>
        <v>2.1142489904728497E-2</v>
      </c>
      <c r="AD47" s="263">
        <f>SUMPRODUCT($N47:$X47,Risk!$B$64:$L$64)</f>
        <v>1.7150540112592125E-2</v>
      </c>
    </row>
    <row r="48" spans="1:30" x14ac:dyDescent="0.2">
      <c r="A48" s="393">
        <f>Data!A386</f>
        <v>42734</v>
      </c>
      <c r="B48" s="72">
        <f>Data!B386/Data!B383-1</f>
        <v>4.410208461730436E-2</v>
      </c>
      <c r="C48" s="72">
        <f>Data!C386/Data!C383-1</f>
        <v>0.10859781643534139</v>
      </c>
      <c r="D48" s="72">
        <f>Data!D386/Data!D383-1</f>
        <v>4.2470945857824738E-2</v>
      </c>
      <c r="E48" s="72">
        <f>Data!E386/Data!E383-1</f>
        <v>3.1250516348690471E-2</v>
      </c>
      <c r="F48" s="72">
        <f>Data!F386/Data!F383-1</f>
        <v>0.11772654168223773</v>
      </c>
      <c r="G48" s="72">
        <f>Data!G386/Data!G383-1</f>
        <v>4.4605962594145065E-2</v>
      </c>
      <c r="H48" s="72">
        <f>Data!H386/Data!H383-1</f>
        <v>2.7584801270000181E-2</v>
      </c>
      <c r="I48" s="72">
        <f>Data!I386/Data!I383-1</f>
        <v>2.9097938276479107E-2</v>
      </c>
      <c r="J48" s="72">
        <f>Data!J386/Data!J383-1</f>
        <v>-2.8669753344000015E-2</v>
      </c>
      <c r="K48" s="72">
        <f>Data!K386/Data!K383-1</f>
        <v>-2.168643999653308E-2</v>
      </c>
      <c r="L48" s="211">
        <f>Data!L386/Data!L383-1</f>
        <v>4.4064531500001003E-3</v>
      </c>
      <c r="N48" s="394">
        <f t="shared" si="9"/>
        <v>4.410208461730436E-2</v>
      </c>
      <c r="O48" s="72">
        <f t="shared" si="10"/>
        <v>0.10859781643534139</v>
      </c>
      <c r="P48" s="72">
        <f t="shared" si="11"/>
        <v>4.2470945857824738E-2</v>
      </c>
      <c r="Q48" s="72">
        <f t="shared" si="12"/>
        <v>3.1250516348690471E-2</v>
      </c>
      <c r="R48" s="72">
        <f t="shared" si="13"/>
        <v>0.11772654168223773</v>
      </c>
      <c r="S48" s="72">
        <f>(G48-Inputs!$B$39*G47)/(1-Inputs!$B$39)</f>
        <v>9.3863313098927051E-2</v>
      </c>
      <c r="T48" s="72">
        <f t="shared" si="14"/>
        <v>2.7584801270000181E-2</v>
      </c>
      <c r="U48" s="72">
        <f>(I48-Inputs!$B$40*I47)/(1-Inputs!$B$40)</f>
        <v>2.9254830192087775E-2</v>
      </c>
      <c r="V48" s="72">
        <f t="shared" si="15"/>
        <v>-2.8669753344000015E-2</v>
      </c>
      <c r="W48" s="72">
        <f t="shared" si="16"/>
        <v>-2.168643999653308E-2</v>
      </c>
      <c r="X48" s="145">
        <f t="shared" si="17"/>
        <v>4.4064531500001003E-3</v>
      </c>
      <c r="Z48" s="395">
        <f>SUMPRODUCT($N48:$X48,Risk!$B$56:$L$56)</f>
        <v>3.6758522288036437E-2</v>
      </c>
      <c r="AA48" s="72">
        <f>SUMPRODUCT($N48:$X48,Risk!$B$57:$L$57)</f>
        <v>4.3036466778126219E-2</v>
      </c>
      <c r="AB48" s="72">
        <f>SUMPRODUCT($N48:$X48,Risk!$B$58:$L$58)</f>
        <v>5.0665396859577411E-2</v>
      </c>
      <c r="AC48" s="72">
        <f>SUMPRODUCT($N48:$X48,Risk!$B$63:$L$63)</f>
        <v>5.0295309353673198E-2</v>
      </c>
      <c r="AD48" s="263">
        <f>SUMPRODUCT($N48:$X48,Risk!$B$64:$L$64)</f>
        <v>3.1272218622471697E-2</v>
      </c>
    </row>
    <row r="49" spans="1:30" x14ac:dyDescent="0.2">
      <c r="A49" s="393">
        <f>Data!A389</f>
        <v>42825</v>
      </c>
      <c r="B49" s="72">
        <f>Data!B389/Data!B386-1</f>
        <v>4.504835426127074E-2</v>
      </c>
      <c r="C49" s="72">
        <f>Data!C389/Data!C386-1</f>
        <v>2.1632239013236187E-3</v>
      </c>
      <c r="D49" s="72">
        <f>Data!D389/Data!D386-1</f>
        <v>2.3276661188559311E-2</v>
      </c>
      <c r="E49" s="72">
        <f>Data!E389/Data!E386-1</f>
        <v>-4.4983399285740133E-2</v>
      </c>
      <c r="F49" s="72">
        <f>Data!F389/Data!F386-1</f>
        <v>-9.8750677454096492E-2</v>
      </c>
      <c r="G49" s="72">
        <f>Data!G389/Data!G386-1</f>
        <v>2.5114159558434546E-2</v>
      </c>
      <c r="H49" s="72">
        <f>Data!H389/Data!H386-1</f>
        <v>2.5141849833999697E-2</v>
      </c>
      <c r="I49" s="72">
        <f>Data!I389/Data!I386-1</f>
        <v>1.7901806622622196E-2</v>
      </c>
      <c r="J49" s="72">
        <f>Data!J389/Data!J386-1</f>
        <v>1.224473562799977E-2</v>
      </c>
      <c r="K49" s="72">
        <f>Data!K389/Data!K386-1</f>
        <v>6.8080218949742033E-3</v>
      </c>
      <c r="L49" s="211">
        <f>Data!L389/Data!L386-1</f>
        <v>4.4064331200002194E-3</v>
      </c>
      <c r="N49" s="394">
        <f t="shared" si="9"/>
        <v>4.504835426127074E-2</v>
      </c>
      <c r="O49" s="72">
        <f t="shared" si="10"/>
        <v>2.1632239013236187E-3</v>
      </c>
      <c r="P49" s="72">
        <f t="shared" si="11"/>
        <v>2.3276661188559311E-2</v>
      </c>
      <c r="Q49" s="72">
        <f t="shared" si="12"/>
        <v>-4.4983399285740133E-2</v>
      </c>
      <c r="R49" s="72">
        <f t="shared" si="13"/>
        <v>-9.8750677454096492E-2</v>
      </c>
      <c r="S49" s="72">
        <f>(G49-Inputs!$B$39*G48)/(1-Inputs!$B$39)</f>
        <v>-1.1084903222170713E-2</v>
      </c>
      <c r="T49" s="72">
        <f t="shared" si="14"/>
        <v>2.5141849833999697E-2</v>
      </c>
      <c r="U49" s="72">
        <f>(I49-Inputs!$B$40*I48)/(1-Inputs!$B$40)</f>
        <v>1.4366186100351595E-2</v>
      </c>
      <c r="V49" s="72">
        <f t="shared" si="15"/>
        <v>1.224473562799977E-2</v>
      </c>
      <c r="W49" s="72">
        <f t="shared" si="16"/>
        <v>6.8080218949742033E-3</v>
      </c>
      <c r="X49" s="145">
        <f t="shared" si="17"/>
        <v>4.4064331200002194E-3</v>
      </c>
      <c r="Z49" s="395">
        <f>SUMPRODUCT($N49:$X49,Risk!$B$56:$L$56)</f>
        <v>1.6643448970396924E-2</v>
      </c>
      <c r="AA49" s="72">
        <f>SUMPRODUCT($N49:$X49,Risk!$B$57:$L$57)</f>
        <v>1.058204494509753E-2</v>
      </c>
      <c r="AB49" s="72">
        <f>SUMPRODUCT($N49:$X49,Risk!$B$58:$L$58)</f>
        <v>9.8949481126865638E-3</v>
      </c>
      <c r="AC49" s="72">
        <f>SUMPRODUCT($N49:$X49,Risk!$B$63:$L$63)</f>
        <v>9.4097566054362463E-3</v>
      </c>
      <c r="AD49" s="263">
        <f>SUMPRODUCT($N49:$X49,Risk!$B$64:$L$64)</f>
        <v>7.9272733596853218E-3</v>
      </c>
    </row>
    <row r="50" spans="1:30" x14ac:dyDescent="0.2">
      <c r="A50" s="393">
        <f>Data!A392</f>
        <v>42916</v>
      </c>
      <c r="B50" s="72">
        <f>Data!B392/Data!B389-1</f>
        <v>-1.5430594851470469E-2</v>
      </c>
      <c r="C50" s="72">
        <f>Data!C392/Data!C389-1</f>
        <v>2.2979617350413095E-2</v>
      </c>
      <c r="D50" s="72">
        <f>Data!D392/Data!D389-1</f>
        <v>6.0934524482253005E-2</v>
      </c>
      <c r="E50" s="72">
        <f>Data!E392/Data!E389-1</f>
        <v>6.7023364193798951E-3</v>
      </c>
      <c r="F50" s="72">
        <f>Data!F392/Data!F389-1</f>
        <v>-5.9801153187637679E-2</v>
      </c>
      <c r="G50" s="72">
        <f>Data!G392/Data!G389-1</f>
        <v>2.2543595372779945E-2</v>
      </c>
      <c r="H50" s="72">
        <f>Data!H392/Data!H389-1</f>
        <v>8.003677626000183E-3</v>
      </c>
      <c r="I50" s="72">
        <f>Data!I392/Data!I389-1</f>
        <v>3.5599782671476454E-2</v>
      </c>
      <c r="J50" s="72">
        <f>Data!J392/Data!J389-1</f>
        <v>1.0216089025000041E-2</v>
      </c>
      <c r="K50" s="72">
        <f>Data!K392/Data!K389-1</f>
        <v>1.1679215957354439E-2</v>
      </c>
      <c r="L50" s="211">
        <f>Data!L392/Data!L389-1</f>
        <v>4.4064531500003223E-3</v>
      </c>
      <c r="N50" s="394">
        <f t="shared" si="9"/>
        <v>-1.5430594851470469E-2</v>
      </c>
      <c r="O50" s="72">
        <f t="shared" si="10"/>
        <v>2.2979617350413095E-2</v>
      </c>
      <c r="P50" s="72">
        <f t="shared" si="11"/>
        <v>6.0934524482253005E-2</v>
      </c>
      <c r="Q50" s="72">
        <f t="shared" si="12"/>
        <v>6.7023364193798951E-3</v>
      </c>
      <c r="R50" s="72">
        <f t="shared" si="13"/>
        <v>-5.9801153187637679E-2</v>
      </c>
      <c r="S50" s="72">
        <f>(G50-Inputs!$B$39*G49)/(1-Inputs!$B$39)</f>
        <v>1.7769690456564253E-2</v>
      </c>
      <c r="T50" s="72">
        <f t="shared" si="14"/>
        <v>8.003677626000183E-3</v>
      </c>
      <c r="U50" s="72">
        <f>(I50-Inputs!$B$40*I49)/(1-Inputs!$B$40)</f>
        <v>4.1188617213219904E-2</v>
      </c>
      <c r="V50" s="72">
        <f t="shared" si="15"/>
        <v>1.0216089025000041E-2</v>
      </c>
      <c r="W50" s="72">
        <f t="shared" si="16"/>
        <v>1.1679215957354439E-2</v>
      </c>
      <c r="X50" s="145">
        <f t="shared" si="17"/>
        <v>4.4064531500003223E-3</v>
      </c>
      <c r="Z50" s="395">
        <f>SUMPRODUCT($N50:$X50,Risk!$B$56:$L$56)</f>
        <v>1.8691215222708052E-3</v>
      </c>
      <c r="AA50" s="72">
        <f>SUMPRODUCT($N50:$X50,Risk!$B$57:$L$57)</f>
        <v>7.9700488526167727E-3</v>
      </c>
      <c r="AB50" s="72">
        <f>SUMPRODUCT($N50:$X50,Risk!$B$58:$L$58)</f>
        <v>8.9955253044814946E-3</v>
      </c>
      <c r="AC50" s="72">
        <f>SUMPRODUCT($N50:$X50,Risk!$B$63:$L$63)</f>
        <v>7.9730975173003555E-3</v>
      </c>
      <c r="AD50" s="263">
        <f>SUMPRODUCT($N50:$X50,Risk!$B$64:$L$64)</f>
        <v>7.2044787529245051E-3</v>
      </c>
    </row>
    <row r="51" spans="1:30" x14ac:dyDescent="0.2">
      <c r="A51" s="393">
        <f>Data!A395</f>
        <v>43007</v>
      </c>
      <c r="B51" s="72">
        <f>Data!B395/Data!B392-1</f>
        <v>1.0248898513659732E-2</v>
      </c>
      <c r="C51" s="72">
        <f>Data!C395/Data!C392-1</f>
        <v>1.7286402577044502E-2</v>
      </c>
      <c r="D51" s="72">
        <f>Data!D395/Data!D392-1</f>
        <v>5.3054816377749781E-2</v>
      </c>
      <c r="E51" s="72">
        <f>Data!E395/Data!E392-1</f>
        <v>-1.4635306049392671E-2</v>
      </c>
      <c r="F51" s="72">
        <f>Data!F395/Data!F392-1</f>
        <v>4.8142177920098783E-2</v>
      </c>
      <c r="G51" s="72">
        <f>Data!G395/Data!G392-1</f>
        <v>9.4563675663938973E-4</v>
      </c>
      <c r="H51" s="72">
        <f>Data!H395/Data!H392-1</f>
        <v>2.6107979599999886E-2</v>
      </c>
      <c r="I51" s="72">
        <f>Data!I395/Data!I392-1</f>
        <v>2.5400336528463185E-2</v>
      </c>
      <c r="J51" s="72">
        <f>Data!J395/Data!J392-1</f>
        <v>-6.8058221360334237E-4</v>
      </c>
      <c r="K51" s="72">
        <f>Data!K395/Data!K392-1</f>
        <v>8.8699789358956949E-3</v>
      </c>
      <c r="L51" s="211">
        <f>Data!L395/Data!L392-1</f>
        <v>4.3432026539720336E-3</v>
      </c>
      <c r="N51" s="394">
        <f t="shared" si="9"/>
        <v>1.0248898513659732E-2</v>
      </c>
      <c r="O51" s="72">
        <f t="shared" si="10"/>
        <v>1.7286402577044502E-2</v>
      </c>
      <c r="P51" s="72">
        <f t="shared" si="11"/>
        <v>5.3054816377749781E-2</v>
      </c>
      <c r="Q51" s="72">
        <f t="shared" si="12"/>
        <v>-1.4635306049392671E-2</v>
      </c>
      <c r="R51" s="72">
        <f t="shared" si="13"/>
        <v>4.8142177920098783E-2</v>
      </c>
      <c r="S51" s="72">
        <f>(G51-Inputs!$B$39*G50)/(1-Inputs!$B$39)</f>
        <v>-3.9164857816193076E-2</v>
      </c>
      <c r="T51" s="72">
        <f t="shared" si="14"/>
        <v>2.6107979599999886E-2</v>
      </c>
      <c r="U51" s="72">
        <f>(I51-Inputs!$B$40*I50)/(1-Inputs!$B$40)</f>
        <v>2.2179458799090571E-2</v>
      </c>
      <c r="V51" s="72">
        <f t="shared" si="15"/>
        <v>-6.8058221360334237E-4</v>
      </c>
      <c r="W51" s="72">
        <f t="shared" si="16"/>
        <v>8.8699789358956949E-3</v>
      </c>
      <c r="X51" s="145">
        <f t="shared" si="17"/>
        <v>4.3432026539720336E-3</v>
      </c>
      <c r="Z51" s="395">
        <f>SUMPRODUCT($N51:$X51,Risk!$B$56:$L$56)</f>
        <v>7.0048444845427224E-3</v>
      </c>
      <c r="AA51" s="72">
        <f>SUMPRODUCT($N51:$X51,Risk!$B$57:$L$57)</f>
        <v>8.742070387008874E-3</v>
      </c>
      <c r="AB51" s="72">
        <f>SUMPRODUCT($N51:$X51,Risk!$B$58:$L$58)</f>
        <v>1.0744407914102421E-2</v>
      </c>
      <c r="AC51" s="72">
        <f>SUMPRODUCT($N51:$X51,Risk!$B$63:$L$63)</f>
        <v>9.6373890271065563E-3</v>
      </c>
      <c r="AD51" s="263">
        <f>SUMPRODUCT($N51:$X51,Risk!$B$64:$L$64)</f>
        <v>7.8220214395875644E-3</v>
      </c>
    </row>
    <row r="52" spans="1:30" x14ac:dyDescent="0.2">
      <c r="A52" s="393">
        <f>Data!A398</f>
        <v>43098</v>
      </c>
      <c r="B52" s="72">
        <f>Data!B398/Data!B395-1</f>
        <v>8.2005913680057052E-2</v>
      </c>
      <c r="C52" s="72">
        <f>Data!C398/Data!C395-1</f>
        <v>5.7526881233089133E-2</v>
      </c>
      <c r="D52" s="72">
        <f>Data!D398/Data!D395-1</f>
        <v>6.0807837970053624E-2</v>
      </c>
      <c r="E52" s="72">
        <f>Data!E398/Data!E395-1</f>
        <v>3.3470905056872668E-2</v>
      </c>
      <c r="F52" s="72">
        <f>Data!F398/Data!F395-1</f>
        <v>0.1024838358128195</v>
      </c>
      <c r="G52" s="72">
        <f>Data!G398/Data!G395-1</f>
        <v>1.2605091321655992E-2</v>
      </c>
      <c r="H52" s="72">
        <f>Data!H398/Data!H395-1</f>
        <v>1.65901019200001E-2</v>
      </c>
      <c r="I52" s="72">
        <f>Data!I398/Data!I395-1</f>
        <v>6.1798788638647517E-2</v>
      </c>
      <c r="J52" s="72">
        <f>Data!J398/Data!J395-1</f>
        <v>1.4432443017597496E-2</v>
      </c>
      <c r="K52" s="72">
        <f>Data!K398/Data!K395-1</f>
        <v>8.9530006419484831E-3</v>
      </c>
      <c r="L52" s="211">
        <f>Data!L398/Data!L395-1</f>
        <v>4.2394021621743327E-3</v>
      </c>
      <c r="N52" s="394">
        <f t="shared" si="9"/>
        <v>8.2005913680057052E-2</v>
      </c>
      <c r="O52" s="72">
        <f t="shared" si="10"/>
        <v>5.7526881233089133E-2</v>
      </c>
      <c r="P52" s="72">
        <f t="shared" si="11"/>
        <v>6.0807837970053624E-2</v>
      </c>
      <c r="Q52" s="72">
        <f t="shared" si="12"/>
        <v>3.3470905056872668E-2</v>
      </c>
      <c r="R52" s="72">
        <f t="shared" si="13"/>
        <v>0.1024838358128195</v>
      </c>
      <c r="S52" s="72">
        <f>(G52-Inputs!$B$39*G51)/(1-Inputs!$B$39)</f>
        <v>3.4258364085258258E-2</v>
      </c>
      <c r="T52" s="72">
        <f t="shared" si="14"/>
        <v>1.65901019200001E-2</v>
      </c>
      <c r="U52" s="72">
        <f>(I52-Inputs!$B$40*I51)/(1-Inputs!$B$40)</f>
        <v>7.3293036673442571E-2</v>
      </c>
      <c r="V52" s="72">
        <f t="shared" si="15"/>
        <v>1.4432443017597496E-2</v>
      </c>
      <c r="W52" s="72">
        <f t="shared" si="16"/>
        <v>8.9530006419484831E-3</v>
      </c>
      <c r="X52" s="145">
        <f t="shared" si="17"/>
        <v>4.2394021621743327E-3</v>
      </c>
      <c r="Z52" s="395">
        <f>SUMPRODUCT($N52:$X52,Risk!$B$56:$L$56)</f>
        <v>5.0832696879675621E-2</v>
      </c>
      <c r="AA52" s="72">
        <f>SUMPRODUCT($N52:$X52,Risk!$B$57:$L$57)</f>
        <v>4.8066771645304131E-2</v>
      </c>
      <c r="AB52" s="72">
        <f>SUMPRODUCT($N52:$X52,Risk!$B$58:$L$58)</f>
        <v>5.3109994041691713E-2</v>
      </c>
      <c r="AC52" s="72">
        <f>SUMPRODUCT($N52:$X52,Risk!$B$63:$L$63)</f>
        <v>5.2907323817554822E-2</v>
      </c>
      <c r="AD52" s="263">
        <f>SUMPRODUCT($N52:$X52,Risk!$B$64:$L$64)</f>
        <v>4.373427240055424E-2</v>
      </c>
    </row>
    <row r="53" spans="1:30" x14ac:dyDescent="0.2">
      <c r="A53" s="393">
        <f>Data!A401</f>
        <v>43189</v>
      </c>
      <c r="B53" s="72">
        <f>Data!B401/Data!B398-1</f>
        <v>-3.6934648422083827E-2</v>
      </c>
      <c r="C53" s="72">
        <f>Data!C401/Data!C398-1</f>
        <v>-1.5522394237444948E-3</v>
      </c>
      <c r="D53" s="72">
        <f>Data!D401/Data!D398-1</f>
        <v>2.7468605902603249E-2</v>
      </c>
      <c r="E53" s="72">
        <f>Data!E401/Data!E398-1</f>
        <v>-4.4626775893282011E-2</v>
      </c>
      <c r="F53" s="72">
        <f>Data!F401/Data!F398-1</f>
        <v>4.1964260676319087E-2</v>
      </c>
      <c r="G53" s="72">
        <f>Data!G401/Data!G398-1</f>
        <v>-3.7952320496762448E-3</v>
      </c>
      <c r="H53" s="72">
        <f>Data!H401/Data!H398-1</f>
        <v>1.9402252375000151E-2</v>
      </c>
      <c r="I53" s="72">
        <f>Data!I401/Data!I398-1</f>
        <v>4.3402951122841982E-2</v>
      </c>
      <c r="J53" s="72">
        <f>Data!J401/Data!J398-1</f>
        <v>6.3008843356042732E-3</v>
      </c>
      <c r="K53" s="72">
        <f>Data!K401/Data!K398-1</f>
        <v>-8.6274970066269052E-4</v>
      </c>
      <c r="L53" s="211">
        <f>Data!L401/Data!L398-1</f>
        <v>8.7060953718183232E-3</v>
      </c>
      <c r="N53" s="394">
        <f t="shared" si="9"/>
        <v>-3.6934648422083827E-2</v>
      </c>
      <c r="O53" s="72">
        <f t="shared" si="10"/>
        <v>-1.5522394237444948E-3</v>
      </c>
      <c r="P53" s="72">
        <f t="shared" si="11"/>
        <v>2.7468605902603249E-2</v>
      </c>
      <c r="Q53" s="72">
        <f t="shared" si="12"/>
        <v>-4.4626775893282011E-2</v>
      </c>
      <c r="R53" s="72">
        <f t="shared" si="13"/>
        <v>4.1964260676319087E-2</v>
      </c>
      <c r="S53" s="72">
        <f>(G53-Inputs!$B$39*G52)/(1-Inputs!$B$39)</f>
        <v>-3.4252975453578971E-2</v>
      </c>
      <c r="T53" s="72">
        <f t="shared" si="14"/>
        <v>1.9402252375000151E-2</v>
      </c>
      <c r="U53" s="72">
        <f>(I53-Inputs!$B$40*I52)/(1-Inputs!$B$40)</f>
        <v>3.7593739275745497E-2</v>
      </c>
      <c r="V53" s="72">
        <f t="shared" si="15"/>
        <v>6.3008843356042732E-3</v>
      </c>
      <c r="W53" s="72">
        <f t="shared" si="16"/>
        <v>-8.6274970066269052E-4</v>
      </c>
      <c r="X53" s="145">
        <f t="shared" si="17"/>
        <v>8.7060953718183232E-3</v>
      </c>
      <c r="Z53" s="395">
        <f>SUMPRODUCT($N53:$X53,Risk!$B$56:$L$56)</f>
        <v>-1.8061445492595727E-2</v>
      </c>
      <c r="AA53" s="72">
        <f>SUMPRODUCT($N53:$X53,Risk!$B$57:$L$57)</f>
        <v>-1.0021095311235226E-2</v>
      </c>
      <c r="AB53" s="72">
        <f>SUMPRODUCT($N53:$X53,Risk!$B$58:$L$58)</f>
        <v>-1.0766208925862924E-2</v>
      </c>
      <c r="AC53" s="72">
        <f>SUMPRODUCT($N53:$X53,Risk!$B$63:$L$63)</f>
        <v>-1.1696996964710408E-2</v>
      </c>
      <c r="AD53" s="263">
        <f>SUMPRODUCT($N53:$X53,Risk!$B$64:$L$64)</f>
        <v>-1.0617835874116936E-2</v>
      </c>
    </row>
    <row r="54" spans="1:30" x14ac:dyDescent="0.2">
      <c r="A54" s="393">
        <f>Data!A404</f>
        <v>43280</v>
      </c>
      <c r="B54" s="72">
        <f>Data!B404/Data!B401-1</f>
        <v>8.0349215819735198E-2</v>
      </c>
      <c r="C54" s="72">
        <f>Data!C404/Data!C401-1</f>
        <v>7.7375674448249443E-2</v>
      </c>
      <c r="D54" s="72">
        <f>Data!D404/Data!D401-1</f>
        <v>2.8259842386841871E-3</v>
      </c>
      <c r="E54" s="72">
        <f>Data!E404/Data!E401-1</f>
        <v>0.12473725168574878</v>
      </c>
      <c r="F54" s="72">
        <f>Data!F404/Data!F401-1</f>
        <v>0.12124975251641867</v>
      </c>
      <c r="G54" s="72">
        <f>Data!G404/Data!G401-1</f>
        <v>-3.8415735807900697E-3</v>
      </c>
      <c r="H54" s="72">
        <f>Data!H404/Data!H401-1</f>
        <v>2.2748970499999688E-2</v>
      </c>
      <c r="I54" s="72">
        <f>Data!I404/Data!I401-1</f>
        <v>3.4599398379869362E-2</v>
      </c>
      <c r="J54" s="72">
        <f>Data!J404/Data!J401-1</f>
        <v>8.1920540799997887E-3</v>
      </c>
      <c r="K54" s="72">
        <f>Data!K404/Data!K401-1</f>
        <v>1.4972049769441664E-3</v>
      </c>
      <c r="L54" s="211">
        <f>Data!L404/Data!L401-1</f>
        <v>4.8076740799998241E-3</v>
      </c>
      <c r="N54" s="394">
        <f t="shared" si="9"/>
        <v>8.0349215819735198E-2</v>
      </c>
      <c r="O54" s="72">
        <f t="shared" si="10"/>
        <v>7.7375674448249443E-2</v>
      </c>
      <c r="P54" s="72">
        <f t="shared" si="11"/>
        <v>2.8259842386841871E-3</v>
      </c>
      <c r="Q54" s="72">
        <f t="shared" si="12"/>
        <v>0.12473725168574878</v>
      </c>
      <c r="R54" s="72">
        <f t="shared" si="13"/>
        <v>0.12124975251641867</v>
      </c>
      <c r="S54" s="72">
        <f>(G54-Inputs!$B$39*G53)/(1-Inputs!$B$39)</f>
        <v>-3.9276364242871739E-3</v>
      </c>
      <c r="T54" s="72">
        <f t="shared" si="14"/>
        <v>2.2748970499999688E-2</v>
      </c>
      <c r="U54" s="72">
        <f>(I54-Inputs!$B$40*I53)/(1-Inputs!$B$40)</f>
        <v>3.1819329092614847E-2</v>
      </c>
      <c r="V54" s="72">
        <f t="shared" si="15"/>
        <v>8.1920540799997887E-3</v>
      </c>
      <c r="W54" s="72">
        <f t="shared" si="16"/>
        <v>1.4972049769441664E-3</v>
      </c>
      <c r="X54" s="145">
        <f t="shared" si="17"/>
        <v>4.8076740799998241E-3</v>
      </c>
      <c r="Z54" s="395">
        <f>SUMPRODUCT($N54:$X54,Risk!$B$56:$L$56)</f>
        <v>6.1773668081874337E-2</v>
      </c>
      <c r="AA54" s="72">
        <f>SUMPRODUCT($N54:$X54,Risk!$B$57:$L$57)</f>
        <v>5.2795325525632888E-2</v>
      </c>
      <c r="AB54" s="72">
        <f>SUMPRODUCT($N54:$X54,Risk!$B$58:$L$58)</f>
        <v>5.745545929066001E-2</v>
      </c>
      <c r="AC54" s="72">
        <f>SUMPRODUCT($N54:$X54,Risk!$B$63:$L$63)</f>
        <v>5.9062519898929272E-2</v>
      </c>
      <c r="AD54" s="263">
        <f>SUMPRODUCT($N54:$X54,Risk!$B$64:$L$64)</f>
        <v>4.7538859624577823E-2</v>
      </c>
    </row>
    <row r="55" spans="1:30" x14ac:dyDescent="0.2">
      <c r="A55" s="393">
        <f>Data!A407</f>
        <v>43371</v>
      </c>
      <c r="B55" s="72">
        <f>Data!B407/Data!B404-1</f>
        <v>1.864695301233632E-2</v>
      </c>
      <c r="C55" s="72">
        <f>Data!C407/Data!C404-1</f>
        <v>7.6346770379725371E-2</v>
      </c>
      <c r="D55" s="72">
        <f>Data!D407/Data!D404-1</f>
        <v>2.2286734068964531E-2</v>
      </c>
      <c r="E55" s="72">
        <f>Data!E407/Data!E404-1</f>
        <v>2.79742382721202E-2</v>
      </c>
      <c r="F55" s="72">
        <f>Data!F407/Data!F404-1</f>
        <v>3.4824366952119545E-2</v>
      </c>
      <c r="G55" s="72">
        <f>Data!G407/Data!G404-1</f>
        <v>-1.2155371823783678E-2</v>
      </c>
      <c r="H55" s="72">
        <f>Data!H407/Data!H404-1</f>
        <v>3.9386600000002048E-4</v>
      </c>
      <c r="I55" s="72">
        <f>Data!I407/Data!I404-1</f>
        <v>3.3699686729642631E-2</v>
      </c>
      <c r="J55" s="72">
        <f>Data!J407/Data!J404-1</f>
        <v>5.4721655680001202E-3</v>
      </c>
      <c r="K55" s="72">
        <f>Data!K407/Data!K404-1</f>
        <v>-7.0272695096762483E-4</v>
      </c>
      <c r="L55" s="211">
        <f>Data!L407/Data!L404-1</f>
        <v>5.2089951680001079E-3</v>
      </c>
      <c r="N55" s="394">
        <f t="shared" si="9"/>
        <v>1.864695301233632E-2</v>
      </c>
      <c r="O55" s="72">
        <f t="shared" si="10"/>
        <v>7.6346770379725371E-2</v>
      </c>
      <c r="P55" s="72">
        <f t="shared" si="11"/>
        <v>2.2286734068964531E-2</v>
      </c>
      <c r="Q55" s="72">
        <f t="shared" si="12"/>
        <v>2.79742382721202E-2</v>
      </c>
      <c r="R55" s="72">
        <f t="shared" si="13"/>
        <v>3.4824366952119545E-2</v>
      </c>
      <c r="S55" s="72">
        <f>(G55-Inputs!$B$39*G54)/(1-Inputs!$B$39)</f>
        <v>-2.7595282846486095E-2</v>
      </c>
      <c r="T55" s="72">
        <f t="shared" si="14"/>
        <v>3.9386600000002048E-4</v>
      </c>
      <c r="U55" s="72">
        <f>(I55-Inputs!$B$40*I54)/(1-Inputs!$B$40)</f>
        <v>3.3415567261149977E-2</v>
      </c>
      <c r="V55" s="72">
        <f t="shared" si="15"/>
        <v>5.4721655680001202E-3</v>
      </c>
      <c r="W55" s="72">
        <f t="shared" si="16"/>
        <v>-7.0272695096762483E-4</v>
      </c>
      <c r="X55" s="145">
        <f t="shared" si="17"/>
        <v>5.2089951680001079E-3</v>
      </c>
      <c r="Z55" s="395">
        <f>SUMPRODUCT($N55:$X55,Risk!$B$56:$L$56)</f>
        <v>2.6654795448974238E-2</v>
      </c>
      <c r="AA55" s="72">
        <f>SUMPRODUCT($N55:$X55,Risk!$B$57:$L$57)</f>
        <v>2.6787841109841684E-2</v>
      </c>
      <c r="AB55" s="72">
        <f>SUMPRODUCT($N55:$X55,Risk!$B$58:$L$58)</f>
        <v>3.048943086588847E-2</v>
      </c>
      <c r="AC55" s="72">
        <f>SUMPRODUCT($N55:$X55,Risk!$B$63:$L$63)</f>
        <v>3.0574657633410749E-2</v>
      </c>
      <c r="AD55" s="263">
        <f>SUMPRODUCT($N55:$X55,Risk!$B$64:$L$64)</f>
        <v>2.0395676322037027E-2</v>
      </c>
    </row>
    <row r="56" spans="1:30" x14ac:dyDescent="0.2">
      <c r="A56" s="393">
        <f>Data!A410</f>
        <v>43465</v>
      </c>
      <c r="B56" s="72">
        <f>Data!B410/Data!B407-1</f>
        <v>-8.9800113655603919E-2</v>
      </c>
      <c r="C56" s="72">
        <f>Data!C410/Data!C407-1</f>
        <v>-0.10627436787336753</v>
      </c>
      <c r="D56" s="72">
        <f>Data!D410/Data!D407-1</f>
        <v>-4.7769860140065235E-2</v>
      </c>
      <c r="E56" s="72">
        <f>Data!E410/Data!E407-1</f>
        <v>-2.6790845366181482E-2</v>
      </c>
      <c r="F56" s="72">
        <f>Data!F410/Data!F407-1</f>
        <v>-0.20800694361371952</v>
      </c>
      <c r="G56" s="72">
        <f>Data!G410/Data!G407-1</f>
        <v>-2.0780823007373161E-2</v>
      </c>
      <c r="H56" s="72">
        <f>Data!H410/Data!H407-1</f>
        <v>5.0825210089999739E-3</v>
      </c>
      <c r="I56" s="72">
        <f>Data!I410/Data!I407-1</f>
        <v>-9.02558676039944E-4</v>
      </c>
      <c r="J56" s="72">
        <f>Data!J410/Data!J407-1</f>
        <v>2.2319692799999791E-2</v>
      </c>
      <c r="K56" s="72">
        <f>Data!K410/Data!K407-1</f>
        <v>1.6567395456347001E-2</v>
      </c>
      <c r="L56" s="211">
        <f>Data!L410/Data!L407-1</f>
        <v>4.7073538250002045E-3</v>
      </c>
      <c r="N56" s="394">
        <f t="shared" si="9"/>
        <v>-8.9800113655603919E-2</v>
      </c>
      <c r="O56" s="72">
        <f t="shared" si="10"/>
        <v>-0.10627436787336753</v>
      </c>
      <c r="P56" s="72">
        <f t="shared" si="11"/>
        <v>-4.7769860140065235E-2</v>
      </c>
      <c r="Q56" s="72">
        <f t="shared" si="12"/>
        <v>-2.6790845366181482E-2</v>
      </c>
      <c r="R56" s="72">
        <f t="shared" si="13"/>
        <v>-0.20800694361371952</v>
      </c>
      <c r="S56" s="72">
        <f>(G56-Inputs!$B$39*G55)/(1-Inputs!$B$39)</f>
        <v>-3.6799518062610774E-2</v>
      </c>
      <c r="T56" s="72">
        <f t="shared" si="14"/>
        <v>5.0825210089999739E-3</v>
      </c>
      <c r="U56" s="72">
        <f>(I56-Inputs!$B$40*I55)/(1-Inputs!$B$40)</f>
        <v>-1.1829583540992335E-2</v>
      </c>
      <c r="V56" s="72">
        <f t="shared" si="15"/>
        <v>2.2319692799999791E-2</v>
      </c>
      <c r="W56" s="72">
        <f t="shared" si="16"/>
        <v>1.6567395456347001E-2</v>
      </c>
      <c r="X56" s="145">
        <f t="shared" si="17"/>
        <v>4.7073538250002045E-3</v>
      </c>
      <c r="Z56" s="395">
        <f>SUMPRODUCT($N56:$X56,Risk!$B$56:$L$56)</f>
        <v>-5.4851143249275487E-2</v>
      </c>
      <c r="AA56" s="72">
        <f>SUMPRODUCT($N56:$X56,Risk!$B$57:$L$57)</f>
        <v>-5.2378467227760399E-2</v>
      </c>
      <c r="AB56" s="72">
        <f>SUMPRODUCT($N56:$X56,Risk!$B$58:$L$58)</f>
        <v>-6.3083676005692285E-2</v>
      </c>
      <c r="AC56" s="72">
        <f>SUMPRODUCT($N56:$X56,Risk!$B$63:$L$63)</f>
        <v>-6.2831863896296011E-2</v>
      </c>
      <c r="AD56" s="263">
        <f>SUMPRODUCT($N56:$X56,Risk!$B$64:$L$64)</f>
        <v>-4.2994881633347019E-2</v>
      </c>
    </row>
    <row r="57" spans="1:30" x14ac:dyDescent="0.2">
      <c r="A57" s="393">
        <f>Data!A413</f>
        <v>43553</v>
      </c>
      <c r="B57" s="72">
        <f>Data!B413/Data!B410-1</f>
        <v>0.11063317735100076</v>
      </c>
      <c r="C57" s="72">
        <f>Data!C413/Data!C410-1</f>
        <v>0.11765266592142165</v>
      </c>
      <c r="D57" s="72">
        <f>Data!D413/Data!D410-1</f>
        <v>8.8825642493579382E-2</v>
      </c>
      <c r="E57" s="72">
        <f>Data!E413/Data!E410-1</f>
        <v>0.13303777984612219</v>
      </c>
      <c r="F57" s="72">
        <f>Data!F413/Data!F410-1</f>
        <v>0.13937967502162452</v>
      </c>
      <c r="G57" s="72">
        <f>Data!G413/Data!G410-1</f>
        <v>-2.7090711738253836E-2</v>
      </c>
      <c r="H57" s="72">
        <f>Data!H413/Data!H410-1</f>
        <v>5.0010664580002473E-3</v>
      </c>
      <c r="I57" s="72">
        <f>Data!I413/Data!I410-1</f>
        <v>1.9702898973969596E-2</v>
      </c>
      <c r="J57" s="72">
        <f>Data!J413/Data!J410-1</f>
        <v>3.4348814911999925E-2</v>
      </c>
      <c r="K57" s="72">
        <f>Data!K413/Data!K410-1</f>
        <v>2.7924637610702296E-2</v>
      </c>
      <c r="L57" s="211">
        <f>Data!L413/Data!L410-1</f>
        <v>5.2090152020001224E-3</v>
      </c>
      <c r="N57" s="394">
        <f t="shared" si="9"/>
        <v>0.11063317735100076</v>
      </c>
      <c r="O57" s="72">
        <f t="shared" si="10"/>
        <v>0.11765266592142165</v>
      </c>
      <c r="P57" s="72">
        <f t="shared" si="11"/>
        <v>8.8825642493579382E-2</v>
      </c>
      <c r="Q57" s="72">
        <f t="shared" si="12"/>
        <v>0.13303777984612219</v>
      </c>
      <c r="R57" s="72">
        <f t="shared" si="13"/>
        <v>0.13937967502162452</v>
      </c>
      <c r="S57" s="72">
        <f>(G57-Inputs!$B$39*G56)/(1-Inputs!$B$39)</f>
        <v>-3.880907652417509E-2</v>
      </c>
      <c r="T57" s="72">
        <f t="shared" si="14"/>
        <v>5.0010664580002473E-3</v>
      </c>
      <c r="U57" s="72">
        <f>(I57-Inputs!$B$40*I56)/(1-Inputs!$B$40)</f>
        <v>2.6209885600288398E-2</v>
      </c>
      <c r="V57" s="72">
        <f t="shared" si="15"/>
        <v>3.4348814911999925E-2</v>
      </c>
      <c r="W57" s="72">
        <f t="shared" si="16"/>
        <v>2.7924637610702296E-2</v>
      </c>
      <c r="X57" s="145">
        <f t="shared" si="17"/>
        <v>5.2090152020001224E-3</v>
      </c>
      <c r="Z57" s="395">
        <f>SUMPRODUCT($N57:$X57,Risk!$B$56:$L$56)</f>
        <v>8.8838506419093008E-2</v>
      </c>
      <c r="AA57" s="72">
        <f>SUMPRODUCT($N57:$X57,Risk!$B$57:$L$57)</f>
        <v>7.7692630939816945E-2</v>
      </c>
      <c r="AB57" s="72">
        <f>SUMPRODUCT($N57:$X57,Risk!$B$58:$L$58)</f>
        <v>8.7742256770215271E-2</v>
      </c>
      <c r="AC57" s="72">
        <f>SUMPRODUCT($N57:$X57,Risk!$B$63:$L$63)</f>
        <v>8.8198193046931619E-2</v>
      </c>
      <c r="AD57" s="263">
        <f>SUMPRODUCT($N57:$X57,Risk!$B$64:$L$64)</f>
        <v>7.413738772069417E-2</v>
      </c>
    </row>
    <row r="58" spans="1:30" x14ac:dyDescent="0.2">
      <c r="A58" s="393">
        <f>Data!A416</f>
        <v>43644</v>
      </c>
      <c r="B58" s="72">
        <f>Data!B416/Data!B413-1</f>
        <v>7.8309024842637687E-2</v>
      </c>
      <c r="C58" s="72">
        <f>Data!C416/Data!C413-1</f>
        <v>5.0932057286696919E-2</v>
      </c>
      <c r="D58" s="72">
        <f>Data!D416/Data!D413-1</f>
        <v>1.5596382720414859E-2</v>
      </c>
      <c r="E58" s="72">
        <f>Data!E416/Data!E413-1</f>
        <v>2.5791648523669997E-2</v>
      </c>
      <c r="F58" s="72">
        <f>Data!F416/Data!F413-1</f>
        <v>-2.0774009546360439E-3</v>
      </c>
      <c r="G58" s="72">
        <f>Data!G416/Data!G413-1</f>
        <v>-4.3858185747061018E-3</v>
      </c>
      <c r="H58" s="72">
        <f>Data!H416/Data!H413-1</f>
        <v>-1.4958391999999598E-3</v>
      </c>
      <c r="I58" s="72">
        <f>Data!I416/Data!I413-1</f>
        <v>4.2298806682577572E-2</v>
      </c>
      <c r="J58" s="72">
        <f>Data!J416/Data!J413-1</f>
        <v>3.0454015039999893E-2</v>
      </c>
      <c r="K58" s="72">
        <f>Data!K416/Data!K413-1</f>
        <v>2.6847780141431521E-2</v>
      </c>
      <c r="L58" s="211">
        <f>Data!L416/Data!L413-1</f>
        <v>4.4064331199999973E-3</v>
      </c>
      <c r="N58" s="394">
        <f t="shared" si="9"/>
        <v>7.8309024842637687E-2</v>
      </c>
      <c r="O58" s="72">
        <f t="shared" si="10"/>
        <v>5.0932057286696919E-2</v>
      </c>
      <c r="P58" s="72">
        <f t="shared" si="11"/>
        <v>1.5596382720414859E-2</v>
      </c>
      <c r="Q58" s="72">
        <f t="shared" si="12"/>
        <v>2.5791648523669997E-2</v>
      </c>
      <c r="R58" s="72">
        <f t="shared" si="13"/>
        <v>-2.0774009546360439E-3</v>
      </c>
      <c r="S58" s="72">
        <f>(G58-Inputs!$B$39*G57)/(1-Inputs!$B$39)</f>
        <v>3.7780411586168273E-2</v>
      </c>
      <c r="T58" s="72">
        <f t="shared" si="14"/>
        <v>-1.4958391999999598E-3</v>
      </c>
      <c r="U58" s="72">
        <f>(I58-Inputs!$B$40*I57)/(1-Inputs!$B$40)</f>
        <v>4.9434356485295879E-2</v>
      </c>
      <c r="V58" s="72">
        <f t="shared" si="15"/>
        <v>3.0454015039999893E-2</v>
      </c>
      <c r="W58" s="72">
        <f t="shared" si="16"/>
        <v>2.6847780141431521E-2</v>
      </c>
      <c r="X58" s="145">
        <f t="shared" si="17"/>
        <v>4.4064331199999973E-3</v>
      </c>
      <c r="Z58" s="395">
        <f>SUMPRODUCT($N58:$X58,Risk!$B$56:$L$56)</f>
        <v>5.1113561232475964E-2</v>
      </c>
      <c r="AA58" s="72">
        <f>SUMPRODUCT($N58:$X58,Risk!$B$57:$L$57)</f>
        <v>4.4708895831268039E-2</v>
      </c>
      <c r="AB58" s="72">
        <f>SUMPRODUCT($N58:$X58,Risk!$B$58:$L$58)</f>
        <v>4.628755839888115E-2</v>
      </c>
      <c r="AC58" s="72">
        <f>SUMPRODUCT($N58:$X58,Risk!$B$63:$L$63)</f>
        <v>4.6772692422532069E-2</v>
      </c>
      <c r="AD58" s="263">
        <f>SUMPRODUCT($N58:$X58,Risk!$B$64:$L$64)</f>
        <v>4.1824636603033843E-2</v>
      </c>
    </row>
    <row r="59" spans="1:30" x14ac:dyDescent="0.2">
      <c r="A59" s="393">
        <f>Data!A419</f>
        <v>43738</v>
      </c>
      <c r="B59" s="72">
        <f>Data!B419/Data!B416-1</f>
        <v>2.8209084849750488E-2</v>
      </c>
      <c r="C59" s="72">
        <f>Data!C419/Data!C416-1</f>
        <v>5.7715800522751604E-2</v>
      </c>
      <c r="D59" s="72">
        <f>Data!D419/Data!D416-1</f>
        <v>2.0407974753490876E-2</v>
      </c>
      <c r="E59" s="72">
        <f>Data!E419/Data!E416-1</f>
        <v>0.1128934844743279</v>
      </c>
      <c r="F59" s="72">
        <f>Data!F419/Data!F416-1</f>
        <v>-2.966672345104282E-3</v>
      </c>
      <c r="G59" s="72">
        <f>Data!G419/Data!G416-1</f>
        <v>2.7554665221354302E-2</v>
      </c>
      <c r="H59" s="72">
        <f>Data!H419/Data!H416-1</f>
        <v>3.0907195448000246E-2</v>
      </c>
      <c r="I59" s="72">
        <f>Data!I419/Data!I416-1</f>
        <v>1.2899703977256038E-2</v>
      </c>
      <c r="J59" s="72">
        <f>Data!J419/Data!J416-1</f>
        <v>1.9722207095000055E-2</v>
      </c>
      <c r="K59" s="72">
        <f>Data!K419/Data!K416-1</f>
        <v>2.3362167815728085E-2</v>
      </c>
      <c r="L59" s="211">
        <f>Data!L419/Data!L416-1</f>
        <v>2.8025607680002285E-3</v>
      </c>
      <c r="N59" s="394">
        <f t="shared" si="9"/>
        <v>2.8209084849750488E-2</v>
      </c>
      <c r="O59" s="72">
        <f t="shared" si="10"/>
        <v>5.7715800522751604E-2</v>
      </c>
      <c r="P59" s="72">
        <f t="shared" si="11"/>
        <v>2.0407974753490876E-2</v>
      </c>
      <c r="Q59" s="72">
        <f t="shared" si="12"/>
        <v>0.1128934844743279</v>
      </c>
      <c r="R59" s="72">
        <f t="shared" si="13"/>
        <v>-2.966672345104282E-3</v>
      </c>
      <c r="S59" s="72">
        <f>(G59-Inputs!$B$39*G58)/(1-Inputs!$B$39)</f>
        <v>8.6872706556895066E-2</v>
      </c>
      <c r="T59" s="72">
        <f t="shared" si="14"/>
        <v>3.0907195448000246E-2</v>
      </c>
      <c r="U59" s="72">
        <f>(I59-Inputs!$B$40*I58)/(1-Inputs!$B$40)</f>
        <v>3.6157768071545028E-3</v>
      </c>
      <c r="V59" s="72">
        <f t="shared" si="15"/>
        <v>1.9722207095000055E-2</v>
      </c>
      <c r="W59" s="72">
        <f t="shared" si="16"/>
        <v>2.3362167815728085E-2</v>
      </c>
      <c r="X59" s="145">
        <f t="shared" si="17"/>
        <v>2.8025607680002285E-3</v>
      </c>
      <c r="Z59" s="395">
        <f>SUMPRODUCT($N59:$X59,Risk!$B$56:$L$56)</f>
        <v>3.9139626235151583E-2</v>
      </c>
      <c r="AA59" s="72">
        <f>SUMPRODUCT($N59:$X59,Risk!$B$57:$L$57)</f>
        <v>4.0153861818373111E-2</v>
      </c>
      <c r="AB59" s="72">
        <f>SUMPRODUCT($N59:$X59,Risk!$B$58:$L$58)</f>
        <v>4.187822160917247E-2</v>
      </c>
      <c r="AC59" s="72">
        <f>SUMPRODUCT($N59:$X59,Risk!$B$63:$L$63)</f>
        <v>4.2721496046658543E-2</v>
      </c>
      <c r="AD59" s="263">
        <f>SUMPRODUCT($N59:$X59,Risk!$B$64:$L$64)</f>
        <v>3.8978142530431178E-2</v>
      </c>
    </row>
    <row r="60" spans="1:30" x14ac:dyDescent="0.2">
      <c r="A60" s="393">
        <f>Data!A422</f>
        <v>43830</v>
      </c>
      <c r="B60" s="72">
        <f>Data!B422/Data!B419-1</f>
        <v>7.4537836206769459E-3</v>
      </c>
      <c r="C60" s="72">
        <f>Data!C422/Data!C419-1</f>
        <v>3.2357496777643213E-2</v>
      </c>
      <c r="D60" s="72">
        <f>Data!D422/Data!D419-1</f>
        <v>5.1806023138784463E-2</v>
      </c>
      <c r="E60" s="72">
        <f>Data!E422/Data!E419-1</f>
        <v>-3.9424247432951032E-2</v>
      </c>
      <c r="F60" s="72">
        <f>Data!F422/Data!F419-1</f>
        <v>3.9149427497858547E-2</v>
      </c>
      <c r="G60" s="72">
        <f>Data!G422/Data!G419-1</f>
        <v>4.2219542750911998E-2</v>
      </c>
      <c r="H60" s="72">
        <f>Data!H422/Data!H419-1</f>
        <v>1.4762677787000245E-2</v>
      </c>
      <c r="I60" s="72">
        <f>Data!I422/Data!I419-1</f>
        <v>2.209980721444782E-2</v>
      </c>
      <c r="J60" s="72">
        <f>Data!J422/Data!J419-1</f>
        <v>-1.3193641048000027E-2</v>
      </c>
      <c r="K60" s="72">
        <f>Data!K422/Data!K419-1</f>
        <v>-7.6305529666141902E-3</v>
      </c>
      <c r="L60" s="211">
        <f>Data!L422/Data!L419-1</f>
        <v>2.3017604479995679E-3</v>
      </c>
      <c r="N60" s="394">
        <f t="shared" si="9"/>
        <v>7.4537836206769459E-3</v>
      </c>
      <c r="O60" s="72">
        <f t="shared" si="10"/>
        <v>3.2357496777643213E-2</v>
      </c>
      <c r="P60" s="72">
        <f t="shared" si="11"/>
        <v>5.1806023138784463E-2</v>
      </c>
      <c r="Q60" s="72">
        <f t="shared" si="12"/>
        <v>-3.9424247432951032E-2</v>
      </c>
      <c r="R60" s="72">
        <f t="shared" si="13"/>
        <v>3.9149427497858547E-2</v>
      </c>
      <c r="S60" s="72">
        <f>(G60-Inputs!$B$39*G59)/(1-Inputs!$B$39)</f>
        <v>6.945431530580487E-2</v>
      </c>
      <c r="T60" s="72">
        <f t="shared" si="14"/>
        <v>1.4762677787000245E-2</v>
      </c>
      <c r="U60" s="72">
        <f>(I60-Inputs!$B$40*I59)/(1-Inputs!$B$40)</f>
        <v>2.5005102973561011E-2</v>
      </c>
      <c r="V60" s="72">
        <f t="shared" si="15"/>
        <v>-1.3193641048000027E-2</v>
      </c>
      <c r="W60" s="72">
        <f t="shared" si="16"/>
        <v>-7.6305529666141902E-3</v>
      </c>
      <c r="X60" s="145">
        <f t="shared" si="17"/>
        <v>2.3017604479995679E-3</v>
      </c>
      <c r="Z60" s="395">
        <f>SUMPRODUCT($N60:$X60,Risk!$B$56:$L$56)</f>
        <v>3.0822208973351486E-3</v>
      </c>
      <c r="AA60" s="72">
        <f>SUMPRODUCT($N60:$X60,Risk!$B$57:$L$57)</f>
        <v>1.1255048484117243E-2</v>
      </c>
      <c r="AB60" s="72">
        <f>SUMPRODUCT($N60:$X60,Risk!$B$58:$L$58)</f>
        <v>1.460218068146955E-2</v>
      </c>
      <c r="AC60" s="72">
        <f>SUMPRODUCT($N60:$X60,Risk!$B$63:$L$63)</f>
        <v>1.3298803561182942E-2</v>
      </c>
      <c r="AD60" s="263">
        <f>SUMPRODUCT($N60:$X60,Risk!$B$64:$L$64)</f>
        <v>6.8836174792138247E-3</v>
      </c>
    </row>
    <row r="61" spans="1:30" x14ac:dyDescent="0.2">
      <c r="A61" s="393">
        <f>Data!A425</f>
        <v>43921</v>
      </c>
      <c r="B61" s="72">
        <f>Data!B425/Data!B422-1</f>
        <v>-0.23923021230162522</v>
      </c>
      <c r="C61" s="72">
        <f>Data!C425/Data!C422-1</f>
        <v>-8.0905967371255993E-2</v>
      </c>
      <c r="D61" s="72">
        <f>Data!D425/Data!D422-1</f>
        <v>-6.994763407691551E-2</v>
      </c>
      <c r="E61" s="72">
        <f>Data!E425/Data!E422-1</f>
        <v>-0.16646921555011696</v>
      </c>
      <c r="F61" s="72">
        <f>Data!F425/Data!F422-1</f>
        <v>-0.3378199325052339</v>
      </c>
      <c r="G61" s="72">
        <f>Data!G425/Data!G422-1</f>
        <v>1.9075540380109279E-2</v>
      </c>
      <c r="H61" s="72">
        <f>Data!H425/Data!H422-1</f>
        <v>0.12678189709700338</v>
      </c>
      <c r="I61" s="72">
        <f>Data!I425/Data!I422-1</f>
        <v>-6.4600489059851607E-2</v>
      </c>
      <c r="J61" s="72">
        <f>Data!J425/Data!J422-1</f>
        <v>3.3109728247563419E-2</v>
      </c>
      <c r="K61" s="72">
        <f>Data!K425/Data!K422-1</f>
        <v>3.0592829203142546E-2</v>
      </c>
      <c r="L61" s="211">
        <f>Data!L425/Data!L422-1</f>
        <v>2.561273405062181E-3</v>
      </c>
      <c r="N61" s="394">
        <f t="shared" si="9"/>
        <v>-0.23923021230162522</v>
      </c>
      <c r="O61" s="72">
        <f t="shared" si="10"/>
        <v>-8.0905967371255993E-2</v>
      </c>
      <c r="P61" s="72">
        <f t="shared" si="11"/>
        <v>-6.994763407691551E-2</v>
      </c>
      <c r="Q61" s="72">
        <f t="shared" si="12"/>
        <v>-0.16646921555011696</v>
      </c>
      <c r="R61" s="72">
        <f t="shared" si="13"/>
        <v>-0.3378199325052339</v>
      </c>
      <c r="S61" s="72">
        <f>(G61-Inputs!$B$39*G60)/(1-Inputs!$B$39)</f>
        <v>-2.3906178308524342E-2</v>
      </c>
      <c r="T61" s="72">
        <f t="shared" si="14"/>
        <v>0.12678189709700338</v>
      </c>
      <c r="U61" s="72">
        <f>(I61-Inputs!$B$40*I60)/(1-Inputs!$B$40)</f>
        <v>-9.1979529988577738E-2</v>
      </c>
      <c r="V61" s="72">
        <f t="shared" si="15"/>
        <v>3.3109728247563419E-2</v>
      </c>
      <c r="W61" s="72">
        <f t="shared" si="16"/>
        <v>3.0592829203142546E-2</v>
      </c>
      <c r="X61" s="145">
        <f t="shared" si="17"/>
        <v>2.561273405062181E-3</v>
      </c>
      <c r="Z61" s="395">
        <f>SUMPRODUCT($N61:$X61,Risk!$B$56:$L$56)</f>
        <v>-0.12092702523817271</v>
      </c>
      <c r="AA61" s="72">
        <f>SUMPRODUCT($N61:$X61,Risk!$B$57:$L$57)</f>
        <v>-9.1806484538445088E-2</v>
      </c>
      <c r="AB61" s="72">
        <f>SUMPRODUCT($N61:$X61,Risk!$B$58:$L$58)</f>
        <v>-0.11048429005790601</v>
      </c>
      <c r="AC61" s="72">
        <f>SUMPRODUCT($N61:$X61,Risk!$B$63:$L$63)</f>
        <v>-0.11185737199658979</v>
      </c>
      <c r="AD61" s="263">
        <f>SUMPRODUCT($N61:$X61,Risk!$B$64:$L$64)</f>
        <v>-8.7664954855802307E-2</v>
      </c>
    </row>
    <row r="62" spans="1:30" x14ac:dyDescent="0.2">
      <c r="A62" s="393">
        <f>Data!A428</f>
        <v>44012</v>
      </c>
      <c r="B62" s="72">
        <f>Data!B428/Data!B425-1</f>
        <v>0.17750631212607848</v>
      </c>
      <c r="C62" s="72">
        <f>Data!C428/Data!C425-1</f>
        <v>5.4715758441149953E-2</v>
      </c>
      <c r="D62" s="72">
        <f>Data!D428/Data!D425-1</f>
        <v>3.871148165820637E-2</v>
      </c>
      <c r="E62" s="72">
        <f>Data!E428/Data!E425-1</f>
        <v>-1.7967678153743005E-2</v>
      </c>
      <c r="F62" s="72">
        <f>Data!F428/Data!F425-1</f>
        <v>-1.7970515004706589E-2</v>
      </c>
      <c r="G62" s="72">
        <f>Data!G428/Data!G425-1</f>
        <v>-1.4885697657304742E-2</v>
      </c>
      <c r="H62" s="72">
        <f>Data!H428/Data!H425-1</f>
        <v>-0.1020846377426331</v>
      </c>
      <c r="I62" s="72">
        <f>Data!I428/Data!I425-1</f>
        <v>3.60007263702673E-2</v>
      </c>
      <c r="J62" s="72">
        <f>Data!J428/Data!J425-1</f>
        <v>4.8506820721689881E-3</v>
      </c>
      <c r="K62" s="72">
        <f>Data!K428/Data!K425-1</f>
        <v>1.01411268729652E-2</v>
      </c>
      <c r="L62" s="211">
        <f>Data!L428/Data!L425-1</f>
        <v>6.510099910190803E-4</v>
      </c>
      <c r="N62" s="394">
        <f t="shared" si="9"/>
        <v>0.17750631212607848</v>
      </c>
      <c r="O62" s="72">
        <f t="shared" si="10"/>
        <v>5.4715758441149953E-2</v>
      </c>
      <c r="P62" s="72">
        <f t="shared" si="11"/>
        <v>3.871148165820637E-2</v>
      </c>
      <c r="Q62" s="72">
        <f t="shared" si="12"/>
        <v>-1.7967678153743005E-2</v>
      </c>
      <c r="R62" s="72">
        <f t="shared" si="13"/>
        <v>-1.7970515004706589E-2</v>
      </c>
      <c r="S62" s="72">
        <f>(G62-Inputs!$B$39*G61)/(1-Inputs!$B$39)</f>
        <v>-7.7956568298216497E-2</v>
      </c>
      <c r="T62" s="72">
        <f t="shared" si="14"/>
        <v>-0.1020846377426331</v>
      </c>
      <c r="U62" s="72">
        <f>(I62-Inputs!$B$40*I61)/(1-Inputs!$B$40)</f>
        <v>6.7769531242936429E-2</v>
      </c>
      <c r="V62" s="72">
        <f t="shared" si="15"/>
        <v>4.8506820721689881E-3</v>
      </c>
      <c r="W62" s="72">
        <f t="shared" si="16"/>
        <v>1.01411268729652E-2</v>
      </c>
      <c r="X62" s="145">
        <f t="shared" si="17"/>
        <v>6.510099910190803E-4</v>
      </c>
      <c r="Z62" s="395">
        <f>SUMPRODUCT($N62:$X62,Risk!$B$56:$L$56)</f>
        <v>8.1733371883320985E-2</v>
      </c>
      <c r="AA62" s="72">
        <f>SUMPRODUCT($N62:$X62,Risk!$B$57:$L$57)</f>
        <v>5.3939424872244339E-2</v>
      </c>
      <c r="AB62" s="72">
        <f>SUMPRODUCT($N62:$X62,Risk!$B$58:$L$58)</f>
        <v>6.1986405601833543E-2</v>
      </c>
      <c r="AC62" s="72">
        <f>SUMPRODUCT($N62:$X62,Risk!$B$63:$L$63)</f>
        <v>6.1956590637466002E-2</v>
      </c>
      <c r="AD62" s="263">
        <f>SUMPRODUCT($N62:$X62,Risk!$B$64:$L$64)</f>
        <v>4.9003977301203698E-2</v>
      </c>
    </row>
    <row r="63" spans="1:30" x14ac:dyDescent="0.2">
      <c r="A63" s="393">
        <f>Data!A431</f>
        <v>44104</v>
      </c>
      <c r="B63" s="72">
        <f>Data!B431/Data!B428-1</f>
        <v>1.1009931840419762E-2</v>
      </c>
      <c r="C63" s="72">
        <f>Data!C431/Data!C428-1</f>
        <v>2.6034949246700023E-2</v>
      </c>
      <c r="D63" s="72">
        <f>Data!D431/Data!D428-1</f>
        <v>4.4988532535417125E-2</v>
      </c>
      <c r="E63" s="72">
        <f>Data!E431/Data!E428-1</f>
        <v>-2.3949213809940639E-2</v>
      </c>
      <c r="F63" s="72">
        <f>Data!F431/Data!F428-1</f>
        <v>4.8216303418835427E-3</v>
      </c>
      <c r="G63" s="72">
        <f>Data!G431/Data!G428-1</f>
        <v>1.0703844535158158E-2</v>
      </c>
      <c r="H63" s="72">
        <f>Data!H431/Data!H428-1</f>
        <v>7.7337378360122111E-2</v>
      </c>
      <c r="I63" s="72">
        <f>Data!I431/Data!I428-1</f>
        <v>5.6397072785965729E-2</v>
      </c>
      <c r="J63" s="72">
        <f>Data!J431/Data!J428-1</f>
        <v>1.1261910765323568E-2</v>
      </c>
      <c r="K63" s="72">
        <f>Data!K431/Data!K428-1</f>
        <v>4.6359184303712553E-3</v>
      </c>
      <c r="L63" s="211">
        <f>Data!L431/Data!L428-1</f>
        <v>2.5328718508932369E-4</v>
      </c>
      <c r="N63" s="394">
        <f t="shared" si="9"/>
        <v>1.1009931840419762E-2</v>
      </c>
      <c r="O63" s="72">
        <f t="shared" si="10"/>
        <v>2.6034949246700023E-2</v>
      </c>
      <c r="P63" s="72">
        <f t="shared" si="11"/>
        <v>4.4988532535417125E-2</v>
      </c>
      <c r="Q63" s="72">
        <f t="shared" si="12"/>
        <v>-2.3949213809940639E-2</v>
      </c>
      <c r="R63" s="72">
        <f t="shared" si="13"/>
        <v>4.8216303418835427E-3</v>
      </c>
      <c r="S63" s="72">
        <f>(G63-Inputs!$B$39*G62)/(1-Inputs!$B$39)</f>
        <v>5.8227280035446402E-2</v>
      </c>
      <c r="T63" s="72">
        <f t="shared" si="14"/>
        <v>7.7337378360122111E-2</v>
      </c>
      <c r="U63" s="72">
        <f>(I63-Inputs!$B$40*I62)/(1-Inputs!$B$40)</f>
        <v>6.2838024285659974E-2</v>
      </c>
      <c r="V63" s="72">
        <f t="shared" si="15"/>
        <v>1.1261910765323568E-2</v>
      </c>
      <c r="W63" s="72">
        <f t="shared" si="16"/>
        <v>4.6359184303712553E-3</v>
      </c>
      <c r="X63" s="145">
        <f t="shared" si="17"/>
        <v>2.5328718508932369E-4</v>
      </c>
      <c r="Z63" s="395">
        <f>SUMPRODUCT($N63:$X63,Risk!$B$56:$L$56)</f>
        <v>9.2939313966983357E-3</v>
      </c>
      <c r="AA63" s="72">
        <f>SUMPRODUCT($N63:$X63,Risk!$B$57:$L$57)</f>
        <v>1.7981357626701885E-2</v>
      </c>
      <c r="AB63" s="72">
        <f>SUMPRODUCT($N63:$X63,Risk!$B$58:$L$58)</f>
        <v>1.7203922910553504E-2</v>
      </c>
      <c r="AC63" s="72">
        <f>SUMPRODUCT($N63:$X63,Risk!$B$63:$L$63)</f>
        <v>1.6405919720461577E-2</v>
      </c>
      <c r="AD63" s="263">
        <f>SUMPRODUCT($N63:$X63,Risk!$B$64:$L$64)</f>
        <v>1.3020777734863461E-2</v>
      </c>
    </row>
    <row r="64" spans="1:30" x14ac:dyDescent="0.2">
      <c r="A64" s="393">
        <f>Data!A434</f>
        <v>44196</v>
      </c>
      <c r="B64" s="72">
        <f>Data!B434/Data!B431-1</f>
        <v>0.14428963820357033</v>
      </c>
      <c r="C64" s="72">
        <f>Data!C434/Data!C431-1</f>
        <v>4.4684562509131887E-2</v>
      </c>
      <c r="D64" s="72">
        <f>Data!D434/Data!D431-1</f>
        <v>7.8339827266951767E-2</v>
      </c>
      <c r="E64" s="72">
        <f>Data!E434/Data!E431-1</f>
        <v>3.1481525596692927E-2</v>
      </c>
      <c r="F64" s="72">
        <f>Data!F434/Data!F431-1</f>
        <v>6.3407048904996488E-2</v>
      </c>
      <c r="G64" s="72">
        <f>Data!G434/Data!G431-1</f>
        <v>3.3583781401507418E-2</v>
      </c>
      <c r="H64" s="72">
        <f>Data!H434/Data!H431-1</f>
        <v>1.0140789272091499E-2</v>
      </c>
      <c r="I64" s="72">
        <f>Data!I434/Data!I431-1</f>
        <v>5.0285528608168928E-2</v>
      </c>
      <c r="J64" s="72">
        <f>Data!J434/Data!J431-1</f>
        <v>-8.8685837140545232E-4</v>
      </c>
      <c r="K64" s="72">
        <f>Data!K434/Data!K431-1</f>
        <v>-2.8117089634571713E-4</v>
      </c>
      <c r="L64" s="211">
        <f>Data!L434/Data!L431-1</f>
        <v>2.0405766187980845E-4</v>
      </c>
      <c r="N64" s="394">
        <f t="shared" si="9"/>
        <v>0.14428963820357033</v>
      </c>
      <c r="O64" s="72">
        <f t="shared" si="10"/>
        <v>4.4684562509131887E-2</v>
      </c>
      <c r="P64" s="72">
        <f t="shared" si="11"/>
        <v>7.8339827266951767E-2</v>
      </c>
      <c r="Q64" s="72">
        <f t="shared" si="12"/>
        <v>3.1481525596692927E-2</v>
      </c>
      <c r="R64" s="72">
        <f t="shared" si="13"/>
        <v>6.3407048904996488E-2</v>
      </c>
      <c r="S64" s="72">
        <f>(G64-Inputs!$B$39*G63)/(1-Inputs!$B$39)</f>
        <v>7.6075092724727469E-2</v>
      </c>
      <c r="T64" s="72">
        <f t="shared" si="14"/>
        <v>1.0140789272091499E-2</v>
      </c>
      <c r="U64" s="72">
        <f>(I64-Inputs!$B$40*I63)/(1-Inputs!$B$40)</f>
        <v>4.8355567288864677E-2</v>
      </c>
      <c r="V64" s="72">
        <f t="shared" si="15"/>
        <v>-8.8685837140545232E-4</v>
      </c>
      <c r="W64" s="72">
        <f t="shared" si="16"/>
        <v>-2.8117089634571713E-4</v>
      </c>
      <c r="X64" s="145">
        <f t="shared" si="17"/>
        <v>2.0405766187980845E-4</v>
      </c>
      <c r="Z64" s="395">
        <f>SUMPRODUCT($N64:$X64,Risk!$B$56:$L$56)</f>
        <v>6.9659681951836916E-2</v>
      </c>
      <c r="AA64" s="72">
        <f>SUMPRODUCT($N64:$X64,Risk!$B$57:$L$57)</f>
        <v>5.8028425233287884E-2</v>
      </c>
      <c r="AB64" s="72">
        <f>SUMPRODUCT($N64:$X64,Risk!$B$58:$L$58)</f>
        <v>6.5596048195868686E-2</v>
      </c>
      <c r="AC64" s="72">
        <f>SUMPRODUCT($N64:$X64,Risk!$B$63:$L$63)</f>
        <v>6.5245974909320964E-2</v>
      </c>
      <c r="AD64" s="263">
        <f>SUMPRODUCT($N64:$X64,Risk!$B$64:$L$64)</f>
        <v>5.3304954780120518E-2</v>
      </c>
    </row>
    <row r="65" spans="1:30" x14ac:dyDescent="0.2">
      <c r="A65" s="393">
        <f>Data!A437</f>
        <v>44286</v>
      </c>
      <c r="B65" s="72">
        <f>Data!B437/Data!B434-1</f>
        <v>3.606622974418916E-2</v>
      </c>
      <c r="C65" s="72">
        <f>Data!C437/Data!C434-1</f>
        <v>7.6568061329616688E-2</v>
      </c>
      <c r="D65" s="72">
        <f>Data!D437/Data!D434-1</f>
        <v>5.3879832963499741E-2</v>
      </c>
      <c r="E65" s="72">
        <f>Data!E437/Data!E434-1</f>
        <v>8.8946305103608125E-2</v>
      </c>
      <c r="F65" s="72">
        <f>Data!F437/Data!F434-1</f>
        <v>0.15040821997932885</v>
      </c>
      <c r="G65" s="72">
        <f>Data!G437/Data!G434-1</f>
        <v>5.6961217928193975E-2</v>
      </c>
      <c r="H65" s="72">
        <f>Data!H437/Data!H434-1</f>
        <v>5.345523934469143E-2</v>
      </c>
      <c r="I65" s="72">
        <f>Data!I437/Data!I434-1</f>
        <v>2.5000411407507306E-2</v>
      </c>
      <c r="J65" s="72">
        <f>Data!J437/Data!J434-1</f>
        <v>-3.4934084096200579E-2</v>
      </c>
      <c r="K65" s="72">
        <f>Data!K437/Data!K434-1</f>
        <v>-2.9900371805716031E-2</v>
      </c>
      <c r="L65" s="211">
        <f>Data!L437/Data!L434-1</f>
        <v>3.2622346229249644E-5</v>
      </c>
      <c r="N65" s="394">
        <f t="shared" si="9"/>
        <v>3.606622974418916E-2</v>
      </c>
      <c r="O65" s="72">
        <f t="shared" si="10"/>
        <v>7.6568061329616688E-2</v>
      </c>
      <c r="P65" s="72">
        <f t="shared" si="11"/>
        <v>5.3879832963499741E-2</v>
      </c>
      <c r="Q65" s="72">
        <f t="shared" si="12"/>
        <v>8.8946305103608125E-2</v>
      </c>
      <c r="R65" s="72">
        <f t="shared" si="13"/>
        <v>0.15040821997932885</v>
      </c>
      <c r="S65" s="72">
        <f>(G65-Inputs!$B$39*G64)/(1-Inputs!$B$39)</f>
        <v>0.10037645719204044</v>
      </c>
      <c r="T65" s="72">
        <f t="shared" si="14"/>
        <v>5.345523934469143E-2</v>
      </c>
      <c r="U65" s="72">
        <f>(I65-Inputs!$B$40*I64)/(1-Inputs!$B$40)</f>
        <v>1.7015637554666795E-2</v>
      </c>
      <c r="V65" s="72">
        <f t="shared" si="15"/>
        <v>-3.4934084096200579E-2</v>
      </c>
      <c r="W65" s="72">
        <f t="shared" si="16"/>
        <v>-2.9900371805716031E-2</v>
      </c>
      <c r="X65" s="145">
        <f t="shared" si="17"/>
        <v>3.2622346229249644E-5</v>
      </c>
      <c r="Z65" s="395">
        <f>SUMPRODUCT($N65:$X65,Risk!$B$56:$L$56)</f>
        <v>3.1004875879308492E-2</v>
      </c>
      <c r="AA65" s="72">
        <f>SUMPRODUCT($N65:$X65,Risk!$B$57:$L$57)</f>
        <v>3.7197808065772234E-2</v>
      </c>
      <c r="AB65" s="72">
        <f>SUMPRODUCT($N65:$X65,Risk!$B$58:$L$58)</f>
        <v>4.4730496032793346E-2</v>
      </c>
      <c r="AC65" s="72">
        <f>SUMPRODUCT($N65:$X65,Risk!$B$63:$L$63)</f>
        <v>4.4665161852583984E-2</v>
      </c>
      <c r="AD65" s="263">
        <f>SUMPRODUCT($N65:$X65,Risk!$B$64:$L$64)</f>
        <v>2.8966391094485809E-2</v>
      </c>
    </row>
    <row r="66" spans="1:30" x14ac:dyDescent="0.2">
      <c r="A66" s="393">
        <f>Data!A440</f>
        <v>44377</v>
      </c>
      <c r="B66" s="72">
        <f>Data!B440/Data!B437-1</f>
        <v>8.6599163654991429E-2</v>
      </c>
      <c r="C66" s="72">
        <f>Data!C440/Data!C437-1</f>
        <v>9.2863039132954794E-2</v>
      </c>
      <c r="D66" s="72">
        <f>Data!D440/Data!D437-1</f>
        <v>5.4125242134072771E-2</v>
      </c>
      <c r="E66" s="72">
        <f>Data!E440/Data!E437-1</f>
        <v>0.1205388994487524</v>
      </c>
      <c r="F66" s="72">
        <f>Data!F440/Data!F437-1</f>
        <v>0.17403433284777203</v>
      </c>
      <c r="G66" s="72">
        <f>Data!G440/Data!G437-1</f>
        <v>7.0207696745444581E-2</v>
      </c>
      <c r="H66" s="72">
        <f>Data!H440/Data!H437-1</f>
        <v>6.9404981379079356E-2</v>
      </c>
      <c r="I66" s="72">
        <f>Data!I440/Data!I437-1</f>
        <v>7.5599410463313088E-2</v>
      </c>
      <c r="J66" s="72">
        <f>Data!J440/Data!J437-1</f>
        <v>1.7469262564790977E-2</v>
      </c>
      <c r="K66" s="72">
        <f>Data!K440/Data!K437-1</f>
        <v>4.8123015990533258E-3</v>
      </c>
      <c r="L66" s="211">
        <f>Data!L440/Data!L437-1</f>
        <v>9.4771839500795707E-5</v>
      </c>
      <c r="N66" s="394">
        <f t="shared" si="9"/>
        <v>8.6599163654991429E-2</v>
      </c>
      <c r="O66" s="72">
        <f t="shared" si="10"/>
        <v>9.2863039132954794E-2</v>
      </c>
      <c r="P66" s="72">
        <f t="shared" si="11"/>
        <v>5.4125242134072771E-2</v>
      </c>
      <c r="Q66" s="72">
        <f t="shared" si="12"/>
        <v>0.1205388994487524</v>
      </c>
      <c r="R66" s="72">
        <f t="shared" si="13"/>
        <v>0.17403433284777203</v>
      </c>
      <c r="S66" s="72">
        <f>(G66-Inputs!$B$39*G65)/(1-Inputs!$B$39)</f>
        <v>9.4808300263195713E-2</v>
      </c>
      <c r="T66" s="72">
        <f t="shared" si="14"/>
        <v>6.9404981379079356E-2</v>
      </c>
      <c r="U66" s="72">
        <f>(I66-Inputs!$B$40*I65)/(1-Inputs!$B$40)</f>
        <v>9.1578041744093855E-2</v>
      </c>
      <c r="V66" s="72">
        <f t="shared" si="15"/>
        <v>1.7469262564790977E-2</v>
      </c>
      <c r="W66" s="72">
        <f t="shared" si="16"/>
        <v>4.8123015990533258E-3</v>
      </c>
      <c r="X66" s="145">
        <f t="shared" si="17"/>
        <v>9.4771839500795707E-5</v>
      </c>
      <c r="Z66" s="395">
        <f>SUMPRODUCT($N66:$X66,Risk!$B$56:$L$56)</f>
        <v>6.8278170774870736E-2</v>
      </c>
      <c r="AA66" s="72">
        <f>SUMPRODUCT($N66:$X66,Risk!$B$57:$L$57)</f>
        <v>7.0026885985053883E-2</v>
      </c>
      <c r="AB66" s="72">
        <f>SUMPRODUCT($N66:$X66,Risk!$B$58:$L$58)</f>
        <v>7.5460056850262108E-2</v>
      </c>
      <c r="AC66" s="72">
        <f>SUMPRODUCT($N66:$X66,Risk!$B$63:$L$63)</f>
        <v>7.6305866708498829E-2</v>
      </c>
      <c r="AD66" s="263">
        <f>SUMPRODUCT($N66:$X66,Risk!$B$64:$L$64)</f>
        <v>6.2771535646717835E-2</v>
      </c>
    </row>
    <row r="67" spans="1:30" x14ac:dyDescent="0.2">
      <c r="A67" s="393">
        <f>Data!A443</f>
        <v>44469</v>
      </c>
      <c r="B67" s="72">
        <f>Data!B443/Data!B440-1</f>
        <v>2.0475725396736921E-2</v>
      </c>
      <c r="C67" s="72">
        <f>Data!C443/Data!C440-1</f>
        <v>4.6421429300947947E-2</v>
      </c>
      <c r="D67" s="72">
        <f>Data!D443/Data!D440-1</f>
        <v>-2.8959596968792689E-2</v>
      </c>
      <c r="E67" s="72">
        <f>Data!E443/Data!E440-1</f>
        <v>4.7276054783257582E-2</v>
      </c>
      <c r="F67" s="72">
        <f>Data!F443/Data!F440-1</f>
        <v>9.3604892477378909E-2</v>
      </c>
      <c r="G67" s="72">
        <f>Data!G443/Data!G440-1</f>
        <v>5.3390136335411675E-2</v>
      </c>
      <c r="H67" s="72">
        <f>Data!H443/Data!H440-1</f>
        <v>2.2188991147868764E-2</v>
      </c>
      <c r="I67" s="72">
        <f>Data!I443/Data!I440-1</f>
        <v>0.12000000000000011</v>
      </c>
      <c r="J67" s="72">
        <f>Data!J443/Data!J440-1</f>
        <v>2.4794153133267383E-3</v>
      </c>
      <c r="K67" s="72">
        <f>Data!K443/Data!K440-1</f>
        <v>2.2103328230662633E-3</v>
      </c>
      <c r="L67" s="211">
        <f>Data!L443/Data!L440-1</f>
        <v>4.9931985570683679E-5</v>
      </c>
      <c r="N67" s="394">
        <f t="shared" si="9"/>
        <v>2.0475725396736921E-2</v>
      </c>
      <c r="O67" s="72">
        <f t="shared" si="10"/>
        <v>4.6421429300947947E-2</v>
      </c>
      <c r="P67" s="72">
        <f t="shared" si="11"/>
        <v>-2.8959596968792689E-2</v>
      </c>
      <c r="Q67" s="72">
        <f t="shared" si="12"/>
        <v>4.7276054783257582E-2</v>
      </c>
      <c r="R67" s="72">
        <f t="shared" si="13"/>
        <v>9.3604892477378909E-2</v>
      </c>
      <c r="S67" s="72">
        <f>(G67-Inputs!$B$39*G66)/(1-Inputs!$B$39)</f>
        <v>2.2157524145350566E-2</v>
      </c>
      <c r="T67" s="72">
        <f t="shared" si="14"/>
        <v>2.2188991147868764E-2</v>
      </c>
      <c r="U67" s="72">
        <f>(I67-Inputs!$B$40*I66)/(1-Inputs!$B$40)</f>
        <v>0.13402123880105915</v>
      </c>
      <c r="V67" s="72">
        <f t="shared" si="15"/>
        <v>2.4794153133267383E-3</v>
      </c>
      <c r="W67" s="72">
        <f t="shared" si="16"/>
        <v>2.2103328230662633E-3</v>
      </c>
      <c r="X67" s="145">
        <f t="shared" si="17"/>
        <v>4.9931985570683679E-5</v>
      </c>
      <c r="Z67" s="395">
        <f>SUMPRODUCT($N67:$X67,Risk!$B$56:$L$56)</f>
        <v>2.2754415659044375E-2</v>
      </c>
      <c r="AA67" s="72">
        <f>SUMPRODUCT($N67:$X67,Risk!$B$57:$L$57)</f>
        <v>2.6958643976429077E-2</v>
      </c>
      <c r="AB67" s="72">
        <f>SUMPRODUCT($N67:$X67,Risk!$B$58:$L$58)</f>
        <v>2.5259054903537321E-2</v>
      </c>
      <c r="AC67" s="72">
        <f>SUMPRODUCT($N67:$X67,Risk!$B$63:$L$63)</f>
        <v>2.6296416883306417E-2</v>
      </c>
      <c r="AD67" s="263">
        <f>SUMPRODUCT($N67:$X67,Risk!$B$64:$L$64)</f>
        <v>2.0728534194819265E-2</v>
      </c>
    </row>
    <row r="68" spans="1:30" x14ac:dyDescent="0.2">
      <c r="A68" s="393">
        <f>Data!A446</f>
        <v>44561</v>
      </c>
      <c r="B68" s="72">
        <f>Data!B446/Data!B443-1</f>
        <v>2.4843562296268606E-2</v>
      </c>
      <c r="C68" s="72">
        <f>Data!C446/Data!C443-1</f>
        <v>7.5076229249471327E-2</v>
      </c>
      <c r="D68" s="72">
        <f>Data!D446/Data!D443-1</f>
        <v>-1.4798735641359695E-2</v>
      </c>
      <c r="E68" s="72">
        <f>Data!E446/Data!E443-1</f>
        <v>0.12182975261371554</v>
      </c>
      <c r="F68" s="72">
        <f>Data!F446/Data!F443-1</f>
        <v>8.5238714860753628E-3</v>
      </c>
      <c r="G68" s="72">
        <f>Data!G446/Data!G443-1</f>
        <v>5.040869750537369E-2</v>
      </c>
      <c r="H68" s="72">
        <f>Data!H446/Data!H443-1</f>
        <v>-2.1860622190466361E-2</v>
      </c>
      <c r="I68" s="72">
        <f>Data!I446/Data!I443-1</f>
        <v>8.9636220187007343E-2</v>
      </c>
      <c r="J68" s="72">
        <f>Data!J446/Data!J443-1</f>
        <v>-1.5078950132955016E-2</v>
      </c>
      <c r="K68" s="72">
        <f>Data!K446/Data!K443-1</f>
        <v>-8.9581364045832057E-4</v>
      </c>
      <c r="L68" s="211">
        <f>Data!L446/Data!L443-1</f>
        <v>9.0767375829914343E-5</v>
      </c>
      <c r="N68" s="394">
        <f t="shared" si="9"/>
        <v>2.4843562296268606E-2</v>
      </c>
      <c r="O68" s="72">
        <f t="shared" si="10"/>
        <v>7.5076229249471327E-2</v>
      </c>
      <c r="P68" s="72">
        <f t="shared" si="11"/>
        <v>-1.4798735641359695E-2</v>
      </c>
      <c r="Q68" s="72">
        <f t="shared" si="12"/>
        <v>0.12182975261371554</v>
      </c>
      <c r="R68" s="72">
        <f t="shared" si="13"/>
        <v>8.5238714860753628E-3</v>
      </c>
      <c r="S68" s="72">
        <f>(G68-Inputs!$B$39*G67)/(1-Inputs!$B$39)</f>
        <v>4.4871739678160293E-2</v>
      </c>
      <c r="T68" s="72">
        <f t="shared" si="14"/>
        <v>-2.1860622190466361E-2</v>
      </c>
      <c r="U68" s="72">
        <f>(I68-Inputs!$B$40*I67)/(1-Inputs!$B$40)</f>
        <v>8.0047658140799102E-2</v>
      </c>
      <c r="V68" s="72">
        <f t="shared" si="15"/>
        <v>-1.5078950132955016E-2</v>
      </c>
      <c r="W68" s="72">
        <f t="shared" si="16"/>
        <v>-8.9581364045832057E-4</v>
      </c>
      <c r="X68" s="145">
        <f t="shared" si="17"/>
        <v>9.0767375829914343E-5</v>
      </c>
      <c r="Z68" s="395">
        <f>SUMPRODUCT($N68:$X68,Risk!$B$56:$L$56)</f>
        <v>3.4808492134901441E-2</v>
      </c>
      <c r="AA68" s="72">
        <f>SUMPRODUCT($N68:$X68,Risk!$B$57:$L$57)</f>
        <v>3.4266112202009855E-2</v>
      </c>
      <c r="AB68" s="72">
        <f>SUMPRODUCT($N68:$X68,Risk!$B$58:$L$58)</f>
        <v>3.6526812567498387E-2</v>
      </c>
      <c r="AC68" s="72">
        <f>SUMPRODUCT($N68:$X68,Risk!$B$63:$L$63)</f>
        <v>3.7793022903655583E-2</v>
      </c>
      <c r="AD68" s="263">
        <f>SUMPRODUCT($N68:$X68,Risk!$B$64:$L$64)</f>
        <v>2.8257059355825818E-2</v>
      </c>
    </row>
    <row r="69" spans="1:30" x14ac:dyDescent="0.2">
      <c r="A69" s="393">
        <f>Data!A449</f>
        <v>44651</v>
      </c>
      <c r="B69" s="72">
        <f>Data!B449/Data!B446-1</f>
        <v>1.6198779107486239E-2</v>
      </c>
      <c r="C69" s="72">
        <f>Data!C449/Data!C446-1</f>
        <v>-7.5067595956996636E-2</v>
      </c>
      <c r="D69" s="72">
        <f>Data!D449/Data!D446-1</f>
        <v>-9.0456805606458079E-2</v>
      </c>
      <c r="E69" s="72">
        <f>Data!E449/Data!E446-1</f>
        <v>-6.3554639725428519E-2</v>
      </c>
      <c r="F69" s="72">
        <f>Data!F449/Data!F446-1</f>
        <v>0.28888923655518273</v>
      </c>
      <c r="G69" s="72">
        <f>Data!G449/Data!G446-1</f>
        <v>3.0563357687541481E-2</v>
      </c>
      <c r="H69" s="72">
        <f>Data!H449/Data!H446-1</f>
        <v>-6.2604473740841993E-2</v>
      </c>
      <c r="I69" s="72">
        <f>Data!I449/Data!I446-1</f>
        <v>3.8599563874609499E-2</v>
      </c>
      <c r="J69" s="72">
        <f>Data!J449/Data!J446-1</f>
        <v>-6.4287991062703553E-2</v>
      </c>
      <c r="K69" s="72">
        <f>Data!K449/Data!K446-1</f>
        <v>-4.9894886400485228E-2</v>
      </c>
      <c r="L69" s="211">
        <f>Data!L449/Data!L446-1</f>
        <v>1.5112265384775725E-4</v>
      </c>
      <c r="N69" s="394">
        <f t="shared" si="9"/>
        <v>1.6198779107486239E-2</v>
      </c>
      <c r="O69" s="72">
        <f t="shared" si="10"/>
        <v>-7.5067595956996636E-2</v>
      </c>
      <c r="P69" s="72">
        <f t="shared" si="11"/>
        <v>-9.0456805606458079E-2</v>
      </c>
      <c r="Q69" s="72">
        <f t="shared" si="12"/>
        <v>-6.3554639725428519E-2</v>
      </c>
      <c r="R69" s="72">
        <f t="shared" si="13"/>
        <v>0.28888923655518273</v>
      </c>
      <c r="S69" s="72">
        <f>(G69-Inputs!$B$39*G68)/(1-Inputs!$B$39)</f>
        <v>-6.2922734027183458E-3</v>
      </c>
      <c r="T69" s="72">
        <f t="shared" si="14"/>
        <v>-6.2604473740841993E-2</v>
      </c>
      <c r="U69" s="72">
        <f>(I69-Inputs!$B$40*I68)/(1-Inputs!$B$40)</f>
        <v>2.2482725039115446E-2</v>
      </c>
      <c r="V69" s="72">
        <f t="shared" si="15"/>
        <v>-6.4287991062703553E-2</v>
      </c>
      <c r="W69" s="72">
        <f t="shared" si="16"/>
        <v>-4.9894886400485228E-2</v>
      </c>
      <c r="X69" s="145">
        <f t="shared" si="17"/>
        <v>1.5112265384775725E-4</v>
      </c>
      <c r="Z69" s="395">
        <f>SUMPRODUCT($N69:$X69,Risk!$B$56:$L$56)</f>
        <v>-2.8513682506622694E-2</v>
      </c>
      <c r="AA69" s="72">
        <f>SUMPRODUCT($N69:$X69,Risk!$B$57:$L$57)</f>
        <v>-3.1353761175081866E-2</v>
      </c>
      <c r="AB69" s="72">
        <f>SUMPRODUCT($N69:$X69,Risk!$B$58:$L$58)</f>
        <v>-3.0919585201548808E-2</v>
      </c>
      <c r="AC69" s="72">
        <f>SUMPRODUCT($N69:$X69,Risk!$B$63:$L$63)</f>
        <v>-3.0294255919962144E-2</v>
      </c>
      <c r="AD69" s="263">
        <f>SUMPRODUCT($N69:$X69,Risk!$B$64:$L$64)</f>
        <v>-2.9887533075322867E-2</v>
      </c>
    </row>
    <row r="70" spans="1:30" x14ac:dyDescent="0.2">
      <c r="A70" s="393">
        <f>Data!A452</f>
        <v>44742</v>
      </c>
      <c r="B70" s="72">
        <f>Data!B452/Data!B449-1</f>
        <v>-0.12908688775729993</v>
      </c>
      <c r="C70" s="72">
        <f>Data!C452/Data!C449-1</f>
        <v>-6.2987641220830448E-2</v>
      </c>
      <c r="D70" s="72">
        <f>Data!D452/Data!D449-1</f>
        <v>5.2173730506426264E-3</v>
      </c>
      <c r="E70" s="72">
        <f>Data!E452/Data!E449-1</f>
        <v>-7.2575822928310108E-2</v>
      </c>
      <c r="F70" s="72">
        <f>Data!F452/Data!F449-1</f>
        <v>0.11397129753936519</v>
      </c>
      <c r="G70" s="72">
        <f>Data!G452/Data!G449-1</f>
        <v>6.0775404861168614E-3</v>
      </c>
      <c r="H70" s="72">
        <f>Data!H452/Data!H449-1</f>
        <v>5.7353740069153059E-2</v>
      </c>
      <c r="I70" s="72">
        <f>Data!I452/Data!I449-1</f>
        <v>-0.10539353385370243</v>
      </c>
      <c r="J70" s="72">
        <f>Data!J452/Data!J449-1</f>
        <v>-4.4628561488679441E-2</v>
      </c>
      <c r="K70" s="72">
        <f>Data!K452/Data!K449-1</f>
        <v>-4.6845099618770036E-2</v>
      </c>
      <c r="L70" s="211">
        <f>Data!L452/Data!L449-1</f>
        <v>6.7112884536157935E-4</v>
      </c>
      <c r="N70" s="394">
        <f t="shared" ref="N70:N85" si="18">B70</f>
        <v>-0.12908688775729993</v>
      </c>
      <c r="O70" s="72">
        <f t="shared" ref="O70:O85" si="19">C70</f>
        <v>-6.2987641220830448E-2</v>
      </c>
      <c r="P70" s="72">
        <f t="shared" ref="P70:P85" si="20">D70</f>
        <v>5.2173730506426264E-3</v>
      </c>
      <c r="Q70" s="72">
        <f t="shared" ref="Q70:Q85" si="21">E70</f>
        <v>-7.2575822928310108E-2</v>
      </c>
      <c r="R70" s="72">
        <f t="shared" ref="R70:R85" si="22">F70</f>
        <v>0.11397129753936519</v>
      </c>
      <c r="S70" s="72">
        <f>(G70-Inputs!$B$39*G69)/(1-Inputs!$B$39)</f>
        <v>-3.939612003081458E-2</v>
      </c>
      <c r="T70" s="72">
        <f t="shared" ref="T70:T85" si="23">H70</f>
        <v>5.7353740069153059E-2</v>
      </c>
      <c r="U70" s="72">
        <f>(I70-Inputs!$B$40*I69)/(1-Inputs!$B$40)</f>
        <v>-0.15086503839948515</v>
      </c>
      <c r="V70" s="72">
        <f t="shared" ref="V70:V85" si="24">J70</f>
        <v>-4.4628561488679441E-2</v>
      </c>
      <c r="W70" s="72">
        <f t="shared" ref="W70:W85" si="25">K70</f>
        <v>-4.6845099618770036E-2</v>
      </c>
      <c r="X70" s="145">
        <f t="shared" ref="X70:X85" si="26">L70</f>
        <v>6.7112884536157935E-4</v>
      </c>
      <c r="Z70" s="395">
        <f>SUMPRODUCT($N70:$X70,Risk!$B$56:$L$56)</f>
        <v>-8.1884778813545278E-2</v>
      </c>
      <c r="AA70" s="72">
        <f>SUMPRODUCT($N70:$X70,Risk!$B$57:$L$57)</f>
        <v>-6.6189086947569101E-2</v>
      </c>
      <c r="AB70" s="72">
        <f>SUMPRODUCT($N70:$X70,Risk!$B$58:$L$58)</f>
        <v>-6.5964721223295872E-2</v>
      </c>
      <c r="AC70" s="72">
        <f>SUMPRODUCT($N70:$X70,Risk!$B$63:$L$63)</f>
        <v>-6.7429507105827818E-2</v>
      </c>
      <c r="AD70" s="263">
        <f>SUMPRODUCT($N70:$X70,Risk!$B$64:$L$64)</f>
        <v>-6.2676826792279913E-2</v>
      </c>
    </row>
    <row r="71" spans="1:30" x14ac:dyDescent="0.2">
      <c r="A71" s="393">
        <f>Data!A455</f>
        <v>44834</v>
      </c>
      <c r="B71" s="72">
        <f>Data!B455/Data!B452-1</f>
        <v>8.0350840885463626E-3</v>
      </c>
      <c r="C71" s="72">
        <f>Data!C455/Data!C452-1</f>
        <v>2.3447258548128236E-2</v>
      </c>
      <c r="D71" s="72">
        <f>Data!D455/Data!D452-1</f>
        <v>-1.6270753482816036E-2</v>
      </c>
      <c r="E71" s="72">
        <f>Data!E455/Data!E452-1</f>
        <v>-2.9525810112761564E-2</v>
      </c>
      <c r="F71" s="72">
        <f>Data!F455/Data!F452-1</f>
        <v>-4.0731365374039763E-2</v>
      </c>
      <c r="G71" s="72">
        <f>Data!G455/Data!G452-1</f>
        <v>-3.1689972946710832E-2</v>
      </c>
      <c r="H71" s="72">
        <f>Data!H455/Data!H452-1</f>
        <v>-7.8083194277600576E-3</v>
      </c>
      <c r="I71" s="72">
        <f>Data!I455/Data!I452-1</f>
        <v>-2.3367431989127496E-3</v>
      </c>
      <c r="J71" s="72">
        <f>Data!J455/Data!J452-1</f>
        <v>-6.9325978655295772E-3</v>
      </c>
      <c r="K71" s="72">
        <f>Data!K455/Data!K452-1</f>
        <v>-3.4870772621608315E-2</v>
      </c>
      <c r="L71" s="211">
        <f>Data!L455/Data!L452-1</f>
        <v>4.2313582951649664E-3</v>
      </c>
      <c r="N71" s="394">
        <f t="shared" si="18"/>
        <v>8.0350840885463626E-3</v>
      </c>
      <c r="O71" s="72">
        <f t="shared" si="19"/>
        <v>2.3447258548128236E-2</v>
      </c>
      <c r="P71" s="72">
        <f t="shared" si="20"/>
        <v>-1.6270753482816036E-2</v>
      </c>
      <c r="Q71" s="72">
        <f t="shared" si="21"/>
        <v>-2.9525810112761564E-2</v>
      </c>
      <c r="R71" s="72">
        <f t="shared" si="22"/>
        <v>-4.0731365374039763E-2</v>
      </c>
      <c r="S71" s="72">
        <f>(G71-Inputs!$B$39*G70)/(1-Inputs!$B$39)</f>
        <v>-0.10182964075053369</v>
      </c>
      <c r="T71" s="72">
        <f t="shared" si="23"/>
        <v>-7.8083194277600576E-3</v>
      </c>
      <c r="U71" s="72">
        <f>(I71-Inputs!$B$40*I70)/(1-Inputs!$B$40)</f>
        <v>3.0207506481547148E-2</v>
      </c>
      <c r="V71" s="72">
        <f t="shared" si="24"/>
        <v>-6.9325978655295772E-3</v>
      </c>
      <c r="W71" s="72">
        <f t="shared" si="25"/>
        <v>-3.4870772621608315E-2</v>
      </c>
      <c r="X71" s="145">
        <f t="shared" si="26"/>
        <v>4.2313582951649664E-3</v>
      </c>
      <c r="Z71" s="395">
        <f>SUMPRODUCT($N71:$X71,Risk!$B$56:$L$56)</f>
        <v>1.4175479248714827E-3</v>
      </c>
      <c r="AA71" s="72">
        <f>SUMPRODUCT($N71:$X71,Risk!$B$57:$L$57)</f>
        <v>-4.8323579127803979E-3</v>
      </c>
      <c r="AB71" s="72">
        <f>SUMPRODUCT($N71:$X71,Risk!$B$58:$L$58)</f>
        <v>-3.9633340066211288E-3</v>
      </c>
      <c r="AC71" s="72">
        <f>SUMPRODUCT($N71:$X71,Risk!$B$63:$L$63)</f>
        <v>-3.555133474300083E-3</v>
      </c>
      <c r="AD71" s="263">
        <f>SUMPRODUCT($N71:$X71,Risk!$B$64:$L$64)</f>
        <v>-1.2213165530997385E-2</v>
      </c>
    </row>
    <row r="72" spans="1:30" x14ac:dyDescent="0.2">
      <c r="A72" s="393">
        <f>Data!A458</f>
        <v>44925</v>
      </c>
      <c r="B72" s="72">
        <f>Data!B458/Data!B455-1</f>
        <v>8.7746374637878821E-2</v>
      </c>
      <c r="C72" s="72">
        <f>Data!C458/Data!C455-1</f>
        <v>1.9877693801767515E-2</v>
      </c>
      <c r="D72" s="72">
        <f>Data!D458/Data!D455-1</f>
        <v>1.1255012110032325E-2</v>
      </c>
      <c r="E72" s="72">
        <f>Data!E458/Data!E455-1</f>
        <v>-3.6926654600805131E-3</v>
      </c>
      <c r="F72" s="72">
        <f>Data!F458/Data!F455-1</f>
        <v>-1.9312139738268619E-2</v>
      </c>
      <c r="G72" s="72">
        <f>Data!G458/Data!G455-1</f>
        <v>-2.2937583105713255E-2</v>
      </c>
      <c r="H72" s="72">
        <f>Data!H458/Data!H455-1</f>
        <v>4.1175070660282032E-2</v>
      </c>
      <c r="I72" s="72">
        <f>Data!I458/Data!I455-1</f>
        <v>9.7187556873987058E-2</v>
      </c>
      <c r="J72" s="72">
        <f>Data!J458/Data!J455-1</f>
        <v>1.5997533178304657E-3</v>
      </c>
      <c r="K72" s="72">
        <f>Data!K458/Data!K455-1</f>
        <v>8.1926902481210817E-5</v>
      </c>
      <c r="L72" s="211">
        <f>Data!L458/Data!L455-1</f>
        <v>7.4603029118294195E-3</v>
      </c>
      <c r="N72" s="394">
        <f t="shared" si="18"/>
        <v>8.7746374637878821E-2</v>
      </c>
      <c r="O72" s="72">
        <f t="shared" si="19"/>
        <v>1.9877693801767515E-2</v>
      </c>
      <c r="P72" s="72">
        <f t="shared" si="20"/>
        <v>1.1255012110032325E-2</v>
      </c>
      <c r="Q72" s="72">
        <f t="shared" si="21"/>
        <v>-3.6926654600805131E-3</v>
      </c>
      <c r="R72" s="72">
        <f t="shared" si="22"/>
        <v>-1.9312139738268619E-2</v>
      </c>
      <c r="S72" s="72">
        <f>(G72-Inputs!$B$39*G71)/(1-Inputs!$B$39)</f>
        <v>-6.6831448295748969E-3</v>
      </c>
      <c r="T72" s="72">
        <f t="shared" si="23"/>
        <v>4.1175070660282032E-2</v>
      </c>
      <c r="U72" s="72">
        <f>(I72-Inputs!$B$40*I71)/(1-Inputs!$B$40)</f>
        <v>0.12861628321279753</v>
      </c>
      <c r="V72" s="72">
        <f t="shared" si="24"/>
        <v>1.5997533178304657E-3</v>
      </c>
      <c r="W72" s="72">
        <f t="shared" si="25"/>
        <v>8.1926902481210817E-5</v>
      </c>
      <c r="X72" s="145">
        <f t="shared" si="26"/>
        <v>7.4603029118294195E-3</v>
      </c>
      <c r="Z72" s="395">
        <f>SUMPRODUCT($N72:$X72,Risk!$B$56:$L$56)</f>
        <v>3.9473560423198113E-2</v>
      </c>
      <c r="AA72" s="72">
        <f>SUMPRODUCT($N72:$X72,Risk!$B$57:$L$57)</f>
        <v>3.1616531044061598E-2</v>
      </c>
      <c r="AB72" s="72">
        <f>SUMPRODUCT($N72:$X72,Risk!$B$58:$L$58)</f>
        <v>3.042159155420205E-2</v>
      </c>
      <c r="AC72" s="72">
        <f>SUMPRODUCT($N72:$X72,Risk!$B$63:$L$63)</f>
        <v>3.0640031883927568E-2</v>
      </c>
      <c r="AD72" s="263">
        <f>SUMPRODUCT($N72:$X72,Risk!$B$64:$L$64)</f>
        <v>2.4480749923928121E-2</v>
      </c>
    </row>
    <row r="73" spans="1:30" x14ac:dyDescent="0.2">
      <c r="A73" s="393">
        <f>Data!A461</f>
        <v>45016</v>
      </c>
      <c r="B73" s="72">
        <f>Data!B461/Data!B458-1</f>
        <v>3.6125625708853804E-2</v>
      </c>
      <c r="C73" s="72">
        <f>Data!C461/Data!C458-1</f>
        <v>8.9310959413012814E-2</v>
      </c>
      <c r="D73" s="72">
        <f>Data!D461/Data!D458-1</f>
        <v>5.1421849985814561E-2</v>
      </c>
      <c r="E73" s="72">
        <f>Data!E461/Data!E458-1</f>
        <v>2.8328060257661436E-2</v>
      </c>
      <c r="F73" s="72">
        <f>Data!F461/Data!F458-1</f>
        <v>-3.7495325277941416E-2</v>
      </c>
      <c r="G73" s="72">
        <f>Data!G461/Data!G458-1</f>
        <v>-1.9419112177967435E-3</v>
      </c>
      <c r="H73" s="72">
        <f>Data!H461/Data!H458-1</f>
        <v>4.7591180498210539E-2</v>
      </c>
      <c r="I73" s="72">
        <f>Data!I461/Data!I458-1</f>
        <v>4.0925503174379818E-2</v>
      </c>
      <c r="J73" s="72">
        <f>Data!J461/Data!J458-1</f>
        <v>5.020894971824541E-2</v>
      </c>
      <c r="K73" s="72">
        <f>Data!K461/Data!K458-1</f>
        <v>2.3680300157406187E-2</v>
      </c>
      <c r="L73" s="211">
        <f>Data!L461/Data!L458-1</f>
        <v>7.8922884967533857E-3</v>
      </c>
      <c r="N73" s="394">
        <f t="shared" si="18"/>
        <v>3.6125625708853804E-2</v>
      </c>
      <c r="O73" s="72">
        <f t="shared" si="19"/>
        <v>8.9310959413012814E-2</v>
      </c>
      <c r="P73" s="72">
        <f t="shared" si="20"/>
        <v>5.1421849985814561E-2</v>
      </c>
      <c r="Q73" s="72">
        <f t="shared" si="21"/>
        <v>2.8328060257661436E-2</v>
      </c>
      <c r="R73" s="72">
        <f t="shared" si="22"/>
        <v>-3.7495325277941416E-2</v>
      </c>
      <c r="S73" s="72">
        <f>(G73-Inputs!$B$39*G72)/(1-Inputs!$B$39)</f>
        <v>3.7050050859762491E-2</v>
      </c>
      <c r="T73" s="72">
        <f t="shared" si="23"/>
        <v>4.7591180498210539E-2</v>
      </c>
      <c r="U73" s="72">
        <f>(I73-Inputs!$B$40*I72)/(1-Inputs!$B$40)</f>
        <v>2.3158538848188061E-2</v>
      </c>
      <c r="V73" s="72">
        <f t="shared" si="24"/>
        <v>5.020894971824541E-2</v>
      </c>
      <c r="W73" s="72">
        <f t="shared" si="25"/>
        <v>2.3680300157406187E-2</v>
      </c>
      <c r="X73" s="145">
        <f t="shared" si="26"/>
        <v>7.8922884967533857E-3</v>
      </c>
      <c r="Z73" s="395">
        <f>SUMPRODUCT($N73:$X73,Risk!$B$56:$L$56)</f>
        <v>4.512347485701227E-2</v>
      </c>
      <c r="AA73" s="72">
        <f>SUMPRODUCT($N73:$X73,Risk!$B$57:$L$57)</f>
        <v>4.7087598654540153E-2</v>
      </c>
      <c r="AB73" s="72">
        <f>SUMPRODUCT($N73:$X73,Risk!$B$58:$L$58)</f>
        <v>4.9441256323858873E-2</v>
      </c>
      <c r="AC73" s="72">
        <f>SUMPRODUCT($N73:$X73,Risk!$B$63:$L$63)</f>
        <v>4.9524646694404643E-2</v>
      </c>
      <c r="AD73" s="263">
        <f>SUMPRODUCT($N73:$X73,Risk!$B$64:$L$64)</f>
        <v>4.1112606776172823E-2</v>
      </c>
    </row>
    <row r="74" spans="1:30" x14ac:dyDescent="0.2">
      <c r="A74" s="393">
        <f>Data!A464</f>
        <v>45107</v>
      </c>
      <c r="B74" s="72">
        <f>Data!B464/Data!B461-1</f>
        <v>1.0056474964746709E-2</v>
      </c>
      <c r="C74" s="72">
        <f>Data!C464/Data!C461-1</f>
        <v>7.9838037723934274E-2</v>
      </c>
      <c r="D74" s="72">
        <f>Data!D464/Data!D461-1</f>
        <v>2.4772642662378441E-2</v>
      </c>
      <c r="E74" s="72">
        <f>Data!E464/Data!E461-1</f>
        <v>2.2963464300919778E-2</v>
      </c>
      <c r="F74" s="72">
        <f>Data!F464/Data!F461-1</f>
        <v>-2.1293210011159469E-2</v>
      </c>
      <c r="G74" s="72">
        <f>Data!G464/Data!G461-1</f>
        <v>3.0957922686801975E-2</v>
      </c>
      <c r="H74" s="72">
        <f>Data!H464/Data!H461-1</f>
        <v>4.8646027772369926E-3</v>
      </c>
      <c r="I74" s="72">
        <f>Data!I464/Data!I461-1</f>
        <v>9.3251783307735092E-3</v>
      </c>
      <c r="J74" s="72">
        <f>Data!J464/Data!J461-1</f>
        <v>-3.1129157382190242E-2</v>
      </c>
      <c r="K74" s="72">
        <f>Data!K464/Data!K461-1</f>
        <v>-5.4569509740823863E-3</v>
      </c>
      <c r="L74" s="211">
        <f>Data!L464/Data!L461-1</f>
        <v>9.0423270297455005E-3</v>
      </c>
      <c r="N74" s="394">
        <f t="shared" si="18"/>
        <v>1.0056474964746709E-2</v>
      </c>
      <c r="O74" s="72">
        <f t="shared" si="19"/>
        <v>7.9838037723934274E-2</v>
      </c>
      <c r="P74" s="72">
        <f t="shared" si="20"/>
        <v>2.4772642662378441E-2</v>
      </c>
      <c r="Q74" s="72">
        <f t="shared" si="21"/>
        <v>2.2963464300919778E-2</v>
      </c>
      <c r="R74" s="72">
        <f t="shared" si="22"/>
        <v>-2.1293210011159469E-2</v>
      </c>
      <c r="S74" s="72">
        <f>(G74-Inputs!$B$39*G73)/(1-Inputs!$B$39)</f>
        <v>9.2057614223913897E-2</v>
      </c>
      <c r="T74" s="72">
        <f t="shared" si="23"/>
        <v>4.8646027772369926E-3</v>
      </c>
      <c r="U74" s="72">
        <f>(I74-Inputs!$B$40*I73)/(1-Inputs!$B$40)</f>
        <v>-6.5387161983900791E-4</v>
      </c>
      <c r="V74" s="72">
        <f t="shared" si="24"/>
        <v>-3.1129157382190242E-2</v>
      </c>
      <c r="W74" s="72">
        <f t="shared" si="25"/>
        <v>-5.4569509740823863E-3</v>
      </c>
      <c r="X74" s="145">
        <f t="shared" si="26"/>
        <v>9.0423270297455005E-3</v>
      </c>
      <c r="Z74" s="395">
        <f>SUMPRODUCT($N74:$X74,Risk!$B$56:$L$56)</f>
        <v>1.7813577167604577E-2</v>
      </c>
      <c r="AA74" s="72">
        <f>SUMPRODUCT($N74:$X74,Risk!$B$57:$L$57)</f>
        <v>2.3642131191797752E-2</v>
      </c>
      <c r="AB74" s="72">
        <f>SUMPRODUCT($N74:$X74,Risk!$B$58:$L$58)</f>
        <v>2.7881376918609445E-2</v>
      </c>
      <c r="AC74" s="72">
        <f>SUMPRODUCT($N74:$X74,Risk!$B$63:$L$63)</f>
        <v>2.7303935480606042E-2</v>
      </c>
      <c r="AD74" s="263">
        <f>SUMPRODUCT($N74:$X74,Risk!$B$64:$L$64)</f>
        <v>1.5716371088278103E-2</v>
      </c>
    </row>
    <row r="75" spans="1:30" x14ac:dyDescent="0.2">
      <c r="A75" s="393">
        <f>Data!A467</f>
        <v>45198</v>
      </c>
      <c r="B75" s="72">
        <f>Data!B467/Data!B464-1</f>
        <v>-6.5953596952257332E-3</v>
      </c>
      <c r="C75" s="72">
        <f>Data!C467/Data!C464-1</f>
        <v>5.313439758358296E-3</v>
      </c>
      <c r="D75" s="72">
        <f>Data!D467/Data!D464-1</f>
        <v>1.8057442550966307E-2</v>
      </c>
      <c r="E75" s="72">
        <f>Data!E467/Data!E464-1</f>
        <v>-2.4995651757911963E-2</v>
      </c>
      <c r="F75" s="72">
        <f>Data!F467/Data!F464-1</f>
        <v>0.1962047755587919</v>
      </c>
      <c r="G75" s="72">
        <f>Data!G467/Data!G464-1</f>
        <v>3.0382261415021317E-2</v>
      </c>
      <c r="H75" s="72">
        <f>Data!H467/Data!H464-1</f>
        <v>2.7915564366142176E-2</v>
      </c>
      <c r="I75" s="72">
        <f>Data!I467/Data!I464-1</f>
        <v>8.5713397233945665E-2</v>
      </c>
      <c r="J75" s="72">
        <f>Data!J467/Data!J464-1</f>
        <v>-3.6893277982059658E-3</v>
      </c>
      <c r="K75" s="72">
        <f>Data!K467/Data!K464-1</f>
        <v>-2.6782994392429704E-2</v>
      </c>
      <c r="L75" s="211">
        <f>Data!L467/Data!L464-1</f>
        <v>1.0801653469047157E-2</v>
      </c>
      <c r="N75" s="394">
        <f t="shared" si="18"/>
        <v>-6.5953596952257332E-3</v>
      </c>
      <c r="O75" s="72">
        <f t="shared" si="19"/>
        <v>5.313439758358296E-3</v>
      </c>
      <c r="P75" s="72">
        <f t="shared" si="20"/>
        <v>1.8057442550966307E-2</v>
      </c>
      <c r="Q75" s="72">
        <f t="shared" si="21"/>
        <v>-2.4995651757911963E-2</v>
      </c>
      <c r="R75" s="72">
        <f t="shared" si="22"/>
        <v>0.1962047755587919</v>
      </c>
      <c r="S75" s="72">
        <f>(G75-Inputs!$B$39*G74)/(1-Inputs!$B$39)</f>
        <v>2.9313176196000091E-2</v>
      </c>
      <c r="T75" s="72">
        <f t="shared" si="23"/>
        <v>2.7915564366142176E-2</v>
      </c>
      <c r="U75" s="72">
        <f>(I75-Inputs!$B$40*I74)/(1-Inputs!$B$40)</f>
        <v>0.10983599267705267</v>
      </c>
      <c r="V75" s="72">
        <f t="shared" si="24"/>
        <v>-3.6893277982059658E-3</v>
      </c>
      <c r="W75" s="72">
        <f t="shared" si="25"/>
        <v>-2.6782994392429704E-2</v>
      </c>
      <c r="X75" s="145">
        <f t="shared" si="26"/>
        <v>1.0801653469047157E-2</v>
      </c>
      <c r="Z75" s="395">
        <f>SUMPRODUCT($N75:$X75,Risk!$B$56:$L$56)</f>
        <v>-6.0149440805018009E-3</v>
      </c>
      <c r="AA75" s="72">
        <f>SUMPRODUCT($N75:$X75,Risk!$B$57:$L$57)</f>
        <v>4.8021286331017092E-3</v>
      </c>
      <c r="AB75" s="72">
        <f>SUMPRODUCT($N75:$X75,Risk!$B$58:$L$58)</f>
        <v>5.6576052314463452E-3</v>
      </c>
      <c r="AC75" s="72">
        <f>SUMPRODUCT($N75:$X75,Risk!$B$63:$L$63)</f>
        <v>5.4007667450871408E-3</v>
      </c>
      <c r="AD75" s="263">
        <f>SUMPRODUCT($N75:$X75,Risk!$B$64:$L$64)</f>
        <v>5.8372562751934681E-4</v>
      </c>
    </row>
    <row r="76" spans="1:30" x14ac:dyDescent="0.2">
      <c r="A76" s="393">
        <f>Data!A470</f>
        <v>45289</v>
      </c>
      <c r="B76" s="72">
        <f>Data!B470/Data!B467-1</f>
        <v>8.6671940079878773E-2</v>
      </c>
      <c r="C76" s="72">
        <f>Data!C470/Data!C467-1</f>
        <v>4.0015759481755619E-2</v>
      </c>
      <c r="D76" s="72">
        <f>Data!D470/Data!D467-1</f>
        <v>-7.4240969588557082E-4</v>
      </c>
      <c r="E76" s="72">
        <f>Data!E470/Data!E467-1</f>
        <v>8.1608289003771706E-2</v>
      </c>
      <c r="F76" s="72">
        <f>Data!F470/Data!F467-1</f>
        <v>-0.15566050050458802</v>
      </c>
      <c r="G76" s="72">
        <f>Data!G470/Data!G467-1</f>
        <v>2.9999999999996696E-3</v>
      </c>
      <c r="H76" s="72">
        <f>Data!H470/Data!H467-1</f>
        <v>-2.1023714684698103E-4</v>
      </c>
      <c r="I76" s="72">
        <f>Data!I470/Data!I467-1</f>
        <v>0.11752382739100309</v>
      </c>
      <c r="J76" s="72">
        <f>Data!J470/Data!J467-1</f>
        <v>4.1299890155137131E-2</v>
      </c>
      <c r="K76" s="72">
        <f>Data!K470/Data!K467-1</f>
        <v>5.5361914427221492E-2</v>
      </c>
      <c r="L76" s="211">
        <f>Data!L470/Data!L467-1</f>
        <v>1.0566298676599528E-2</v>
      </c>
      <c r="N76" s="394">
        <f t="shared" si="18"/>
        <v>8.6671940079878773E-2</v>
      </c>
      <c r="O76" s="72">
        <f t="shared" si="19"/>
        <v>4.0015759481755619E-2</v>
      </c>
      <c r="P76" s="72">
        <f t="shared" si="20"/>
        <v>-7.4240969588557082E-4</v>
      </c>
      <c r="Q76" s="72">
        <f t="shared" si="21"/>
        <v>8.1608289003771706E-2</v>
      </c>
      <c r="R76" s="72">
        <f t="shared" si="22"/>
        <v>-0.15566050050458802</v>
      </c>
      <c r="S76" s="72">
        <f>(G76-Inputs!$B$39*G75)/(1-Inputs!$B$39)</f>
        <v>-4.7852771199326252E-2</v>
      </c>
      <c r="T76" s="72">
        <f t="shared" si="23"/>
        <v>-2.1023714684698103E-4</v>
      </c>
      <c r="U76" s="72">
        <f>(I76-Inputs!$B$40*I75)/(1-Inputs!$B$40)</f>
        <v>0.12756922638796858</v>
      </c>
      <c r="V76" s="72">
        <f t="shared" si="24"/>
        <v>4.1299890155137131E-2</v>
      </c>
      <c r="W76" s="72">
        <f t="shared" si="25"/>
        <v>5.5361914427221492E-2</v>
      </c>
      <c r="X76" s="145">
        <f t="shared" si="26"/>
        <v>1.0566298676599528E-2</v>
      </c>
      <c r="Z76" s="395">
        <f>SUMPRODUCT($N76:$X76,Risk!$B$56:$L$56)</f>
        <v>6.2196334413490061E-2</v>
      </c>
      <c r="AA76" s="72">
        <f>SUMPRODUCT($N76:$X76,Risk!$B$57:$L$57)</f>
        <v>4.7465780511165623E-2</v>
      </c>
      <c r="AB76" s="72">
        <f>SUMPRODUCT($N76:$X76,Risk!$B$58:$L$58)</f>
        <v>4.3761027165919723E-2</v>
      </c>
      <c r="AC76" s="72">
        <f>SUMPRODUCT($N76:$X76,Risk!$B$63:$L$63)</f>
        <v>4.4858517148808397E-2</v>
      </c>
      <c r="AD76" s="263">
        <f>SUMPRODUCT($N76:$X76,Risk!$B$64:$L$64)</f>
        <v>4.5949220097194821E-2</v>
      </c>
    </row>
    <row r="77" spans="1:30" x14ac:dyDescent="0.2">
      <c r="A77" s="393">
        <f>Data!A473</f>
        <v>45380</v>
      </c>
      <c r="B77" s="72">
        <f>Data!B473/Data!B470-1</f>
        <v>5.4522124560511864E-2</v>
      </c>
      <c r="C77" s="72">
        <f>Data!C473/Data!C470-1</f>
        <v>0.15275037408224179</v>
      </c>
      <c r="D77" s="72">
        <f>Data!D473/Data!D470-1</f>
        <v>9.3647706972189271E-2</v>
      </c>
      <c r="E77" s="72">
        <f>Data!E473/Data!E470-1</f>
        <v>4.7518729435502172E-2</v>
      </c>
      <c r="F77" s="72">
        <f>Data!F473/Data!F470-1</f>
        <v>0.15426803798005562</v>
      </c>
      <c r="G77" s="72">
        <f>Data!G473/Data!G470-1</f>
        <v>2.9999999999998916E-3</v>
      </c>
      <c r="H77" s="72">
        <f>Data!H473/Data!H470-1</f>
        <v>9.3557340233872965E-2</v>
      </c>
      <c r="I77" s="72">
        <f>Data!I473/Data!I470-1</f>
        <v>0.12067896477908402</v>
      </c>
      <c r="J77" s="72">
        <f>Data!J473/Data!J470-1</f>
        <v>9.8243286292771792E-3</v>
      </c>
      <c r="K77" s="72">
        <f>Data!K473/Data!K470-1</f>
        <v>-8.7118083792226964E-3</v>
      </c>
      <c r="L77" s="211">
        <f>Data!L473/Data!L470-1</f>
        <v>1.0854392605809116E-2</v>
      </c>
      <c r="N77" s="394">
        <f t="shared" si="18"/>
        <v>5.4522124560511864E-2</v>
      </c>
      <c r="O77" s="72">
        <f t="shared" si="19"/>
        <v>0.15275037408224179</v>
      </c>
      <c r="P77" s="72">
        <f t="shared" si="20"/>
        <v>9.3647706972189271E-2</v>
      </c>
      <c r="Q77" s="72">
        <f t="shared" si="21"/>
        <v>4.7518729435502172E-2</v>
      </c>
      <c r="R77" s="72">
        <f t="shared" si="22"/>
        <v>0.15426803798005562</v>
      </c>
      <c r="S77" s="72">
        <f>(G77-Inputs!$B$39*G76)/(1-Inputs!$B$39)</f>
        <v>3.0000000000003041E-3</v>
      </c>
      <c r="T77" s="72">
        <f t="shared" si="23"/>
        <v>9.3557340233872965E-2</v>
      </c>
      <c r="U77" s="72">
        <f>(I77-Inputs!$B$40*I76)/(1-Inputs!$B$40)</f>
        <v>0.12167532395426747</v>
      </c>
      <c r="V77" s="72">
        <f t="shared" si="24"/>
        <v>9.8243286292771792E-3</v>
      </c>
      <c r="W77" s="72">
        <f t="shared" si="25"/>
        <v>-8.7118083792226964E-3</v>
      </c>
      <c r="X77" s="145">
        <f t="shared" si="26"/>
        <v>1.0854392605809116E-2</v>
      </c>
      <c r="Z77" s="395">
        <f>SUMPRODUCT($N77:$X77,Risk!$B$56:$L$56)</f>
        <v>5.8647309690663722E-2</v>
      </c>
      <c r="AA77" s="72">
        <f>SUMPRODUCT($N77:$X77,Risk!$B$57:$L$57)</f>
        <v>6.6861442739320751E-2</v>
      </c>
      <c r="AB77" s="72">
        <f>SUMPRODUCT($N77:$X77,Risk!$B$58:$L$58)</f>
        <v>7.4182114255107609E-2</v>
      </c>
      <c r="AC77" s="72">
        <f>SUMPRODUCT($N77:$X77,Risk!$B$63:$L$63)</f>
        <v>7.361327991334779E-2</v>
      </c>
      <c r="AD77" s="263">
        <f>SUMPRODUCT($N77:$X77,Risk!$B$64:$L$64)</f>
        <v>5.0930297415757199E-2</v>
      </c>
    </row>
    <row r="78" spans="1:30" x14ac:dyDescent="0.2">
      <c r="A78" s="393">
        <f>Data!A476</f>
        <v>45471</v>
      </c>
      <c r="B78" s="72">
        <f>Data!B476/Data!B473-1</f>
        <v>-1.1642160693793535E-2</v>
      </c>
      <c r="C78" s="72">
        <f>Data!C476/Data!C473-1</f>
        <v>7.9610962717793221E-3</v>
      </c>
      <c r="D78" s="72">
        <f>Data!D476/Data!D473-1</f>
        <v>3.8836136574914359E-2</v>
      </c>
      <c r="E78" s="72">
        <f>Data!E476/Data!E473-1</f>
        <v>-3.159447773628532E-2</v>
      </c>
      <c r="F78" s="72">
        <f>Data!F476/Data!F473-1</f>
        <v>-1.6762747684227475E-2</v>
      </c>
      <c r="G78" s="72">
        <f>Data!G476/Data!G473-1</f>
        <v>3.0000000000001137E-3</v>
      </c>
      <c r="H78" s="72">
        <f>Data!H476/Data!H473-1</f>
        <v>1.1339152885550652E-2</v>
      </c>
      <c r="I78" s="72">
        <f>Data!I476/Data!I473-1</f>
        <v>-1.4554264488623958E-2</v>
      </c>
      <c r="J78" s="72">
        <f>Data!J476/Data!J473-1</f>
        <v>-9.9931572874238928E-3</v>
      </c>
      <c r="K78" s="72">
        <f>Data!K476/Data!K473-1</f>
        <v>-6.0137682521032021E-3</v>
      </c>
      <c r="L78" s="211">
        <f>Data!L476/Data!L473-1</f>
        <v>1.0815681668731258E-2</v>
      </c>
      <c r="N78" s="394">
        <f t="shared" si="18"/>
        <v>-1.1642160693793535E-2</v>
      </c>
      <c r="O78" s="72">
        <f t="shared" si="19"/>
        <v>7.9610962717793221E-3</v>
      </c>
      <c r="P78" s="72">
        <f t="shared" si="20"/>
        <v>3.8836136574914359E-2</v>
      </c>
      <c r="Q78" s="72">
        <f t="shared" si="21"/>
        <v>-3.159447773628532E-2</v>
      </c>
      <c r="R78" s="72">
        <f t="shared" si="22"/>
        <v>-1.6762747684227475E-2</v>
      </c>
      <c r="S78" s="72">
        <f>(G78-Inputs!$B$39*G77)/(1-Inputs!$B$39)</f>
        <v>3.0000000000005261E-3</v>
      </c>
      <c r="T78" s="72">
        <f t="shared" si="23"/>
        <v>1.1339152885550652E-2</v>
      </c>
      <c r="U78" s="72">
        <f>(I78-Inputs!$B$40*I77)/(1-Inputs!$B$40)</f>
        <v>-5.7259494783689635E-2</v>
      </c>
      <c r="V78" s="72">
        <f t="shared" si="24"/>
        <v>-9.9931572874238928E-3</v>
      </c>
      <c r="W78" s="72">
        <f t="shared" si="25"/>
        <v>-6.0137682521032021E-3</v>
      </c>
      <c r="X78" s="145">
        <f t="shared" si="26"/>
        <v>1.0815681668731258E-2</v>
      </c>
      <c r="Z78" s="395">
        <f>SUMPRODUCT($N78:$X78,Risk!$B$56:$L$56)</f>
        <v>-7.4470701332607341E-3</v>
      </c>
      <c r="AA78" s="72">
        <f>SUMPRODUCT($N78:$X78,Risk!$B$57:$L$57)</f>
        <v>-5.3453577010513405E-3</v>
      </c>
      <c r="AB78" s="72">
        <f>SUMPRODUCT($N78:$X78,Risk!$B$58:$L$58)</f>
        <v>-2.7532218006278519E-3</v>
      </c>
      <c r="AC78" s="72">
        <f>SUMPRODUCT($N78:$X78,Risk!$B$63:$L$63)</f>
        <v>-3.83096318072665E-3</v>
      </c>
      <c r="AD78" s="263">
        <f>SUMPRODUCT($N78:$X78,Risk!$B$64:$L$64)</f>
        <v>-5.9814563265299147E-3</v>
      </c>
    </row>
    <row r="79" spans="1:30" x14ac:dyDescent="0.2">
      <c r="A79" s="393">
        <f>Data!A479</f>
        <v>45565</v>
      </c>
      <c r="B79" s="72">
        <f>Data!B479/Data!B476-1</f>
        <v>7.854277690649103E-2</v>
      </c>
      <c r="C79" s="72">
        <f>Data!C479/Data!C476-1</f>
        <v>8.7160443378404562E-3</v>
      </c>
      <c r="D79" s="72">
        <f>Data!D479/Data!D476-1</f>
        <v>2.787886872627432E-2</v>
      </c>
      <c r="E79" s="72">
        <f>Data!E479/Data!E476-1</f>
        <v>0.10250874351538886</v>
      </c>
      <c r="F79" s="72">
        <f>Data!F479/Data!F476-1</f>
        <v>-8.7992437451751671E-2</v>
      </c>
      <c r="G79" s="72">
        <f>Data!G479/Data!G476-1</f>
        <v>2.9999999999998916E-3</v>
      </c>
      <c r="H79" s="72">
        <f>Data!H479/Data!H476-1</f>
        <v>9.4496201979588079E-4</v>
      </c>
      <c r="I79" s="72">
        <f>Data!I479/Data!I476-1</f>
        <v>0.11374110698465234</v>
      </c>
      <c r="J79" s="72">
        <f>Data!J479/Data!J476-1</f>
        <v>3.2376991460754345E-2</v>
      </c>
      <c r="K79" s="72">
        <f>Data!K479/Data!K476-1</f>
        <v>3.8268288987324484E-2</v>
      </c>
      <c r="L79" s="211">
        <f>Data!L479/Data!L476-1</f>
        <v>1.114644609577109E-2</v>
      </c>
      <c r="N79" s="394">
        <f t="shared" si="18"/>
        <v>7.854277690649103E-2</v>
      </c>
      <c r="O79" s="72">
        <f t="shared" si="19"/>
        <v>8.7160443378404562E-3</v>
      </c>
      <c r="P79" s="72">
        <f t="shared" si="20"/>
        <v>2.787886872627432E-2</v>
      </c>
      <c r="Q79" s="72">
        <f t="shared" si="21"/>
        <v>0.10250874351538886</v>
      </c>
      <c r="R79" s="72">
        <f t="shared" si="22"/>
        <v>-8.7992437451751671E-2</v>
      </c>
      <c r="S79" s="72">
        <f>(G79-Inputs!$B$39*G78)/(1-Inputs!$B$39)</f>
        <v>2.9999999999994788E-3</v>
      </c>
      <c r="T79" s="72">
        <f t="shared" si="23"/>
        <v>9.4496201979588079E-4</v>
      </c>
      <c r="U79" s="72">
        <f>(I79-Inputs!$B$40*I78)/(1-Inputs!$B$40)</f>
        <v>0.15425543481831855</v>
      </c>
      <c r="V79" s="72">
        <f t="shared" si="24"/>
        <v>3.2376991460754345E-2</v>
      </c>
      <c r="W79" s="72">
        <f t="shared" si="25"/>
        <v>3.8268288987324484E-2</v>
      </c>
      <c r="X79" s="145">
        <f t="shared" si="26"/>
        <v>1.114644609577109E-2</v>
      </c>
      <c r="Z79" s="395">
        <f>SUMPRODUCT($N79:$X79,Risk!$B$56:$L$56)</f>
        <v>5.2109457046506484E-2</v>
      </c>
      <c r="AA79" s="72">
        <f>SUMPRODUCT($N79:$X79,Risk!$B$57:$L$57)</f>
        <v>4.1862370107662722E-2</v>
      </c>
      <c r="AB79" s="72">
        <f>SUMPRODUCT($N79:$X79,Risk!$B$58:$L$58)</f>
        <v>3.9394378621886057E-2</v>
      </c>
      <c r="AC79" s="72">
        <f>SUMPRODUCT($N79:$X79,Risk!$B$63:$L$63)</f>
        <v>4.0246695428784333E-2</v>
      </c>
      <c r="AD79" s="263">
        <f>SUMPRODUCT($N79:$X79,Risk!$B$64:$L$64)</f>
        <v>4.2755321431805597E-2</v>
      </c>
    </row>
    <row r="80" spans="1:30" x14ac:dyDescent="0.2">
      <c r="A80" s="393">
        <f>Data!A482</f>
        <v>45657</v>
      </c>
      <c r="B80" s="72">
        <f>Data!B482/Data!B479-1</f>
        <v>-8.6005356652902876E-3</v>
      </c>
      <c r="C80" s="72">
        <f>Data!C482/Data!C479-1</f>
        <v>0.1431024273586694</v>
      </c>
      <c r="D80" s="72">
        <f>Data!D482/Data!D479-1</f>
        <v>7.2999666247853812E-2</v>
      </c>
      <c r="E80" s="72">
        <f>Data!E482/Data!E479-1</f>
        <v>4.5039842208847158E-2</v>
      </c>
      <c r="F80" s="72">
        <f>Data!F482/Data!F479-1</f>
        <v>0.16319065215669903</v>
      </c>
      <c r="G80" s="72">
        <f>Data!G482/Data!G479-1</f>
        <v>4.9999999999996714E-3</v>
      </c>
      <c r="H80" s="72">
        <f>Data!H482/Data!H479-1</f>
        <v>3.352658525072294E-2</v>
      </c>
      <c r="I80" s="72">
        <f>Data!I482/Data!I479-1</f>
        <v>2.3783696918565411E-2</v>
      </c>
      <c r="J80" s="72">
        <f>Data!J482/Data!J479-1</f>
        <v>-4.9803347943150333E-3</v>
      </c>
      <c r="K80" s="72">
        <f>Data!K482/Data!K479-1</f>
        <v>-1.4929422564160744E-2</v>
      </c>
      <c r="L80" s="211">
        <f>Data!L482/Data!L479-1</f>
        <v>1.1138604229825599E-2</v>
      </c>
      <c r="N80" s="394">
        <f t="shared" si="18"/>
        <v>-8.6005356652902876E-3</v>
      </c>
      <c r="O80" s="72">
        <f t="shared" si="19"/>
        <v>0.1431024273586694</v>
      </c>
      <c r="P80" s="72">
        <f t="shared" si="20"/>
        <v>7.2999666247853812E-2</v>
      </c>
      <c r="Q80" s="72">
        <f t="shared" si="21"/>
        <v>4.5039842208847158E-2</v>
      </c>
      <c r="R80" s="72">
        <f t="shared" si="22"/>
        <v>0.16319065215669903</v>
      </c>
      <c r="S80" s="72">
        <f>(G80-Inputs!$B$39*G79)/(1-Inputs!$B$39)</f>
        <v>8.7142857142849771E-3</v>
      </c>
      <c r="T80" s="72">
        <f t="shared" si="23"/>
        <v>3.352658525072294E-2</v>
      </c>
      <c r="U80" s="72">
        <f>(I80-Inputs!$B$40*I79)/(1-Inputs!$B$40)</f>
        <v>-4.6239062601988786E-3</v>
      </c>
      <c r="V80" s="72">
        <f t="shared" si="24"/>
        <v>-4.9803347943150333E-3</v>
      </c>
      <c r="W80" s="72">
        <f t="shared" si="25"/>
        <v>-1.4929422564160744E-2</v>
      </c>
      <c r="X80" s="145">
        <f t="shared" si="26"/>
        <v>1.1138604229825599E-2</v>
      </c>
      <c r="Z80" s="395">
        <f>SUMPRODUCT($N80:$X80,Risk!$B$56:$L$56)</f>
        <v>2.8522553698310162E-2</v>
      </c>
      <c r="AA80" s="72">
        <f>SUMPRODUCT($N80:$X80,Risk!$B$57:$L$57)</f>
        <v>4.0098510064009926E-2</v>
      </c>
      <c r="AB80" s="72">
        <f>SUMPRODUCT($N80:$X80,Risk!$B$58:$L$58)</f>
        <v>4.970533388621317E-2</v>
      </c>
      <c r="AC80" s="72">
        <f>SUMPRODUCT($N80:$X80,Risk!$B$63:$L$63)</f>
        <v>4.9004359607917707E-2</v>
      </c>
      <c r="AD80" s="263">
        <f>SUMPRODUCT($N80:$X80,Risk!$B$64:$L$64)</f>
        <v>2.9114473293305503E-2</v>
      </c>
    </row>
    <row r="81" spans="1:30" x14ac:dyDescent="0.2">
      <c r="A81" s="393">
        <f>Data!A485</f>
        <v>45747</v>
      </c>
      <c r="B81" s="72">
        <f>Data!B485/Data!B482-1</f>
        <v>-3.2945125622998006E-2</v>
      </c>
      <c r="C81" s="72">
        <f>Data!C485/Data!C482-1</f>
        <v>-3.1915937516116877E-2</v>
      </c>
      <c r="D81" s="72">
        <f>Data!D485/Data!D482-1</f>
        <v>2.0699514906737715E-2</v>
      </c>
      <c r="E81" s="72">
        <f>Data!E485/Data!E482-1</f>
        <v>3.8496734737505367E-3</v>
      </c>
      <c r="F81" s="72">
        <f>Data!F485/Data!F482-1</f>
        <v>4.214402191260036E-2</v>
      </c>
      <c r="G81" s="72">
        <f>Data!G485/Data!G482-1</f>
        <v>4.9999999999996714E-3</v>
      </c>
      <c r="H81" s="72">
        <f>Data!H485/Data!H482-1</f>
        <v>2.3632467121827982E-2</v>
      </c>
      <c r="I81" s="72">
        <f>Data!I485/Data!I482-1</f>
        <v>-6.2041360907271526E-2</v>
      </c>
      <c r="J81" s="72">
        <f>Data!J485/Data!J482-1</f>
        <v>1.423983416845287E-2</v>
      </c>
      <c r="K81" s="72">
        <f>Data!K485/Data!K482-1</f>
        <v>5.7764238960187342E-3</v>
      </c>
      <c r="L81" s="211">
        <f>Data!L485/Data!L482-1</f>
        <v>1.0729215222883504E-2</v>
      </c>
      <c r="N81" s="394">
        <f t="shared" si="18"/>
        <v>-3.2945125622998006E-2</v>
      </c>
      <c r="O81" s="72">
        <f t="shared" si="19"/>
        <v>-3.1915937516116877E-2</v>
      </c>
      <c r="P81" s="72">
        <f t="shared" si="20"/>
        <v>2.0699514906737715E-2</v>
      </c>
      <c r="Q81" s="72">
        <f t="shared" si="21"/>
        <v>3.8496734737505367E-3</v>
      </c>
      <c r="R81" s="72">
        <f t="shared" si="22"/>
        <v>4.214402191260036E-2</v>
      </c>
      <c r="S81" s="72">
        <f>(G81-Inputs!$B$39*G80)/(1-Inputs!$B$39)</f>
        <v>4.9999999999996714E-3</v>
      </c>
      <c r="T81" s="72">
        <f t="shared" si="23"/>
        <v>2.3632467121827982E-2</v>
      </c>
      <c r="U81" s="72">
        <f>(I81-Inputs!$B$40*I80)/(1-Inputs!$B$40)</f>
        <v>-8.9144010747009506E-2</v>
      </c>
      <c r="V81" s="72">
        <f t="shared" si="24"/>
        <v>1.423983416845287E-2</v>
      </c>
      <c r="W81" s="72">
        <f t="shared" si="25"/>
        <v>5.7764238960187342E-3</v>
      </c>
      <c r="X81" s="145">
        <f t="shared" si="26"/>
        <v>1.0729215222883504E-2</v>
      </c>
      <c r="Z81" s="395">
        <f>SUMPRODUCT($N81:$X81,Risk!$B$56:$L$56)</f>
        <v>-1.5827136302496252E-2</v>
      </c>
      <c r="AA81" s="72">
        <f>SUMPRODUCT($N81:$X81,Risk!$B$57:$L$57)</f>
        <v>-1.292724982092437E-2</v>
      </c>
      <c r="AB81" s="72">
        <f>SUMPRODUCT($N81:$X81,Risk!$B$58:$L$58)</f>
        <v>-1.2649119181502981E-2</v>
      </c>
      <c r="AC81" s="72">
        <f>SUMPRODUCT($N81:$X81,Risk!$B$63:$L$63)</f>
        <v>-1.2968283040921815E-2</v>
      </c>
      <c r="AD81" s="263">
        <f>SUMPRODUCT($N81:$X81,Risk!$B$64:$L$64)</f>
        <v>-6.7385115365534189E-3</v>
      </c>
    </row>
    <row r="82" spans="1:30" x14ac:dyDescent="0.2">
      <c r="A82" s="393">
        <f>Data!A488</f>
        <v>45838</v>
      </c>
      <c r="B82" s="72">
        <f>Data!B488/Data!B485-1</f>
        <v>9.5034278885523182E-2</v>
      </c>
      <c r="C82" s="72">
        <f>Data!C488/Data!C485-1</f>
        <v>4.2822959725402621E-2</v>
      </c>
      <c r="D82" s="72">
        <f>Data!D488/Data!D485-1</f>
        <v>2.8213579279216638E-2</v>
      </c>
      <c r="E82" s="72">
        <f>Data!E488/Data!E485-1</f>
        <v>-3.3822804665091466E-2</v>
      </c>
      <c r="F82" s="72">
        <f>Data!F488/Data!F485-1</f>
        <v>-7.5871311274198106E-2</v>
      </c>
      <c r="G82" s="72">
        <f>Data!G488/Data!G485-1</f>
        <v>6.0000000000002274E-3</v>
      </c>
      <c r="H82" s="72">
        <f>Data!H488/Data!H485-1</f>
        <v>5.8485804100714356E-2</v>
      </c>
      <c r="I82" s="72">
        <f>Data!I488/Data!I485-1</f>
        <v>6.8446155133461639E-2</v>
      </c>
      <c r="J82" s="72">
        <f>Data!J488/Data!J485-1</f>
        <v>2.6157408604764898E-2</v>
      </c>
      <c r="K82" s="72">
        <f>Data!K488/Data!K485-1</f>
        <v>1.0551959416258638E-2</v>
      </c>
      <c r="L82" s="211">
        <f>Data!L488/Data!L485-1</f>
        <v>1.0170197923176749E-2</v>
      </c>
      <c r="N82" s="394">
        <f t="shared" si="18"/>
        <v>9.5034278885523182E-2</v>
      </c>
      <c r="O82" s="72">
        <f t="shared" si="19"/>
        <v>4.2822959725402621E-2</v>
      </c>
      <c r="P82" s="72">
        <f t="shared" si="20"/>
        <v>2.8213579279216638E-2</v>
      </c>
      <c r="Q82" s="72">
        <f t="shared" si="21"/>
        <v>-3.3822804665091466E-2</v>
      </c>
      <c r="R82" s="72">
        <f t="shared" si="22"/>
        <v>-7.5871311274198106E-2</v>
      </c>
      <c r="S82" s="72">
        <f>(G82-Inputs!$B$39*G81)/(1-Inputs!$B$39)</f>
        <v>7.8571428571441171E-3</v>
      </c>
      <c r="T82" s="72">
        <f t="shared" si="23"/>
        <v>5.8485804100714356E-2</v>
      </c>
      <c r="U82" s="72">
        <f>(I82-Inputs!$B$40*I81)/(1-Inputs!$B$40)</f>
        <v>0.10965273914632473</v>
      </c>
      <c r="V82" s="72">
        <f t="shared" si="24"/>
        <v>2.6157408604764898E-2</v>
      </c>
      <c r="W82" s="72">
        <f t="shared" si="25"/>
        <v>1.0551959416258638E-2</v>
      </c>
      <c r="X82" s="145">
        <f t="shared" si="26"/>
        <v>1.0170197923176749E-2</v>
      </c>
      <c r="Z82" s="395">
        <f>SUMPRODUCT($N82:$X82,Risk!$B$56:$L$56)</f>
        <v>4.8675704931418456E-2</v>
      </c>
      <c r="AA82" s="72">
        <f>SUMPRODUCT($N82:$X82,Risk!$B$57:$L$57)</f>
        <v>4.1562337000232777E-2</v>
      </c>
      <c r="AB82" s="72">
        <f>SUMPRODUCT($N82:$X82,Risk!$B$58:$L$58)</f>
        <v>4.0467818858822766E-2</v>
      </c>
      <c r="AC82" s="72">
        <f>SUMPRODUCT($N82:$X82,Risk!$B$63:$L$63)</f>
        <v>4.0422306283835516E-2</v>
      </c>
      <c r="AD82" s="263">
        <f>SUMPRODUCT($N82:$X82,Risk!$B$64:$L$64)</f>
        <v>3.2683504429352063E-2</v>
      </c>
    </row>
    <row r="83" spans="1:30" x14ac:dyDescent="0.2">
      <c r="A83" s="393">
        <f>Data!A491</f>
        <v>45930</v>
      </c>
      <c r="B83" s="72">
        <f>Data!B491/Data!B488-1</f>
        <v>5.2522576466117687E-2</v>
      </c>
      <c r="C83" s="72">
        <f>Data!C491/Data!C488-1</f>
        <v>6.3854192284767297E-2</v>
      </c>
      <c r="D83" s="72">
        <f>Data!D491/Data!D488-1</f>
        <v>0.11233648944220609</v>
      </c>
      <c r="E83" s="72">
        <f>Data!E491/Data!E488-1</f>
        <v>3.5153283845896111E-2</v>
      </c>
      <c r="F83" s="72">
        <f>Data!F491/Data!F488-1</f>
        <v>2.9118384742766734E-2</v>
      </c>
      <c r="G83" s="72">
        <f>Data!G491/Data!G488-1</f>
        <v>2.0632585687930582E-2</v>
      </c>
      <c r="H83" s="72">
        <f>Data!H491/Data!H488-1</f>
        <v>3.5521649495403596E-2</v>
      </c>
      <c r="I83" s="72">
        <f>Data!I491/Data!I488-1</f>
        <v>1.7241613380577947E-2</v>
      </c>
      <c r="J83" s="72">
        <f>Data!J491/Data!J488-1</f>
        <v>2.4745091429290156E-3</v>
      </c>
      <c r="K83" s="72">
        <f>Data!K491/Data!K488-1</f>
        <v>7.4890175357076316E-3</v>
      </c>
      <c r="L83" s="211">
        <f>Data!L491/Data!L488-1</f>
        <v>9.1786861015956678E-3</v>
      </c>
      <c r="N83" s="394">
        <f t="shared" si="18"/>
        <v>5.2522576466117687E-2</v>
      </c>
      <c r="O83" s="72">
        <f t="shared" si="19"/>
        <v>6.3854192284767297E-2</v>
      </c>
      <c r="P83" s="72">
        <f t="shared" si="20"/>
        <v>0.11233648944220609</v>
      </c>
      <c r="Q83" s="72">
        <f t="shared" si="21"/>
        <v>3.5153283845896111E-2</v>
      </c>
      <c r="R83" s="72">
        <f t="shared" si="22"/>
        <v>2.9118384742766734E-2</v>
      </c>
      <c r="S83" s="72">
        <f>(G83-Inputs!$B$39*G82)/(1-Inputs!$B$39)</f>
        <v>4.780738767980125E-2</v>
      </c>
      <c r="T83" s="72">
        <f t="shared" si="23"/>
        <v>3.5521649495403596E-2</v>
      </c>
      <c r="U83" s="72">
        <f>(I83-Inputs!$B$40*I82)/(1-Inputs!$B$40)</f>
        <v>1.0717580901936248E-3</v>
      </c>
      <c r="V83" s="72">
        <f t="shared" si="24"/>
        <v>2.4745091429290156E-3</v>
      </c>
      <c r="W83" s="72">
        <f t="shared" si="25"/>
        <v>7.4890175357076316E-3</v>
      </c>
      <c r="X83" s="145">
        <f t="shared" si="26"/>
        <v>9.1786861015956678E-3</v>
      </c>
      <c r="Z83" s="395">
        <f>SUMPRODUCT($N83:$X83,Risk!$B$56:$L$56)</f>
        <v>3.8908003229397803E-2</v>
      </c>
      <c r="AA83" s="72">
        <f>SUMPRODUCT($N83:$X83,Risk!$B$57:$L$57)</f>
        <v>3.9802597915751581E-2</v>
      </c>
      <c r="AB83" s="72">
        <f>SUMPRODUCT($N83:$X83,Risk!$B$58:$L$58)</f>
        <v>4.7181181036125924E-2</v>
      </c>
      <c r="AC83" s="72">
        <f>SUMPRODUCT($N83:$X83,Risk!$B$63:$L$63)</f>
        <v>4.5814947582431646E-2</v>
      </c>
      <c r="AD83" s="263">
        <f>SUMPRODUCT($N83:$X83,Risk!$B$64:$L$64)</f>
        <v>3.6239789414420555E-2</v>
      </c>
    </row>
    <row r="84" spans="1:30" x14ac:dyDescent="0.2">
      <c r="A84" s="393">
        <f>Data!A494</f>
        <v>46022</v>
      </c>
      <c r="B84" s="72">
        <f>Data!B494/Data!B491-1</f>
        <v>-8.0365580113138657E-3</v>
      </c>
      <c r="C84" s="72">
        <f>Data!C494/Data!C491-1</f>
        <v>2.8189208810388111E-2</v>
      </c>
      <c r="D84" s="72">
        <f>Data!D494/Data!D491-1</f>
        <v>5.0292859126332523E-2</v>
      </c>
      <c r="E84" s="72">
        <f>Data!E494/Data!E491-1</f>
        <v>-8.8273831039061834E-3</v>
      </c>
      <c r="F84" s="72">
        <f>Data!F494/Data!F491-1</f>
        <v>3.4700715887732159E-3</v>
      </c>
      <c r="G84" s="72">
        <f>Data!G494/Data!G491-1</f>
        <v>3.2437858508604034E-2</v>
      </c>
      <c r="H84" s="72">
        <f>Data!H494/Data!H491-1</f>
        <v>1.500494896844673E-2</v>
      </c>
      <c r="I84" s="72">
        <f>Data!I494/Data!I491-1</f>
        <v>-1.473394813757023E-2</v>
      </c>
      <c r="J84" s="72">
        <f>Data!J494/Data!J491-1</f>
        <v>-1.0031622163384935E-2</v>
      </c>
      <c r="K84" s="72">
        <f>Data!K494/Data!K491-1</f>
        <v>1.7307862948863217E-3</v>
      </c>
      <c r="L84" s="211">
        <f>Data!L494/Data!L491-1</f>
        <v>9.0462688610257747E-3</v>
      </c>
      <c r="N84" s="394">
        <f t="shared" si="18"/>
        <v>-8.0365580113138657E-3</v>
      </c>
      <c r="O84" s="72">
        <f t="shared" si="19"/>
        <v>2.8189208810388111E-2</v>
      </c>
      <c r="P84" s="72">
        <f t="shared" si="20"/>
        <v>5.0292859126332523E-2</v>
      </c>
      <c r="Q84" s="72">
        <f t="shared" si="21"/>
        <v>-8.8273831039061834E-3</v>
      </c>
      <c r="R84" s="72">
        <f t="shared" si="22"/>
        <v>3.4700715887732159E-3</v>
      </c>
      <c r="S84" s="72">
        <f>(G84-Inputs!$B$39*G83)/(1-Inputs!$B$39)</f>
        <v>5.4361936604140453E-2</v>
      </c>
      <c r="T84" s="72">
        <f t="shared" si="23"/>
        <v>1.500494896844673E-2</v>
      </c>
      <c r="U84" s="72">
        <f>(I84-Inputs!$B$40*I83)/(1-Inputs!$B$40)</f>
        <v>-2.4831493880143336E-2</v>
      </c>
      <c r="V84" s="72">
        <f t="shared" si="24"/>
        <v>-1.0031622163384935E-2</v>
      </c>
      <c r="W84" s="72">
        <f t="shared" si="25"/>
        <v>1.7307862948863217E-3</v>
      </c>
      <c r="X84" s="145">
        <f t="shared" si="26"/>
        <v>9.0462688610257747E-3</v>
      </c>
      <c r="Z84" s="395">
        <f>SUMPRODUCT($N84:$X84,Risk!$B$56:$L$56)</f>
        <v>8.074386465164278E-4</v>
      </c>
      <c r="AA84" s="72">
        <f>SUMPRODUCT($N84:$X84,Risk!$B$57:$L$57)</f>
        <v>7.1971889382071892E-3</v>
      </c>
      <c r="AB84" s="72">
        <f>SUMPRODUCT($N84:$X84,Risk!$B$58:$L$58)</f>
        <v>1.0297748066038866E-2</v>
      </c>
      <c r="AC84" s="72">
        <f>SUMPRODUCT($N84:$X84,Risk!$B$63:$L$63)</f>
        <v>9.151251751549988E-3</v>
      </c>
      <c r="AD84" s="263">
        <f>SUMPRODUCT($N84:$X84,Risk!$B$64:$L$64)</f>
        <v>5.6018971842229917E-3</v>
      </c>
    </row>
    <row r="85" spans="1:30" x14ac:dyDescent="0.2">
      <c r="A85" s="396">
        <f>Data!A497</f>
        <v>46112</v>
      </c>
      <c r="B85" s="214">
        <f>Data!B497/Data!B494-1</f>
        <v>-2.6583857585841808E-2</v>
      </c>
      <c r="C85" s="214">
        <f>Data!C497/Data!C494-1</f>
        <v>-5.6079605491473505E-2</v>
      </c>
      <c r="D85" s="214">
        <f>Data!D497/Data!D494-1</f>
        <v>-5.0728899605223532E-3</v>
      </c>
      <c r="E85" s="214">
        <f>Data!E497/Data!E494-1</f>
        <v>-1.473299688476748E-2</v>
      </c>
      <c r="F85" s="214">
        <f>Data!F497/Data!F494-1</f>
        <v>0.36328241767875613</v>
      </c>
      <c r="G85" s="214">
        <f>Data!G497/Data!G494-1</f>
        <v>1.9999999999999574E-2</v>
      </c>
      <c r="H85" s="214">
        <f>Data!H497/Data!H494-1</f>
        <v>-3.1467463643067073E-2</v>
      </c>
      <c r="I85" s="214">
        <f>Data!I497/Data!I494-1</f>
        <v>-0.16617676938706361</v>
      </c>
      <c r="J85" s="214">
        <f>Data!J497/Data!J494-1</f>
        <v>-4.7127786423333262E-3</v>
      </c>
      <c r="K85" s="214">
        <f>Data!K497/Data!K494-1</f>
        <v>-6.6125665745501161E-3</v>
      </c>
      <c r="L85" s="215">
        <f>Data!L497/Data!L494-1</f>
        <v>9.0707600169717129E-3</v>
      </c>
      <c r="N85" s="397">
        <f t="shared" si="18"/>
        <v>-2.6583857585841808E-2</v>
      </c>
      <c r="O85" s="398">
        <f t="shared" si="19"/>
        <v>-5.6079605491473505E-2</v>
      </c>
      <c r="P85" s="398">
        <f t="shared" si="20"/>
        <v>-5.0728899605223532E-3</v>
      </c>
      <c r="Q85" s="398">
        <f t="shared" si="21"/>
        <v>-1.473299688476748E-2</v>
      </c>
      <c r="R85" s="398">
        <f t="shared" si="22"/>
        <v>0.36328241767875613</v>
      </c>
      <c r="S85" s="398">
        <f>(G85-Inputs!$B$39*G84)/(1-Inputs!$B$39)</f>
        <v>-3.0988800874087136E-3</v>
      </c>
      <c r="T85" s="398">
        <f t="shared" si="23"/>
        <v>-3.1467463643067073E-2</v>
      </c>
      <c r="U85" s="398">
        <f>(I85-Inputs!$B$40*I84)/(1-Inputs!$B$40)</f>
        <v>-0.21400081820269309</v>
      </c>
      <c r="V85" s="398">
        <f t="shared" si="24"/>
        <v>-4.7127786423333262E-3</v>
      </c>
      <c r="W85" s="398">
        <f t="shared" si="25"/>
        <v>-6.6125665745501161E-3</v>
      </c>
      <c r="X85" s="148">
        <f t="shared" si="26"/>
        <v>9.0707600169717129E-3</v>
      </c>
      <c r="Z85" s="399">
        <f>SUMPRODUCT($N85:$X85,Risk!$B$56:$L$56)</f>
        <v>-2.3923732742234159E-2</v>
      </c>
      <c r="AA85" s="296">
        <f>SUMPRODUCT($N85:$X85,Risk!$B$57:$L$57)</f>
        <v>-2.2656958833949629E-2</v>
      </c>
      <c r="AB85" s="296">
        <f>SUMPRODUCT($N85:$X85,Risk!$B$58:$L$58)</f>
        <v>-1.6245790063015363E-2</v>
      </c>
      <c r="AC85" s="296">
        <f>SUMPRODUCT($N85:$X85,Risk!$B$63:$L$63)</f>
        <v>-1.6418966542433126E-2</v>
      </c>
      <c r="AD85" s="384">
        <f>SUMPRODUCT($N85:$X85,Risk!$B$64:$L$64)</f>
        <v>-9.5422106459046741E-3</v>
      </c>
    </row>
  </sheetData>
  <pageMargins left="0.75" right="0.75" top="1" bottom="1" header="0.5" footer="0.5"/>
  <pageSetup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595959"/>
    <pageSetUpPr fitToPage="1"/>
  </sheetPr>
  <dimension ref="A1:C661"/>
  <sheetViews>
    <sheetView showGridLines="0" workbookViewId="0"/>
  </sheetViews>
  <sheetFormatPr baseColWidth="10" defaultColWidth="8.83203125" defaultRowHeight="15" x14ac:dyDescent="0.2"/>
  <cols>
    <col min="1" max="1" width="13" customWidth="1"/>
    <col min="2" max="2" width="14" customWidth="1"/>
    <col min="3" max="3" width="40" customWidth="1"/>
  </cols>
  <sheetData>
    <row r="1" spans="1:3" ht="19" x14ac:dyDescent="0.2">
      <c r="A1" s="53" t="s">
        <v>599</v>
      </c>
    </row>
    <row r="3" spans="1:3" x14ac:dyDescent="0.2">
      <c r="A3" s="203" t="s">
        <v>600</v>
      </c>
      <c r="B3" s="204"/>
      <c r="C3" s="205"/>
    </row>
    <row r="4" spans="1:3" x14ac:dyDescent="0.2">
      <c r="A4" s="206" t="s">
        <v>601</v>
      </c>
      <c r="B4" s="207" t="s">
        <v>602</v>
      </c>
      <c r="C4" s="208" t="s">
        <v>500</v>
      </c>
    </row>
    <row r="5" spans="1:3" x14ac:dyDescent="0.2">
      <c r="A5" s="400">
        <v>26329</v>
      </c>
      <c r="B5" s="189">
        <v>5.6500000000000002E-2</v>
      </c>
      <c r="C5" s="237"/>
    </row>
    <row r="6" spans="1:3" x14ac:dyDescent="0.2">
      <c r="A6" s="400">
        <v>26358</v>
      </c>
      <c r="B6" s="189">
        <v>5.4600000000000003E-2</v>
      </c>
      <c r="C6" s="237"/>
    </row>
    <row r="7" spans="1:3" x14ac:dyDescent="0.2">
      <c r="A7" s="400">
        <v>26389</v>
      </c>
      <c r="B7" s="189">
        <v>5.5199999999999999E-2</v>
      </c>
      <c r="C7" s="237"/>
    </row>
    <row r="8" spans="1:3" x14ac:dyDescent="0.2">
      <c r="A8" s="400">
        <v>26419</v>
      </c>
      <c r="B8" s="189">
        <v>5.3999999999999999E-2</v>
      </c>
      <c r="C8" s="237"/>
    </row>
    <row r="9" spans="1:3" x14ac:dyDescent="0.2">
      <c r="A9" s="400">
        <v>26450</v>
      </c>
      <c r="B9" s="189">
        <v>5.4300000000000001E-2</v>
      </c>
      <c r="C9" s="237"/>
    </row>
    <row r="10" spans="1:3" x14ac:dyDescent="0.2">
      <c r="A10" s="400">
        <v>26480</v>
      </c>
      <c r="B10" s="189">
        <v>5.5E-2</v>
      </c>
      <c r="C10" s="237"/>
    </row>
    <row r="11" spans="1:3" x14ac:dyDescent="0.2">
      <c r="A11" s="400">
        <v>26511</v>
      </c>
      <c r="B11" s="189">
        <v>5.1900000000000002E-2</v>
      </c>
      <c r="C11" s="237"/>
    </row>
    <row r="12" spans="1:3" x14ac:dyDescent="0.2">
      <c r="A12" s="400">
        <v>26542</v>
      </c>
      <c r="B12" s="189">
        <v>5.2200000000000003E-2</v>
      </c>
      <c r="C12" s="237"/>
    </row>
    <row r="13" spans="1:3" x14ac:dyDescent="0.2">
      <c r="A13" s="400">
        <v>26572</v>
      </c>
      <c r="B13" s="189">
        <v>5.1999999999999998E-2</v>
      </c>
      <c r="C13" s="237"/>
    </row>
    <row r="14" spans="1:3" x14ac:dyDescent="0.2">
      <c r="A14" s="400">
        <v>26603</v>
      </c>
      <c r="B14" s="189">
        <v>5.2699999999999997E-2</v>
      </c>
      <c r="C14" s="237"/>
    </row>
    <row r="15" spans="1:3" x14ac:dyDescent="0.2">
      <c r="A15" s="400">
        <v>26633</v>
      </c>
      <c r="B15" s="189">
        <v>5.2699999999999997E-2</v>
      </c>
      <c r="C15" s="237"/>
    </row>
    <row r="16" spans="1:3" x14ac:dyDescent="0.2">
      <c r="A16" s="400">
        <v>26664</v>
      </c>
      <c r="B16" s="189">
        <v>5.3999999999999999E-2</v>
      </c>
      <c r="C16" s="237"/>
    </row>
    <row r="17" spans="1:3" x14ac:dyDescent="0.2">
      <c r="A17" s="400">
        <v>26695</v>
      </c>
      <c r="B17" s="189">
        <v>5.2400000000000002E-2</v>
      </c>
      <c r="C17" s="237"/>
    </row>
    <row r="18" spans="1:3" x14ac:dyDescent="0.2">
      <c r="A18" s="400">
        <v>26723</v>
      </c>
      <c r="B18" s="189">
        <v>5.3100000000000001E-2</v>
      </c>
      <c r="C18" s="237"/>
    </row>
    <row r="19" spans="1:3" x14ac:dyDescent="0.2">
      <c r="A19" s="400">
        <v>26754</v>
      </c>
      <c r="B19" s="189">
        <v>5.3999999999999999E-2</v>
      </c>
      <c r="C19" s="237"/>
    </row>
    <row r="20" spans="1:3" x14ac:dyDescent="0.2">
      <c r="A20" s="400">
        <v>26784</v>
      </c>
      <c r="B20" s="189">
        <v>5.8000000000000003E-2</v>
      </c>
      <c r="C20" s="237"/>
    </row>
    <row r="21" spans="1:3" x14ac:dyDescent="0.2">
      <c r="A21" s="400">
        <v>26815</v>
      </c>
      <c r="B21" s="189">
        <v>5.9200000000000003E-2</v>
      </c>
      <c r="C21" s="237"/>
    </row>
    <row r="22" spans="1:3" x14ac:dyDescent="0.2">
      <c r="A22" s="400">
        <v>26845</v>
      </c>
      <c r="B22" s="189">
        <v>6.4199999999999993E-2</v>
      </c>
      <c r="C22" s="237"/>
    </row>
    <row r="23" spans="1:3" x14ac:dyDescent="0.2">
      <c r="A23" s="400">
        <v>26876</v>
      </c>
      <c r="B23" s="189">
        <v>6.4399999999999999E-2</v>
      </c>
      <c r="C23" s="237"/>
    </row>
    <row r="24" spans="1:3" x14ac:dyDescent="0.2">
      <c r="A24" s="400">
        <v>26907</v>
      </c>
      <c r="B24" s="189">
        <v>6.4199999999999993E-2</v>
      </c>
      <c r="C24" s="237"/>
    </row>
    <row r="25" spans="1:3" x14ac:dyDescent="0.2">
      <c r="A25" s="400">
        <v>26937</v>
      </c>
      <c r="B25" s="189">
        <v>8.2500000000000004E-2</v>
      </c>
      <c r="C25" s="237"/>
    </row>
    <row r="26" spans="1:3" x14ac:dyDescent="0.2">
      <c r="A26" s="400">
        <v>26968</v>
      </c>
      <c r="B26" s="189">
        <v>8.2400000000000001E-2</v>
      </c>
      <c r="C26" s="237"/>
    </row>
    <row r="27" spans="1:3" x14ac:dyDescent="0.2">
      <c r="A27" s="400">
        <v>26998</v>
      </c>
      <c r="B27" s="189">
        <v>8.2400000000000001E-2</v>
      </c>
      <c r="C27" s="237"/>
    </row>
    <row r="28" spans="1:3" x14ac:dyDescent="0.2">
      <c r="A28" s="400">
        <v>27029</v>
      </c>
      <c r="B28" s="189">
        <v>8.2400000000000001E-2</v>
      </c>
      <c r="C28" s="237"/>
    </row>
    <row r="29" spans="1:3" x14ac:dyDescent="0.2">
      <c r="A29" s="400">
        <v>27060</v>
      </c>
      <c r="B29" s="189">
        <v>8.2400000000000001E-2</v>
      </c>
      <c r="C29" s="237"/>
    </row>
    <row r="30" spans="1:3" x14ac:dyDescent="0.2">
      <c r="A30" s="400">
        <v>27088</v>
      </c>
      <c r="B30" s="189">
        <v>8.2500000000000004E-2</v>
      </c>
      <c r="C30" s="237"/>
    </row>
    <row r="31" spans="1:3" x14ac:dyDescent="0.2">
      <c r="A31" s="400">
        <v>27119</v>
      </c>
      <c r="B31" s="189">
        <v>8.2500000000000004E-2</v>
      </c>
      <c r="C31" s="237"/>
    </row>
    <row r="32" spans="1:3" x14ac:dyDescent="0.2">
      <c r="A32" s="400">
        <v>27149</v>
      </c>
      <c r="B32" s="189">
        <v>8.2500000000000004E-2</v>
      </c>
      <c r="C32" s="237"/>
    </row>
    <row r="33" spans="1:3" x14ac:dyDescent="0.2">
      <c r="A33" s="400">
        <v>27180</v>
      </c>
      <c r="B33" s="189">
        <v>8.5999999999999993E-2</v>
      </c>
      <c r="C33" s="237"/>
    </row>
    <row r="34" spans="1:3" x14ac:dyDescent="0.2">
      <c r="A34" s="400">
        <v>27210</v>
      </c>
      <c r="B34" s="189">
        <v>9.9199999999999997E-2</v>
      </c>
      <c r="C34" s="237"/>
    </row>
    <row r="35" spans="1:3" x14ac:dyDescent="0.2">
      <c r="A35" s="400">
        <v>27241</v>
      </c>
      <c r="B35" s="189">
        <v>9.9099999999999994E-2</v>
      </c>
      <c r="C35" s="237"/>
    </row>
    <row r="36" spans="1:3" x14ac:dyDescent="0.2">
      <c r="A36" s="400">
        <v>27272</v>
      </c>
      <c r="B36" s="189">
        <v>9.9299999999999999E-2</v>
      </c>
      <c r="C36" s="237"/>
    </row>
    <row r="37" spans="1:3" x14ac:dyDescent="0.2">
      <c r="A37" s="400">
        <v>27302</v>
      </c>
      <c r="B37" s="189">
        <v>9.9400000000000002E-2</v>
      </c>
      <c r="C37" s="237"/>
    </row>
    <row r="38" spans="1:3" x14ac:dyDescent="0.2">
      <c r="A38" s="400">
        <v>27333</v>
      </c>
      <c r="B38" s="189">
        <v>9.5000000000000001E-2</v>
      </c>
      <c r="C38" s="237"/>
    </row>
    <row r="39" spans="1:3" x14ac:dyDescent="0.2">
      <c r="A39" s="400">
        <v>27363</v>
      </c>
      <c r="B39" s="189">
        <v>9.4299999999999995E-2</v>
      </c>
      <c r="C39" s="237"/>
    </row>
    <row r="40" spans="1:3" x14ac:dyDescent="0.2">
      <c r="A40" s="400">
        <v>27394</v>
      </c>
      <c r="B40" s="189">
        <v>9.1499999999999998E-2</v>
      </c>
      <c r="C40" s="237"/>
    </row>
    <row r="41" spans="1:3" x14ac:dyDescent="0.2">
      <c r="A41" s="400">
        <v>27425</v>
      </c>
      <c r="B41" s="189">
        <v>8.9300000000000004E-2</v>
      </c>
      <c r="C41" s="237"/>
    </row>
    <row r="42" spans="1:3" x14ac:dyDescent="0.2">
      <c r="A42" s="400">
        <v>27453</v>
      </c>
      <c r="B42" s="189">
        <v>0.09</v>
      </c>
      <c r="C42" s="237"/>
    </row>
    <row r="43" spans="1:3" x14ac:dyDescent="0.2">
      <c r="A43" s="400">
        <v>27484</v>
      </c>
      <c r="B43" s="189">
        <v>0.09</v>
      </c>
      <c r="C43" s="237"/>
    </row>
    <row r="44" spans="1:3" x14ac:dyDescent="0.2">
      <c r="A44" s="400">
        <v>27514</v>
      </c>
      <c r="B44" s="189">
        <v>9.0300000000000005E-2</v>
      </c>
      <c r="C44" s="237"/>
    </row>
    <row r="45" spans="1:3" x14ac:dyDescent="0.2">
      <c r="A45" s="400">
        <v>27545</v>
      </c>
      <c r="B45" s="189">
        <v>9.0200000000000002E-2</v>
      </c>
      <c r="C45" s="237"/>
    </row>
    <row r="46" spans="1:3" x14ac:dyDescent="0.2">
      <c r="A46" s="400">
        <v>27575</v>
      </c>
      <c r="B46" s="189">
        <v>9.0300000000000005E-2</v>
      </c>
      <c r="C46" s="237"/>
    </row>
    <row r="47" spans="1:3" x14ac:dyDescent="0.2">
      <c r="A47" s="400">
        <v>27606</v>
      </c>
      <c r="B47" s="189">
        <v>9.4E-2</v>
      </c>
      <c r="C47" s="237"/>
    </row>
    <row r="48" spans="1:3" x14ac:dyDescent="0.2">
      <c r="A48" s="400">
        <v>27637</v>
      </c>
      <c r="B48" s="189">
        <v>9.4100000000000003E-2</v>
      </c>
      <c r="C48" s="237"/>
    </row>
    <row r="49" spans="1:3" x14ac:dyDescent="0.2">
      <c r="A49" s="400">
        <v>27667</v>
      </c>
      <c r="B49" s="189">
        <v>9.4399999999999998E-2</v>
      </c>
      <c r="C49" s="237"/>
    </row>
    <row r="50" spans="1:3" x14ac:dyDescent="0.2">
      <c r="A50" s="400">
        <v>27698</v>
      </c>
      <c r="B50" s="189">
        <v>9.4E-2</v>
      </c>
      <c r="C50" s="237"/>
    </row>
    <row r="51" spans="1:3" x14ac:dyDescent="0.2">
      <c r="A51" s="400">
        <v>27728</v>
      </c>
      <c r="B51" s="189">
        <v>9.4100000000000003E-2</v>
      </c>
      <c r="C51" s="237"/>
    </row>
    <row r="52" spans="1:3" x14ac:dyDescent="0.2">
      <c r="A52" s="400">
        <v>27759</v>
      </c>
      <c r="B52" s="189">
        <v>9.3899999999999997E-2</v>
      </c>
      <c r="C52" s="237"/>
    </row>
    <row r="53" spans="1:3" x14ac:dyDescent="0.2">
      <c r="A53" s="400">
        <v>27790</v>
      </c>
      <c r="B53" s="189">
        <v>9.4200000000000006E-2</v>
      </c>
      <c r="C53" s="237"/>
    </row>
    <row r="54" spans="1:3" x14ac:dyDescent="0.2">
      <c r="A54" s="400">
        <v>27819</v>
      </c>
      <c r="B54" s="189">
        <v>9.3899999999999997E-2</v>
      </c>
      <c r="C54" s="237"/>
    </row>
    <row r="55" spans="1:3" x14ac:dyDescent="0.2">
      <c r="A55" s="400">
        <v>27850</v>
      </c>
      <c r="B55" s="189">
        <v>9.4299999999999995E-2</v>
      </c>
      <c r="C55" s="237"/>
    </row>
    <row r="56" spans="1:3" x14ac:dyDescent="0.2">
      <c r="A56" s="400">
        <v>27880</v>
      </c>
      <c r="B56" s="189">
        <v>9.4200000000000006E-2</v>
      </c>
      <c r="C56" s="237"/>
    </row>
    <row r="57" spans="1:3" x14ac:dyDescent="0.2">
      <c r="A57" s="400">
        <v>27911</v>
      </c>
      <c r="B57" s="189">
        <v>9.4200000000000006E-2</v>
      </c>
      <c r="C57" s="237"/>
    </row>
    <row r="58" spans="1:3" x14ac:dyDescent="0.2">
      <c r="A58" s="400">
        <v>27941</v>
      </c>
      <c r="B58" s="189">
        <v>9.4100000000000003E-2</v>
      </c>
      <c r="C58" s="237"/>
    </row>
    <row r="59" spans="1:3" x14ac:dyDescent="0.2">
      <c r="A59" s="400">
        <v>27972</v>
      </c>
      <c r="B59" s="189">
        <v>9.4200000000000006E-2</v>
      </c>
      <c r="C59" s="237"/>
    </row>
    <row r="60" spans="1:3" x14ac:dyDescent="0.2">
      <c r="A60" s="400">
        <v>28003</v>
      </c>
      <c r="B60" s="189">
        <v>9.4100000000000003E-2</v>
      </c>
      <c r="C60" s="237"/>
    </row>
    <row r="61" spans="1:3" x14ac:dyDescent="0.2">
      <c r="A61" s="400">
        <v>28033</v>
      </c>
      <c r="B61" s="189">
        <v>9.4100000000000003E-2</v>
      </c>
      <c r="C61" s="237"/>
    </row>
    <row r="62" spans="1:3" x14ac:dyDescent="0.2">
      <c r="A62" s="400">
        <v>28064</v>
      </c>
      <c r="B62" s="189">
        <v>9.4100000000000003E-2</v>
      </c>
      <c r="C62" s="237"/>
    </row>
    <row r="63" spans="1:3" x14ac:dyDescent="0.2">
      <c r="A63" s="400">
        <v>28094</v>
      </c>
      <c r="B63" s="189">
        <v>9.74E-2</v>
      </c>
      <c r="C63" s="237"/>
    </row>
    <row r="64" spans="1:3" x14ac:dyDescent="0.2">
      <c r="A64" s="400">
        <v>28125</v>
      </c>
      <c r="B64" s="189">
        <v>0.1021</v>
      </c>
      <c r="C64" s="237"/>
    </row>
    <row r="65" spans="1:3" x14ac:dyDescent="0.2">
      <c r="A65" s="400">
        <v>28156</v>
      </c>
      <c r="B65" s="189">
        <v>0.1022</v>
      </c>
      <c r="C65" s="237"/>
    </row>
    <row r="66" spans="1:3" x14ac:dyDescent="0.2">
      <c r="A66" s="400">
        <v>28184</v>
      </c>
      <c r="B66" s="189">
        <v>0.1021</v>
      </c>
      <c r="C66" s="237"/>
    </row>
    <row r="67" spans="1:3" x14ac:dyDescent="0.2">
      <c r="A67" s="400">
        <v>28215</v>
      </c>
      <c r="B67" s="189">
        <v>0.1021</v>
      </c>
      <c r="C67" s="237"/>
    </row>
    <row r="68" spans="1:3" x14ac:dyDescent="0.2">
      <c r="A68" s="400">
        <v>28245</v>
      </c>
      <c r="B68" s="189">
        <v>0.1022</v>
      </c>
      <c r="C68" s="237"/>
    </row>
    <row r="69" spans="1:3" x14ac:dyDescent="0.2">
      <c r="A69" s="400">
        <v>28276</v>
      </c>
      <c r="B69" s="189">
        <v>0.1022</v>
      </c>
      <c r="C69" s="237"/>
    </row>
    <row r="70" spans="1:3" x14ac:dyDescent="0.2">
      <c r="A70" s="400">
        <v>28306</v>
      </c>
      <c r="B70" s="189">
        <v>0.1021</v>
      </c>
      <c r="C70" s="237"/>
    </row>
    <row r="71" spans="1:3" x14ac:dyDescent="0.2">
      <c r="A71" s="400">
        <v>28337</v>
      </c>
      <c r="B71" s="189">
        <v>0.1021</v>
      </c>
      <c r="C71" s="237"/>
    </row>
    <row r="72" spans="1:3" x14ac:dyDescent="0.2">
      <c r="A72" s="400">
        <v>28368</v>
      </c>
      <c r="B72" s="189">
        <v>0.10199999999999999</v>
      </c>
      <c r="C72" s="237"/>
    </row>
    <row r="73" spans="1:3" x14ac:dyDescent="0.2">
      <c r="A73" s="400">
        <v>28398</v>
      </c>
      <c r="B73" s="189">
        <v>0.1003</v>
      </c>
      <c r="C73" s="237"/>
    </row>
    <row r="74" spans="1:3" x14ac:dyDescent="0.2">
      <c r="A74" s="400">
        <v>28429</v>
      </c>
      <c r="B74" s="189">
        <v>9.8400000000000001E-2</v>
      </c>
      <c r="C74" s="237"/>
    </row>
    <row r="75" spans="1:3" x14ac:dyDescent="0.2">
      <c r="A75" s="400">
        <v>28459</v>
      </c>
      <c r="B75" s="189">
        <v>9.7199999999999995E-2</v>
      </c>
      <c r="C75" s="237"/>
    </row>
    <row r="76" spans="1:3" x14ac:dyDescent="0.2">
      <c r="A76" s="400">
        <v>28490</v>
      </c>
      <c r="B76" s="189">
        <v>9.5000000000000001E-2</v>
      </c>
      <c r="C76" s="237"/>
    </row>
    <row r="77" spans="1:3" x14ac:dyDescent="0.2">
      <c r="A77" s="400">
        <v>28521</v>
      </c>
      <c r="B77" s="189">
        <v>9.3200000000000005E-2</v>
      </c>
      <c r="C77" s="237"/>
    </row>
    <row r="78" spans="1:3" x14ac:dyDescent="0.2">
      <c r="A78" s="400">
        <v>28549</v>
      </c>
      <c r="B78" s="189">
        <v>9.0899999999999995E-2</v>
      </c>
      <c r="C78" s="237"/>
    </row>
    <row r="79" spans="1:3" x14ac:dyDescent="0.2">
      <c r="A79" s="400">
        <v>28580</v>
      </c>
      <c r="B79" s="189">
        <v>9.0800000000000006E-2</v>
      </c>
      <c r="C79" s="237"/>
    </row>
    <row r="80" spans="1:3" x14ac:dyDescent="0.2">
      <c r="A80" s="400">
        <v>28610</v>
      </c>
      <c r="B80" s="189">
        <v>9.0899999999999995E-2</v>
      </c>
      <c r="C80" s="237"/>
    </row>
    <row r="81" spans="1:3" x14ac:dyDescent="0.2">
      <c r="A81" s="400">
        <v>28641</v>
      </c>
      <c r="B81" s="189">
        <v>9.0899999999999995E-2</v>
      </c>
      <c r="C81" s="237"/>
    </row>
    <row r="82" spans="1:3" x14ac:dyDescent="0.2">
      <c r="A82" s="400">
        <v>28671</v>
      </c>
      <c r="B82" s="189">
        <v>9.0899999999999995E-2</v>
      </c>
      <c r="C82" s="237"/>
    </row>
    <row r="83" spans="1:3" x14ac:dyDescent="0.2">
      <c r="A83" s="400">
        <v>28702</v>
      </c>
      <c r="B83" s="189">
        <v>9.0899999999999995E-2</v>
      </c>
      <c r="C83" s="237"/>
    </row>
    <row r="84" spans="1:3" x14ac:dyDescent="0.2">
      <c r="A84" s="400">
        <v>28733</v>
      </c>
      <c r="B84" s="189">
        <v>8.9899999999999994E-2</v>
      </c>
      <c r="C84" s="237"/>
    </row>
    <row r="85" spans="1:3" x14ac:dyDescent="0.2">
      <c r="A85" s="400">
        <v>28763</v>
      </c>
      <c r="B85" s="189">
        <v>0.09</v>
      </c>
      <c r="C85" s="237"/>
    </row>
    <row r="86" spans="1:3" x14ac:dyDescent="0.2">
      <c r="A86" s="400">
        <v>28794</v>
      </c>
      <c r="B86" s="189">
        <v>8.8599999999999998E-2</v>
      </c>
      <c r="C86" s="237"/>
    </row>
    <row r="87" spans="1:3" x14ac:dyDescent="0.2">
      <c r="A87" s="400">
        <v>28824</v>
      </c>
      <c r="B87" s="189">
        <v>8.7999999999999995E-2</v>
      </c>
      <c r="C87" s="237"/>
    </row>
    <row r="88" spans="1:3" x14ac:dyDescent="0.2">
      <c r="A88" s="400">
        <v>28855</v>
      </c>
      <c r="B88" s="189">
        <v>8.7999999999999995E-2</v>
      </c>
      <c r="C88" s="237"/>
    </row>
    <row r="89" spans="1:3" x14ac:dyDescent="0.2">
      <c r="A89" s="400">
        <v>28886</v>
      </c>
      <c r="B89" s="189">
        <v>8.8499999999999995E-2</v>
      </c>
      <c r="C89" s="237"/>
    </row>
    <row r="90" spans="1:3" x14ac:dyDescent="0.2">
      <c r="A90" s="400">
        <v>28914</v>
      </c>
      <c r="B90" s="189">
        <v>8.9899999999999994E-2</v>
      </c>
      <c r="C90" s="237"/>
    </row>
    <row r="91" spans="1:3" x14ac:dyDescent="0.2">
      <c r="A91" s="400">
        <v>28945</v>
      </c>
      <c r="B91" s="189">
        <v>9.2799999999999994E-2</v>
      </c>
      <c r="C91" s="237"/>
    </row>
    <row r="92" spans="1:3" x14ac:dyDescent="0.2">
      <c r="A92" s="400">
        <v>28975</v>
      </c>
      <c r="B92" s="189">
        <v>9.6500000000000002E-2</v>
      </c>
      <c r="C92" s="237"/>
    </row>
    <row r="93" spans="1:3" x14ac:dyDescent="0.2">
      <c r="A93" s="400">
        <v>29006</v>
      </c>
      <c r="B93" s="189">
        <v>9.7000000000000003E-2</v>
      </c>
      <c r="C93" s="237"/>
    </row>
    <row r="94" spans="1:3" x14ac:dyDescent="0.2">
      <c r="A94" s="400">
        <v>29036</v>
      </c>
      <c r="B94" s="189">
        <v>0.1</v>
      </c>
      <c r="C94" s="237"/>
    </row>
    <row r="95" spans="1:3" x14ac:dyDescent="0.2">
      <c r="A95" s="400">
        <v>29067</v>
      </c>
      <c r="B95" s="189">
        <v>0.1</v>
      </c>
      <c r="C95" s="237"/>
    </row>
    <row r="96" spans="1:3" x14ac:dyDescent="0.2">
      <c r="A96" s="400">
        <v>29098</v>
      </c>
      <c r="B96" s="189">
        <v>0.1</v>
      </c>
      <c r="C96" s="237"/>
    </row>
    <row r="97" spans="1:3" x14ac:dyDescent="0.2">
      <c r="A97" s="400">
        <v>29128</v>
      </c>
      <c r="B97" s="189">
        <v>0.10009999999999999</v>
      </c>
      <c r="C97" s="237"/>
    </row>
    <row r="98" spans="1:3" x14ac:dyDescent="0.2">
      <c r="A98" s="400">
        <v>29159</v>
      </c>
      <c r="B98" s="189">
        <v>0.1</v>
      </c>
      <c r="C98" s="237"/>
    </row>
    <row r="99" spans="1:3" x14ac:dyDescent="0.2">
      <c r="A99" s="400">
        <v>29189</v>
      </c>
      <c r="B99" s="189">
        <v>0.1</v>
      </c>
      <c r="C99" s="237"/>
    </row>
    <row r="100" spans="1:3" x14ac:dyDescent="0.2">
      <c r="A100" s="400">
        <v>29220</v>
      </c>
      <c r="B100" s="189">
        <v>0.1002</v>
      </c>
      <c r="C100" s="237"/>
    </row>
    <row r="101" spans="1:3" x14ac:dyDescent="0.2">
      <c r="A101" s="400">
        <v>29251</v>
      </c>
      <c r="B101" s="189">
        <v>0.1042</v>
      </c>
      <c r="C101" s="237"/>
    </row>
    <row r="102" spans="1:3" x14ac:dyDescent="0.2">
      <c r="A102" s="400">
        <v>29280</v>
      </c>
      <c r="B102" s="189">
        <v>0.109</v>
      </c>
      <c r="C102" s="237"/>
    </row>
    <row r="103" spans="1:3" x14ac:dyDescent="0.2">
      <c r="A103" s="400">
        <v>29311</v>
      </c>
      <c r="B103" s="189">
        <v>0.112</v>
      </c>
      <c r="C103" s="237"/>
    </row>
    <row r="104" spans="1:3" x14ac:dyDescent="0.2">
      <c r="A104" s="400">
        <v>29341</v>
      </c>
      <c r="B104" s="189">
        <v>0.1145</v>
      </c>
      <c r="C104" s="237"/>
    </row>
    <row r="105" spans="1:3" x14ac:dyDescent="0.2">
      <c r="A105" s="400">
        <v>29372</v>
      </c>
      <c r="B105" s="189">
        <v>0.11799999999999999</v>
      </c>
      <c r="C105" s="237"/>
    </row>
    <row r="106" spans="1:3" x14ac:dyDescent="0.2">
      <c r="A106" s="400">
        <v>29402</v>
      </c>
      <c r="B106" s="189">
        <v>0.1178</v>
      </c>
      <c r="C106" s="237"/>
    </row>
    <row r="107" spans="1:3" x14ac:dyDescent="0.2">
      <c r="A107" s="400">
        <v>29433</v>
      </c>
      <c r="B107" s="189">
        <v>0.1178</v>
      </c>
      <c r="C107" s="237"/>
    </row>
    <row r="108" spans="1:3" x14ac:dyDescent="0.2">
      <c r="A108" s="400">
        <v>29464</v>
      </c>
      <c r="B108" s="189">
        <v>0.1178</v>
      </c>
      <c r="C108" s="237"/>
    </row>
    <row r="109" spans="1:3" x14ac:dyDescent="0.2">
      <c r="A109" s="400">
        <v>29494</v>
      </c>
      <c r="B109" s="189">
        <v>0.1179</v>
      </c>
      <c r="C109" s="237"/>
    </row>
    <row r="110" spans="1:3" x14ac:dyDescent="0.2">
      <c r="A110" s="400">
        <v>29525</v>
      </c>
      <c r="B110" s="189">
        <v>0.1188</v>
      </c>
      <c r="C110" s="237"/>
    </row>
    <row r="111" spans="1:3" x14ac:dyDescent="0.2">
      <c r="A111" s="400">
        <v>29555</v>
      </c>
      <c r="B111" s="189">
        <v>0.1242</v>
      </c>
      <c r="C111" s="237"/>
    </row>
    <row r="112" spans="1:3" x14ac:dyDescent="0.2">
      <c r="A112" s="400">
        <v>29586</v>
      </c>
      <c r="B112" s="189">
        <v>0.12720000000000001</v>
      </c>
      <c r="C112" s="237"/>
    </row>
    <row r="113" spans="1:3" x14ac:dyDescent="0.2">
      <c r="A113" s="400">
        <v>29617</v>
      </c>
      <c r="B113" s="189">
        <v>0.13100000000000001</v>
      </c>
      <c r="C113" s="237"/>
    </row>
    <row r="114" spans="1:3" x14ac:dyDescent="0.2">
      <c r="A114" s="400">
        <v>29645</v>
      </c>
      <c r="B114" s="189">
        <v>0.13100000000000001</v>
      </c>
      <c r="C114" s="237"/>
    </row>
    <row r="115" spans="1:3" x14ac:dyDescent="0.2">
      <c r="A115" s="400">
        <v>29676</v>
      </c>
      <c r="B115" s="189">
        <v>0.13100000000000001</v>
      </c>
      <c r="C115" s="237"/>
    </row>
    <row r="116" spans="1:3" x14ac:dyDescent="0.2">
      <c r="A116" s="400">
        <v>29706</v>
      </c>
      <c r="B116" s="189">
        <v>0.13100000000000001</v>
      </c>
      <c r="C116" s="237"/>
    </row>
    <row r="117" spans="1:3" x14ac:dyDescent="0.2">
      <c r="A117" s="400">
        <v>29737</v>
      </c>
      <c r="B117" s="189">
        <v>0.13100000000000001</v>
      </c>
      <c r="C117" s="237"/>
    </row>
    <row r="118" spans="1:3" x14ac:dyDescent="0.2">
      <c r="A118" s="400">
        <v>29767</v>
      </c>
      <c r="B118" s="189">
        <v>0.13100000000000001</v>
      </c>
      <c r="C118" s="237"/>
    </row>
    <row r="119" spans="1:3" x14ac:dyDescent="0.2">
      <c r="A119" s="400">
        <v>29798</v>
      </c>
      <c r="B119" s="189">
        <v>0.13750000000000001</v>
      </c>
      <c r="C119" s="237"/>
    </row>
    <row r="120" spans="1:3" x14ac:dyDescent="0.2">
      <c r="A120" s="400">
        <v>29829</v>
      </c>
      <c r="B120" s="189">
        <v>0.15</v>
      </c>
      <c r="C120" s="237"/>
    </row>
    <row r="121" spans="1:3" x14ac:dyDescent="0.2">
      <c r="A121" s="400">
        <v>29859</v>
      </c>
      <c r="B121" s="189">
        <v>0.15</v>
      </c>
      <c r="C121" s="237"/>
    </row>
    <row r="122" spans="1:3" x14ac:dyDescent="0.2">
      <c r="A122" s="400">
        <v>29890</v>
      </c>
      <c r="B122" s="189">
        <v>0.15</v>
      </c>
      <c r="C122" s="237"/>
    </row>
    <row r="123" spans="1:3" x14ac:dyDescent="0.2">
      <c r="A123" s="400">
        <v>29920</v>
      </c>
      <c r="B123" s="189">
        <v>0.15</v>
      </c>
      <c r="C123" s="237"/>
    </row>
    <row r="124" spans="1:3" x14ac:dyDescent="0.2">
      <c r="A124" s="400">
        <v>29951</v>
      </c>
      <c r="B124" s="189">
        <v>0.14899999999999999</v>
      </c>
      <c r="C124" s="237"/>
    </row>
    <row r="125" spans="1:3" x14ac:dyDescent="0.2">
      <c r="A125" s="400">
        <v>29982</v>
      </c>
      <c r="B125" s="189">
        <v>0.15</v>
      </c>
      <c r="C125" s="237"/>
    </row>
    <row r="126" spans="1:3" x14ac:dyDescent="0.2">
      <c r="A126" s="400">
        <v>30010</v>
      </c>
      <c r="B126" s="189">
        <v>0.151</v>
      </c>
      <c r="C126" s="237"/>
    </row>
    <row r="127" spans="1:3" x14ac:dyDescent="0.2">
      <c r="A127" s="400">
        <v>30041</v>
      </c>
      <c r="B127" s="189">
        <v>0.152</v>
      </c>
      <c r="C127" s="237"/>
    </row>
    <row r="128" spans="1:3" x14ac:dyDescent="0.2">
      <c r="A128" s="400">
        <v>30071</v>
      </c>
      <c r="B128" s="189">
        <v>0.153</v>
      </c>
      <c r="C128" s="237"/>
    </row>
    <row r="129" spans="1:3" x14ac:dyDescent="0.2">
      <c r="A129" s="400">
        <v>30102</v>
      </c>
      <c r="B129" s="189">
        <v>0.16400000000000001</v>
      </c>
      <c r="C129" s="237"/>
    </row>
    <row r="130" spans="1:3" x14ac:dyDescent="0.2">
      <c r="A130" s="400">
        <v>30132</v>
      </c>
      <c r="B130" s="189">
        <v>0.16400000000000001</v>
      </c>
      <c r="C130" s="237"/>
    </row>
    <row r="131" spans="1:3" x14ac:dyDescent="0.2">
      <c r="A131" s="400">
        <v>30163</v>
      </c>
      <c r="B131" s="189">
        <v>0.16400000000000001</v>
      </c>
      <c r="C131" s="237"/>
    </row>
    <row r="132" spans="1:3" x14ac:dyDescent="0.2">
      <c r="A132" s="400">
        <v>30194</v>
      </c>
      <c r="B132" s="189">
        <v>0.16600000000000001</v>
      </c>
      <c r="C132" s="237"/>
    </row>
    <row r="133" spans="1:3" x14ac:dyDescent="0.2">
      <c r="A133" s="400">
        <v>30224</v>
      </c>
      <c r="B133" s="189">
        <v>0.152</v>
      </c>
      <c r="C133" s="237"/>
    </row>
    <row r="134" spans="1:3" x14ac:dyDescent="0.2">
      <c r="A134" s="400">
        <v>30255</v>
      </c>
      <c r="B134" s="189">
        <v>0.14549999999999999</v>
      </c>
      <c r="C134" s="237"/>
    </row>
    <row r="135" spans="1:3" x14ac:dyDescent="0.2">
      <c r="A135" s="400">
        <v>30285</v>
      </c>
      <c r="B135" s="189">
        <v>0.14599999999999999</v>
      </c>
      <c r="C135" s="237"/>
    </row>
    <row r="136" spans="1:3" x14ac:dyDescent="0.2">
      <c r="A136" s="400">
        <v>30316</v>
      </c>
      <c r="B136" s="189">
        <v>0.14000000000000001</v>
      </c>
      <c r="C136" s="237"/>
    </row>
    <row r="137" spans="1:3" x14ac:dyDescent="0.2">
      <c r="A137" s="400">
        <v>30347</v>
      </c>
      <c r="B137" s="189">
        <v>0.126</v>
      </c>
      <c r="C137" s="237"/>
    </row>
    <row r="138" spans="1:3" x14ac:dyDescent="0.2">
      <c r="A138" s="400">
        <v>30375</v>
      </c>
      <c r="B138" s="189">
        <v>0.13400000000000001</v>
      </c>
      <c r="C138" s="237"/>
    </row>
    <row r="139" spans="1:3" x14ac:dyDescent="0.2">
      <c r="A139" s="400">
        <v>30406</v>
      </c>
      <c r="B139" s="189">
        <v>0.14399999999999999</v>
      </c>
      <c r="C139" s="237"/>
    </row>
    <row r="140" spans="1:3" x14ac:dyDescent="0.2">
      <c r="A140" s="400">
        <v>30436</v>
      </c>
      <c r="B140" s="189">
        <v>0.13500000000000001</v>
      </c>
      <c r="C140" s="237"/>
    </row>
    <row r="141" spans="1:3" x14ac:dyDescent="0.2">
      <c r="A141" s="400">
        <v>30467</v>
      </c>
      <c r="B141" s="189">
        <v>0.128</v>
      </c>
      <c r="C141" s="237"/>
    </row>
    <row r="142" spans="1:3" x14ac:dyDescent="0.2">
      <c r="A142" s="400">
        <v>30497</v>
      </c>
      <c r="B142" s="189">
        <v>0.14299999999999999</v>
      </c>
      <c r="C142" s="237"/>
    </row>
    <row r="143" spans="1:3" x14ac:dyDescent="0.2">
      <c r="A143" s="400">
        <v>30528</v>
      </c>
      <c r="B143" s="189">
        <v>0.14299999999999999</v>
      </c>
      <c r="C143" s="237"/>
    </row>
    <row r="144" spans="1:3" x14ac:dyDescent="0.2">
      <c r="A144" s="400">
        <v>30559</v>
      </c>
      <c r="B144" s="189">
        <v>0.14399999999999999</v>
      </c>
      <c r="C144" s="237"/>
    </row>
    <row r="145" spans="1:3" x14ac:dyDescent="0.2">
      <c r="A145" s="400">
        <v>30589</v>
      </c>
      <c r="B145" s="189">
        <v>0.13500000000000001</v>
      </c>
      <c r="C145" s="237"/>
    </row>
    <row r="146" spans="1:3" x14ac:dyDescent="0.2">
      <c r="A146" s="400">
        <v>30620</v>
      </c>
      <c r="B146" s="189">
        <v>0.1235</v>
      </c>
      <c r="C146" s="237"/>
    </row>
    <row r="147" spans="1:3" x14ac:dyDescent="0.2">
      <c r="A147" s="400">
        <v>30650</v>
      </c>
      <c r="B147" s="189">
        <v>0.11899999999999999</v>
      </c>
      <c r="C147" s="237"/>
    </row>
    <row r="148" spans="1:3" x14ac:dyDescent="0.2">
      <c r="A148" s="400">
        <v>30681</v>
      </c>
      <c r="B148" s="189">
        <v>0.128</v>
      </c>
      <c r="C148" s="237"/>
    </row>
    <row r="149" spans="1:3" x14ac:dyDescent="0.2">
      <c r="A149" s="400">
        <v>30712</v>
      </c>
      <c r="B149" s="189">
        <v>0.129</v>
      </c>
      <c r="C149" s="237"/>
    </row>
    <row r="150" spans="1:3" x14ac:dyDescent="0.2">
      <c r="A150" s="400">
        <v>30741</v>
      </c>
      <c r="B150" s="189">
        <v>0.13150000000000001</v>
      </c>
      <c r="C150" s="237"/>
    </row>
    <row r="151" spans="1:3" x14ac:dyDescent="0.2">
      <c r="A151" s="400">
        <v>30772</v>
      </c>
      <c r="B151" s="189">
        <v>0.13250000000000001</v>
      </c>
      <c r="C151" s="237"/>
    </row>
    <row r="152" spans="1:3" x14ac:dyDescent="0.2">
      <c r="A152" s="400">
        <v>30802</v>
      </c>
      <c r="B152" s="189">
        <v>0.13</v>
      </c>
      <c r="C152" s="237"/>
    </row>
    <row r="153" spans="1:3" x14ac:dyDescent="0.2">
      <c r="A153" s="400">
        <v>30833</v>
      </c>
      <c r="B153" s="189">
        <v>0.13200000000000001</v>
      </c>
      <c r="C153" s="237"/>
    </row>
    <row r="154" spans="1:3" x14ac:dyDescent="0.2">
      <c r="A154" s="400">
        <v>30863</v>
      </c>
      <c r="B154" s="189">
        <v>0.1295</v>
      </c>
      <c r="C154" s="237"/>
    </row>
    <row r="155" spans="1:3" x14ac:dyDescent="0.2">
      <c r="A155" s="400">
        <v>30894</v>
      </c>
      <c r="B155" s="189">
        <v>0.1275</v>
      </c>
      <c r="C155" s="237"/>
    </row>
    <row r="156" spans="1:3" x14ac:dyDescent="0.2">
      <c r="A156" s="400">
        <v>30925</v>
      </c>
      <c r="B156" s="189">
        <v>0.1215</v>
      </c>
      <c r="C156" s="237"/>
    </row>
    <row r="157" spans="1:3" x14ac:dyDescent="0.2">
      <c r="A157" s="400">
        <v>30955</v>
      </c>
      <c r="B157" s="189">
        <v>0.126</v>
      </c>
      <c r="C157" s="237"/>
    </row>
    <row r="158" spans="1:3" x14ac:dyDescent="0.2">
      <c r="A158" s="400">
        <v>30986</v>
      </c>
      <c r="B158" s="189">
        <v>0.1285</v>
      </c>
      <c r="C158" s="237"/>
    </row>
    <row r="159" spans="1:3" x14ac:dyDescent="0.2">
      <c r="A159" s="400">
        <v>31016</v>
      </c>
      <c r="B159" s="189">
        <v>0.13</v>
      </c>
      <c r="C159" s="237"/>
    </row>
    <row r="160" spans="1:3" x14ac:dyDescent="0.2">
      <c r="A160" s="400">
        <v>31047</v>
      </c>
      <c r="B160" s="189">
        <v>0.13100000000000001</v>
      </c>
      <c r="C160" s="237"/>
    </row>
    <row r="161" spans="1:3" x14ac:dyDescent="0.2">
      <c r="A161" s="400">
        <v>31078</v>
      </c>
      <c r="B161" s="189">
        <v>0.129</v>
      </c>
      <c r="C161" s="237"/>
    </row>
    <row r="162" spans="1:3" x14ac:dyDescent="0.2">
      <c r="A162" s="400">
        <v>31106</v>
      </c>
      <c r="B162" s="189">
        <v>0.13400000000000001</v>
      </c>
      <c r="C162" s="237"/>
    </row>
    <row r="163" spans="1:3" x14ac:dyDescent="0.2">
      <c r="A163" s="400">
        <v>31137</v>
      </c>
      <c r="B163" s="189">
        <v>0.13600000000000001</v>
      </c>
      <c r="C163" s="237"/>
    </row>
    <row r="164" spans="1:3" x14ac:dyDescent="0.2">
      <c r="A164" s="400">
        <v>31167</v>
      </c>
      <c r="B164" s="189">
        <v>0.13800000000000001</v>
      </c>
      <c r="C164" s="237"/>
    </row>
    <row r="165" spans="1:3" x14ac:dyDescent="0.2">
      <c r="A165" s="400">
        <v>31198</v>
      </c>
      <c r="B165" s="189">
        <v>0.13600000000000001</v>
      </c>
      <c r="C165" s="237"/>
    </row>
    <row r="166" spans="1:3" x14ac:dyDescent="0.2">
      <c r="A166" s="400">
        <v>31228</v>
      </c>
      <c r="B166" s="189">
        <v>0.13350000000000001</v>
      </c>
      <c r="C166" s="237"/>
    </row>
    <row r="167" spans="1:3" x14ac:dyDescent="0.2">
      <c r="A167" s="400">
        <v>31259</v>
      </c>
      <c r="B167" s="189">
        <v>0.13300000000000001</v>
      </c>
      <c r="C167" s="237"/>
    </row>
    <row r="168" spans="1:3" x14ac:dyDescent="0.2">
      <c r="A168" s="400">
        <v>31290</v>
      </c>
      <c r="B168" s="189">
        <v>0.14000000000000001</v>
      </c>
      <c r="C168" s="237"/>
    </row>
    <row r="169" spans="1:3" x14ac:dyDescent="0.2">
      <c r="A169" s="400">
        <v>31320</v>
      </c>
      <c r="B169" s="189">
        <v>0.13900000000000001</v>
      </c>
      <c r="C169" s="237"/>
    </row>
    <row r="170" spans="1:3" x14ac:dyDescent="0.2">
      <c r="A170" s="400">
        <v>31351</v>
      </c>
      <c r="B170" s="189">
        <v>0.14749999999999999</v>
      </c>
      <c r="C170" s="237"/>
    </row>
    <row r="171" spans="1:3" x14ac:dyDescent="0.2">
      <c r="A171" s="400">
        <v>31381</v>
      </c>
      <c r="B171" s="189">
        <v>0.152</v>
      </c>
      <c r="C171" s="237"/>
    </row>
    <row r="172" spans="1:3" x14ac:dyDescent="0.2">
      <c r="A172" s="400">
        <v>31412</v>
      </c>
      <c r="B172" s="189">
        <v>0.152</v>
      </c>
      <c r="C172" s="237"/>
    </row>
    <row r="173" spans="1:3" x14ac:dyDescent="0.2">
      <c r="A173" s="400">
        <v>31443</v>
      </c>
      <c r="B173" s="189">
        <v>0.14299999999999999</v>
      </c>
      <c r="C173" s="237"/>
    </row>
    <row r="174" spans="1:3" x14ac:dyDescent="0.2">
      <c r="A174" s="400">
        <v>31471</v>
      </c>
      <c r="B174" s="189">
        <v>0.13900000000000001</v>
      </c>
      <c r="C174" s="237"/>
    </row>
    <row r="175" spans="1:3" x14ac:dyDescent="0.2">
      <c r="A175" s="400">
        <v>31502</v>
      </c>
      <c r="B175" s="189">
        <v>0.129</v>
      </c>
      <c r="C175" s="237"/>
    </row>
    <row r="176" spans="1:3" x14ac:dyDescent="0.2">
      <c r="A176" s="400">
        <v>31532</v>
      </c>
      <c r="B176" s="189">
        <v>0.124</v>
      </c>
      <c r="C176" s="237"/>
    </row>
    <row r="177" spans="1:3" x14ac:dyDescent="0.2">
      <c r="A177" s="400">
        <v>31563</v>
      </c>
      <c r="B177" s="189">
        <v>0.1265</v>
      </c>
      <c r="C177" s="237"/>
    </row>
    <row r="178" spans="1:3" x14ac:dyDescent="0.2">
      <c r="A178" s="400">
        <v>31593</v>
      </c>
      <c r="B178" s="189">
        <v>0.128</v>
      </c>
      <c r="C178" s="237"/>
    </row>
    <row r="179" spans="1:3" x14ac:dyDescent="0.2">
      <c r="A179" s="400">
        <v>31624</v>
      </c>
      <c r="B179" s="189">
        <v>0.14349999999999999</v>
      </c>
      <c r="C179" s="237"/>
    </row>
    <row r="180" spans="1:3" x14ac:dyDescent="0.2">
      <c r="A180" s="400">
        <v>31655</v>
      </c>
      <c r="B180" s="189">
        <v>0.14549999999999999</v>
      </c>
      <c r="C180" s="237"/>
    </row>
    <row r="181" spans="1:3" x14ac:dyDescent="0.2">
      <c r="A181" s="400">
        <v>31685</v>
      </c>
      <c r="B181" s="189">
        <v>0.14399999999999999</v>
      </c>
      <c r="C181" s="237"/>
    </row>
    <row r="182" spans="1:3" x14ac:dyDescent="0.2">
      <c r="A182" s="400">
        <v>31716</v>
      </c>
      <c r="B182" s="189">
        <v>0.13850000000000001</v>
      </c>
      <c r="C182" s="237"/>
    </row>
    <row r="183" spans="1:3" x14ac:dyDescent="0.2">
      <c r="A183" s="400">
        <v>31746</v>
      </c>
      <c r="B183" s="189">
        <v>0.13950000000000001</v>
      </c>
      <c r="C183" s="237"/>
    </row>
    <row r="184" spans="1:3" x14ac:dyDescent="0.2">
      <c r="A184" s="400">
        <v>31777</v>
      </c>
      <c r="B184" s="189">
        <v>0.13850000000000001</v>
      </c>
      <c r="C184" s="237"/>
    </row>
    <row r="185" spans="1:3" x14ac:dyDescent="0.2">
      <c r="A185" s="400">
        <v>31808</v>
      </c>
      <c r="B185" s="189">
        <v>0.14699999999999999</v>
      </c>
      <c r="C185" s="237"/>
    </row>
    <row r="186" spans="1:3" x14ac:dyDescent="0.2">
      <c r="A186" s="400">
        <v>31836</v>
      </c>
      <c r="B186" s="189">
        <v>0.14549999999999999</v>
      </c>
      <c r="C186" s="237"/>
    </row>
    <row r="187" spans="1:3" x14ac:dyDescent="0.2">
      <c r="A187" s="400">
        <v>31867</v>
      </c>
      <c r="B187" s="189">
        <v>0.13850000000000001</v>
      </c>
      <c r="C187" s="237"/>
    </row>
    <row r="188" spans="1:3" x14ac:dyDescent="0.2">
      <c r="A188" s="400">
        <v>31897</v>
      </c>
      <c r="B188" s="189">
        <v>0.13500000000000001</v>
      </c>
      <c r="C188" s="237"/>
    </row>
    <row r="189" spans="1:3" x14ac:dyDescent="0.2">
      <c r="A189" s="400">
        <v>31928</v>
      </c>
      <c r="B189" s="189">
        <v>0.13450000000000001</v>
      </c>
      <c r="C189" s="237"/>
    </row>
    <row r="190" spans="1:3" x14ac:dyDescent="0.2">
      <c r="A190" s="400">
        <v>31958</v>
      </c>
      <c r="B190" s="189">
        <v>0.13100000000000001</v>
      </c>
      <c r="C190" s="237"/>
    </row>
    <row r="191" spans="1:3" x14ac:dyDescent="0.2">
      <c r="A191" s="400">
        <v>31989</v>
      </c>
      <c r="B191" s="189">
        <v>0.13</v>
      </c>
      <c r="C191" s="237"/>
    </row>
    <row r="192" spans="1:3" x14ac:dyDescent="0.2">
      <c r="A192" s="400">
        <v>32020</v>
      </c>
      <c r="B192" s="189">
        <v>0.128</v>
      </c>
      <c r="C192" s="237"/>
    </row>
    <row r="193" spans="1:3" x14ac:dyDescent="0.2">
      <c r="A193" s="400">
        <v>32050</v>
      </c>
      <c r="B193" s="189">
        <v>0.1195</v>
      </c>
      <c r="C193" s="237"/>
    </row>
    <row r="194" spans="1:3" x14ac:dyDescent="0.2">
      <c r="A194" s="400">
        <v>32081</v>
      </c>
      <c r="B194" s="189">
        <v>0.13400000000000001</v>
      </c>
      <c r="C194" s="237"/>
    </row>
    <row r="195" spans="1:3" x14ac:dyDescent="0.2">
      <c r="A195" s="400">
        <v>32111</v>
      </c>
      <c r="B195" s="189">
        <v>0.128</v>
      </c>
      <c r="C195" s="237"/>
    </row>
    <row r="196" spans="1:3" x14ac:dyDescent="0.2">
      <c r="A196" s="400">
        <v>32142</v>
      </c>
      <c r="B196" s="189">
        <v>0.1215</v>
      </c>
      <c r="C196" s="237"/>
    </row>
    <row r="197" spans="1:3" x14ac:dyDescent="0.2">
      <c r="A197" s="400">
        <v>32173</v>
      </c>
      <c r="B197" s="189">
        <v>0.11899999999999999</v>
      </c>
      <c r="C197" s="237"/>
    </row>
    <row r="198" spans="1:3" x14ac:dyDescent="0.2">
      <c r="A198" s="400">
        <v>32202</v>
      </c>
      <c r="B198" s="189">
        <v>0.11899999999999999</v>
      </c>
      <c r="C198" s="237"/>
    </row>
    <row r="199" spans="1:3" x14ac:dyDescent="0.2">
      <c r="A199" s="400">
        <v>32233</v>
      </c>
      <c r="B199" s="189">
        <v>0.115</v>
      </c>
      <c r="C199" s="237"/>
    </row>
    <row r="200" spans="1:3" x14ac:dyDescent="0.2">
      <c r="A200" s="400">
        <v>32263</v>
      </c>
      <c r="B200" s="189">
        <v>0.1125</v>
      </c>
      <c r="C200" s="237"/>
    </row>
    <row r="201" spans="1:3" x14ac:dyDescent="0.2">
      <c r="A201" s="400">
        <v>32294</v>
      </c>
      <c r="B201" s="189">
        <v>0.1245</v>
      </c>
      <c r="C201" s="237"/>
    </row>
    <row r="202" spans="1:3" x14ac:dyDescent="0.2">
      <c r="A202" s="400">
        <v>32324</v>
      </c>
      <c r="B202" s="189">
        <v>0.1195</v>
      </c>
      <c r="C202" s="237"/>
    </row>
    <row r="203" spans="1:3" x14ac:dyDescent="0.2">
      <c r="A203" s="400">
        <v>32355</v>
      </c>
      <c r="B203" s="189">
        <v>0.1205</v>
      </c>
      <c r="C203" s="237"/>
    </row>
    <row r="204" spans="1:3" x14ac:dyDescent="0.2">
      <c r="A204" s="400">
        <v>32386</v>
      </c>
      <c r="B204" s="189">
        <v>0.123</v>
      </c>
      <c r="C204" s="237"/>
    </row>
    <row r="205" spans="1:3" x14ac:dyDescent="0.2">
      <c r="A205" s="400">
        <v>32416</v>
      </c>
      <c r="B205" s="189">
        <v>0.126</v>
      </c>
      <c r="C205" s="237"/>
    </row>
    <row r="206" spans="1:3" x14ac:dyDescent="0.2">
      <c r="A206" s="400">
        <v>32447</v>
      </c>
      <c r="B206" s="189">
        <v>0.127</v>
      </c>
      <c r="C206" s="237"/>
    </row>
    <row r="207" spans="1:3" x14ac:dyDescent="0.2">
      <c r="A207" s="400">
        <v>32477</v>
      </c>
      <c r="B207" s="189">
        <v>0.1305</v>
      </c>
      <c r="C207" s="237"/>
    </row>
    <row r="208" spans="1:3" x14ac:dyDescent="0.2">
      <c r="A208" s="400">
        <v>32508</v>
      </c>
      <c r="B208" s="189">
        <v>0.13500000000000001</v>
      </c>
      <c r="C208" s="237"/>
    </row>
    <row r="209" spans="1:3" x14ac:dyDescent="0.2">
      <c r="A209" s="400">
        <v>32539</v>
      </c>
      <c r="B209" s="189">
        <v>0.14050000000000001</v>
      </c>
      <c r="C209" s="237"/>
    </row>
    <row r="210" spans="1:3" x14ac:dyDescent="0.2">
      <c r="A210" s="400">
        <v>32567</v>
      </c>
      <c r="B210" s="189">
        <v>0.14349999999999999</v>
      </c>
      <c r="C210" s="237"/>
    </row>
    <row r="211" spans="1:3" x14ac:dyDescent="0.2">
      <c r="A211" s="400">
        <v>32598</v>
      </c>
      <c r="B211" s="189">
        <v>0.14299999999999999</v>
      </c>
      <c r="C211" s="237"/>
    </row>
    <row r="212" spans="1:3" x14ac:dyDescent="0.2">
      <c r="A212" s="400">
        <v>32628</v>
      </c>
      <c r="B212" s="189">
        <v>0.14249999999999999</v>
      </c>
      <c r="C212" s="237"/>
    </row>
    <row r="213" spans="1:3" x14ac:dyDescent="0.2">
      <c r="A213" s="400">
        <v>32659</v>
      </c>
      <c r="B213" s="189">
        <v>0.14649999999999999</v>
      </c>
      <c r="C213" s="237"/>
    </row>
    <row r="214" spans="1:3" x14ac:dyDescent="0.2">
      <c r="A214" s="400">
        <v>32689</v>
      </c>
      <c r="B214" s="189">
        <v>0.14199999999999999</v>
      </c>
      <c r="C214" s="237"/>
    </row>
    <row r="215" spans="1:3" x14ac:dyDescent="0.2">
      <c r="A215" s="400">
        <v>32720</v>
      </c>
      <c r="B215" s="189">
        <v>0.14000000000000001</v>
      </c>
      <c r="C215" s="237"/>
    </row>
    <row r="216" spans="1:3" x14ac:dyDescent="0.2">
      <c r="A216" s="400">
        <v>32751</v>
      </c>
      <c r="B216" s="189">
        <v>0.13700000000000001</v>
      </c>
      <c r="C216" s="237"/>
    </row>
    <row r="217" spans="1:3" x14ac:dyDescent="0.2">
      <c r="A217" s="400">
        <v>32781</v>
      </c>
      <c r="B217" s="189">
        <v>0.14549999999999999</v>
      </c>
      <c r="C217" s="237"/>
    </row>
    <row r="218" spans="1:3" x14ac:dyDescent="0.2">
      <c r="A218" s="400">
        <v>32812</v>
      </c>
      <c r="B218" s="189">
        <v>0.14499999999999999</v>
      </c>
      <c r="C218" s="237"/>
    </row>
    <row r="219" spans="1:3" x14ac:dyDescent="0.2">
      <c r="A219" s="400">
        <v>32842</v>
      </c>
      <c r="B219" s="189">
        <v>0.13850000000000001</v>
      </c>
      <c r="C219" s="237"/>
    </row>
    <row r="220" spans="1:3" x14ac:dyDescent="0.2">
      <c r="A220" s="400">
        <v>32873</v>
      </c>
      <c r="B220" s="189">
        <v>0.13450000000000001</v>
      </c>
      <c r="C220" s="237"/>
    </row>
    <row r="221" spans="1:3" x14ac:dyDescent="0.2">
      <c r="A221" s="400">
        <v>32904</v>
      </c>
      <c r="B221" s="189">
        <v>0.13250000000000001</v>
      </c>
      <c r="C221" s="237"/>
    </row>
    <row r="222" spans="1:3" x14ac:dyDescent="0.2">
      <c r="A222" s="400">
        <v>32932</v>
      </c>
      <c r="B222" s="189">
        <v>0.13800000000000001</v>
      </c>
      <c r="C222" s="237"/>
    </row>
    <row r="223" spans="1:3" x14ac:dyDescent="0.2">
      <c r="A223" s="400">
        <v>32963</v>
      </c>
      <c r="B223" s="189">
        <v>0.13869999999999999</v>
      </c>
      <c r="C223" s="237"/>
    </row>
    <row r="224" spans="1:3" x14ac:dyDescent="0.2">
      <c r="A224" s="400">
        <v>32993</v>
      </c>
      <c r="B224" s="189">
        <v>0.1424</v>
      </c>
      <c r="C224" s="237"/>
    </row>
    <row r="225" spans="1:3" x14ac:dyDescent="0.2">
      <c r="A225" s="400">
        <v>33024</v>
      </c>
      <c r="B225" s="189">
        <v>0.14019999999999999</v>
      </c>
      <c r="C225" s="237"/>
    </row>
    <row r="226" spans="1:3" x14ac:dyDescent="0.2">
      <c r="A226" s="400">
        <v>33054</v>
      </c>
      <c r="B226" s="189">
        <v>0.13800000000000001</v>
      </c>
      <c r="C226" s="237"/>
    </row>
    <row r="227" spans="1:3" x14ac:dyDescent="0.2">
      <c r="A227" s="400">
        <v>33085</v>
      </c>
      <c r="B227" s="189">
        <v>0.1351</v>
      </c>
      <c r="C227" s="237"/>
    </row>
    <row r="228" spans="1:3" x14ac:dyDescent="0.2">
      <c r="A228" s="400">
        <v>33116</v>
      </c>
      <c r="B228" s="189">
        <v>0.1341</v>
      </c>
      <c r="C228" s="237"/>
    </row>
    <row r="229" spans="1:3" x14ac:dyDescent="0.2">
      <c r="A229" s="400">
        <v>33146</v>
      </c>
      <c r="B229" s="189">
        <v>0.13170000000000001</v>
      </c>
      <c r="C229" s="237"/>
    </row>
    <row r="230" spans="1:3" x14ac:dyDescent="0.2">
      <c r="A230" s="400">
        <v>33177</v>
      </c>
      <c r="B230" s="189">
        <v>0.12770000000000001</v>
      </c>
      <c r="C230" s="237"/>
    </row>
    <row r="231" spans="1:3" x14ac:dyDescent="0.2">
      <c r="A231" s="400">
        <v>33207</v>
      </c>
      <c r="B231" s="189">
        <v>0.1236</v>
      </c>
      <c r="C231" s="237"/>
    </row>
    <row r="232" spans="1:3" x14ac:dyDescent="0.2">
      <c r="A232" s="400">
        <v>33238</v>
      </c>
      <c r="B232" s="189">
        <v>0.11990000000000001</v>
      </c>
      <c r="C232" s="237"/>
    </row>
    <row r="233" spans="1:3" x14ac:dyDescent="0.2">
      <c r="A233" s="400">
        <v>33269</v>
      </c>
      <c r="B233" s="189">
        <v>0.11600000000000001</v>
      </c>
      <c r="C233" s="237"/>
    </row>
    <row r="234" spans="1:3" x14ac:dyDescent="0.2">
      <c r="A234" s="400">
        <v>33297</v>
      </c>
      <c r="B234" s="189">
        <v>0.1132</v>
      </c>
      <c r="C234" s="237"/>
    </row>
    <row r="235" spans="1:3" x14ac:dyDescent="0.2">
      <c r="A235" s="400">
        <v>33328</v>
      </c>
      <c r="B235" s="189">
        <v>0.11310000000000001</v>
      </c>
      <c r="C235" s="237"/>
    </row>
    <row r="236" spans="1:3" x14ac:dyDescent="0.2">
      <c r="A236" s="400">
        <v>33358</v>
      </c>
      <c r="B236" s="189">
        <v>0.1089</v>
      </c>
      <c r="C236" s="237"/>
    </row>
    <row r="237" spans="1:3" x14ac:dyDescent="0.2">
      <c r="A237" s="400">
        <v>33389</v>
      </c>
      <c r="B237" s="189">
        <v>0.10589999999999999</v>
      </c>
      <c r="C237" s="237"/>
    </row>
    <row r="238" spans="1:3" x14ac:dyDescent="0.2">
      <c r="A238" s="400">
        <v>33419</v>
      </c>
      <c r="B238" s="189">
        <v>0.11070000000000001</v>
      </c>
      <c r="C238" s="237"/>
    </row>
    <row r="239" spans="1:3" x14ac:dyDescent="0.2">
      <c r="A239" s="400">
        <v>33450</v>
      </c>
      <c r="B239" s="189">
        <v>0.1085</v>
      </c>
      <c r="C239" s="237"/>
    </row>
    <row r="240" spans="1:3" x14ac:dyDescent="0.2">
      <c r="A240" s="400">
        <v>33481</v>
      </c>
      <c r="B240" s="189">
        <v>0.10639999999999999</v>
      </c>
      <c r="C240" s="237"/>
    </row>
    <row r="241" spans="1:3" x14ac:dyDescent="0.2">
      <c r="A241" s="400">
        <v>33511</v>
      </c>
      <c r="B241" s="189">
        <v>0.1003</v>
      </c>
      <c r="C241" s="237"/>
    </row>
    <row r="242" spans="1:3" x14ac:dyDescent="0.2">
      <c r="A242" s="400">
        <v>33542</v>
      </c>
      <c r="B242" s="189">
        <v>8.9599999999999999E-2</v>
      </c>
      <c r="C242" s="237"/>
    </row>
    <row r="243" spans="1:3" x14ac:dyDescent="0.2">
      <c r="A243" s="400">
        <v>33572</v>
      </c>
      <c r="B243" s="189">
        <v>8.9800000000000005E-2</v>
      </c>
      <c r="C243" s="237"/>
    </row>
    <row r="244" spans="1:3" x14ac:dyDescent="0.2">
      <c r="A244" s="400">
        <v>33603</v>
      </c>
      <c r="B244" s="189">
        <v>8.2199999999999995E-2</v>
      </c>
      <c r="C244" s="237"/>
    </row>
    <row r="245" spans="1:3" x14ac:dyDescent="0.2">
      <c r="A245" s="400">
        <v>33634</v>
      </c>
      <c r="B245" s="189">
        <v>9.4200000000000006E-2</v>
      </c>
      <c r="C245" s="237"/>
    </row>
    <row r="246" spans="1:3" x14ac:dyDescent="0.2">
      <c r="A246" s="400">
        <v>33663</v>
      </c>
      <c r="B246" s="189">
        <v>9.4200000000000006E-2</v>
      </c>
      <c r="C246" s="237"/>
    </row>
    <row r="247" spans="1:3" x14ac:dyDescent="0.2">
      <c r="A247" s="400">
        <v>33694</v>
      </c>
      <c r="B247" s="189">
        <v>9.4200000000000006E-2</v>
      </c>
      <c r="C247" s="237"/>
    </row>
    <row r="248" spans="1:3" x14ac:dyDescent="0.2">
      <c r="A248" s="400">
        <v>33724</v>
      </c>
      <c r="B248" s="189">
        <v>8.6800000000000002E-2</v>
      </c>
      <c r="C248" s="237"/>
    </row>
    <row r="249" spans="1:3" x14ac:dyDescent="0.2">
      <c r="A249" s="400">
        <v>33755</v>
      </c>
      <c r="B249" s="189">
        <v>8.3699999999999997E-2</v>
      </c>
      <c r="C249" s="237"/>
    </row>
    <row r="250" spans="1:3" x14ac:dyDescent="0.2">
      <c r="A250" s="400">
        <v>33785</v>
      </c>
      <c r="B250" s="189">
        <v>7.8299999999999995E-2</v>
      </c>
      <c r="C250" s="237"/>
    </row>
    <row r="251" spans="1:3" x14ac:dyDescent="0.2">
      <c r="A251" s="400">
        <v>33816</v>
      </c>
      <c r="B251" s="189">
        <v>7.0499999999999993E-2</v>
      </c>
      <c r="C251" s="237"/>
    </row>
    <row r="252" spans="1:3" x14ac:dyDescent="0.2">
      <c r="A252" s="400">
        <v>33847</v>
      </c>
      <c r="B252" s="189">
        <v>8.4099999999999994E-2</v>
      </c>
      <c r="C252" s="237"/>
    </row>
    <row r="253" spans="1:3" x14ac:dyDescent="0.2">
      <c r="A253" s="400">
        <v>33877</v>
      </c>
      <c r="B253" s="189">
        <v>8.3199999999999996E-2</v>
      </c>
      <c r="C253" s="237"/>
    </row>
    <row r="254" spans="1:3" x14ac:dyDescent="0.2">
      <c r="A254" s="400">
        <v>33908</v>
      </c>
      <c r="B254" s="189">
        <v>8.2900000000000001E-2</v>
      </c>
      <c r="C254" s="237"/>
    </row>
    <row r="255" spans="1:3" x14ac:dyDescent="0.2">
      <c r="A255" s="400">
        <v>33938</v>
      </c>
      <c r="B255" s="189">
        <v>8.48E-2</v>
      </c>
      <c r="C255" s="237"/>
    </row>
    <row r="256" spans="1:3" x14ac:dyDescent="0.2">
      <c r="A256" s="400">
        <v>33969</v>
      </c>
      <c r="B256" s="189">
        <v>8.2400000000000001E-2</v>
      </c>
      <c r="C256" s="237"/>
    </row>
    <row r="257" spans="1:3" x14ac:dyDescent="0.2">
      <c r="A257" s="400">
        <v>34000</v>
      </c>
      <c r="B257" s="189">
        <v>0.08</v>
      </c>
      <c r="C257" s="237"/>
    </row>
    <row r="258" spans="1:3" x14ac:dyDescent="0.2">
      <c r="A258" s="400">
        <v>34028</v>
      </c>
      <c r="B258" s="189">
        <v>7.2599999999999998E-2</v>
      </c>
      <c r="C258" s="237"/>
    </row>
    <row r="259" spans="1:3" x14ac:dyDescent="0.2">
      <c r="A259" s="400">
        <v>34059</v>
      </c>
      <c r="B259" s="189">
        <v>7.0499999999999993E-2</v>
      </c>
      <c r="C259" s="237"/>
    </row>
    <row r="260" spans="1:3" x14ac:dyDescent="0.2">
      <c r="A260" s="400">
        <v>34089</v>
      </c>
      <c r="B260" s="189">
        <v>6.6900000000000001E-2</v>
      </c>
      <c r="C260" s="237"/>
    </row>
    <row r="261" spans="1:3" x14ac:dyDescent="0.2">
      <c r="A261" s="400">
        <v>34120</v>
      </c>
      <c r="B261" s="189">
        <v>7.0900000000000005E-2</v>
      </c>
      <c r="C261" s="237"/>
    </row>
    <row r="262" spans="1:3" x14ac:dyDescent="0.2">
      <c r="A262" s="400">
        <v>34150</v>
      </c>
      <c r="B262" s="189">
        <v>6.83E-2</v>
      </c>
      <c r="C262" s="237"/>
    </row>
    <row r="263" spans="1:3" x14ac:dyDescent="0.2">
      <c r="A263" s="400">
        <v>34181</v>
      </c>
      <c r="B263" s="189">
        <v>6.4299999999999996E-2</v>
      </c>
      <c r="C263" s="237"/>
    </row>
    <row r="264" spans="1:3" x14ac:dyDescent="0.2">
      <c r="A264" s="400">
        <v>34212</v>
      </c>
      <c r="B264" s="189">
        <v>6.1600000000000002E-2</v>
      </c>
      <c r="C264" s="237"/>
    </row>
    <row r="265" spans="1:3" x14ac:dyDescent="0.2">
      <c r="A265" s="400">
        <v>34242</v>
      </c>
      <c r="B265" s="189">
        <v>6.3500000000000001E-2</v>
      </c>
      <c r="C265" s="237"/>
    </row>
    <row r="266" spans="1:3" x14ac:dyDescent="0.2">
      <c r="A266" s="400">
        <v>34273</v>
      </c>
      <c r="B266" s="189">
        <v>6.0100000000000001E-2</v>
      </c>
      <c r="C266" s="237"/>
    </row>
    <row r="267" spans="1:3" x14ac:dyDescent="0.2">
      <c r="A267" s="400">
        <v>34303</v>
      </c>
      <c r="B267" s="189">
        <v>6.3600000000000004E-2</v>
      </c>
      <c r="C267" s="237"/>
    </row>
    <row r="268" spans="1:3" x14ac:dyDescent="0.2">
      <c r="A268" s="400">
        <v>34334</v>
      </c>
      <c r="B268" s="189">
        <v>6.1699999999999998E-2</v>
      </c>
      <c r="C268" s="237"/>
    </row>
    <row r="269" spans="1:3" x14ac:dyDescent="0.2">
      <c r="A269" s="400">
        <v>34365</v>
      </c>
      <c r="B269" s="189">
        <v>6.0499999999999998E-2</v>
      </c>
      <c r="C269" s="237"/>
    </row>
    <row r="270" spans="1:3" x14ac:dyDescent="0.2">
      <c r="A270" s="400">
        <v>34393</v>
      </c>
      <c r="B270" s="189">
        <v>6.7199999999999996E-2</v>
      </c>
      <c r="C270" s="237"/>
    </row>
    <row r="271" spans="1:3" x14ac:dyDescent="0.2">
      <c r="A271" s="400">
        <v>34424</v>
      </c>
      <c r="B271" s="189">
        <v>7.5700000000000003E-2</v>
      </c>
      <c r="C271" s="237"/>
    </row>
    <row r="272" spans="1:3" x14ac:dyDescent="0.2">
      <c r="A272" s="400">
        <v>34454</v>
      </c>
      <c r="B272" s="189">
        <v>7.9399999999999998E-2</v>
      </c>
      <c r="C272" s="237"/>
    </row>
    <row r="273" spans="1:3" x14ac:dyDescent="0.2">
      <c r="A273" s="400">
        <v>34485</v>
      </c>
      <c r="B273" s="189">
        <v>8.14E-2</v>
      </c>
      <c r="C273" s="237"/>
    </row>
    <row r="274" spans="1:3" x14ac:dyDescent="0.2">
      <c r="A274" s="400">
        <v>34515</v>
      </c>
      <c r="B274" s="189">
        <v>9.0399999999999994E-2</v>
      </c>
      <c r="C274" s="237"/>
    </row>
    <row r="275" spans="1:3" x14ac:dyDescent="0.2">
      <c r="A275" s="400">
        <v>34546</v>
      </c>
      <c r="B275" s="189">
        <v>8.9599999999999999E-2</v>
      </c>
      <c r="C275" s="237"/>
    </row>
    <row r="276" spans="1:3" x14ac:dyDescent="0.2">
      <c r="A276" s="400">
        <v>34577</v>
      </c>
      <c r="B276" s="189">
        <v>8.8099999999999998E-2</v>
      </c>
      <c r="C276" s="237"/>
    </row>
    <row r="277" spans="1:3" x14ac:dyDescent="0.2">
      <c r="A277" s="400">
        <v>34607</v>
      </c>
      <c r="B277" s="189">
        <v>9.74E-2</v>
      </c>
      <c r="C277" s="237"/>
    </row>
    <row r="278" spans="1:3" x14ac:dyDescent="0.2">
      <c r="A278" s="400">
        <v>34638</v>
      </c>
      <c r="B278" s="189">
        <v>0.10059999999999999</v>
      </c>
      <c r="C278" s="237"/>
    </row>
    <row r="279" spans="1:3" x14ac:dyDescent="0.2">
      <c r="A279" s="400">
        <v>34668</v>
      </c>
      <c r="B279" s="189">
        <v>0.1027</v>
      </c>
      <c r="C279" s="237"/>
    </row>
    <row r="280" spans="1:3" x14ac:dyDescent="0.2">
      <c r="A280" s="400">
        <v>34699</v>
      </c>
      <c r="B280" s="189">
        <v>0.10059999999999999</v>
      </c>
      <c r="C280" s="237"/>
    </row>
    <row r="281" spans="1:3" x14ac:dyDescent="0.2">
      <c r="A281" s="400">
        <v>34730</v>
      </c>
      <c r="B281" s="189">
        <v>0.10305</v>
      </c>
      <c r="C281" s="237"/>
    </row>
    <row r="282" spans="1:3" x14ac:dyDescent="0.2">
      <c r="A282" s="400">
        <v>34758</v>
      </c>
      <c r="B282" s="189">
        <v>9.9604999999999999E-2</v>
      </c>
      <c r="C282" s="237"/>
    </row>
    <row r="283" spans="1:3" x14ac:dyDescent="0.2">
      <c r="A283" s="400">
        <v>34789</v>
      </c>
      <c r="B283" s="189">
        <v>9.8087999999999995E-2</v>
      </c>
      <c r="C283" s="237"/>
    </row>
    <row r="284" spans="1:3" x14ac:dyDescent="0.2">
      <c r="A284" s="400">
        <v>34819</v>
      </c>
      <c r="B284" s="189">
        <v>9.4604999999999995E-2</v>
      </c>
      <c r="C284" s="237"/>
    </row>
    <row r="285" spans="1:3" x14ac:dyDescent="0.2">
      <c r="A285" s="400">
        <v>34850</v>
      </c>
      <c r="B285" s="189">
        <v>8.6817000000000005E-2</v>
      </c>
      <c r="C285" s="237"/>
    </row>
    <row r="286" spans="1:3" x14ac:dyDescent="0.2">
      <c r="A286" s="400">
        <v>34880</v>
      </c>
      <c r="B286" s="189">
        <v>8.269E-2</v>
      </c>
      <c r="C286" s="237"/>
    </row>
    <row r="287" spans="1:3" x14ac:dyDescent="0.2">
      <c r="A287" s="400">
        <v>34911</v>
      </c>
      <c r="B287" s="189">
        <v>8.4429000000000004E-2</v>
      </c>
      <c r="C287" s="237"/>
    </row>
    <row r="288" spans="1:3" x14ac:dyDescent="0.2">
      <c r="A288" s="400">
        <v>34942</v>
      </c>
      <c r="B288" s="189">
        <v>8.5817000000000004E-2</v>
      </c>
      <c r="C288" s="237"/>
    </row>
    <row r="289" spans="1:3" x14ac:dyDescent="0.2">
      <c r="A289" s="400">
        <v>34972</v>
      </c>
      <c r="B289" s="189">
        <v>8.1689999999999999E-2</v>
      </c>
      <c r="C289" s="237"/>
    </row>
    <row r="290" spans="1:3" x14ac:dyDescent="0.2">
      <c r="A290" s="400">
        <v>35003</v>
      </c>
      <c r="B290" s="189">
        <v>8.0435999999999994E-2</v>
      </c>
      <c r="C290" s="237"/>
    </row>
    <row r="291" spans="1:3" x14ac:dyDescent="0.2">
      <c r="A291" s="400">
        <v>35033</v>
      </c>
      <c r="B291" s="189">
        <v>8.0377000000000004E-2</v>
      </c>
      <c r="C291" s="237"/>
    </row>
    <row r="292" spans="1:3" x14ac:dyDescent="0.2">
      <c r="A292" s="400">
        <v>35064</v>
      </c>
      <c r="B292" s="189">
        <v>7.8525999999999999E-2</v>
      </c>
      <c r="C292" s="237"/>
    </row>
    <row r="293" spans="1:3" x14ac:dyDescent="0.2">
      <c r="A293" s="400">
        <v>35095</v>
      </c>
      <c r="B293" s="189">
        <v>7.7590000000000006E-2</v>
      </c>
      <c r="C293" s="237"/>
    </row>
    <row r="294" spans="1:3" x14ac:dyDescent="0.2">
      <c r="A294" s="400">
        <v>35124</v>
      </c>
      <c r="B294" s="189">
        <v>7.8867000000000007E-2</v>
      </c>
      <c r="C294" s="237"/>
    </row>
    <row r="295" spans="1:3" x14ac:dyDescent="0.2">
      <c r="A295" s="400">
        <v>35155</v>
      </c>
      <c r="B295" s="189">
        <v>8.4695000000000006E-2</v>
      </c>
      <c r="C295" s="237"/>
    </row>
    <row r="296" spans="1:3" x14ac:dyDescent="0.2">
      <c r="A296" s="400">
        <v>35185</v>
      </c>
      <c r="B296" s="189">
        <v>8.5999999999999993E-2</v>
      </c>
      <c r="C296" s="237"/>
    </row>
    <row r="297" spans="1:3" x14ac:dyDescent="0.2">
      <c r="A297" s="400">
        <v>35216</v>
      </c>
      <c r="B297" s="189">
        <v>8.5317000000000004E-2</v>
      </c>
      <c r="C297" s="237"/>
    </row>
    <row r="298" spans="1:3" x14ac:dyDescent="0.2">
      <c r="A298" s="400">
        <v>35246</v>
      </c>
      <c r="B298" s="189">
        <v>8.6221000000000006E-2</v>
      </c>
      <c r="C298" s="237"/>
    </row>
    <row r="299" spans="1:3" x14ac:dyDescent="0.2">
      <c r="A299" s="400">
        <v>35277</v>
      </c>
      <c r="B299" s="189">
        <v>8.3464999999999998E-2</v>
      </c>
      <c r="C299" s="237"/>
    </row>
    <row r="300" spans="1:3" x14ac:dyDescent="0.2">
      <c r="A300" s="400">
        <v>35308</v>
      </c>
      <c r="B300" s="189">
        <v>7.5926999999999994E-2</v>
      </c>
      <c r="C300" s="237"/>
    </row>
    <row r="301" spans="1:3" x14ac:dyDescent="0.2">
      <c r="A301" s="400">
        <v>35338</v>
      </c>
      <c r="B301" s="189">
        <v>7.5729000000000005E-2</v>
      </c>
      <c r="C301" s="237"/>
    </row>
    <row r="302" spans="1:3" x14ac:dyDescent="0.2">
      <c r="A302" s="400">
        <v>35369</v>
      </c>
      <c r="B302" s="189">
        <v>7.1691000000000005E-2</v>
      </c>
      <c r="C302" s="237"/>
    </row>
    <row r="303" spans="1:3" x14ac:dyDescent="0.2">
      <c r="A303" s="400">
        <v>35399</v>
      </c>
      <c r="B303" s="189">
        <v>6.8386000000000002E-2</v>
      </c>
      <c r="C303" s="237"/>
    </row>
    <row r="304" spans="1:3" x14ac:dyDescent="0.2">
      <c r="A304" s="400">
        <v>35430</v>
      </c>
      <c r="B304" s="189">
        <v>6.9264999999999993E-2</v>
      </c>
      <c r="C304" s="237"/>
    </row>
    <row r="305" spans="1:3" x14ac:dyDescent="0.2">
      <c r="A305" s="400">
        <v>35461</v>
      </c>
      <c r="B305" s="189">
        <v>6.9894999999999999E-2</v>
      </c>
      <c r="C305" s="237"/>
    </row>
    <row r="306" spans="1:3" x14ac:dyDescent="0.2">
      <c r="A306" s="400">
        <v>35489</v>
      </c>
      <c r="B306" s="189">
        <v>7.0334999999999995E-2</v>
      </c>
      <c r="C306" s="237"/>
    </row>
    <row r="307" spans="1:3" x14ac:dyDescent="0.2">
      <c r="A307" s="400">
        <v>35520</v>
      </c>
      <c r="B307" s="189">
        <v>7.4947E-2</v>
      </c>
      <c r="C307" s="237"/>
    </row>
    <row r="308" spans="1:3" x14ac:dyDescent="0.2">
      <c r="A308" s="400">
        <v>35550</v>
      </c>
      <c r="B308" s="189">
        <v>7.3999999999999996E-2</v>
      </c>
      <c r="C308" s="237"/>
    </row>
    <row r="309" spans="1:3" x14ac:dyDescent="0.2">
      <c r="A309" s="400">
        <v>35581</v>
      </c>
      <c r="B309" s="189">
        <v>7.1659E-2</v>
      </c>
      <c r="C309" s="237"/>
    </row>
    <row r="310" spans="1:3" x14ac:dyDescent="0.2">
      <c r="A310" s="400">
        <v>35611</v>
      </c>
      <c r="B310" s="189">
        <v>6.5405000000000005E-2</v>
      </c>
      <c r="C310" s="237"/>
    </row>
    <row r="311" spans="1:3" x14ac:dyDescent="0.2">
      <c r="A311" s="400">
        <v>35642</v>
      </c>
      <c r="B311" s="189">
        <v>6.1517000000000002E-2</v>
      </c>
      <c r="C311" s="237"/>
    </row>
    <row r="312" spans="1:3" x14ac:dyDescent="0.2">
      <c r="A312" s="400">
        <v>35673</v>
      </c>
      <c r="B312" s="189">
        <v>6.1075999999999998E-2</v>
      </c>
      <c r="C312" s="237"/>
    </row>
    <row r="313" spans="1:3" x14ac:dyDescent="0.2">
      <c r="A313" s="400">
        <v>35703</v>
      </c>
      <c r="B313" s="189">
        <v>5.8208999999999997E-2</v>
      </c>
      <c r="C313" s="237"/>
    </row>
    <row r="314" spans="1:3" x14ac:dyDescent="0.2">
      <c r="A314" s="400">
        <v>35734</v>
      </c>
      <c r="B314" s="189">
        <v>5.7757000000000003E-2</v>
      </c>
      <c r="C314" s="237"/>
    </row>
    <row r="315" spans="1:3" x14ac:dyDescent="0.2">
      <c r="A315" s="400">
        <v>35764</v>
      </c>
      <c r="B315" s="189">
        <v>5.7200000000000001E-2</v>
      </c>
      <c r="C315" s="237"/>
    </row>
    <row r="316" spans="1:3" x14ac:dyDescent="0.2">
      <c r="A316" s="400">
        <v>35795</v>
      </c>
      <c r="B316" s="189">
        <v>5.8257000000000003E-2</v>
      </c>
      <c r="C316" s="237"/>
    </row>
    <row r="317" spans="1:3" x14ac:dyDescent="0.2">
      <c r="A317" s="400">
        <v>35826</v>
      </c>
      <c r="B317" s="189">
        <v>5.5055E-2</v>
      </c>
      <c r="C317" s="237"/>
    </row>
    <row r="318" spans="1:3" x14ac:dyDescent="0.2">
      <c r="A318" s="400">
        <v>35854</v>
      </c>
      <c r="B318" s="189">
        <v>5.5329999999999997E-2</v>
      </c>
      <c r="C318" s="237"/>
    </row>
    <row r="319" spans="1:3" x14ac:dyDescent="0.2">
      <c r="A319" s="400">
        <v>35885</v>
      </c>
      <c r="B319" s="189">
        <v>5.4877000000000002E-2</v>
      </c>
      <c r="C319" s="237"/>
    </row>
    <row r="320" spans="1:3" x14ac:dyDescent="0.2">
      <c r="A320" s="400">
        <v>35915</v>
      </c>
      <c r="B320" s="189">
        <v>5.3150000000000003E-2</v>
      </c>
      <c r="C320" s="237"/>
    </row>
    <row r="321" spans="1:3" x14ac:dyDescent="0.2">
      <c r="A321" s="400">
        <v>35946</v>
      </c>
      <c r="B321" s="189">
        <v>5.3119E-2</v>
      </c>
      <c r="C321" s="237"/>
    </row>
    <row r="322" spans="1:3" x14ac:dyDescent="0.2">
      <c r="A322" s="400">
        <v>35976</v>
      </c>
      <c r="B322" s="189">
        <v>5.4066999999999997E-2</v>
      </c>
      <c r="C322" s="237"/>
    </row>
    <row r="323" spans="1:3" x14ac:dyDescent="0.2">
      <c r="A323" s="400">
        <v>36007</v>
      </c>
      <c r="B323" s="189">
        <v>5.3461000000000002E-2</v>
      </c>
      <c r="C323" s="237"/>
    </row>
    <row r="324" spans="1:3" x14ac:dyDescent="0.2">
      <c r="A324" s="400">
        <v>36038</v>
      </c>
      <c r="B324" s="189">
        <v>5.4800000000000001E-2</v>
      </c>
      <c r="C324" s="237"/>
    </row>
    <row r="325" spans="1:3" x14ac:dyDescent="0.2">
      <c r="A325" s="400">
        <v>36068</v>
      </c>
      <c r="B325" s="189">
        <v>5.1299999999999998E-2</v>
      </c>
      <c r="C325" s="237"/>
    </row>
    <row r="326" spans="1:3" x14ac:dyDescent="0.2">
      <c r="A326" s="400">
        <v>36099</v>
      </c>
      <c r="B326" s="189">
        <v>4.6281999999999997E-2</v>
      </c>
      <c r="C326" s="237"/>
    </row>
    <row r="327" spans="1:3" x14ac:dyDescent="0.2">
      <c r="A327" s="400">
        <v>36129</v>
      </c>
      <c r="B327" s="189">
        <v>4.8266999999999997E-2</v>
      </c>
      <c r="C327" s="237"/>
    </row>
    <row r="328" spans="1:3" x14ac:dyDescent="0.2">
      <c r="A328" s="400">
        <v>36160</v>
      </c>
      <c r="B328" s="189">
        <v>4.6105E-2</v>
      </c>
      <c r="C328" s="237"/>
    </row>
    <row r="329" spans="1:3" x14ac:dyDescent="0.2">
      <c r="A329" s="400">
        <v>36191</v>
      </c>
      <c r="B329" s="189">
        <v>4.9147000000000003E-2</v>
      </c>
      <c r="C329" s="237"/>
    </row>
    <row r="330" spans="1:3" x14ac:dyDescent="0.2">
      <c r="A330" s="400">
        <v>36219</v>
      </c>
      <c r="B330" s="189">
        <v>5.0595000000000001E-2</v>
      </c>
      <c r="C330" s="237"/>
    </row>
    <row r="331" spans="1:3" x14ac:dyDescent="0.2">
      <c r="A331" s="400">
        <v>36250</v>
      </c>
      <c r="B331" s="189">
        <v>5.2408999999999997E-2</v>
      </c>
      <c r="C331" s="237"/>
    </row>
    <row r="332" spans="1:3" x14ac:dyDescent="0.2">
      <c r="A332" s="400">
        <v>36280</v>
      </c>
      <c r="B332" s="189">
        <v>5.0424999999999998E-2</v>
      </c>
      <c r="C332" s="237"/>
    </row>
    <row r="333" spans="1:3" x14ac:dyDescent="0.2">
      <c r="A333" s="400">
        <v>36311</v>
      </c>
      <c r="B333" s="189">
        <v>5.5757000000000001E-2</v>
      </c>
      <c r="C333" s="237"/>
    </row>
    <row r="334" spans="1:3" x14ac:dyDescent="0.2">
      <c r="A334" s="400">
        <v>36341</v>
      </c>
      <c r="B334" s="189">
        <v>5.8356999999999999E-2</v>
      </c>
      <c r="C334" s="237"/>
    </row>
    <row r="335" spans="1:3" x14ac:dyDescent="0.2">
      <c r="A335" s="400">
        <v>36372</v>
      </c>
      <c r="B335" s="189">
        <v>5.7632000000000003E-2</v>
      </c>
      <c r="C335" s="237"/>
    </row>
    <row r="336" spans="1:3" x14ac:dyDescent="0.2">
      <c r="A336" s="400">
        <v>36403</v>
      </c>
      <c r="B336" s="189">
        <v>5.9409000000000003E-2</v>
      </c>
      <c r="C336" s="237"/>
    </row>
    <row r="337" spans="1:3" x14ac:dyDescent="0.2">
      <c r="A337" s="400">
        <v>36433</v>
      </c>
      <c r="B337" s="189">
        <v>5.9982000000000001E-2</v>
      </c>
      <c r="C337" s="237"/>
    </row>
    <row r="338" spans="1:3" x14ac:dyDescent="0.2">
      <c r="A338" s="400">
        <v>36464</v>
      </c>
      <c r="B338" s="189">
        <v>6.2856999999999996E-2</v>
      </c>
      <c r="C338" s="237"/>
    </row>
    <row r="339" spans="1:3" x14ac:dyDescent="0.2">
      <c r="A339" s="400">
        <v>36494</v>
      </c>
      <c r="B339" s="189">
        <v>6.3114000000000003E-2</v>
      </c>
      <c r="C339" s="237"/>
    </row>
    <row r="340" spans="1:3" x14ac:dyDescent="0.2">
      <c r="A340" s="400">
        <v>36525</v>
      </c>
      <c r="B340" s="189">
        <v>6.4880999999999994E-2</v>
      </c>
      <c r="C340" s="237"/>
    </row>
    <row r="341" spans="1:3" x14ac:dyDescent="0.2">
      <c r="A341" s="400">
        <v>36556</v>
      </c>
      <c r="B341" s="189">
        <v>6.9942000000000004E-2</v>
      </c>
      <c r="C341" s="237"/>
    </row>
    <row r="342" spans="1:3" x14ac:dyDescent="0.2">
      <c r="A342" s="400">
        <v>36585</v>
      </c>
      <c r="B342" s="189">
        <v>6.8995000000000001E-2</v>
      </c>
      <c r="C342" s="237"/>
    </row>
    <row r="343" spans="1:3" x14ac:dyDescent="0.2">
      <c r="A343" s="400">
        <v>36616</v>
      </c>
      <c r="B343" s="189">
        <v>6.5647999999999998E-2</v>
      </c>
      <c r="C343" s="237"/>
    </row>
    <row r="344" spans="1:3" x14ac:dyDescent="0.2">
      <c r="A344" s="400">
        <v>36646</v>
      </c>
      <c r="B344" s="189">
        <v>6.2970999999999999E-2</v>
      </c>
      <c r="C344" s="237"/>
    </row>
    <row r="345" spans="1:3" x14ac:dyDescent="0.2">
      <c r="A345" s="400">
        <v>36677</v>
      </c>
      <c r="B345" s="189">
        <v>6.447E-2</v>
      </c>
      <c r="C345" s="237"/>
    </row>
    <row r="346" spans="1:3" x14ac:dyDescent="0.2">
      <c r="A346" s="400">
        <v>36707</v>
      </c>
      <c r="B346" s="189">
        <v>6.1029E-2</v>
      </c>
      <c r="C346" s="237"/>
    </row>
    <row r="347" spans="1:3" x14ac:dyDescent="0.2">
      <c r="A347" s="400">
        <v>36738</v>
      </c>
      <c r="B347" s="189">
        <v>6.0651999999999998E-2</v>
      </c>
      <c r="C347" s="237"/>
    </row>
    <row r="348" spans="1:3" x14ac:dyDescent="0.2">
      <c r="A348" s="400">
        <v>36769</v>
      </c>
      <c r="B348" s="189">
        <v>6.2760999999999997E-2</v>
      </c>
      <c r="C348" s="237"/>
    </row>
    <row r="349" spans="1:3" x14ac:dyDescent="0.2">
      <c r="A349" s="400">
        <v>36799</v>
      </c>
      <c r="B349" s="189">
        <v>6.1782999999999998E-2</v>
      </c>
      <c r="C349" s="237"/>
    </row>
    <row r="350" spans="1:3" x14ac:dyDescent="0.2">
      <c r="A350" s="400">
        <v>36830</v>
      </c>
      <c r="B350" s="189">
        <v>6.0597999999999999E-2</v>
      </c>
      <c r="C350" s="237"/>
    </row>
    <row r="351" spans="1:3" x14ac:dyDescent="0.2">
      <c r="A351" s="400">
        <v>36860</v>
      </c>
      <c r="B351" s="189">
        <v>5.9339000000000003E-2</v>
      </c>
      <c r="C351" s="237"/>
    </row>
    <row r="352" spans="1:3" x14ac:dyDescent="0.2">
      <c r="A352" s="400">
        <v>36891</v>
      </c>
      <c r="B352" s="189">
        <v>5.4371000000000003E-2</v>
      </c>
      <c r="C352" s="237"/>
    </row>
    <row r="353" spans="1:3" x14ac:dyDescent="0.2">
      <c r="A353" s="400">
        <v>36922</v>
      </c>
      <c r="B353" s="189">
        <v>5.1517E-2</v>
      </c>
      <c r="C353" s="237"/>
    </row>
    <row r="354" spans="1:3" x14ac:dyDescent="0.2">
      <c r="A354" s="400">
        <v>36950</v>
      </c>
      <c r="B354" s="189">
        <v>5.0548000000000003E-2</v>
      </c>
      <c r="C354" s="237"/>
    </row>
    <row r="355" spans="1:3" x14ac:dyDescent="0.2">
      <c r="A355" s="400">
        <v>36981</v>
      </c>
      <c r="B355" s="189">
        <v>4.8016000000000003E-2</v>
      </c>
      <c r="C355" s="237"/>
    </row>
    <row r="356" spans="1:3" x14ac:dyDescent="0.2">
      <c r="A356" s="400">
        <v>37011</v>
      </c>
      <c r="B356" s="189">
        <v>5.1614E-2</v>
      </c>
      <c r="C356" s="237"/>
    </row>
    <row r="357" spans="1:3" x14ac:dyDescent="0.2">
      <c r="A357" s="400">
        <v>37042</v>
      </c>
      <c r="B357" s="189">
        <v>5.5048E-2</v>
      </c>
      <c r="C357" s="237"/>
    </row>
    <row r="358" spans="1:3" x14ac:dyDescent="0.2">
      <c r="A358" s="400">
        <v>37072</v>
      </c>
      <c r="B358" s="189">
        <v>5.5855000000000002E-2</v>
      </c>
      <c r="C358" s="237"/>
    </row>
    <row r="359" spans="1:3" x14ac:dyDescent="0.2">
      <c r="A359" s="400">
        <v>37103</v>
      </c>
      <c r="B359" s="189">
        <v>5.8393E-2</v>
      </c>
      <c r="C359" s="237"/>
    </row>
    <row r="360" spans="1:3" x14ac:dyDescent="0.2">
      <c r="A360" s="400">
        <v>37134</v>
      </c>
      <c r="B360" s="189">
        <v>5.4904000000000001E-2</v>
      </c>
      <c r="C360" s="237"/>
    </row>
    <row r="361" spans="1:3" x14ac:dyDescent="0.2">
      <c r="A361" s="400">
        <v>37164</v>
      </c>
      <c r="B361" s="189">
        <v>5.0784999999999997E-2</v>
      </c>
      <c r="C361" s="237"/>
    </row>
    <row r="362" spans="1:3" x14ac:dyDescent="0.2">
      <c r="A362" s="400">
        <v>37195</v>
      </c>
      <c r="B362" s="189">
        <v>4.8149999999999998E-2</v>
      </c>
      <c r="C362" s="237"/>
    </row>
    <row r="363" spans="1:3" x14ac:dyDescent="0.2">
      <c r="A363" s="400">
        <v>37225</v>
      </c>
      <c r="B363" s="189">
        <v>4.9334000000000003E-2</v>
      </c>
      <c r="C363" s="237"/>
    </row>
    <row r="364" spans="1:3" x14ac:dyDescent="0.2">
      <c r="A364" s="400">
        <v>37256</v>
      </c>
      <c r="B364" s="189">
        <v>5.3279E-2</v>
      </c>
      <c r="C364" s="237"/>
    </row>
    <row r="365" spans="1:3" x14ac:dyDescent="0.2">
      <c r="A365" s="400">
        <v>37287</v>
      </c>
      <c r="B365" s="189">
        <v>5.4119E-2</v>
      </c>
      <c r="C365" s="237"/>
    </row>
    <row r="366" spans="1:3" x14ac:dyDescent="0.2">
      <c r="A366" s="400">
        <v>37315</v>
      </c>
      <c r="B366" s="189">
        <v>5.6316999999999999E-2</v>
      </c>
      <c r="C366" s="237"/>
    </row>
    <row r="367" spans="1:3" x14ac:dyDescent="0.2">
      <c r="A367" s="400">
        <v>37346</v>
      </c>
      <c r="B367" s="189">
        <v>5.9975000000000001E-2</v>
      </c>
      <c r="C367" s="237"/>
    </row>
    <row r="368" spans="1:3" x14ac:dyDescent="0.2">
      <c r="A368" s="400">
        <v>37376</v>
      </c>
      <c r="B368" s="189">
        <v>5.9635000000000001E-2</v>
      </c>
      <c r="C368" s="237"/>
    </row>
    <row r="369" spans="1:3" x14ac:dyDescent="0.2">
      <c r="A369" s="400">
        <v>37407</v>
      </c>
      <c r="B369" s="189">
        <v>5.9628E-2</v>
      </c>
      <c r="C369" s="237"/>
    </row>
    <row r="370" spans="1:3" x14ac:dyDescent="0.2">
      <c r="A370" s="400">
        <v>37437</v>
      </c>
      <c r="B370" s="189">
        <v>5.8332000000000002E-2</v>
      </c>
      <c r="C370" s="237"/>
    </row>
    <row r="371" spans="1:3" x14ac:dyDescent="0.2">
      <c r="A371" s="400">
        <v>37468</v>
      </c>
      <c r="B371" s="189">
        <v>5.6169999999999998E-2</v>
      </c>
      <c r="C371" s="237"/>
    </row>
    <row r="372" spans="1:3" x14ac:dyDescent="0.2">
      <c r="A372" s="400">
        <v>37499</v>
      </c>
      <c r="B372" s="189">
        <v>5.3905000000000002E-2</v>
      </c>
      <c r="C372" s="237"/>
    </row>
    <row r="373" spans="1:3" x14ac:dyDescent="0.2">
      <c r="A373" s="400">
        <v>37529</v>
      </c>
      <c r="B373" s="189">
        <v>5.2278999999999999E-2</v>
      </c>
      <c r="C373" s="237"/>
    </row>
    <row r="374" spans="1:3" x14ac:dyDescent="0.2">
      <c r="A374" s="400">
        <v>37560</v>
      </c>
      <c r="B374" s="189">
        <v>5.3161E-2</v>
      </c>
      <c r="C374" s="237"/>
    </row>
    <row r="375" spans="1:3" x14ac:dyDescent="0.2">
      <c r="A375" s="400">
        <v>37590</v>
      </c>
      <c r="B375" s="189">
        <v>5.1095000000000002E-2</v>
      </c>
      <c r="C375" s="237"/>
    </row>
    <row r="376" spans="1:3" x14ac:dyDescent="0.2">
      <c r="A376" s="400">
        <v>37621</v>
      </c>
      <c r="B376" s="189">
        <v>4.9966999999999998E-2</v>
      </c>
      <c r="C376" s="237"/>
    </row>
    <row r="377" spans="1:3" x14ac:dyDescent="0.2">
      <c r="A377" s="400">
        <v>37652</v>
      </c>
      <c r="B377" s="189">
        <v>4.9059999999999999E-2</v>
      </c>
      <c r="C377" s="237"/>
    </row>
    <row r="378" spans="1:3" x14ac:dyDescent="0.2">
      <c r="A378" s="400">
        <v>37680</v>
      </c>
      <c r="B378" s="189">
        <v>4.7419999999999997E-2</v>
      </c>
      <c r="C378" s="237"/>
    </row>
    <row r="379" spans="1:3" x14ac:dyDescent="0.2">
      <c r="A379" s="400">
        <v>37711</v>
      </c>
      <c r="B379" s="189">
        <v>4.8424000000000002E-2</v>
      </c>
      <c r="C379" s="237"/>
    </row>
    <row r="380" spans="1:3" x14ac:dyDescent="0.2">
      <c r="A380" s="400">
        <v>37741</v>
      </c>
      <c r="B380" s="189">
        <v>4.9576000000000002E-2</v>
      </c>
      <c r="C380" s="237"/>
    </row>
    <row r="381" spans="1:3" x14ac:dyDescent="0.2">
      <c r="A381" s="400">
        <v>37772</v>
      </c>
      <c r="B381" s="189">
        <v>4.7439000000000002E-2</v>
      </c>
      <c r="C381" s="237"/>
    </row>
    <row r="382" spans="1:3" x14ac:dyDescent="0.2">
      <c r="A382" s="400">
        <v>37802</v>
      </c>
      <c r="B382" s="189">
        <v>4.4929999999999998E-2</v>
      </c>
      <c r="C382" s="237"/>
    </row>
    <row r="383" spans="1:3" x14ac:dyDescent="0.2">
      <c r="A383" s="400">
        <v>37833</v>
      </c>
      <c r="B383" s="189">
        <v>4.8943E-2</v>
      </c>
      <c r="C383" s="237"/>
    </row>
    <row r="384" spans="1:3" x14ac:dyDescent="0.2">
      <c r="A384" s="400">
        <v>37864</v>
      </c>
      <c r="B384" s="189">
        <v>5.2224E-2</v>
      </c>
      <c r="C384" s="237"/>
    </row>
    <row r="385" spans="1:3" x14ac:dyDescent="0.2">
      <c r="A385" s="400">
        <v>37894</v>
      </c>
      <c r="B385" s="189">
        <v>5.3141000000000001E-2</v>
      </c>
      <c r="C385" s="237"/>
    </row>
    <row r="386" spans="1:3" x14ac:dyDescent="0.2">
      <c r="A386" s="400">
        <v>37925</v>
      </c>
      <c r="B386" s="189">
        <v>5.4739000000000003E-2</v>
      </c>
      <c r="C386" s="237"/>
    </row>
    <row r="387" spans="1:3" x14ac:dyDescent="0.2">
      <c r="A387" s="400">
        <v>37955</v>
      </c>
      <c r="B387" s="189">
        <v>5.8275E-2</v>
      </c>
      <c r="C387" s="237"/>
    </row>
    <row r="388" spans="1:3" x14ac:dyDescent="0.2">
      <c r="A388" s="400">
        <v>37986</v>
      </c>
      <c r="B388" s="189">
        <v>5.7055000000000002E-2</v>
      </c>
      <c r="C388" s="237"/>
    </row>
    <row r="389" spans="1:3" x14ac:dyDescent="0.2">
      <c r="A389" s="400">
        <v>38017</v>
      </c>
      <c r="B389" s="189">
        <v>5.6340000000000001E-2</v>
      </c>
      <c r="C389" s="237"/>
    </row>
    <row r="390" spans="1:3" x14ac:dyDescent="0.2">
      <c r="A390" s="400">
        <v>38046</v>
      </c>
      <c r="B390" s="189">
        <v>5.5592999999999997E-2</v>
      </c>
      <c r="C390" s="237"/>
    </row>
    <row r="391" spans="1:3" x14ac:dyDescent="0.2">
      <c r="A391" s="400">
        <v>38077</v>
      </c>
      <c r="B391" s="189">
        <v>5.3047999999999998E-2</v>
      </c>
      <c r="C391" s="237"/>
    </row>
    <row r="392" spans="1:3" x14ac:dyDescent="0.2">
      <c r="A392" s="400">
        <v>38107</v>
      </c>
      <c r="B392" s="189">
        <v>5.5842000000000003E-2</v>
      </c>
      <c r="C392" s="237"/>
    </row>
    <row r="393" spans="1:3" x14ac:dyDescent="0.2">
      <c r="A393" s="400">
        <v>38138</v>
      </c>
      <c r="B393" s="189">
        <v>5.7102E-2</v>
      </c>
      <c r="C393" s="237"/>
    </row>
    <row r="394" spans="1:3" x14ac:dyDescent="0.2">
      <c r="A394" s="400">
        <v>38168</v>
      </c>
      <c r="B394" s="189">
        <v>5.5624E-2</v>
      </c>
      <c r="C394" s="237"/>
    </row>
    <row r="395" spans="1:3" x14ac:dyDescent="0.2">
      <c r="A395" s="400">
        <v>38199</v>
      </c>
      <c r="B395" s="189">
        <v>5.5598000000000002E-2</v>
      </c>
      <c r="C395" s="237"/>
    </row>
    <row r="396" spans="1:3" x14ac:dyDescent="0.2">
      <c r="A396" s="400">
        <v>38230</v>
      </c>
      <c r="B396" s="189">
        <v>5.4641000000000002E-2</v>
      </c>
      <c r="C396" s="237"/>
    </row>
    <row r="397" spans="1:3" x14ac:dyDescent="0.2">
      <c r="A397" s="400">
        <v>38260</v>
      </c>
      <c r="B397" s="189">
        <v>5.3090999999999999E-2</v>
      </c>
      <c r="C397" s="237"/>
    </row>
    <row r="398" spans="1:3" x14ac:dyDescent="0.2">
      <c r="A398" s="400">
        <v>38291</v>
      </c>
      <c r="B398" s="189">
        <v>5.2701999999999999E-2</v>
      </c>
      <c r="C398" s="237"/>
    </row>
    <row r="399" spans="1:3" x14ac:dyDescent="0.2">
      <c r="A399" s="400">
        <v>38321</v>
      </c>
      <c r="B399" s="189">
        <v>5.2739000000000001E-2</v>
      </c>
      <c r="C399" s="237"/>
    </row>
    <row r="400" spans="1:3" x14ac:dyDescent="0.2">
      <c r="A400" s="400">
        <v>38352</v>
      </c>
      <c r="B400" s="189">
        <v>5.0999999999999997E-2</v>
      </c>
      <c r="C400" s="237"/>
    </row>
    <row r="401" spans="1:3" x14ac:dyDescent="0.2">
      <c r="A401" s="400">
        <v>38383</v>
      </c>
      <c r="B401" s="189">
        <v>5.2571E-2</v>
      </c>
      <c r="C401" s="237"/>
    </row>
    <row r="402" spans="1:3" x14ac:dyDescent="0.2">
      <c r="A402" s="400">
        <v>38411</v>
      </c>
      <c r="B402" s="189">
        <v>5.4100000000000002E-2</v>
      </c>
      <c r="C402" s="237"/>
    </row>
    <row r="403" spans="1:3" x14ac:dyDescent="0.2">
      <c r="A403" s="400">
        <v>38442</v>
      </c>
      <c r="B403" s="189">
        <v>5.6342999999999997E-2</v>
      </c>
      <c r="C403" s="237"/>
    </row>
    <row r="404" spans="1:3" x14ac:dyDescent="0.2">
      <c r="A404" s="400">
        <v>38472</v>
      </c>
      <c r="B404" s="189">
        <v>5.4455000000000003E-2</v>
      </c>
      <c r="C404" s="237"/>
    </row>
    <row r="405" spans="1:3" x14ac:dyDescent="0.2">
      <c r="A405" s="400">
        <v>38503</v>
      </c>
      <c r="B405" s="189">
        <v>5.2477000000000003E-2</v>
      </c>
      <c r="C405" s="237"/>
    </row>
    <row r="406" spans="1:3" x14ac:dyDescent="0.2">
      <c r="A406" s="400">
        <v>38533</v>
      </c>
      <c r="B406" s="189">
        <v>5.1382999999999998E-2</v>
      </c>
      <c r="C406" s="237"/>
    </row>
    <row r="407" spans="1:3" x14ac:dyDescent="0.2">
      <c r="A407" s="400">
        <v>38564</v>
      </c>
      <c r="B407" s="189">
        <v>5.1936000000000003E-2</v>
      </c>
      <c r="C407" s="237"/>
    </row>
    <row r="408" spans="1:3" x14ac:dyDescent="0.2">
      <c r="A408" s="400">
        <v>38595</v>
      </c>
      <c r="B408" s="189">
        <v>5.1714999999999997E-2</v>
      </c>
      <c r="C408" s="237"/>
    </row>
    <row r="409" spans="1:3" x14ac:dyDescent="0.2">
      <c r="A409" s="400">
        <v>38625</v>
      </c>
      <c r="B409" s="189">
        <v>5.1479999999999998E-2</v>
      </c>
      <c r="C409" s="237"/>
    </row>
    <row r="410" spans="1:3" x14ac:dyDescent="0.2">
      <c r="A410" s="400">
        <v>38656</v>
      </c>
      <c r="B410" s="189">
        <v>5.3621000000000002E-2</v>
      </c>
      <c r="C410" s="237"/>
    </row>
    <row r="411" spans="1:3" x14ac:dyDescent="0.2">
      <c r="A411" s="400">
        <v>38686</v>
      </c>
      <c r="B411" s="189">
        <v>5.3735999999999999E-2</v>
      </c>
      <c r="C411" s="237"/>
    </row>
    <row r="412" spans="1:3" x14ac:dyDescent="0.2">
      <c r="A412" s="400">
        <v>38717</v>
      </c>
      <c r="B412" s="189">
        <v>5.3428000000000003E-2</v>
      </c>
      <c r="C412" s="237"/>
    </row>
    <row r="413" spans="1:3" x14ac:dyDescent="0.2">
      <c r="A413" s="400">
        <v>38748</v>
      </c>
      <c r="B413" s="189">
        <v>5.1764999999999999E-2</v>
      </c>
      <c r="C413" s="237"/>
    </row>
    <row r="414" spans="1:3" x14ac:dyDescent="0.2">
      <c r="A414" s="400">
        <v>38776</v>
      </c>
      <c r="B414" s="189">
        <v>5.2385000000000001E-2</v>
      </c>
      <c r="C414" s="237"/>
    </row>
    <row r="415" spans="1:3" x14ac:dyDescent="0.2">
      <c r="A415" s="400">
        <v>38807</v>
      </c>
      <c r="B415" s="189">
        <v>5.2976000000000002E-2</v>
      </c>
      <c r="C415" s="237"/>
    </row>
    <row r="416" spans="1:3" x14ac:dyDescent="0.2">
      <c r="A416" s="400">
        <v>38837</v>
      </c>
      <c r="B416" s="189">
        <v>5.5500000000000001E-2</v>
      </c>
      <c r="C416" s="237"/>
    </row>
    <row r="417" spans="1:3" x14ac:dyDescent="0.2">
      <c r="A417" s="400">
        <v>38868</v>
      </c>
      <c r="B417" s="189">
        <v>5.7308999999999999E-2</v>
      </c>
      <c r="C417" s="237"/>
    </row>
    <row r="418" spans="1:3" x14ac:dyDescent="0.2">
      <c r="A418" s="400">
        <v>38898</v>
      </c>
      <c r="B418" s="189">
        <v>5.7482999999999999E-2</v>
      </c>
      <c r="C418" s="237"/>
    </row>
    <row r="419" spans="1:3" x14ac:dyDescent="0.2">
      <c r="A419" s="400">
        <v>38929</v>
      </c>
      <c r="B419" s="189">
        <v>5.8687999999999997E-2</v>
      </c>
      <c r="C419" s="237"/>
    </row>
    <row r="420" spans="1:3" x14ac:dyDescent="0.2">
      <c r="A420" s="400">
        <v>38960</v>
      </c>
      <c r="B420" s="189">
        <v>5.8402000000000003E-2</v>
      </c>
      <c r="C420" s="237"/>
    </row>
    <row r="421" spans="1:3" x14ac:dyDescent="0.2">
      <c r="A421" s="400">
        <v>38990</v>
      </c>
      <c r="B421" s="189">
        <v>5.7389999999999997E-2</v>
      </c>
      <c r="C421" s="237"/>
    </row>
    <row r="422" spans="1:3" x14ac:dyDescent="0.2">
      <c r="A422" s="400">
        <v>39021</v>
      </c>
      <c r="B422" s="189">
        <v>5.8290000000000002E-2</v>
      </c>
      <c r="C422" s="237"/>
    </row>
    <row r="423" spans="1:3" x14ac:dyDescent="0.2">
      <c r="A423" s="400">
        <v>39051</v>
      </c>
      <c r="B423" s="189">
        <v>5.7957000000000002E-2</v>
      </c>
      <c r="C423" s="237"/>
    </row>
    <row r="424" spans="1:3" x14ac:dyDescent="0.2">
      <c r="A424" s="400">
        <v>39082</v>
      </c>
      <c r="B424" s="189">
        <v>5.8684E-2</v>
      </c>
      <c r="C424" s="237"/>
    </row>
    <row r="425" spans="1:3" x14ac:dyDescent="0.2">
      <c r="A425" s="400">
        <v>39113</v>
      </c>
      <c r="B425" s="189">
        <v>6.0470999999999997E-2</v>
      </c>
      <c r="C425" s="237"/>
    </row>
    <row r="426" spans="1:3" x14ac:dyDescent="0.2">
      <c r="A426" s="400">
        <v>39141</v>
      </c>
      <c r="B426" s="189">
        <v>5.9650000000000002E-2</v>
      </c>
      <c r="C426" s="237"/>
    </row>
    <row r="427" spans="1:3" x14ac:dyDescent="0.2">
      <c r="A427" s="400">
        <v>39172</v>
      </c>
      <c r="B427" s="189">
        <v>5.9492999999999997E-2</v>
      </c>
      <c r="C427" s="237"/>
    </row>
    <row r="428" spans="1:3" x14ac:dyDescent="0.2">
      <c r="A428" s="400">
        <v>39202</v>
      </c>
      <c r="B428" s="189">
        <v>6.1082999999999998E-2</v>
      </c>
      <c r="C428" s="237"/>
    </row>
    <row r="429" spans="1:3" x14ac:dyDescent="0.2">
      <c r="A429" s="400">
        <v>39233</v>
      </c>
      <c r="B429" s="189">
        <v>6.0717E-2</v>
      </c>
      <c r="C429" s="237"/>
    </row>
    <row r="430" spans="1:3" x14ac:dyDescent="0.2">
      <c r="A430" s="400">
        <v>39263</v>
      </c>
      <c r="B430" s="189">
        <v>6.336E-2</v>
      </c>
      <c r="C430" s="237"/>
    </row>
    <row r="431" spans="1:3" x14ac:dyDescent="0.2">
      <c r="A431" s="400">
        <v>39294</v>
      </c>
      <c r="B431" s="189">
        <v>6.3041E-2</v>
      </c>
      <c r="C431" s="237"/>
    </row>
    <row r="432" spans="1:3" x14ac:dyDescent="0.2">
      <c r="A432" s="400">
        <v>39325</v>
      </c>
      <c r="B432" s="189">
        <v>6.1316000000000002E-2</v>
      </c>
      <c r="C432" s="237"/>
    </row>
    <row r="433" spans="1:3" x14ac:dyDescent="0.2">
      <c r="A433" s="400">
        <v>39355</v>
      </c>
      <c r="B433" s="189">
        <v>6.2073999999999997E-2</v>
      </c>
      <c r="C433" s="237"/>
    </row>
    <row r="434" spans="1:3" x14ac:dyDescent="0.2">
      <c r="A434" s="400">
        <v>39386</v>
      </c>
      <c r="B434" s="189">
        <v>6.4547999999999994E-2</v>
      </c>
      <c r="C434" s="237"/>
    </row>
    <row r="435" spans="1:3" x14ac:dyDescent="0.2">
      <c r="A435" s="400">
        <v>39416</v>
      </c>
      <c r="B435" s="189">
        <v>6.3614000000000004E-2</v>
      </c>
      <c r="C435" s="237"/>
    </row>
    <row r="436" spans="1:3" x14ac:dyDescent="0.2">
      <c r="A436" s="400">
        <v>39447</v>
      </c>
      <c r="B436" s="189">
        <v>6.4637E-2</v>
      </c>
      <c r="C436" s="237"/>
    </row>
    <row r="437" spans="1:3" x14ac:dyDescent="0.2">
      <c r="A437" s="400">
        <v>39478</v>
      </c>
      <c r="B437" s="189">
        <v>6.3423999999999994E-2</v>
      </c>
      <c r="C437" s="237"/>
    </row>
    <row r="438" spans="1:3" x14ac:dyDescent="0.2">
      <c r="A438" s="400">
        <v>39507</v>
      </c>
      <c r="B438" s="189">
        <v>6.5009999999999998E-2</v>
      </c>
      <c r="C438" s="237"/>
    </row>
    <row r="439" spans="1:3" x14ac:dyDescent="0.2">
      <c r="A439" s="400">
        <v>39538</v>
      </c>
      <c r="B439" s="189">
        <v>6.1003000000000002E-2</v>
      </c>
      <c r="C439" s="237"/>
    </row>
    <row r="440" spans="1:3" x14ac:dyDescent="0.2">
      <c r="A440" s="400">
        <v>39568</v>
      </c>
      <c r="B440" s="189">
        <v>6.1862E-2</v>
      </c>
      <c r="C440" s="237"/>
    </row>
    <row r="441" spans="1:3" x14ac:dyDescent="0.2">
      <c r="A441" s="400">
        <v>39599</v>
      </c>
      <c r="B441" s="189">
        <v>6.3336000000000003E-2</v>
      </c>
      <c r="C441" s="237"/>
    </row>
    <row r="442" spans="1:3" x14ac:dyDescent="0.2">
      <c r="A442" s="400">
        <v>39629</v>
      </c>
      <c r="B442" s="189">
        <v>6.6903000000000004E-2</v>
      </c>
      <c r="C442" s="237"/>
    </row>
    <row r="443" spans="1:3" x14ac:dyDescent="0.2">
      <c r="A443" s="400">
        <v>39660</v>
      </c>
      <c r="B443" s="189">
        <v>6.4043000000000003E-2</v>
      </c>
      <c r="C443" s="237"/>
    </row>
    <row r="444" spans="1:3" x14ac:dyDescent="0.2">
      <c r="A444" s="400">
        <v>39691</v>
      </c>
      <c r="B444" s="189">
        <v>5.774E-2</v>
      </c>
      <c r="C444" s="237"/>
    </row>
    <row r="445" spans="1:3" x14ac:dyDescent="0.2">
      <c r="A445" s="400">
        <v>39721</v>
      </c>
      <c r="B445" s="189">
        <v>5.5363999999999997E-2</v>
      </c>
      <c r="C445" s="237"/>
    </row>
    <row r="446" spans="1:3" x14ac:dyDescent="0.2">
      <c r="A446" s="400">
        <v>39752</v>
      </c>
      <c r="B446" s="189">
        <v>4.8284000000000001E-2</v>
      </c>
      <c r="C446" s="237"/>
    </row>
    <row r="447" spans="1:3" x14ac:dyDescent="0.2">
      <c r="A447" s="400">
        <v>39782</v>
      </c>
      <c r="B447" s="189">
        <v>4.2786999999999999E-2</v>
      </c>
      <c r="C447" s="237"/>
    </row>
    <row r="448" spans="1:3" x14ac:dyDescent="0.2">
      <c r="A448" s="400">
        <v>39813</v>
      </c>
      <c r="B448" s="189">
        <v>3.7220999999999997E-2</v>
      </c>
      <c r="C448" s="237"/>
    </row>
    <row r="449" spans="1:3" x14ac:dyDescent="0.2">
      <c r="A449" s="400">
        <v>39844</v>
      </c>
      <c r="B449" s="189">
        <v>3.4967999999999999E-2</v>
      </c>
      <c r="C449" s="237"/>
    </row>
    <row r="450" spans="1:3" x14ac:dyDescent="0.2">
      <c r="A450" s="400">
        <v>39872</v>
      </c>
      <c r="B450" s="189">
        <v>3.5895000000000003E-2</v>
      </c>
      <c r="C450" s="237"/>
    </row>
    <row r="451" spans="1:3" x14ac:dyDescent="0.2">
      <c r="A451" s="400">
        <v>39903</v>
      </c>
      <c r="B451" s="189">
        <v>3.7286E-2</v>
      </c>
      <c r="C451" s="237"/>
    </row>
    <row r="452" spans="1:3" x14ac:dyDescent="0.2">
      <c r="A452" s="400">
        <v>39933</v>
      </c>
      <c r="B452" s="189">
        <v>4.0454999999999998E-2</v>
      </c>
      <c r="C452" s="237"/>
    </row>
    <row r="453" spans="1:3" x14ac:dyDescent="0.2">
      <c r="A453" s="400">
        <v>39964</v>
      </c>
      <c r="B453" s="189">
        <v>4.4742999999999998E-2</v>
      </c>
      <c r="C453" s="237"/>
    </row>
    <row r="454" spans="1:3" x14ac:dyDescent="0.2">
      <c r="A454" s="400">
        <v>39994</v>
      </c>
      <c r="B454" s="189">
        <v>5.1020999999999997E-2</v>
      </c>
      <c r="C454" s="237"/>
    </row>
    <row r="455" spans="1:3" x14ac:dyDescent="0.2">
      <c r="A455" s="400">
        <v>40025</v>
      </c>
      <c r="B455" s="189">
        <v>5.2080000000000001E-2</v>
      </c>
      <c r="C455" s="237"/>
    </row>
    <row r="456" spans="1:3" x14ac:dyDescent="0.2">
      <c r="A456" s="400">
        <v>40056</v>
      </c>
      <c r="B456" s="189">
        <v>5.3914999999999998E-2</v>
      </c>
      <c r="C456" s="237"/>
    </row>
    <row r="457" spans="1:3" x14ac:dyDescent="0.2">
      <c r="A457" s="400">
        <v>40086</v>
      </c>
      <c r="B457" s="189">
        <v>5.1395000000000003E-2</v>
      </c>
      <c r="C457" s="237"/>
    </row>
    <row r="458" spans="1:3" x14ac:dyDescent="0.2">
      <c r="A458" s="400">
        <v>40117</v>
      </c>
      <c r="B458" s="189">
        <v>5.3545000000000002E-2</v>
      </c>
      <c r="C458" s="237"/>
    </row>
    <row r="459" spans="1:3" x14ac:dyDescent="0.2">
      <c r="A459" s="400">
        <v>40147</v>
      </c>
      <c r="B459" s="189">
        <v>5.2375999999999999E-2</v>
      </c>
      <c r="C459" s="237"/>
    </row>
    <row r="460" spans="1:3" x14ac:dyDescent="0.2">
      <c r="A460" s="400">
        <v>40178</v>
      </c>
      <c r="B460" s="189">
        <v>5.1499999999999997E-2</v>
      </c>
      <c r="C460" s="237"/>
    </row>
    <row r="461" spans="1:3" x14ac:dyDescent="0.2">
      <c r="A461" s="400">
        <v>40209</v>
      </c>
      <c r="B461" s="189">
        <v>5.2725000000000001E-2</v>
      </c>
      <c r="C461" s="237"/>
    </row>
    <row r="462" spans="1:3" x14ac:dyDescent="0.2">
      <c r="A462" s="400">
        <v>40237</v>
      </c>
      <c r="B462" s="189">
        <v>5.1200000000000002E-2</v>
      </c>
      <c r="C462" s="237"/>
    </row>
    <row r="463" spans="1:3" x14ac:dyDescent="0.2">
      <c r="A463" s="400">
        <v>40268</v>
      </c>
      <c r="B463" s="189">
        <v>5.3400000000000003E-2</v>
      </c>
      <c r="C463" s="237"/>
    </row>
    <row r="464" spans="1:3" x14ac:dyDescent="0.2">
      <c r="A464" s="400">
        <v>40298</v>
      </c>
      <c r="B464" s="189">
        <v>5.5300000000000002E-2</v>
      </c>
      <c r="C464" s="237"/>
    </row>
    <row r="465" spans="1:3" x14ac:dyDescent="0.2">
      <c r="A465" s="400">
        <v>40329</v>
      </c>
      <c r="B465" s="189">
        <v>5.2049999999999999E-2</v>
      </c>
      <c r="C465" s="237"/>
    </row>
    <row r="466" spans="1:3" x14ac:dyDescent="0.2">
      <c r="A466" s="400">
        <v>40359</v>
      </c>
      <c r="B466" s="189">
        <v>4.9724999999999998E-2</v>
      </c>
      <c r="C466" s="237"/>
    </row>
    <row r="467" spans="1:3" x14ac:dyDescent="0.2">
      <c r="A467" s="400">
        <v>40390</v>
      </c>
      <c r="B467" s="189">
        <v>4.7925000000000002E-2</v>
      </c>
      <c r="C467" s="237"/>
    </row>
    <row r="468" spans="1:3" x14ac:dyDescent="0.2">
      <c r="A468" s="400">
        <v>40421</v>
      </c>
      <c r="B468" s="189">
        <v>4.6625E-2</v>
      </c>
      <c r="C468" s="237"/>
    </row>
    <row r="469" spans="1:3" x14ac:dyDescent="0.2">
      <c r="A469" s="400">
        <v>40451</v>
      </c>
      <c r="B469" s="189">
        <v>4.8075E-2</v>
      </c>
      <c r="C469" s="237"/>
    </row>
    <row r="470" spans="1:3" x14ac:dyDescent="0.2">
      <c r="A470" s="400">
        <v>40482</v>
      </c>
      <c r="B470" s="189">
        <v>4.9674999999999997E-2</v>
      </c>
      <c r="C470" s="237"/>
    </row>
    <row r="471" spans="1:3" x14ac:dyDescent="0.2">
      <c r="A471" s="400">
        <v>40512</v>
      </c>
      <c r="B471" s="189">
        <v>5.21E-2</v>
      </c>
      <c r="C471" s="237"/>
    </row>
    <row r="472" spans="1:3" x14ac:dyDescent="0.2">
      <c r="A472" s="400">
        <v>40543</v>
      </c>
      <c r="B472" s="189">
        <v>5.33E-2</v>
      </c>
      <c r="C472" s="237"/>
    </row>
    <row r="473" spans="1:3" x14ac:dyDescent="0.2">
      <c r="A473" s="400">
        <v>40574</v>
      </c>
      <c r="B473" s="189">
        <v>5.2749999999999998E-2</v>
      </c>
      <c r="C473" s="237"/>
    </row>
    <row r="474" spans="1:3" x14ac:dyDescent="0.2">
      <c r="A474" s="400">
        <v>40602</v>
      </c>
      <c r="B474" s="189">
        <v>5.3900000000000003E-2</v>
      </c>
      <c r="C474" s="237"/>
    </row>
    <row r="475" spans="1:3" x14ac:dyDescent="0.2">
      <c r="A475" s="400">
        <v>40633</v>
      </c>
      <c r="B475" s="189">
        <v>5.2075000000000003E-2</v>
      </c>
      <c r="C475" s="237"/>
    </row>
    <row r="476" spans="1:3" x14ac:dyDescent="0.2">
      <c r="A476" s="400">
        <v>40663</v>
      </c>
      <c r="B476" s="189">
        <v>5.2925E-2</v>
      </c>
      <c r="C476" s="237"/>
    </row>
    <row r="477" spans="1:3" x14ac:dyDescent="0.2">
      <c r="A477" s="400">
        <v>40694</v>
      </c>
      <c r="B477" s="189">
        <v>5.1525000000000001E-2</v>
      </c>
      <c r="C477" s="237"/>
    </row>
    <row r="478" spans="1:3" x14ac:dyDescent="0.2">
      <c r="A478" s="400">
        <v>40724</v>
      </c>
      <c r="B478" s="189">
        <v>4.8849999999999998E-2</v>
      </c>
      <c r="C478" s="237"/>
    </row>
    <row r="479" spans="1:3" x14ac:dyDescent="0.2">
      <c r="A479" s="400">
        <v>40755</v>
      </c>
      <c r="B479" s="189">
        <v>4.6574999999999998E-2</v>
      </c>
      <c r="C479" s="237"/>
    </row>
    <row r="480" spans="1:3" x14ac:dyDescent="0.2">
      <c r="A480" s="400">
        <v>40786</v>
      </c>
      <c r="B480" s="189">
        <v>4.0175000000000002E-2</v>
      </c>
      <c r="C480" s="237"/>
    </row>
    <row r="481" spans="1:3" x14ac:dyDescent="0.2">
      <c r="A481" s="400">
        <v>40816</v>
      </c>
      <c r="B481" s="189">
        <v>3.7874999999999999E-2</v>
      </c>
      <c r="C481" s="237"/>
    </row>
    <row r="482" spans="1:3" x14ac:dyDescent="0.2">
      <c r="A482" s="400">
        <v>40847</v>
      </c>
      <c r="B482" s="189">
        <v>3.9449999999999999E-2</v>
      </c>
      <c r="C482" s="237"/>
    </row>
    <row r="483" spans="1:3" x14ac:dyDescent="0.2">
      <c r="A483" s="400">
        <v>40877</v>
      </c>
      <c r="B483" s="189">
        <v>3.5725E-2</v>
      </c>
      <c r="C483" s="237"/>
    </row>
    <row r="484" spans="1:3" x14ac:dyDescent="0.2">
      <c r="A484" s="400">
        <v>40908</v>
      </c>
      <c r="B484" s="189">
        <v>3.3349999999999998E-2</v>
      </c>
      <c r="C484" s="237"/>
    </row>
    <row r="485" spans="1:3" x14ac:dyDescent="0.2">
      <c r="A485" s="400">
        <v>40939</v>
      </c>
      <c r="B485" s="189">
        <v>3.3875000000000002E-2</v>
      </c>
      <c r="C485" s="237"/>
    </row>
    <row r="486" spans="1:3" x14ac:dyDescent="0.2">
      <c r="A486" s="400">
        <v>40968</v>
      </c>
      <c r="B486" s="189">
        <v>3.6200000000000003E-2</v>
      </c>
      <c r="C486" s="237"/>
    </row>
    <row r="487" spans="1:3" x14ac:dyDescent="0.2">
      <c r="A487" s="400">
        <v>40999</v>
      </c>
      <c r="B487" s="189">
        <v>3.7499999999999999E-2</v>
      </c>
      <c r="C487" s="237"/>
    </row>
    <row r="488" spans="1:3" x14ac:dyDescent="0.2">
      <c r="A488" s="400">
        <v>41029</v>
      </c>
      <c r="B488" s="189">
        <v>3.3625000000000002E-2</v>
      </c>
      <c r="C488" s="237"/>
    </row>
    <row r="489" spans="1:3" x14ac:dyDescent="0.2">
      <c r="A489" s="400">
        <v>41060</v>
      </c>
      <c r="B489" s="189">
        <v>2.75E-2</v>
      </c>
      <c r="C489" s="237"/>
    </row>
    <row r="490" spans="1:3" x14ac:dyDescent="0.2">
      <c r="A490" s="400">
        <v>41090</v>
      </c>
      <c r="B490" s="189">
        <v>2.4924999999999999E-2</v>
      </c>
      <c r="C490" s="237"/>
    </row>
    <row r="491" spans="1:3" x14ac:dyDescent="0.2">
      <c r="A491" s="400">
        <v>41121</v>
      </c>
      <c r="B491" s="189">
        <v>2.4674999999999999E-2</v>
      </c>
      <c r="C491" s="237"/>
    </row>
    <row r="492" spans="1:3" x14ac:dyDescent="0.2">
      <c r="A492" s="400">
        <v>41152</v>
      </c>
      <c r="B492" s="189">
        <v>2.8174999999999999E-2</v>
      </c>
      <c r="C492" s="237"/>
    </row>
    <row r="493" spans="1:3" x14ac:dyDescent="0.2">
      <c r="A493" s="400">
        <v>41182</v>
      </c>
      <c r="B493" s="189">
        <v>2.6624999999999999E-2</v>
      </c>
      <c r="C493" s="237"/>
    </row>
    <row r="494" spans="1:3" x14ac:dyDescent="0.2">
      <c r="A494" s="400">
        <v>41213</v>
      </c>
      <c r="B494" s="189">
        <v>2.615E-2</v>
      </c>
      <c r="C494" s="237"/>
    </row>
    <row r="495" spans="1:3" x14ac:dyDescent="0.2">
      <c r="A495" s="400">
        <v>41243</v>
      </c>
      <c r="B495" s="189">
        <v>2.7349999999999999E-2</v>
      </c>
      <c r="C495" s="237"/>
    </row>
    <row r="496" spans="1:3" x14ac:dyDescent="0.2">
      <c r="A496" s="400">
        <v>41274</v>
      </c>
      <c r="B496" s="189">
        <v>2.8250000000000001E-2</v>
      </c>
      <c r="C496" s="237"/>
    </row>
    <row r="497" spans="1:3" x14ac:dyDescent="0.2">
      <c r="A497" s="400">
        <v>41305</v>
      </c>
      <c r="B497" s="189">
        <v>2.9374999999999998E-2</v>
      </c>
      <c r="C497" s="237"/>
    </row>
    <row r="498" spans="1:3" x14ac:dyDescent="0.2">
      <c r="A498" s="400">
        <v>41333</v>
      </c>
      <c r="B498" s="189">
        <v>3.0200000000000001E-2</v>
      </c>
      <c r="C498" s="237"/>
    </row>
    <row r="499" spans="1:3" x14ac:dyDescent="0.2">
      <c r="A499" s="400">
        <v>41364</v>
      </c>
      <c r="B499" s="189">
        <v>3.1175000000000001E-2</v>
      </c>
      <c r="C499" s="237"/>
    </row>
    <row r="500" spans="1:3" x14ac:dyDescent="0.2">
      <c r="A500" s="400">
        <v>41394</v>
      </c>
      <c r="B500" s="189">
        <v>2.9075E-2</v>
      </c>
      <c r="C500" s="237"/>
    </row>
    <row r="501" spans="1:3" x14ac:dyDescent="0.2">
      <c r="A501" s="400">
        <v>41425</v>
      </c>
      <c r="B501" s="189">
        <v>2.7875E-2</v>
      </c>
      <c r="C501" s="237"/>
    </row>
    <row r="502" spans="1:3" x14ac:dyDescent="0.2">
      <c r="A502" s="400">
        <v>41455</v>
      </c>
      <c r="B502" s="189">
        <v>2.9233749999999999E-2</v>
      </c>
      <c r="C502" s="401" t="s">
        <v>603</v>
      </c>
    </row>
    <row r="503" spans="1:3" x14ac:dyDescent="0.2">
      <c r="A503" s="400">
        <v>41486</v>
      </c>
      <c r="B503" s="189">
        <v>3.0592500000000002E-2</v>
      </c>
      <c r="C503" s="401" t="s">
        <v>603</v>
      </c>
    </row>
    <row r="504" spans="1:3" x14ac:dyDescent="0.2">
      <c r="A504" s="400">
        <v>41517</v>
      </c>
      <c r="B504" s="189">
        <v>3.195125E-2</v>
      </c>
      <c r="C504" s="401" t="s">
        <v>603</v>
      </c>
    </row>
    <row r="505" spans="1:3" x14ac:dyDescent="0.2">
      <c r="A505" s="400">
        <v>41547</v>
      </c>
      <c r="B505" s="189">
        <v>3.3309999999999999E-2</v>
      </c>
      <c r="C505" s="237"/>
    </row>
    <row r="506" spans="1:3" x14ac:dyDescent="0.2">
      <c r="A506" s="400">
        <v>41578</v>
      </c>
      <c r="B506" s="189">
        <v>3.3509999999999998E-2</v>
      </c>
      <c r="C506" s="237"/>
    </row>
    <row r="507" spans="1:3" x14ac:dyDescent="0.2">
      <c r="A507" s="400">
        <v>41608</v>
      </c>
      <c r="B507" s="189">
        <v>3.4619999999999998E-2</v>
      </c>
      <c r="C507" s="237"/>
    </row>
    <row r="508" spans="1:3" x14ac:dyDescent="0.2">
      <c r="A508" s="400">
        <v>41639</v>
      </c>
      <c r="B508" s="189">
        <v>3.4610000000000002E-2</v>
      </c>
      <c r="C508" s="237"/>
    </row>
    <row r="509" spans="1:3" x14ac:dyDescent="0.2">
      <c r="A509" s="400">
        <v>41670</v>
      </c>
      <c r="B509" s="189">
        <v>3.4090000000000002E-2</v>
      </c>
      <c r="C509" s="237"/>
    </row>
    <row r="510" spans="1:3" x14ac:dyDescent="0.2">
      <c r="A510" s="400">
        <v>41698</v>
      </c>
      <c r="B510" s="189">
        <v>3.4079999999999999E-2</v>
      </c>
      <c r="C510" s="237"/>
    </row>
    <row r="511" spans="1:3" x14ac:dyDescent="0.2">
      <c r="A511" s="400">
        <v>41729</v>
      </c>
      <c r="B511" s="189">
        <v>3.4110000000000001E-2</v>
      </c>
      <c r="C511" s="237"/>
    </row>
    <row r="512" spans="1:3" x14ac:dyDescent="0.2">
      <c r="A512" s="400">
        <v>41759</v>
      </c>
      <c r="B512" s="189">
        <v>3.3980000000000003E-2</v>
      </c>
      <c r="C512" s="237"/>
    </row>
    <row r="513" spans="1:3" x14ac:dyDescent="0.2">
      <c r="A513" s="400">
        <v>41790</v>
      </c>
      <c r="B513" s="189">
        <v>3.2000000000000001E-2</v>
      </c>
      <c r="C513" s="237"/>
    </row>
    <row r="514" spans="1:3" x14ac:dyDescent="0.2">
      <c r="A514" s="400">
        <v>41820</v>
      </c>
      <c r="B514" s="189">
        <v>3.1179999999999999E-2</v>
      </c>
      <c r="C514" s="237"/>
    </row>
    <row r="515" spans="1:3" x14ac:dyDescent="0.2">
      <c r="A515" s="400">
        <v>41851</v>
      </c>
      <c r="B515" s="189">
        <v>2.937E-2</v>
      </c>
      <c r="C515" s="237"/>
    </row>
    <row r="516" spans="1:3" x14ac:dyDescent="0.2">
      <c r="A516" s="400">
        <v>41882</v>
      </c>
      <c r="B516" s="189">
        <v>2.9219999999999999E-2</v>
      </c>
      <c r="C516" s="237"/>
    </row>
    <row r="517" spans="1:3" x14ac:dyDescent="0.2">
      <c r="A517" s="400">
        <v>41912</v>
      </c>
      <c r="B517" s="189">
        <v>3.041E-2</v>
      </c>
      <c r="C517" s="237"/>
    </row>
    <row r="518" spans="1:3" x14ac:dyDescent="0.2">
      <c r="A518" s="400">
        <v>41943</v>
      </c>
      <c r="B518" s="189">
        <v>2.8389999999999999E-2</v>
      </c>
      <c r="C518" s="237"/>
    </row>
    <row r="519" spans="1:3" x14ac:dyDescent="0.2">
      <c r="A519" s="400">
        <v>41973</v>
      </c>
      <c r="B519" s="189">
        <v>2.767E-2</v>
      </c>
      <c r="C519" s="237"/>
    </row>
    <row r="520" spans="1:3" x14ac:dyDescent="0.2">
      <c r="A520" s="400">
        <v>42004</v>
      </c>
      <c r="B520" s="189">
        <v>2.435E-2</v>
      </c>
      <c r="C520" s="237"/>
    </row>
    <row r="521" spans="1:3" x14ac:dyDescent="0.2">
      <c r="A521" s="400">
        <v>42035</v>
      </c>
      <c r="B521" s="189">
        <v>2.2079999999999999E-2</v>
      </c>
      <c r="C521" s="237"/>
    </row>
    <row r="522" spans="1:3" x14ac:dyDescent="0.2">
      <c r="A522" s="400">
        <v>42063</v>
      </c>
      <c r="B522" s="189">
        <v>2.0119999999999999E-2</v>
      </c>
      <c r="C522" s="237"/>
    </row>
    <row r="523" spans="1:3" x14ac:dyDescent="0.2">
      <c r="A523" s="400">
        <v>42094</v>
      </c>
      <c r="B523" s="189">
        <v>1.9779999999999999E-2</v>
      </c>
      <c r="C523" s="237"/>
    </row>
    <row r="524" spans="1:3" x14ac:dyDescent="0.2">
      <c r="A524" s="400">
        <v>42124</v>
      </c>
      <c r="B524" s="189">
        <v>1.9470000000000001E-2</v>
      </c>
      <c r="C524" s="237"/>
    </row>
    <row r="525" spans="1:3" x14ac:dyDescent="0.2">
      <c r="A525" s="400">
        <v>42155</v>
      </c>
      <c r="B525" s="189">
        <v>2.2710000000000001E-2</v>
      </c>
      <c r="C525" s="237"/>
    </row>
    <row r="526" spans="1:3" x14ac:dyDescent="0.2">
      <c r="A526" s="400">
        <v>42185</v>
      </c>
      <c r="B526" s="189">
        <v>2.2880000000000001E-2</v>
      </c>
      <c r="C526" s="237"/>
    </row>
    <row r="527" spans="1:3" x14ac:dyDescent="0.2">
      <c r="A527" s="400">
        <v>42216</v>
      </c>
      <c r="B527" s="189">
        <v>2.2040000000000001E-2</v>
      </c>
      <c r="C527" s="237"/>
    </row>
    <row r="528" spans="1:3" x14ac:dyDescent="0.2">
      <c r="A528" s="400">
        <v>42247</v>
      </c>
      <c r="B528" s="189">
        <v>2.1000000000000001E-2</v>
      </c>
      <c r="C528" s="237"/>
    </row>
    <row r="529" spans="1:3" x14ac:dyDescent="0.2">
      <c r="A529" s="400">
        <v>42277</v>
      </c>
      <c r="B529" s="189">
        <v>2.1010000000000001E-2</v>
      </c>
      <c r="C529" s="237"/>
    </row>
    <row r="530" spans="1:3" x14ac:dyDescent="0.2">
      <c r="A530" s="400">
        <v>42308</v>
      </c>
      <c r="B530" s="189">
        <v>2.0719999999999999E-2</v>
      </c>
      <c r="C530" s="237"/>
    </row>
    <row r="531" spans="1:3" x14ac:dyDescent="0.2">
      <c r="A531" s="400">
        <v>42338</v>
      </c>
      <c r="B531" s="189">
        <v>2.2790000000000001E-2</v>
      </c>
      <c r="C531" s="237"/>
    </row>
    <row r="532" spans="1:3" x14ac:dyDescent="0.2">
      <c r="A532" s="400">
        <v>42369</v>
      </c>
      <c r="B532" s="189">
        <v>2.2839999999999999E-2</v>
      </c>
      <c r="C532" s="237"/>
    </row>
    <row r="533" spans="1:3" x14ac:dyDescent="0.2">
      <c r="A533" s="400">
        <v>42400</v>
      </c>
      <c r="B533" s="189">
        <v>2.147E-2</v>
      </c>
      <c r="C533" s="237"/>
    </row>
    <row r="534" spans="1:3" x14ac:dyDescent="0.2">
      <c r="A534" s="400">
        <v>42429</v>
      </c>
      <c r="B534" s="189">
        <v>1.9910000000000001E-2</v>
      </c>
      <c r="C534" s="237"/>
    </row>
    <row r="535" spans="1:3" x14ac:dyDescent="0.2">
      <c r="A535" s="400">
        <v>42460</v>
      </c>
      <c r="B535" s="189">
        <v>2.1340000000000001E-2</v>
      </c>
      <c r="C535" s="237"/>
    </row>
    <row r="536" spans="1:3" x14ac:dyDescent="0.2">
      <c r="A536" s="400">
        <v>42490</v>
      </c>
      <c r="B536" s="189">
        <v>2.0910000000000002E-2</v>
      </c>
      <c r="C536" s="237"/>
    </row>
    <row r="537" spans="1:3" x14ac:dyDescent="0.2">
      <c r="A537" s="400">
        <v>42521</v>
      </c>
      <c r="B537" s="189">
        <v>1.8319999999999999E-2</v>
      </c>
      <c r="C537" s="237"/>
    </row>
    <row r="538" spans="1:3" x14ac:dyDescent="0.2">
      <c r="A538" s="400">
        <v>42551</v>
      </c>
      <c r="B538" s="189">
        <v>1.721E-2</v>
      </c>
      <c r="C538" s="237"/>
    </row>
    <row r="539" spans="1:3" x14ac:dyDescent="0.2">
      <c r="A539" s="400">
        <v>42582</v>
      </c>
      <c r="B539" s="189">
        <v>1.6150000000000001E-2</v>
      </c>
      <c r="C539" s="237"/>
    </row>
    <row r="540" spans="1:3" x14ac:dyDescent="0.2">
      <c r="A540" s="400">
        <v>42613</v>
      </c>
      <c r="B540" s="189">
        <v>1.537E-2</v>
      </c>
      <c r="C540" s="237"/>
    </row>
    <row r="541" spans="1:3" x14ac:dyDescent="0.2">
      <c r="A541" s="400">
        <v>42643</v>
      </c>
      <c r="B541" s="189">
        <v>1.695E-2</v>
      </c>
      <c r="C541" s="237"/>
    </row>
    <row r="542" spans="1:3" x14ac:dyDescent="0.2">
      <c r="A542" s="400">
        <v>42674</v>
      </c>
      <c r="B542" s="189">
        <v>1.8419999999999999E-2</v>
      </c>
      <c r="C542" s="237"/>
    </row>
    <row r="543" spans="1:3" x14ac:dyDescent="0.2">
      <c r="A543" s="400">
        <v>42704</v>
      </c>
      <c r="B543" s="189">
        <v>2.0160000000000001E-2</v>
      </c>
      <c r="C543" s="237"/>
    </row>
    <row r="544" spans="1:3" x14ac:dyDescent="0.2">
      <c r="A544" s="400">
        <v>42735</v>
      </c>
      <c r="B544" s="189">
        <v>2.2419999999999999E-2</v>
      </c>
      <c r="C544" s="237"/>
    </row>
    <row r="545" spans="1:3" x14ac:dyDescent="0.2">
      <c r="A545" s="400">
        <v>42766</v>
      </c>
      <c r="B545" s="189">
        <v>2.2110000000000001E-2</v>
      </c>
      <c r="C545" s="237"/>
    </row>
    <row r="546" spans="1:3" x14ac:dyDescent="0.2">
      <c r="A546" s="400">
        <v>42794</v>
      </c>
      <c r="B546" s="189">
        <v>2.2169999999999999E-2</v>
      </c>
      <c r="C546" s="237"/>
    </row>
    <row r="547" spans="1:3" x14ac:dyDescent="0.2">
      <c r="A547" s="400">
        <v>42825</v>
      </c>
      <c r="B547" s="189">
        <v>2.2939999999999999E-2</v>
      </c>
      <c r="C547" s="237"/>
    </row>
    <row r="548" spans="1:3" x14ac:dyDescent="0.2">
      <c r="A548" s="400">
        <v>42855</v>
      </c>
      <c r="B548" s="189">
        <v>2.0879999999999999E-2</v>
      </c>
      <c r="C548" s="237"/>
    </row>
    <row r="549" spans="1:3" x14ac:dyDescent="0.2">
      <c r="A549" s="400">
        <v>42886</v>
      </c>
      <c r="B549" s="189">
        <v>2.0500000000000001E-2</v>
      </c>
      <c r="C549" s="237"/>
    </row>
    <row r="550" spans="1:3" x14ac:dyDescent="0.2">
      <c r="A550" s="400">
        <v>42916</v>
      </c>
      <c r="B550" s="189">
        <v>1.9869999999999999E-2</v>
      </c>
      <c r="C550" s="237"/>
    </row>
    <row r="551" spans="1:3" x14ac:dyDescent="0.2">
      <c r="A551" s="400">
        <v>42947</v>
      </c>
      <c r="B551" s="189">
        <v>2.2120000000000001E-2</v>
      </c>
      <c r="C551" s="237"/>
    </row>
    <row r="552" spans="1:3" x14ac:dyDescent="0.2">
      <c r="A552" s="400">
        <v>42978</v>
      </c>
      <c r="B552" s="189">
        <v>2.1860000000000001E-2</v>
      </c>
      <c r="C552" s="237"/>
    </row>
    <row r="553" spans="1:3" x14ac:dyDescent="0.2">
      <c r="A553" s="400">
        <v>43008</v>
      </c>
      <c r="B553" s="189">
        <v>2.2970000000000001E-2</v>
      </c>
      <c r="C553" s="237"/>
    </row>
    <row r="554" spans="1:3" x14ac:dyDescent="0.2">
      <c r="A554" s="400">
        <v>43039</v>
      </c>
      <c r="B554" s="189">
        <v>2.3380000000000001E-2</v>
      </c>
      <c r="C554" s="237"/>
    </row>
    <row r="555" spans="1:3" x14ac:dyDescent="0.2">
      <c r="A555" s="400">
        <v>43069</v>
      </c>
      <c r="B555" s="189">
        <v>2.172E-2</v>
      </c>
      <c r="C555" s="237"/>
    </row>
    <row r="556" spans="1:3" x14ac:dyDescent="0.2">
      <c r="A556" s="400">
        <v>43100</v>
      </c>
      <c r="B556" s="189">
        <v>2.2720000000000001E-2</v>
      </c>
      <c r="C556" s="237"/>
    </row>
    <row r="557" spans="1:3" x14ac:dyDescent="0.2">
      <c r="A557" s="400">
        <v>43131</v>
      </c>
      <c r="B557" s="189">
        <v>2.4080000000000001E-2</v>
      </c>
      <c r="C557" s="237"/>
    </row>
    <row r="558" spans="1:3" x14ac:dyDescent="0.2">
      <c r="A558" s="400">
        <v>43159</v>
      </c>
      <c r="B558" s="189">
        <v>2.4150000000000001E-2</v>
      </c>
      <c r="C558" s="237"/>
    </row>
    <row r="559" spans="1:3" x14ac:dyDescent="0.2">
      <c r="A559" s="400">
        <v>43190</v>
      </c>
      <c r="B559" s="189">
        <v>2.3570000000000001E-2</v>
      </c>
      <c r="C559" s="237"/>
    </row>
    <row r="560" spans="1:3" x14ac:dyDescent="0.2">
      <c r="A560" s="400">
        <v>43220</v>
      </c>
      <c r="B560" s="189">
        <v>2.4150000000000001E-2</v>
      </c>
      <c r="C560" s="237"/>
    </row>
    <row r="561" spans="1:3" x14ac:dyDescent="0.2">
      <c r="A561" s="400">
        <v>43251</v>
      </c>
      <c r="B561" s="189">
        <v>2.4150000000000001E-2</v>
      </c>
      <c r="C561" s="237"/>
    </row>
    <row r="562" spans="1:3" x14ac:dyDescent="0.2">
      <c r="A562" s="400">
        <v>43281</v>
      </c>
      <c r="B562" s="189">
        <v>2.3570000000000001E-2</v>
      </c>
      <c r="C562" s="237"/>
    </row>
    <row r="563" spans="1:3" x14ac:dyDescent="0.2">
      <c r="A563" s="400">
        <v>43312</v>
      </c>
      <c r="B563" s="189">
        <v>2.29E-2</v>
      </c>
      <c r="C563" s="237"/>
    </row>
    <row r="564" spans="1:3" x14ac:dyDescent="0.2">
      <c r="A564" s="400">
        <v>43343</v>
      </c>
      <c r="B564" s="189">
        <v>2.239E-2</v>
      </c>
      <c r="C564" s="237"/>
    </row>
    <row r="565" spans="1:3" x14ac:dyDescent="0.2">
      <c r="A565" s="400">
        <v>43373</v>
      </c>
      <c r="B565" s="189">
        <v>2.248E-2</v>
      </c>
      <c r="C565" s="237"/>
    </row>
    <row r="566" spans="1:3" x14ac:dyDescent="0.2">
      <c r="A566" s="400">
        <v>43404</v>
      </c>
      <c r="B566" s="189">
        <v>2.2780000000000002E-2</v>
      </c>
      <c r="C566" s="237"/>
    </row>
    <row r="567" spans="1:3" x14ac:dyDescent="0.2">
      <c r="A567" s="400">
        <v>43434</v>
      </c>
      <c r="B567" s="189">
        <v>2.3199999999999998E-2</v>
      </c>
      <c r="C567" s="237"/>
    </row>
    <row r="568" spans="1:3" x14ac:dyDescent="0.2">
      <c r="A568" s="400">
        <v>43465</v>
      </c>
      <c r="B568" s="189">
        <v>2.0969999999999999E-2</v>
      </c>
      <c r="C568" s="237"/>
    </row>
    <row r="569" spans="1:3" x14ac:dyDescent="0.2">
      <c r="A569" s="400">
        <v>43496</v>
      </c>
      <c r="B569" s="189">
        <v>1.9120000000000002E-2</v>
      </c>
      <c r="C569" s="237"/>
    </row>
    <row r="570" spans="1:3" x14ac:dyDescent="0.2">
      <c r="A570" s="400">
        <v>43524</v>
      </c>
      <c r="B570" s="189">
        <v>1.7430000000000001E-2</v>
      </c>
      <c r="C570" s="237"/>
    </row>
    <row r="571" spans="1:3" x14ac:dyDescent="0.2">
      <c r="A571" s="400">
        <v>43555</v>
      </c>
      <c r="B571" s="189">
        <v>1.5890000000000001E-2</v>
      </c>
      <c r="C571" s="237"/>
    </row>
    <row r="572" spans="1:3" x14ac:dyDescent="0.2">
      <c r="A572" s="400">
        <v>43585</v>
      </c>
      <c r="B572" s="189">
        <v>1.481E-2</v>
      </c>
      <c r="C572" s="237"/>
    </row>
    <row r="573" spans="1:3" x14ac:dyDescent="0.2">
      <c r="A573" s="400">
        <v>43616</v>
      </c>
      <c r="B573" s="189">
        <v>1.291E-2</v>
      </c>
      <c r="C573" s="237"/>
    </row>
    <row r="574" spans="1:3" x14ac:dyDescent="0.2">
      <c r="A574" s="400">
        <v>43646</v>
      </c>
      <c r="B574" s="189">
        <v>1.0659999999999999E-2</v>
      </c>
      <c r="C574" s="237"/>
    </row>
    <row r="575" spans="1:3" x14ac:dyDescent="0.2">
      <c r="A575" s="400">
        <v>43677</v>
      </c>
      <c r="B575" s="189">
        <v>9.9600000000000001E-3</v>
      </c>
      <c r="C575" s="237"/>
    </row>
    <row r="576" spans="1:3" x14ac:dyDescent="0.2">
      <c r="A576" s="400">
        <v>43708</v>
      </c>
      <c r="B576" s="189">
        <v>7.1300000000000001E-3</v>
      </c>
      <c r="C576" s="237"/>
    </row>
    <row r="577" spans="1:3" x14ac:dyDescent="0.2">
      <c r="A577" s="400">
        <v>43738</v>
      </c>
      <c r="B577" s="189">
        <v>8.0999999999999996E-3</v>
      </c>
      <c r="C577" s="237"/>
    </row>
    <row r="578" spans="1:3" x14ac:dyDescent="0.2">
      <c r="A578" s="400">
        <v>43769</v>
      </c>
      <c r="B578" s="189">
        <v>7.6600000000000001E-3</v>
      </c>
      <c r="C578" s="237"/>
    </row>
    <row r="579" spans="1:3" x14ac:dyDescent="0.2">
      <c r="A579" s="400">
        <v>43799</v>
      </c>
      <c r="B579" s="189">
        <v>8.5800000000000008E-3</v>
      </c>
      <c r="C579" s="237"/>
    </row>
    <row r="580" spans="1:3" x14ac:dyDescent="0.2">
      <c r="A580" s="400">
        <v>43830</v>
      </c>
      <c r="B580" s="189">
        <v>8.7399999999999995E-3</v>
      </c>
      <c r="C580" s="237"/>
    </row>
    <row r="581" spans="1:3" x14ac:dyDescent="0.2">
      <c r="A581" s="400">
        <v>43861</v>
      </c>
      <c r="B581" s="189">
        <v>8.5299999999999994E-3</v>
      </c>
      <c r="C581" s="237"/>
    </row>
    <row r="582" spans="1:3" x14ac:dyDescent="0.2">
      <c r="A582" s="400">
        <v>43890</v>
      </c>
      <c r="B582" s="189">
        <v>7.3800000000000003E-3</v>
      </c>
      <c r="C582" s="237"/>
    </row>
    <row r="583" spans="1:3" x14ac:dyDescent="0.2">
      <c r="A583" s="400">
        <v>43921</v>
      </c>
      <c r="B583" s="189">
        <v>5.0000000000000001E-3</v>
      </c>
      <c r="C583" s="237"/>
    </row>
    <row r="584" spans="1:3" x14ac:dyDescent="0.2">
      <c r="A584" s="400">
        <v>43951</v>
      </c>
      <c r="B584" s="189">
        <v>4.2100000000000002E-3</v>
      </c>
      <c r="C584" s="237"/>
    </row>
    <row r="585" spans="1:3" x14ac:dyDescent="0.2">
      <c r="A585" s="400">
        <v>43982</v>
      </c>
      <c r="B585" s="189">
        <v>3.9500000000000004E-3</v>
      </c>
      <c r="C585" s="237"/>
    </row>
    <row r="586" spans="1:3" x14ac:dyDescent="0.2">
      <c r="A586" s="400">
        <v>44012</v>
      </c>
      <c r="B586" s="189">
        <v>4.0299999999999997E-3</v>
      </c>
      <c r="C586" s="237"/>
    </row>
    <row r="587" spans="1:3" x14ac:dyDescent="0.2">
      <c r="A587" s="400">
        <v>44043</v>
      </c>
      <c r="B587" s="189">
        <v>4.2500000000000003E-3</v>
      </c>
      <c r="C587" s="237"/>
    </row>
    <row r="588" spans="1:3" x14ac:dyDescent="0.2">
      <c r="A588" s="400">
        <v>44074</v>
      </c>
      <c r="B588" s="189">
        <v>4.2500000000000003E-3</v>
      </c>
      <c r="C588" s="237"/>
    </row>
    <row r="589" spans="1:3" x14ac:dyDescent="0.2">
      <c r="A589" s="400">
        <v>44104</v>
      </c>
      <c r="B589" s="189">
        <v>3.9300000000000003E-3</v>
      </c>
      <c r="C589" s="237"/>
    </row>
    <row r="590" spans="1:3" x14ac:dyDescent="0.2">
      <c r="A590" s="400">
        <v>44135</v>
      </c>
      <c r="B590" s="189">
        <v>2.9099999999999998E-3</v>
      </c>
      <c r="C590" s="237"/>
    </row>
    <row r="591" spans="1:3" x14ac:dyDescent="0.2">
      <c r="A591" s="400">
        <v>44165</v>
      </c>
      <c r="B591" s="189">
        <v>2.8600000000000001E-3</v>
      </c>
      <c r="C591" s="237"/>
    </row>
    <row r="592" spans="1:3" x14ac:dyDescent="0.2">
      <c r="A592" s="400">
        <v>44196</v>
      </c>
      <c r="B592" s="189">
        <v>3.4299999999999999E-3</v>
      </c>
      <c r="C592" s="237"/>
    </row>
    <row r="593" spans="1:3" x14ac:dyDescent="0.2">
      <c r="A593" s="400">
        <v>44227</v>
      </c>
      <c r="B593" s="189">
        <v>3.7299999999999998E-3</v>
      </c>
      <c r="C593" s="237"/>
    </row>
    <row r="594" spans="1:3" x14ac:dyDescent="0.2">
      <c r="A594" s="400">
        <v>44255</v>
      </c>
      <c r="B594" s="189">
        <v>4.8500000000000001E-3</v>
      </c>
      <c r="C594" s="237"/>
    </row>
    <row r="595" spans="1:3" x14ac:dyDescent="0.2">
      <c r="A595" s="400">
        <v>44286</v>
      </c>
      <c r="B595" s="189">
        <v>7.0800000000000004E-3</v>
      </c>
      <c r="C595" s="237"/>
    </row>
    <row r="596" spans="1:3" x14ac:dyDescent="0.2">
      <c r="A596" s="400">
        <v>44316</v>
      </c>
      <c r="B596" s="189">
        <v>6.9199999999999999E-3</v>
      </c>
      <c r="C596" s="237"/>
    </row>
    <row r="597" spans="1:3" x14ac:dyDescent="0.2">
      <c r="A597" s="400">
        <v>44347</v>
      </c>
      <c r="B597" s="189">
        <v>7.0000000000000001E-3</v>
      </c>
      <c r="C597" s="237"/>
    </row>
    <row r="598" spans="1:3" x14ac:dyDescent="0.2">
      <c r="A598" s="400">
        <v>44377</v>
      </c>
      <c r="B598" s="189">
        <v>7.3200000000000001E-3</v>
      </c>
      <c r="C598" s="237"/>
    </row>
    <row r="599" spans="1:3" x14ac:dyDescent="0.2">
      <c r="A599" s="400">
        <v>44408</v>
      </c>
      <c r="B599" s="189">
        <v>6.3699999999999998E-3</v>
      </c>
      <c r="C599" s="237"/>
    </row>
    <row r="600" spans="1:3" x14ac:dyDescent="0.2">
      <c r="A600" s="400">
        <v>44439</v>
      </c>
      <c r="B600" s="189">
        <v>5.7499999999999999E-3</v>
      </c>
      <c r="C600" s="237"/>
    </row>
    <row r="601" spans="1:3" x14ac:dyDescent="0.2">
      <c r="A601" s="400">
        <v>44469</v>
      </c>
      <c r="B601" s="189">
        <v>6.6400000000000001E-3</v>
      </c>
      <c r="C601" s="237"/>
    </row>
    <row r="602" spans="1:3" x14ac:dyDescent="0.2">
      <c r="A602" s="400">
        <v>44500</v>
      </c>
      <c r="B602" s="189">
        <v>1.1050000000000001E-2</v>
      </c>
      <c r="C602" s="237"/>
    </row>
    <row r="603" spans="1:3" x14ac:dyDescent="0.2">
      <c r="A603" s="400">
        <v>44530</v>
      </c>
      <c r="B603" s="189">
        <v>1.376E-2</v>
      </c>
      <c r="C603" s="237"/>
    </row>
    <row r="604" spans="1:3" x14ac:dyDescent="0.2">
      <c r="A604" s="400">
        <v>44561</v>
      </c>
      <c r="B604" s="189">
        <v>1.324E-2</v>
      </c>
      <c r="C604" s="237"/>
    </row>
    <row r="605" spans="1:3" x14ac:dyDescent="0.2">
      <c r="A605" s="400">
        <v>44592</v>
      </c>
      <c r="B605" s="189">
        <v>1.5429999999999999E-2</v>
      </c>
      <c r="C605" s="237"/>
    </row>
    <row r="606" spans="1:3" x14ac:dyDescent="0.2">
      <c r="A606" s="400">
        <v>44620</v>
      </c>
      <c r="B606" s="189">
        <v>1.813E-2</v>
      </c>
      <c r="C606" s="237"/>
    </row>
    <row r="607" spans="1:3" x14ac:dyDescent="0.2">
      <c r="A607" s="400">
        <v>44651</v>
      </c>
      <c r="B607" s="189">
        <v>2.2100000000000002E-2</v>
      </c>
      <c r="C607" s="237"/>
    </row>
    <row r="608" spans="1:3" x14ac:dyDescent="0.2">
      <c r="A608" s="400">
        <v>44681</v>
      </c>
      <c r="B608" s="189">
        <v>2.7740000000000001E-2</v>
      </c>
      <c r="C608" s="237"/>
    </row>
    <row r="609" spans="1:3" x14ac:dyDescent="0.2">
      <c r="A609" s="400">
        <v>44712</v>
      </c>
      <c r="B609" s="189">
        <v>3.091E-2</v>
      </c>
      <c r="C609" s="237"/>
    </row>
    <row r="610" spans="1:3" x14ac:dyDescent="0.2">
      <c r="A610" s="400">
        <v>44742</v>
      </c>
      <c r="B610" s="189">
        <v>3.4950000000000002E-2</v>
      </c>
      <c r="C610" s="237"/>
    </row>
    <row r="611" spans="1:3" x14ac:dyDescent="0.2">
      <c r="A611" s="400">
        <v>44773</v>
      </c>
      <c r="B611" s="189">
        <v>3.1579999999999997E-2</v>
      </c>
      <c r="C611" s="237"/>
    </row>
    <row r="612" spans="1:3" x14ac:dyDescent="0.2">
      <c r="A612" s="400">
        <v>44804</v>
      </c>
      <c r="B612" s="189">
        <v>3.1489999999999997E-2</v>
      </c>
      <c r="C612" s="237"/>
    </row>
    <row r="613" spans="1:3" x14ac:dyDescent="0.2">
      <c r="A613" s="400">
        <v>44834</v>
      </c>
      <c r="B613" s="189">
        <v>3.5040000000000002E-2</v>
      </c>
      <c r="C613" s="237"/>
    </row>
    <row r="614" spans="1:3" x14ac:dyDescent="0.2">
      <c r="A614" s="400">
        <v>44865</v>
      </c>
      <c r="B614" s="189">
        <v>3.61E-2</v>
      </c>
      <c r="C614" s="237"/>
    </row>
    <row r="615" spans="1:3" x14ac:dyDescent="0.2">
      <c r="A615" s="400">
        <v>44895</v>
      </c>
      <c r="B615" s="189">
        <v>3.4209999999999997E-2</v>
      </c>
      <c r="C615" s="237"/>
    </row>
    <row r="616" spans="1:3" x14ac:dyDescent="0.2">
      <c r="A616" s="400">
        <v>44926</v>
      </c>
      <c r="B616" s="189">
        <v>3.3059999999999999E-2</v>
      </c>
      <c r="C616" s="237"/>
    </row>
    <row r="617" spans="1:3" x14ac:dyDescent="0.2">
      <c r="A617" s="400">
        <v>44957</v>
      </c>
      <c r="B617" s="189">
        <v>3.329E-2</v>
      </c>
      <c r="C617" s="237"/>
    </row>
    <row r="618" spans="1:3" x14ac:dyDescent="0.2">
      <c r="A618" s="400">
        <v>44985</v>
      </c>
      <c r="B618" s="189">
        <v>3.465E-2</v>
      </c>
      <c r="C618" s="237"/>
    </row>
    <row r="619" spans="1:3" x14ac:dyDescent="0.2">
      <c r="A619" s="400">
        <v>45016</v>
      </c>
      <c r="B619" s="189">
        <v>3.2030000000000003E-2</v>
      </c>
      <c r="C619" s="237"/>
    </row>
    <row r="620" spans="1:3" x14ac:dyDescent="0.2">
      <c r="A620" s="400">
        <v>45046</v>
      </c>
      <c r="B620" s="189">
        <v>3.0550000000000001E-2</v>
      </c>
      <c r="C620" s="237"/>
    </row>
    <row r="621" spans="1:3" x14ac:dyDescent="0.2">
      <c r="A621" s="400">
        <v>45077</v>
      </c>
      <c r="B621" s="189">
        <v>3.2160000000000001E-2</v>
      </c>
      <c r="C621" s="237"/>
    </row>
    <row r="622" spans="1:3" x14ac:dyDescent="0.2">
      <c r="A622" s="400">
        <v>45107</v>
      </c>
      <c r="B622" s="189">
        <v>3.78E-2</v>
      </c>
      <c r="C622" s="237"/>
    </row>
    <row r="623" spans="1:3" x14ac:dyDescent="0.2">
      <c r="A623" s="400">
        <v>45138</v>
      </c>
      <c r="B623" s="189">
        <v>3.909E-2</v>
      </c>
      <c r="C623" s="237"/>
    </row>
    <row r="624" spans="1:3" x14ac:dyDescent="0.2">
      <c r="A624" s="400">
        <v>45169</v>
      </c>
      <c r="B624" s="189">
        <v>3.8580000000000003E-2</v>
      </c>
      <c r="C624" s="237"/>
    </row>
    <row r="625" spans="1:3" x14ac:dyDescent="0.2">
      <c r="A625" s="400">
        <v>45199</v>
      </c>
      <c r="B625" s="189">
        <v>3.9350000000000003E-2</v>
      </c>
      <c r="C625" s="237"/>
    </row>
    <row r="626" spans="1:3" x14ac:dyDescent="0.2">
      <c r="A626" s="400">
        <v>45230</v>
      </c>
      <c r="B626" s="189">
        <v>4.2349999999999999E-2</v>
      </c>
      <c r="C626" s="237"/>
    </row>
    <row r="627" spans="1:3" x14ac:dyDescent="0.2">
      <c r="A627" s="400">
        <v>45260</v>
      </c>
      <c r="B627" s="189">
        <v>4.2529999999999998E-2</v>
      </c>
      <c r="C627" s="237"/>
    </row>
    <row r="628" spans="1:3" x14ac:dyDescent="0.2">
      <c r="A628" s="400">
        <v>45291</v>
      </c>
      <c r="B628" s="189">
        <v>3.8600000000000002E-2</v>
      </c>
      <c r="C628" s="237"/>
    </row>
    <row r="629" spans="1:3" x14ac:dyDescent="0.2">
      <c r="A629" s="400">
        <v>45322</v>
      </c>
      <c r="B629" s="189">
        <v>3.7999999999999999E-2</v>
      </c>
      <c r="C629" s="237"/>
    </row>
    <row r="630" spans="1:3" x14ac:dyDescent="0.2">
      <c r="A630" s="400">
        <v>45351</v>
      </c>
      <c r="B630" s="189">
        <v>3.7789999999999997E-2</v>
      </c>
      <c r="C630" s="237"/>
    </row>
    <row r="631" spans="1:3" x14ac:dyDescent="0.2">
      <c r="A631" s="400">
        <v>45382</v>
      </c>
      <c r="B631" s="189">
        <v>3.7139999999999999E-2</v>
      </c>
      <c r="C631" s="237"/>
    </row>
    <row r="632" spans="1:3" x14ac:dyDescent="0.2">
      <c r="A632" s="400">
        <v>45412</v>
      </c>
      <c r="B632" s="189">
        <v>3.9170000000000003E-2</v>
      </c>
      <c r="C632" s="237"/>
    </row>
    <row r="633" spans="1:3" x14ac:dyDescent="0.2">
      <c r="A633" s="400">
        <v>45443</v>
      </c>
      <c r="B633" s="189">
        <v>4.02E-2</v>
      </c>
      <c r="C633" s="237"/>
    </row>
    <row r="634" spans="1:3" x14ac:dyDescent="0.2">
      <c r="A634" s="400">
        <v>45473</v>
      </c>
      <c r="B634" s="189">
        <v>3.9759999999999997E-2</v>
      </c>
      <c r="C634" s="237"/>
    </row>
    <row r="635" spans="1:3" x14ac:dyDescent="0.2">
      <c r="A635" s="400">
        <v>45504</v>
      </c>
      <c r="B635" s="189">
        <v>4.0550000000000003E-2</v>
      </c>
      <c r="C635" s="237"/>
    </row>
    <row r="636" spans="1:3" x14ac:dyDescent="0.2">
      <c r="A636" s="400">
        <v>45535</v>
      </c>
      <c r="B636" s="189">
        <v>3.6400000000000002E-2</v>
      </c>
      <c r="C636" s="237"/>
    </row>
    <row r="637" spans="1:3" x14ac:dyDescent="0.2">
      <c r="A637" s="400">
        <v>45565</v>
      </c>
      <c r="B637" s="189">
        <v>3.5589999999999997E-2</v>
      </c>
      <c r="C637" s="237"/>
    </row>
    <row r="638" spans="1:3" x14ac:dyDescent="0.2">
      <c r="A638" s="400">
        <v>45596</v>
      </c>
      <c r="B638" s="189">
        <v>3.8920000000000003E-2</v>
      </c>
      <c r="C638" s="237"/>
    </row>
    <row r="639" spans="1:3" x14ac:dyDescent="0.2">
      <c r="A639" s="400">
        <v>45626</v>
      </c>
      <c r="B639" s="189">
        <v>4.1680000000000002E-2</v>
      </c>
      <c r="C639" s="237"/>
    </row>
    <row r="640" spans="1:3" x14ac:dyDescent="0.2">
      <c r="A640" s="400">
        <v>45657</v>
      </c>
      <c r="B640" s="189">
        <v>3.934E-2</v>
      </c>
      <c r="C640" s="237"/>
    </row>
    <row r="641" spans="1:3" x14ac:dyDescent="0.2">
      <c r="A641" s="400">
        <v>45688</v>
      </c>
      <c r="B641" s="189">
        <v>4.0379999999999999E-2</v>
      </c>
      <c r="C641" s="237"/>
    </row>
    <row r="642" spans="1:3" x14ac:dyDescent="0.2">
      <c r="A642" s="400">
        <v>45716</v>
      </c>
      <c r="B642" s="189">
        <v>3.9629999999999999E-2</v>
      </c>
      <c r="C642" s="237"/>
    </row>
    <row r="643" spans="1:3" x14ac:dyDescent="0.2">
      <c r="A643" s="400">
        <v>45747</v>
      </c>
      <c r="B643" s="189">
        <v>3.9050000000000001E-2</v>
      </c>
      <c r="C643" s="237"/>
    </row>
    <row r="644" spans="1:3" x14ac:dyDescent="0.2">
      <c r="A644" s="400">
        <v>45777</v>
      </c>
      <c r="B644" s="189">
        <v>3.5999999999999997E-2</v>
      </c>
      <c r="C644" s="237"/>
    </row>
    <row r="645" spans="1:3" x14ac:dyDescent="0.2">
      <c r="A645" s="400">
        <v>45808</v>
      </c>
      <c r="B645" s="189">
        <v>3.6679999999999997E-2</v>
      </c>
      <c r="C645" s="237"/>
    </row>
    <row r="646" spans="1:3" x14ac:dyDescent="0.2">
      <c r="A646" s="400">
        <v>45838</v>
      </c>
      <c r="B646" s="189">
        <v>3.5229999999999997E-2</v>
      </c>
      <c r="C646" s="237"/>
    </row>
    <row r="647" spans="1:3" x14ac:dyDescent="0.2">
      <c r="A647" s="400">
        <v>45869</v>
      </c>
      <c r="B647" s="189">
        <v>3.6040000000000003E-2</v>
      </c>
      <c r="C647" s="237"/>
    </row>
    <row r="648" spans="1:3" x14ac:dyDescent="0.2">
      <c r="A648" s="400">
        <v>45900</v>
      </c>
      <c r="B648" s="189">
        <v>3.5909999999999997E-2</v>
      </c>
      <c r="C648" s="237"/>
    </row>
    <row r="649" spans="1:3" x14ac:dyDescent="0.2">
      <c r="A649" s="400">
        <v>45930</v>
      </c>
      <c r="B649" s="189">
        <v>3.6540000000000003E-2</v>
      </c>
      <c r="C649" s="237"/>
    </row>
    <row r="650" spans="1:3" x14ac:dyDescent="0.2">
      <c r="A650" s="400">
        <v>45961</v>
      </c>
      <c r="B650" s="189">
        <v>3.6459999999999999E-2</v>
      </c>
      <c r="C650" s="237"/>
    </row>
    <row r="651" spans="1:3" x14ac:dyDescent="0.2">
      <c r="A651" s="400">
        <v>45991</v>
      </c>
      <c r="B651" s="189">
        <v>3.9039999999999998E-2</v>
      </c>
      <c r="C651" s="237"/>
    </row>
    <row r="652" spans="1:3" x14ac:dyDescent="0.2">
      <c r="A652" s="400">
        <v>46022</v>
      </c>
      <c r="B652" s="189">
        <v>4.2540000000000001E-2</v>
      </c>
      <c r="C652" s="237"/>
    </row>
    <row r="653" spans="1:3" x14ac:dyDescent="0.2">
      <c r="A653" s="400">
        <v>46053</v>
      </c>
      <c r="B653" s="189">
        <v>4.301E-2</v>
      </c>
      <c r="C653" s="237"/>
    </row>
    <row r="654" spans="1:3" x14ac:dyDescent="0.2">
      <c r="A654" s="400">
        <v>46081</v>
      </c>
      <c r="B654" s="189">
        <v>4.3729999999999998E-2</v>
      </c>
      <c r="C654" s="237"/>
    </row>
    <row r="655" spans="1:3" x14ac:dyDescent="0.2">
      <c r="A655" s="400">
        <v>46112</v>
      </c>
      <c r="B655" s="189">
        <v>4.6210000000000001E-2</v>
      </c>
      <c r="C655" s="237"/>
    </row>
    <row r="656" spans="1:3" x14ac:dyDescent="0.2">
      <c r="A656" s="400">
        <v>46142</v>
      </c>
      <c r="B656" s="189">
        <v>4.6829999999999997E-2</v>
      </c>
      <c r="C656" s="237"/>
    </row>
    <row r="657" spans="1:3" x14ac:dyDescent="0.2">
      <c r="A657" s="400">
        <v>46173</v>
      </c>
      <c r="B657" s="189">
        <v>4.6670000000000003E-2</v>
      </c>
      <c r="C657" s="237"/>
    </row>
    <row r="658" spans="1:3" x14ac:dyDescent="0.2">
      <c r="A658" s="400">
        <v>46203</v>
      </c>
      <c r="B658" s="189">
        <v>4.4929999999999998E-2</v>
      </c>
      <c r="C658" s="237"/>
    </row>
    <row r="659" spans="1:3" x14ac:dyDescent="0.2">
      <c r="A659" s="400">
        <v>46234</v>
      </c>
      <c r="B659" s="189">
        <v>4.5519999999999998E-2</v>
      </c>
      <c r="C659" s="237"/>
    </row>
    <row r="660" spans="1:3" x14ac:dyDescent="0.2">
      <c r="A660" s="400">
        <v>46265</v>
      </c>
      <c r="B660" s="189">
        <v>4.6240000000000003E-2</v>
      </c>
      <c r="C660" s="401" t="s">
        <v>604</v>
      </c>
    </row>
    <row r="661" spans="1:3" x14ac:dyDescent="0.2">
      <c r="A661" s="402">
        <v>46287</v>
      </c>
      <c r="B661" s="403">
        <v>4.9880000000000001E-2</v>
      </c>
      <c r="C661" s="404" t="s">
        <v>604</v>
      </c>
    </row>
  </sheetData>
  <pageMargins left="0.75" right="0.75" top="1" bottom="1" header="0.5" footer="0.5"/>
  <pageSetup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6"/>
  <sheetViews>
    <sheetView zoomScale="130" zoomScaleNormal="130" workbookViewId="0">
      <selection activeCell="L11" sqref="L11"/>
    </sheetView>
  </sheetViews>
  <sheetFormatPr baseColWidth="10" defaultColWidth="8.83203125" defaultRowHeight="15" x14ac:dyDescent="0.2"/>
  <cols>
    <col min="1" max="1" width="20.83203125" bestFit="1" customWidth="1"/>
    <col min="2" max="2" width="17" customWidth="1"/>
  </cols>
  <sheetData>
    <row r="1" spans="1:11" x14ac:dyDescent="0.2">
      <c r="A1" t="s">
        <v>605</v>
      </c>
      <c r="B1" t="s">
        <v>606</v>
      </c>
    </row>
    <row r="2" spans="1:11" x14ac:dyDescent="0.2">
      <c r="A2" s="1" t="s">
        <v>607</v>
      </c>
      <c r="B2" s="410" t="s">
        <v>608</v>
      </c>
    </row>
    <row r="3" spans="1:11" x14ac:dyDescent="0.2">
      <c r="A3" s="1" t="s">
        <v>609</v>
      </c>
      <c r="B3" t="s">
        <v>610</v>
      </c>
    </row>
    <row r="4" spans="1:11" x14ac:dyDescent="0.2">
      <c r="A4" s="1" t="s">
        <v>611</v>
      </c>
      <c r="B4" t="s">
        <v>612</v>
      </c>
    </row>
    <row r="5" spans="1:11" x14ac:dyDescent="0.2">
      <c r="A5" s="1" t="s">
        <v>613</v>
      </c>
      <c r="B5" t="s">
        <v>614</v>
      </c>
    </row>
    <row r="6" spans="1:11" x14ac:dyDescent="0.2">
      <c r="A6" s="1" t="s">
        <v>22</v>
      </c>
      <c r="B6" t="s">
        <v>615</v>
      </c>
      <c r="K6" s="415"/>
    </row>
    <row r="7" spans="1:11" x14ac:dyDescent="0.2">
      <c r="A7" t="s">
        <v>616</v>
      </c>
      <c r="B7" t="s">
        <v>617</v>
      </c>
      <c r="K7" s="413"/>
    </row>
    <row r="8" spans="1:11" x14ac:dyDescent="0.2">
      <c r="A8" t="s">
        <v>618</v>
      </c>
      <c r="B8" t="s">
        <v>619</v>
      </c>
      <c r="K8" s="413"/>
    </row>
    <row r="9" spans="1:11" x14ac:dyDescent="0.2">
      <c r="A9" t="s">
        <v>620</v>
      </c>
      <c r="B9" t="s">
        <v>621</v>
      </c>
      <c r="K9" s="413"/>
    </row>
    <row r="10" spans="1:11" x14ac:dyDescent="0.2">
      <c r="A10" t="s">
        <v>622</v>
      </c>
      <c r="B10" t="s">
        <v>623</v>
      </c>
      <c r="K10" s="413"/>
    </row>
    <row r="11" spans="1:11" x14ac:dyDescent="0.2">
      <c r="A11" s="1" t="s">
        <v>624</v>
      </c>
      <c r="B11" t="s">
        <v>625</v>
      </c>
      <c r="K11" s="413"/>
    </row>
    <row r="12" spans="1:11" x14ac:dyDescent="0.2">
      <c r="A12" t="s">
        <v>34</v>
      </c>
      <c r="B12" t="s">
        <v>626</v>
      </c>
      <c r="K12" s="413"/>
    </row>
    <row r="13" spans="1:11" x14ac:dyDescent="0.2">
      <c r="K13" s="413"/>
    </row>
    <row r="14" spans="1:11" ht="96" customHeight="1" x14ac:dyDescent="0.2">
      <c r="A14" s="4" t="s">
        <v>627</v>
      </c>
      <c r="B14" s="3" t="s">
        <v>628</v>
      </c>
      <c r="K14" s="413"/>
    </row>
    <row r="15" spans="1:11" x14ac:dyDescent="0.2">
      <c r="K15" s="413"/>
    </row>
    <row r="16" spans="1:11" x14ac:dyDescent="0.2">
      <c r="K16" s="413"/>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497"/>
  <sheetViews>
    <sheetView zoomScaleNormal="100" workbookViewId="0">
      <selection activeCell="A4" sqref="A4"/>
    </sheetView>
  </sheetViews>
  <sheetFormatPr baseColWidth="10" defaultColWidth="8.83203125" defaultRowHeight="15" x14ac:dyDescent="0.2"/>
  <cols>
    <col min="1" max="1" width="12" style="2" bestFit="1" customWidth="1"/>
    <col min="2" max="2" width="15.6640625" style="1" bestFit="1" customWidth="1"/>
    <col min="3" max="3" width="12.83203125" style="1" bestFit="1" customWidth="1"/>
    <col min="4" max="4" width="17.1640625" style="1" bestFit="1" customWidth="1"/>
    <col min="5" max="5" width="15.33203125" style="1" bestFit="1" customWidth="1"/>
    <col min="6" max="6" width="13.5" style="1" bestFit="1" customWidth="1"/>
    <col min="7" max="7" width="15" style="1" bestFit="1" customWidth="1"/>
    <col min="8" max="8" width="12.5" style="1" bestFit="1" customWidth="1"/>
    <col min="9" max="9" width="14" style="1" bestFit="1" customWidth="1"/>
    <col min="10" max="10" width="22.1640625" style="1" bestFit="1" customWidth="1"/>
    <col min="11" max="11" width="19.1640625" style="1" bestFit="1" customWidth="1"/>
    <col min="12" max="12" width="8.1640625" style="1" bestFit="1" customWidth="1"/>
  </cols>
  <sheetData>
    <row r="1" spans="1:12" x14ac:dyDescent="0.2">
      <c r="A1" s="2" t="s">
        <v>601</v>
      </c>
      <c r="B1" s="1" t="s">
        <v>607</v>
      </c>
      <c r="C1" s="1" t="s">
        <v>609</v>
      </c>
      <c r="D1" s="1" t="s">
        <v>611</v>
      </c>
      <c r="E1" s="1" t="s">
        <v>613</v>
      </c>
      <c r="F1" s="1" t="s">
        <v>22</v>
      </c>
      <c r="G1" s="1" t="s">
        <v>616</v>
      </c>
      <c r="H1" s="1" t="s">
        <v>618</v>
      </c>
      <c r="I1" s="1" t="s">
        <v>620</v>
      </c>
      <c r="J1" s="1" t="s">
        <v>622</v>
      </c>
      <c r="K1" s="1" t="s">
        <v>624</v>
      </c>
      <c r="L1" s="1" t="s">
        <v>34</v>
      </c>
    </row>
    <row r="2" spans="1:12" x14ac:dyDescent="0.2">
      <c r="A2" s="2">
        <v>31047</v>
      </c>
      <c r="B2" s="1">
        <v>1820</v>
      </c>
      <c r="C2" s="1">
        <v>444.41246182861369</v>
      </c>
      <c r="F2" s="1">
        <v>932.36254799999995</v>
      </c>
      <c r="G2" s="1">
        <v>184.28739737992689</v>
      </c>
      <c r="J2" s="1">
        <v>35.652173934781132</v>
      </c>
      <c r="K2" s="1">
        <v>30.788609352716438</v>
      </c>
      <c r="L2" s="1">
        <v>36.99348138320606</v>
      </c>
    </row>
    <row r="3" spans="1:12" x14ac:dyDescent="0.2">
      <c r="A3" s="2">
        <v>31078</v>
      </c>
      <c r="B3" s="1">
        <v>1944.1</v>
      </c>
      <c r="C3" s="1">
        <v>478.69661440109297</v>
      </c>
      <c r="F3" s="1">
        <v>956.62229739999998</v>
      </c>
      <c r="G3" s="1">
        <v>184.28739737992689</v>
      </c>
      <c r="J3" s="1">
        <v>36.36165219608327</v>
      </c>
      <c r="K3" s="1">
        <v>31.26583373727734</v>
      </c>
      <c r="L3" s="1">
        <v>37.374205564270589</v>
      </c>
    </row>
    <row r="4" spans="1:12" x14ac:dyDescent="0.2">
      <c r="A4" s="2">
        <v>31106</v>
      </c>
      <c r="B4" s="1">
        <v>1995.5</v>
      </c>
      <c r="C4" s="1">
        <v>555.86044258374011</v>
      </c>
      <c r="F4" s="1">
        <v>1076.7554978400001</v>
      </c>
      <c r="G4" s="1">
        <v>184.28739737992689</v>
      </c>
      <c r="J4" s="1">
        <v>35.916000021898512</v>
      </c>
      <c r="K4" s="1">
        <v>30.834792736542411</v>
      </c>
      <c r="L4" s="1">
        <v>37.767618544839742</v>
      </c>
    </row>
    <row r="5" spans="1:12" x14ac:dyDescent="0.2">
      <c r="A5" s="2">
        <v>31135</v>
      </c>
      <c r="B5" s="1">
        <v>2101.5</v>
      </c>
      <c r="C5" s="1">
        <v>573.76069368762137</v>
      </c>
      <c r="F5" s="1">
        <v>1147.7445782499999</v>
      </c>
      <c r="G5" s="1">
        <v>194.24614964161711</v>
      </c>
      <c r="J5" s="1">
        <v>36.154869587261537</v>
      </c>
      <c r="K5" s="1">
        <v>31.54600886091513</v>
      </c>
      <c r="L5" s="1">
        <v>38.237171846927382</v>
      </c>
    </row>
    <row r="6" spans="1:12" x14ac:dyDescent="0.2">
      <c r="A6" s="2">
        <v>31167</v>
      </c>
      <c r="B6" s="1">
        <v>2231.9</v>
      </c>
      <c r="C6" s="1">
        <v>619.66895307366906</v>
      </c>
      <c r="F6" s="1">
        <v>1201.5501532999999</v>
      </c>
      <c r="G6" s="1">
        <v>194.24614964161711</v>
      </c>
      <c r="J6" s="1">
        <v>36.36165219608327</v>
      </c>
      <c r="K6" s="1">
        <v>32.266463541240618</v>
      </c>
      <c r="L6" s="1">
        <v>38.706732673505734</v>
      </c>
    </row>
    <row r="7" spans="1:12" x14ac:dyDescent="0.2">
      <c r="A7" s="2">
        <v>31198</v>
      </c>
      <c r="B7" s="1">
        <v>2231.3000000000002</v>
      </c>
      <c r="C7" s="1">
        <v>630.53345100357069</v>
      </c>
      <c r="F7" s="1">
        <v>1164.4813629</v>
      </c>
      <c r="G7" s="1">
        <v>194.24614964161711</v>
      </c>
      <c r="J7" s="1">
        <v>37.035478283450637</v>
      </c>
      <c r="K7" s="1">
        <v>33.584215645699373</v>
      </c>
      <c r="L7" s="1">
        <v>39.176290991920503</v>
      </c>
    </row>
    <row r="8" spans="1:12" x14ac:dyDescent="0.2">
      <c r="A8" s="2">
        <v>31226</v>
      </c>
      <c r="B8" s="1">
        <v>2205.8000000000002</v>
      </c>
      <c r="C8" s="1">
        <v>632.64955644091719</v>
      </c>
      <c r="F8" s="1">
        <v>1122.4992576</v>
      </c>
      <c r="G8" s="1">
        <v>196.77666328870939</v>
      </c>
      <c r="J8" s="1">
        <v>37.819826110015818</v>
      </c>
      <c r="K8" s="1">
        <v>34.178435900166178</v>
      </c>
      <c r="L8" s="1">
        <v>39.633152986339937</v>
      </c>
    </row>
    <row r="9" spans="1:12" x14ac:dyDescent="0.2">
      <c r="A9" s="2">
        <v>31259</v>
      </c>
      <c r="B9" s="1">
        <v>2403.1</v>
      </c>
      <c r="C9" s="1">
        <v>583.28055898809782</v>
      </c>
      <c r="F9" s="1">
        <v>1019.47335058</v>
      </c>
      <c r="G9" s="1">
        <v>196.77666328870939</v>
      </c>
      <c r="J9" s="1">
        <v>38.450869588661448</v>
      </c>
      <c r="K9" s="1">
        <v>34.526346340217458</v>
      </c>
      <c r="L9" s="1">
        <v>40.102713812918289</v>
      </c>
    </row>
    <row r="10" spans="1:12" x14ac:dyDescent="0.2">
      <c r="A10" s="2">
        <v>31289</v>
      </c>
      <c r="B10" s="1">
        <v>2411.3000000000002</v>
      </c>
      <c r="C10" s="1">
        <v>607.93909519940223</v>
      </c>
      <c r="F10" s="1">
        <v>1065.1509494100001</v>
      </c>
      <c r="G10" s="1">
        <v>196.77666328870939</v>
      </c>
      <c r="J10" s="1">
        <v>37.859043501344082</v>
      </c>
      <c r="K10" s="1">
        <v>35.252957708860329</v>
      </c>
      <c r="L10" s="1">
        <v>40.610341038010517</v>
      </c>
    </row>
    <row r="11" spans="1:12" x14ac:dyDescent="0.2">
      <c r="A11" s="2">
        <v>31320</v>
      </c>
      <c r="B11" s="1">
        <v>2545.9</v>
      </c>
      <c r="C11" s="1">
        <v>594.53999386291446</v>
      </c>
      <c r="F11" s="1">
        <v>1120.7548429999999</v>
      </c>
      <c r="G11" s="1">
        <v>201.88733258402959</v>
      </c>
      <c r="J11" s="1">
        <v>38.450869588661448</v>
      </c>
      <c r="K11" s="1">
        <v>35.8841251401848</v>
      </c>
      <c r="L11" s="1">
        <v>41.168736001939109</v>
      </c>
    </row>
    <row r="12" spans="1:12" x14ac:dyDescent="0.2">
      <c r="A12" s="2">
        <v>31351</v>
      </c>
      <c r="B12" s="1">
        <v>2670.1</v>
      </c>
      <c r="C12" s="1">
        <v>624.04310470104929</v>
      </c>
      <c r="F12" s="1">
        <v>1209.9029287599999</v>
      </c>
      <c r="G12" s="1">
        <v>201.88733258402959</v>
      </c>
      <c r="J12" s="1">
        <v>37.762782631720171</v>
      </c>
      <c r="K12" s="1">
        <v>36.361347175761217</v>
      </c>
      <c r="L12" s="1">
        <v>41.727146014849133</v>
      </c>
    </row>
    <row r="13" spans="1:12" x14ac:dyDescent="0.2">
      <c r="A13" s="2">
        <v>31380</v>
      </c>
      <c r="B13" s="1">
        <v>2583</v>
      </c>
      <c r="C13" s="1">
        <v>662.9165382829583</v>
      </c>
      <c r="F13" s="1">
        <v>1258.1051265200001</v>
      </c>
      <c r="G13" s="1">
        <v>201.88733258402959</v>
      </c>
      <c r="J13" s="1">
        <v>37.602347849013647</v>
      </c>
      <c r="K13" s="1">
        <v>37.315793595898533</v>
      </c>
      <c r="L13" s="1">
        <v>42.361663743151198</v>
      </c>
    </row>
    <row r="14" spans="1:12" x14ac:dyDescent="0.2">
      <c r="A14" s="2">
        <v>31412</v>
      </c>
      <c r="B14" s="1">
        <v>2621.9</v>
      </c>
      <c r="C14" s="1">
        <v>696.9578918822931</v>
      </c>
      <c r="F14" s="1">
        <v>1240.7721988200001</v>
      </c>
      <c r="G14" s="1">
        <v>205.45154312815581</v>
      </c>
      <c r="J14" s="1">
        <v>38.154956545002761</v>
      </c>
      <c r="K14" s="1">
        <v>38.491918379212933</v>
      </c>
      <c r="L14" s="1">
        <v>43.046979308252503</v>
      </c>
    </row>
    <row r="15" spans="1:12" x14ac:dyDescent="0.2">
      <c r="A15" s="2">
        <v>31443</v>
      </c>
      <c r="B15" s="1">
        <v>2815.5</v>
      </c>
      <c r="C15" s="1">
        <v>670.18129487609826</v>
      </c>
      <c r="F15" s="1">
        <v>1080.2413340999999</v>
      </c>
      <c r="G15" s="1">
        <v>205.45154312815581</v>
      </c>
      <c r="J15" s="1">
        <v>39.737913067707041</v>
      </c>
      <c r="K15" s="1">
        <v>39.021482835917162</v>
      </c>
      <c r="L15" s="1">
        <v>43.719553402414178</v>
      </c>
    </row>
    <row r="16" spans="1:12" x14ac:dyDescent="0.2">
      <c r="A16" s="2">
        <v>31471</v>
      </c>
      <c r="B16" s="1">
        <v>2754.7</v>
      </c>
      <c r="C16" s="1">
        <v>721.05071712780818</v>
      </c>
      <c r="F16" s="1">
        <v>1059.5863746</v>
      </c>
      <c r="G16" s="1">
        <v>205.45154312815581</v>
      </c>
      <c r="J16" s="1">
        <v>40.885913068407007</v>
      </c>
      <c r="K16" s="1">
        <v>40.853406501794481</v>
      </c>
      <c r="L16" s="1">
        <v>44.379471303197647</v>
      </c>
    </row>
    <row r="17" spans="1:12" x14ac:dyDescent="0.2">
      <c r="A17" s="2">
        <v>31502</v>
      </c>
      <c r="B17" s="1">
        <v>2995.5</v>
      </c>
      <c r="C17" s="1">
        <v>781.18403834960873</v>
      </c>
      <c r="F17" s="1">
        <v>1039.421208</v>
      </c>
      <c r="G17" s="1">
        <v>210.61584140980349</v>
      </c>
      <c r="J17" s="1">
        <v>42.836086982639529</v>
      </c>
      <c r="K17" s="1">
        <v>42.802326037577707</v>
      </c>
      <c r="L17" s="1">
        <v>44.963276472261917</v>
      </c>
    </row>
    <row r="18" spans="1:12" x14ac:dyDescent="0.2">
      <c r="A18" s="2">
        <v>31532</v>
      </c>
      <c r="B18" s="1">
        <v>3212.2</v>
      </c>
      <c r="C18" s="1">
        <v>748.3787272749023</v>
      </c>
      <c r="F18" s="1">
        <v>1055.01203964</v>
      </c>
      <c r="G18" s="1">
        <v>210.61584140980349</v>
      </c>
      <c r="J18" s="1">
        <v>44.030434809454697</v>
      </c>
      <c r="K18" s="1">
        <v>43.411939187330177</v>
      </c>
      <c r="L18" s="1">
        <v>45.483589988695208</v>
      </c>
    </row>
    <row r="19" spans="1:12" x14ac:dyDescent="0.2">
      <c r="A19" s="2">
        <v>31562</v>
      </c>
      <c r="B19" s="1">
        <v>3297.6</v>
      </c>
      <c r="C19" s="1">
        <v>791.56026835327179</v>
      </c>
      <c r="F19" s="1">
        <v>1050.3759419999999</v>
      </c>
      <c r="G19" s="1">
        <v>210.61584140980349</v>
      </c>
      <c r="J19" s="1">
        <v>43.948434809404702</v>
      </c>
      <c r="K19" s="1">
        <v>42.919319558499133</v>
      </c>
      <c r="L19" s="1">
        <v>45.940451983114642</v>
      </c>
    </row>
    <row r="20" spans="1:12" x14ac:dyDescent="0.2">
      <c r="A20" s="2">
        <v>31593</v>
      </c>
      <c r="B20" s="1">
        <v>3143.1</v>
      </c>
      <c r="C20" s="1">
        <v>854.91509766967704</v>
      </c>
      <c r="F20" s="1">
        <v>1162.5322295999999</v>
      </c>
      <c r="G20" s="1">
        <v>216.96832824550239</v>
      </c>
      <c r="J20" s="1">
        <v>44.123130461685129</v>
      </c>
      <c r="K20" s="1">
        <v>44.237071662957881</v>
      </c>
      <c r="L20" s="1">
        <v>46.422711641851897</v>
      </c>
    </row>
    <row r="21" spans="1:12" x14ac:dyDescent="0.2">
      <c r="A21" s="2">
        <v>31624</v>
      </c>
      <c r="B21" s="1">
        <v>2998.3</v>
      </c>
      <c r="C21" s="1">
        <v>954.18128116748039</v>
      </c>
      <c r="F21" s="1">
        <v>1327.6549240300001</v>
      </c>
      <c r="G21" s="1">
        <v>216.96832824550239</v>
      </c>
      <c r="J21" s="1">
        <v>42.062434808254778</v>
      </c>
      <c r="K21" s="1">
        <v>44.892870545520807</v>
      </c>
      <c r="L21" s="1">
        <v>46.955726498607667</v>
      </c>
    </row>
    <row r="22" spans="1:12" x14ac:dyDescent="0.2">
      <c r="A22" s="2">
        <v>31653</v>
      </c>
      <c r="B22" s="1">
        <v>3187.2</v>
      </c>
      <c r="C22" s="1">
        <v>1018.810903515624</v>
      </c>
      <c r="F22" s="1">
        <v>1418.664544</v>
      </c>
      <c r="G22" s="1">
        <v>216.96832824550239</v>
      </c>
      <c r="J22" s="1">
        <v>42.458173938930848</v>
      </c>
      <c r="K22" s="1">
        <v>46.182914029074659</v>
      </c>
      <c r="L22" s="1">
        <v>47.602943059068657</v>
      </c>
    </row>
    <row r="23" spans="1:12" x14ac:dyDescent="0.2">
      <c r="A23" s="2">
        <v>31685</v>
      </c>
      <c r="B23" s="1">
        <v>3341.9</v>
      </c>
      <c r="C23" s="1">
        <v>941.81200105792198</v>
      </c>
      <c r="F23" s="1">
        <v>1328.91288192</v>
      </c>
      <c r="G23" s="1">
        <v>211.6485344745974</v>
      </c>
      <c r="J23" s="1">
        <v>43.221130461135168</v>
      </c>
      <c r="K23" s="1">
        <v>45.902736556452403</v>
      </c>
      <c r="L23" s="1">
        <v>48.288218493552812</v>
      </c>
    </row>
    <row r="24" spans="1:12" x14ac:dyDescent="0.2">
      <c r="A24" s="2">
        <v>31716</v>
      </c>
      <c r="B24" s="1">
        <v>3715.8</v>
      </c>
      <c r="C24" s="1">
        <v>927.45199396362227</v>
      </c>
      <c r="F24" s="1">
        <v>1314.2176079999999</v>
      </c>
      <c r="G24" s="1">
        <v>211.6485344745974</v>
      </c>
      <c r="J24" s="1">
        <v>44.554521766295977</v>
      </c>
      <c r="K24" s="1">
        <v>46.826394837033888</v>
      </c>
      <c r="L24" s="1">
        <v>48.960832718331623</v>
      </c>
    </row>
    <row r="25" spans="1:12" x14ac:dyDescent="0.2">
      <c r="A25" s="2">
        <v>31744</v>
      </c>
      <c r="B25" s="1">
        <v>3732.3</v>
      </c>
      <c r="C25" s="1">
        <v>943.74143421777342</v>
      </c>
      <c r="F25" s="1">
        <v>1337.4327106799999</v>
      </c>
      <c r="G25" s="1">
        <v>211.6485344745974</v>
      </c>
      <c r="J25" s="1">
        <v>44.871826114315517</v>
      </c>
      <c r="K25" s="1">
        <v>47.642295803662243</v>
      </c>
      <c r="L25" s="1">
        <v>49.595393085414408</v>
      </c>
    </row>
    <row r="26" spans="1:12" x14ac:dyDescent="0.2">
      <c r="A26" s="2">
        <v>31777</v>
      </c>
      <c r="B26" s="1">
        <v>3991</v>
      </c>
      <c r="C26" s="1">
        <v>933.59222596398956</v>
      </c>
      <c r="F26" s="1">
        <v>1298.7497648599999</v>
      </c>
      <c r="G26" s="1">
        <v>214.73364689914521</v>
      </c>
      <c r="J26" s="1">
        <v>45.631217419126372</v>
      </c>
      <c r="K26" s="1">
        <v>48.365825304669713</v>
      </c>
      <c r="L26" s="1">
        <v>50.229913321880062</v>
      </c>
    </row>
    <row r="27" spans="1:12" x14ac:dyDescent="0.2">
      <c r="A27" s="2">
        <v>31807</v>
      </c>
      <c r="B27" s="1">
        <v>4060.2</v>
      </c>
      <c r="C27" s="1">
        <v>1024.0274555645749</v>
      </c>
      <c r="F27" s="1">
        <v>1376.92533551</v>
      </c>
      <c r="G27" s="1">
        <v>214.73364689914521</v>
      </c>
      <c r="J27" s="1">
        <v>45.488608723387237</v>
      </c>
      <c r="K27" s="1">
        <v>49.384927522569591</v>
      </c>
      <c r="L27" s="1">
        <v>50.889831222663531</v>
      </c>
    </row>
    <row r="28" spans="1:12" x14ac:dyDescent="0.2">
      <c r="A28" s="2">
        <v>31835</v>
      </c>
      <c r="B28" s="1">
        <v>4385.1000000000004</v>
      </c>
      <c r="C28" s="1">
        <v>1030.5087578592529</v>
      </c>
      <c r="F28" s="1">
        <v>1267.0484948599999</v>
      </c>
      <c r="G28" s="1">
        <v>214.73364689914521</v>
      </c>
      <c r="J28" s="1">
        <v>45.46365220163289</v>
      </c>
      <c r="K28" s="1">
        <v>50.42866119170791</v>
      </c>
      <c r="L28" s="1">
        <v>51.600499305138371</v>
      </c>
    </row>
    <row r="29" spans="1:12" x14ac:dyDescent="0.2">
      <c r="A29" s="2">
        <v>31867</v>
      </c>
      <c r="B29" s="1">
        <v>4601.6000000000004</v>
      </c>
      <c r="C29" s="1">
        <v>1028.445522057373</v>
      </c>
      <c r="F29" s="1">
        <v>1315.16443796</v>
      </c>
      <c r="G29" s="1">
        <v>217.79586360081569</v>
      </c>
      <c r="J29" s="1">
        <v>47.192782637469783</v>
      </c>
      <c r="K29" s="1">
        <v>51.041356209095802</v>
      </c>
      <c r="L29" s="1">
        <v>52.285814870239648</v>
      </c>
    </row>
    <row r="30" spans="1:12" x14ac:dyDescent="0.2">
      <c r="A30" s="2">
        <v>31897</v>
      </c>
      <c r="B30" s="1">
        <v>4784.3999999999996</v>
      </c>
      <c r="C30" s="1">
        <v>1076.5307717929691</v>
      </c>
      <c r="F30" s="1">
        <v>1389.02462982</v>
      </c>
      <c r="G30" s="1">
        <v>217.79586360081569</v>
      </c>
      <c r="J30" s="1">
        <v>48.230260898971913</v>
      </c>
      <c r="K30" s="1">
        <v>51.389268998131563</v>
      </c>
      <c r="L30" s="1">
        <v>53.047238150733001</v>
      </c>
    </row>
    <row r="31" spans="1:12" x14ac:dyDescent="0.2">
      <c r="A31" s="2">
        <v>31926</v>
      </c>
      <c r="B31" s="1">
        <v>4850.2</v>
      </c>
      <c r="C31" s="1">
        <v>1073.8524498160409</v>
      </c>
      <c r="F31" s="1">
        <v>1429.4419376200001</v>
      </c>
      <c r="G31" s="1">
        <v>217.79586360081569</v>
      </c>
      <c r="J31" s="1">
        <v>48.993217421176219</v>
      </c>
      <c r="K31" s="1">
        <v>51.84493910112046</v>
      </c>
      <c r="L31" s="1">
        <v>53.719852375511813</v>
      </c>
    </row>
    <row r="32" spans="1:12" x14ac:dyDescent="0.2">
      <c r="A32" s="2">
        <v>31958</v>
      </c>
      <c r="B32" s="1">
        <v>4840.8</v>
      </c>
      <c r="C32" s="1">
        <v>1072.193661857116</v>
      </c>
      <c r="F32" s="1">
        <v>1466.73085995</v>
      </c>
      <c r="G32" s="1">
        <v>220.87508200555101</v>
      </c>
      <c r="J32" s="1">
        <v>49.991478291350099</v>
      </c>
      <c r="K32" s="1">
        <v>52.041986013059081</v>
      </c>
      <c r="L32" s="1">
        <v>54.35441274259459</v>
      </c>
    </row>
    <row r="33" spans="1:12" x14ac:dyDescent="0.2">
      <c r="A33" s="2">
        <v>31989</v>
      </c>
      <c r="B33" s="1">
        <v>5580.6</v>
      </c>
      <c r="C33" s="1">
        <v>1140.4665843559569</v>
      </c>
      <c r="F33" s="1">
        <v>1580.3166655099999</v>
      </c>
      <c r="G33" s="1">
        <v>220.87508200555101</v>
      </c>
      <c r="J33" s="1">
        <v>50.483478291650073</v>
      </c>
      <c r="K33" s="1">
        <v>51.783362822008819</v>
      </c>
      <c r="L33" s="1">
        <v>54.988932979060237</v>
      </c>
    </row>
    <row r="34" spans="1:12" x14ac:dyDescent="0.2">
      <c r="A34" s="2">
        <v>32020</v>
      </c>
      <c r="B34" s="1">
        <v>5914.7</v>
      </c>
      <c r="C34" s="1">
        <v>1158.3498979250489</v>
      </c>
      <c r="F34" s="1">
        <v>1520.1665268300001</v>
      </c>
      <c r="G34" s="1">
        <v>220.87508200555101</v>
      </c>
      <c r="J34" s="1">
        <v>51.278521770395699</v>
      </c>
      <c r="K34" s="1">
        <v>51.8480162707869</v>
      </c>
      <c r="L34" s="1">
        <v>55.5980956818252</v>
      </c>
    </row>
    <row r="35" spans="1:12" x14ac:dyDescent="0.2">
      <c r="A35" s="2">
        <v>32050</v>
      </c>
      <c r="B35" s="1">
        <v>6197.2</v>
      </c>
      <c r="C35" s="1">
        <v>1150.9825641943371</v>
      </c>
      <c r="F35" s="1">
        <v>1528.786296</v>
      </c>
      <c r="G35" s="1">
        <v>225.34364107970569</v>
      </c>
      <c r="J35" s="1">
        <v>53.064695684528232</v>
      </c>
      <c r="K35" s="1">
        <v>51.133722976747741</v>
      </c>
      <c r="L35" s="1">
        <v>56.207263400917313</v>
      </c>
    </row>
    <row r="36" spans="1:12" x14ac:dyDescent="0.2">
      <c r="A36" s="2">
        <v>32080</v>
      </c>
      <c r="B36" s="1">
        <v>3586.1</v>
      </c>
      <c r="C36" s="1">
        <v>978.81536518280063</v>
      </c>
      <c r="F36" s="1">
        <v>1633.4477442499999</v>
      </c>
      <c r="G36" s="1">
        <v>225.34364107970569</v>
      </c>
      <c r="J36" s="1">
        <v>50.911304378867463</v>
      </c>
      <c r="K36" s="1">
        <v>53.424396264264871</v>
      </c>
      <c r="L36" s="1">
        <v>56.626026390696438</v>
      </c>
    </row>
    <row r="37" spans="1:12" x14ac:dyDescent="0.2">
      <c r="A37" s="2">
        <v>32111</v>
      </c>
      <c r="B37" s="1">
        <v>3696.4</v>
      </c>
      <c r="C37" s="1">
        <v>880.93058510137962</v>
      </c>
      <c r="F37" s="1">
        <v>1553.3230782600001</v>
      </c>
      <c r="G37" s="1">
        <v>225.34364107970569</v>
      </c>
      <c r="J37" s="1">
        <v>52.529913075506521</v>
      </c>
      <c r="K37" s="1">
        <v>54.181793423479093</v>
      </c>
      <c r="L37" s="1">
        <v>57.298645631802387</v>
      </c>
    </row>
    <row r="38" spans="1:12" x14ac:dyDescent="0.2">
      <c r="A38" s="2">
        <v>32142</v>
      </c>
      <c r="B38" s="1">
        <v>3677.5</v>
      </c>
      <c r="C38" s="1">
        <v>863.04617101898157</v>
      </c>
      <c r="D38" s="1">
        <v>138.19749999999999</v>
      </c>
      <c r="F38" s="1">
        <v>1477.7044082499999</v>
      </c>
      <c r="G38" s="1">
        <v>236.88147642110559</v>
      </c>
      <c r="J38" s="1">
        <v>54.219826120015149</v>
      </c>
      <c r="K38" s="1">
        <v>54.88069617121706</v>
      </c>
      <c r="L38" s="1">
        <v>57.920504658562692</v>
      </c>
    </row>
    <row r="39" spans="1:12" x14ac:dyDescent="0.2">
      <c r="A39" s="2">
        <v>32171</v>
      </c>
      <c r="B39" s="1">
        <v>3510.5</v>
      </c>
      <c r="C39" s="1">
        <v>928.18315607141074</v>
      </c>
      <c r="D39" s="1">
        <v>162.9053847183834</v>
      </c>
      <c r="F39" s="1">
        <v>1543.03820066</v>
      </c>
      <c r="G39" s="1">
        <v>236.88147642110559</v>
      </c>
      <c r="J39" s="1">
        <v>55.63521742522596</v>
      </c>
      <c r="K39" s="1">
        <v>56.45399429705963</v>
      </c>
      <c r="L39" s="1">
        <v>58.478877049019147</v>
      </c>
    </row>
    <row r="40" spans="1:12" x14ac:dyDescent="0.2">
      <c r="A40" s="2">
        <v>32202</v>
      </c>
      <c r="B40" s="1">
        <v>3499.9</v>
      </c>
      <c r="C40" s="1">
        <v>975.83121106689487</v>
      </c>
      <c r="D40" s="1">
        <v>170.0003878277592</v>
      </c>
      <c r="F40" s="1">
        <v>1512.9666832</v>
      </c>
      <c r="G40" s="1">
        <v>236.88147642110559</v>
      </c>
      <c r="J40" s="1">
        <v>56.070173947230288</v>
      </c>
      <c r="K40" s="1">
        <v>57.217550493575693</v>
      </c>
      <c r="L40" s="1">
        <v>58.976933121925242</v>
      </c>
    </row>
    <row r="41" spans="1:12" x14ac:dyDescent="0.2">
      <c r="A41" s="2">
        <v>32233</v>
      </c>
      <c r="B41" s="1">
        <v>3975.3</v>
      </c>
      <c r="C41" s="1">
        <v>949.56933350189252</v>
      </c>
      <c r="D41" s="1">
        <v>185.98236814517259</v>
      </c>
      <c r="F41" s="1">
        <v>1535.18725077</v>
      </c>
      <c r="G41" s="1">
        <v>248.09255188616751</v>
      </c>
      <c r="J41" s="1">
        <v>57.296608730586748</v>
      </c>
      <c r="K41" s="1">
        <v>57.445387894054612</v>
      </c>
      <c r="L41" s="1">
        <v>59.483617277514853</v>
      </c>
    </row>
    <row r="42" spans="1:12" x14ac:dyDescent="0.2">
      <c r="A42" s="2">
        <v>32262</v>
      </c>
      <c r="B42" s="1">
        <v>4120.5</v>
      </c>
      <c r="C42" s="1">
        <v>945.30375465234386</v>
      </c>
      <c r="D42" s="1">
        <v>202.77842763281251</v>
      </c>
      <c r="F42" s="1">
        <v>1550.3079835200001</v>
      </c>
      <c r="G42" s="1">
        <v>248.09255188616751</v>
      </c>
      <c r="J42" s="1">
        <v>58.572956557451917</v>
      </c>
      <c r="K42" s="1">
        <v>57.602408110484639</v>
      </c>
      <c r="L42" s="1">
        <v>60.027698151944954</v>
      </c>
    </row>
    <row r="43" spans="1:12" x14ac:dyDescent="0.2">
      <c r="A43" s="2">
        <v>32294</v>
      </c>
      <c r="B43" s="1">
        <v>4446.6000000000004</v>
      </c>
      <c r="C43" s="1">
        <v>877.05767218084679</v>
      </c>
      <c r="D43" s="1">
        <v>207.25244627920549</v>
      </c>
      <c r="F43" s="1">
        <v>1511.3826238500001</v>
      </c>
      <c r="G43" s="1">
        <v>248.09255188616751</v>
      </c>
      <c r="J43" s="1">
        <v>57.022086991288937</v>
      </c>
      <c r="K43" s="1">
        <v>57.716329159708579</v>
      </c>
      <c r="L43" s="1">
        <v>60.545889761997351</v>
      </c>
    </row>
    <row r="44" spans="1:12" x14ac:dyDescent="0.2">
      <c r="A44" s="2">
        <v>32324</v>
      </c>
      <c r="B44" s="1">
        <v>4423.8</v>
      </c>
      <c r="C44" s="1">
        <v>931.39354836914072</v>
      </c>
      <c r="D44" s="1">
        <v>231.48945927355999</v>
      </c>
      <c r="F44" s="1">
        <v>1500.1821414000001</v>
      </c>
      <c r="G44" s="1">
        <v>262.1788652671724</v>
      </c>
      <c r="J44" s="1">
        <v>58.458869600860623</v>
      </c>
      <c r="K44" s="1">
        <v>58.501434939827689</v>
      </c>
      <c r="L44" s="1">
        <v>61.163530057631583</v>
      </c>
    </row>
    <row r="45" spans="1:12" x14ac:dyDescent="0.2">
      <c r="A45" s="2">
        <v>32353</v>
      </c>
      <c r="B45" s="1">
        <v>4591.1000000000004</v>
      </c>
      <c r="C45" s="1">
        <v>930.06181572936987</v>
      </c>
      <c r="D45" s="1">
        <v>233.54883032806441</v>
      </c>
      <c r="F45" s="1">
        <v>1479.1065185</v>
      </c>
      <c r="G45" s="1">
        <v>262.1788652671724</v>
      </c>
      <c r="J45" s="1">
        <v>58.861739166323638</v>
      </c>
      <c r="K45" s="1">
        <v>58.707718058734613</v>
      </c>
      <c r="L45" s="1">
        <v>61.844039981331242</v>
      </c>
    </row>
    <row r="46" spans="1:12" x14ac:dyDescent="0.2">
      <c r="A46" s="2">
        <v>32386</v>
      </c>
      <c r="B46" s="1">
        <v>4482</v>
      </c>
      <c r="C46" s="1">
        <v>894.97250344464146</v>
      </c>
      <c r="D46" s="1">
        <v>239.51288510975621</v>
      </c>
      <c r="F46" s="1">
        <v>1471.98583209</v>
      </c>
      <c r="G46" s="1">
        <v>262.1788652671724</v>
      </c>
      <c r="J46" s="1">
        <v>59.446434818854058</v>
      </c>
      <c r="K46" s="1">
        <v>58.864742973133602</v>
      </c>
      <c r="L46" s="1">
        <v>62.501540012432457</v>
      </c>
    </row>
    <row r="47" spans="1:12" x14ac:dyDescent="0.2">
      <c r="A47" s="2">
        <v>32416</v>
      </c>
      <c r="B47" s="1">
        <v>4439.6000000000004</v>
      </c>
      <c r="C47" s="1">
        <v>948.72892945105048</v>
      </c>
      <c r="D47" s="1">
        <v>274.78829791487169</v>
      </c>
      <c r="F47" s="1">
        <v>1465.13753243</v>
      </c>
      <c r="G47" s="1">
        <v>288.69814650681082</v>
      </c>
      <c r="J47" s="1">
        <v>59.314521775295368</v>
      </c>
      <c r="K47" s="1">
        <v>60.348751500990673</v>
      </c>
      <c r="L47" s="1">
        <v>63.165205109590687</v>
      </c>
    </row>
    <row r="48" spans="1:12" x14ac:dyDescent="0.2">
      <c r="A48" s="2">
        <v>32447</v>
      </c>
      <c r="B48" s="1">
        <v>4579.3999999999996</v>
      </c>
      <c r="C48" s="1">
        <v>925.67892423413139</v>
      </c>
      <c r="D48" s="1">
        <v>276.47272729348748</v>
      </c>
      <c r="F48" s="1">
        <v>1465.72394826</v>
      </c>
      <c r="G48" s="1">
        <v>288.69814650681082</v>
      </c>
      <c r="J48" s="1">
        <v>59.884956558251872</v>
      </c>
      <c r="K48" s="1">
        <v>61.795819898943513</v>
      </c>
      <c r="L48" s="1">
        <v>63.890510834664667</v>
      </c>
    </row>
    <row r="49" spans="1:12" x14ac:dyDescent="0.2">
      <c r="A49" s="2">
        <v>32477</v>
      </c>
      <c r="B49" s="1">
        <v>4262.7</v>
      </c>
      <c r="C49" s="1">
        <v>880.97127381707787</v>
      </c>
      <c r="D49" s="1">
        <v>274.20962020282008</v>
      </c>
      <c r="F49" s="1">
        <v>1452.1925696400001</v>
      </c>
      <c r="G49" s="1">
        <v>288.69814650681082</v>
      </c>
      <c r="J49" s="1">
        <v>59.49634786236274</v>
      </c>
      <c r="K49" s="1">
        <v>61.860473347721602</v>
      </c>
      <c r="L49" s="1">
        <v>64.584173568129543</v>
      </c>
    </row>
    <row r="50" spans="1:12" x14ac:dyDescent="0.2">
      <c r="A50" s="2">
        <v>32507</v>
      </c>
      <c r="B50" s="1">
        <v>4334.8999999999996</v>
      </c>
      <c r="C50" s="1">
        <v>926.33071478942895</v>
      </c>
      <c r="D50" s="1">
        <v>308.91675967565942</v>
      </c>
      <c r="F50" s="1">
        <v>1598.7109717799999</v>
      </c>
      <c r="G50" s="1">
        <v>318.56105814744251</v>
      </c>
      <c r="J50" s="1">
        <v>59.097043514293198</v>
      </c>
      <c r="K50" s="1">
        <v>62.439300706902728</v>
      </c>
      <c r="L50" s="1">
        <v>65.384267714557339</v>
      </c>
    </row>
    <row r="51" spans="1:12" x14ac:dyDescent="0.2">
      <c r="A51" s="2">
        <v>32539</v>
      </c>
      <c r="B51" s="1">
        <v>4528.2</v>
      </c>
      <c r="C51" s="1">
        <v>945.61410337170469</v>
      </c>
      <c r="D51" s="1">
        <v>316.28416990475449</v>
      </c>
      <c r="F51" s="1">
        <v>1543.4415191999999</v>
      </c>
      <c r="G51" s="1">
        <v>318.56105814744251</v>
      </c>
      <c r="J51" s="1">
        <v>58.772608731486677</v>
      </c>
      <c r="K51" s="1">
        <v>63.329091329277468</v>
      </c>
      <c r="L51" s="1">
        <v>66.206965431085095</v>
      </c>
    </row>
    <row r="52" spans="1:12" x14ac:dyDescent="0.2">
      <c r="A52" s="2">
        <v>32567</v>
      </c>
      <c r="B52" s="1">
        <v>4348.3999999999996</v>
      </c>
      <c r="C52" s="1">
        <v>1031.7329968734739</v>
      </c>
      <c r="D52" s="1">
        <v>382.01336369598363</v>
      </c>
      <c r="F52" s="1">
        <v>1787.4617118000001</v>
      </c>
      <c r="G52" s="1">
        <v>318.56105814744251</v>
      </c>
      <c r="J52" s="1">
        <v>58.722695687978003</v>
      </c>
      <c r="K52" s="1">
        <v>62.993496614845427</v>
      </c>
      <c r="L52" s="1">
        <v>66.946241627248369</v>
      </c>
    </row>
    <row r="53" spans="1:12" x14ac:dyDescent="0.2">
      <c r="A53" s="2">
        <v>32598</v>
      </c>
      <c r="B53" s="1">
        <v>4297.2</v>
      </c>
      <c r="C53" s="1">
        <v>1031.312185883789</v>
      </c>
      <c r="D53" s="1">
        <v>419.58671654235792</v>
      </c>
      <c r="F53" s="1">
        <v>1868.6393724</v>
      </c>
      <c r="G53" s="1">
        <v>345.40343649687259</v>
      </c>
      <c r="J53" s="1">
        <v>59.350173949230147</v>
      </c>
      <c r="K53" s="1">
        <v>63.769366187996233</v>
      </c>
      <c r="L53" s="1">
        <v>67.847018475734828</v>
      </c>
    </row>
    <row r="54" spans="1:12" x14ac:dyDescent="0.2">
      <c r="A54" s="2">
        <v>32626</v>
      </c>
      <c r="B54" s="1">
        <v>4459.8999999999996</v>
      </c>
      <c r="C54" s="1">
        <v>1087.0259893940431</v>
      </c>
      <c r="D54" s="1">
        <v>520.73098554614273</v>
      </c>
      <c r="F54" s="1">
        <v>1983.6095959199999</v>
      </c>
      <c r="G54" s="1">
        <v>345.40343649687259</v>
      </c>
      <c r="J54" s="1">
        <v>60.558782645619239</v>
      </c>
      <c r="K54" s="1">
        <v>65.025542013343326</v>
      </c>
      <c r="L54" s="1">
        <v>68.830389150607402</v>
      </c>
    </row>
    <row r="55" spans="1:12" x14ac:dyDescent="0.2">
      <c r="A55" s="2">
        <v>32659</v>
      </c>
      <c r="B55" s="1">
        <v>4569.2</v>
      </c>
      <c r="C55" s="1">
        <v>1171.94952802954</v>
      </c>
      <c r="D55" s="1">
        <v>590.30934201690718</v>
      </c>
      <c r="F55" s="1">
        <v>2068.35782556</v>
      </c>
      <c r="G55" s="1">
        <v>345.40343649687259</v>
      </c>
      <c r="J55" s="1">
        <v>60.041826123564903</v>
      </c>
      <c r="K55" s="1">
        <v>66.226300596880648</v>
      </c>
      <c r="L55" s="1">
        <v>69.754175891692284</v>
      </c>
    </row>
    <row r="56" spans="1:12" x14ac:dyDescent="0.2">
      <c r="A56" s="2">
        <v>32689</v>
      </c>
      <c r="B56" s="1">
        <v>4579.8</v>
      </c>
      <c r="C56" s="1">
        <v>1150.8739832435299</v>
      </c>
      <c r="D56" s="1">
        <v>566.06650786798116</v>
      </c>
      <c r="F56" s="1">
        <v>2128.8233479800001</v>
      </c>
      <c r="G56" s="1">
        <v>353.21168450279941</v>
      </c>
      <c r="J56" s="1">
        <v>61.560608733186569</v>
      </c>
      <c r="K56" s="1">
        <v>68.092089571980225</v>
      </c>
      <c r="L56" s="1">
        <v>70.793438483576338</v>
      </c>
    </row>
    <row r="57" spans="1:12" x14ac:dyDescent="0.2">
      <c r="A57" s="2">
        <v>32720</v>
      </c>
      <c r="B57" s="1">
        <v>4928.3</v>
      </c>
      <c r="C57" s="1">
        <v>1245.305619813538</v>
      </c>
      <c r="D57" s="1">
        <v>657.77695458206188</v>
      </c>
      <c r="E57" s="1">
        <v>64.113749747775003</v>
      </c>
      <c r="F57" s="1">
        <v>2076.8060176499998</v>
      </c>
      <c r="G57" s="1">
        <v>353.21168450279941</v>
      </c>
      <c r="J57" s="1">
        <v>62.669391342558271</v>
      </c>
      <c r="K57" s="1">
        <v>70.09642634957325</v>
      </c>
      <c r="L57" s="1">
        <v>71.859413017489331</v>
      </c>
    </row>
    <row r="58" spans="1:12" x14ac:dyDescent="0.2">
      <c r="A58" s="2">
        <v>32751</v>
      </c>
      <c r="B58" s="1">
        <v>5324</v>
      </c>
      <c r="C58" s="1">
        <v>1240.22158457666</v>
      </c>
      <c r="D58" s="1">
        <v>716.50514590173361</v>
      </c>
      <c r="E58" s="1">
        <v>64.878019254593994</v>
      </c>
      <c r="F58" s="1">
        <v>2122.9729910999999</v>
      </c>
      <c r="G58" s="1">
        <v>353.21168450279941</v>
      </c>
      <c r="J58" s="1">
        <v>64.202434821753869</v>
      </c>
      <c r="K58" s="1">
        <v>70.139530214748291</v>
      </c>
      <c r="L58" s="1">
        <v>72.961133898613213</v>
      </c>
    </row>
    <row r="59" spans="1:12" x14ac:dyDescent="0.2">
      <c r="A59" s="2">
        <v>32780</v>
      </c>
      <c r="B59" s="1">
        <v>5255.4</v>
      </c>
      <c r="C59" s="1">
        <v>1224.6837715943609</v>
      </c>
      <c r="D59" s="1">
        <v>836.56829911254943</v>
      </c>
      <c r="E59" s="1">
        <v>63.170111474696</v>
      </c>
      <c r="F59" s="1">
        <v>2207.7711446399999</v>
      </c>
      <c r="G59" s="1">
        <v>354.27139061141548</v>
      </c>
      <c r="J59" s="1">
        <v>63.040173951479993</v>
      </c>
      <c r="K59" s="1">
        <v>70.644463220214078</v>
      </c>
      <c r="L59" s="1">
        <v>73.988889036034493</v>
      </c>
    </row>
    <row r="60" spans="1:12" x14ac:dyDescent="0.2">
      <c r="A60" s="2">
        <v>32812</v>
      </c>
      <c r="B60" s="1">
        <v>5026.8</v>
      </c>
      <c r="C60" s="1">
        <v>1184.4423583489379</v>
      </c>
      <c r="D60" s="1">
        <v>914.8392373447266</v>
      </c>
      <c r="E60" s="1">
        <v>60.109816396968</v>
      </c>
      <c r="F60" s="1">
        <v>2174.9997773700002</v>
      </c>
      <c r="G60" s="1">
        <v>354.27139061141548</v>
      </c>
      <c r="J60" s="1">
        <v>63.933452139025754</v>
      </c>
      <c r="K60" s="1">
        <v>72.066900166928477</v>
      </c>
      <c r="L60" s="1">
        <v>75.126777635849166</v>
      </c>
    </row>
    <row r="61" spans="1:12" x14ac:dyDescent="0.2">
      <c r="A61" s="2">
        <v>32842</v>
      </c>
      <c r="B61" s="1">
        <v>4954.5</v>
      </c>
      <c r="C61" s="1">
        <v>1233.726696933838</v>
      </c>
      <c r="D61" s="1">
        <v>948.03465105102589</v>
      </c>
      <c r="E61" s="1">
        <v>61.079135533242003</v>
      </c>
      <c r="F61" s="1">
        <v>2218.9757361000002</v>
      </c>
      <c r="G61" s="1">
        <v>354.27139061141548</v>
      </c>
      <c r="J61" s="1">
        <v>65.854288240114116</v>
      </c>
      <c r="K61" s="1">
        <v>72.89819167985803</v>
      </c>
      <c r="L61" s="1">
        <v>76.264661219336688</v>
      </c>
    </row>
    <row r="62" spans="1:12" x14ac:dyDescent="0.2">
      <c r="A62" s="2">
        <v>32871</v>
      </c>
      <c r="B62" s="1">
        <v>5089.2</v>
      </c>
      <c r="C62" s="1">
        <v>1251.435833930725</v>
      </c>
      <c r="D62" s="1">
        <v>1154.686714072998</v>
      </c>
      <c r="E62" s="1">
        <v>60.589960672945992</v>
      </c>
      <c r="F62" s="1">
        <v>2395.2569921200002</v>
      </c>
      <c r="G62" s="1">
        <v>356.42264288488508</v>
      </c>
      <c r="J62" s="1">
        <v>67.307990649861694</v>
      </c>
      <c r="K62" s="1">
        <v>73.664825046040534</v>
      </c>
      <c r="L62" s="1">
        <v>77.435421810910157</v>
      </c>
    </row>
    <row r="63" spans="1:12" x14ac:dyDescent="0.2">
      <c r="A63" s="2">
        <v>32904</v>
      </c>
      <c r="B63" s="1">
        <v>5182.3999999999996</v>
      </c>
      <c r="C63" s="1">
        <v>1229.1694489746089</v>
      </c>
      <c r="D63" s="1">
        <v>1348.2379248046809</v>
      </c>
      <c r="E63" s="1">
        <v>60.625785612000001</v>
      </c>
      <c r="F63" s="1">
        <v>2463.4348799999998</v>
      </c>
      <c r="G63" s="1">
        <v>356.42264288488508</v>
      </c>
      <c r="J63" s="1">
        <v>68.529709528854738</v>
      </c>
      <c r="K63" s="1">
        <v>73.097605893186014</v>
      </c>
      <c r="L63" s="1">
        <v>78.64357912132408</v>
      </c>
    </row>
    <row r="64" spans="1:12" x14ac:dyDescent="0.2">
      <c r="A64" s="2">
        <v>32932</v>
      </c>
      <c r="B64" s="1">
        <v>4867.1000000000004</v>
      </c>
      <c r="C64" s="1">
        <v>1198.9656856748049</v>
      </c>
      <c r="D64" s="1">
        <v>1602.911649135983</v>
      </c>
      <c r="E64" s="1">
        <v>60.428688070603997</v>
      </c>
      <c r="F64" s="1">
        <v>2472.79992554</v>
      </c>
      <c r="G64" s="1">
        <v>356.42264288488508</v>
      </c>
      <c r="J64" s="1">
        <v>68.194970206745907</v>
      </c>
      <c r="K64" s="1">
        <v>73.451197053407014</v>
      </c>
      <c r="L64" s="1">
        <v>79.660238143108188</v>
      </c>
    </row>
    <row r="65" spans="1:12" x14ac:dyDescent="0.2">
      <c r="A65" s="2">
        <v>32962</v>
      </c>
      <c r="B65" s="1">
        <v>4786.1000000000004</v>
      </c>
      <c r="C65" s="1">
        <v>1158.3289365925291</v>
      </c>
      <c r="D65" s="1">
        <v>1519.033170003177</v>
      </c>
      <c r="E65" s="1">
        <v>60.367248454677998</v>
      </c>
      <c r="F65" s="1">
        <v>2503.8863148999999</v>
      </c>
      <c r="G65" s="1">
        <v>359.27095676819022</v>
      </c>
      <c r="J65" s="1">
        <v>68.780615885261966</v>
      </c>
      <c r="K65" s="1">
        <v>73.907918968692471</v>
      </c>
      <c r="L65" s="1">
        <v>80.809217842232897</v>
      </c>
    </row>
    <row r="66" spans="1:12" x14ac:dyDescent="0.2">
      <c r="A66" s="2">
        <v>32993</v>
      </c>
      <c r="B66" s="1">
        <v>4507.7</v>
      </c>
      <c r="C66" s="1">
        <v>1149.810850121703</v>
      </c>
      <c r="D66" s="1">
        <v>1650.1962103143339</v>
      </c>
      <c r="E66" s="1">
        <v>60.171873099822001</v>
      </c>
      <c r="F66" s="1">
        <v>2496.3902992799999</v>
      </c>
      <c r="G66" s="1">
        <v>359.27095676819022</v>
      </c>
      <c r="J66" s="1">
        <v>69.065551007442309</v>
      </c>
      <c r="K66" s="1">
        <v>73.893186003683269</v>
      </c>
      <c r="L66" s="1">
        <v>81.829167574621877</v>
      </c>
    </row>
    <row r="67" spans="1:12" x14ac:dyDescent="0.2">
      <c r="A67" s="2">
        <v>33024</v>
      </c>
      <c r="B67" s="1">
        <v>4772.8</v>
      </c>
      <c r="C67" s="1">
        <v>1219.524926118957</v>
      </c>
      <c r="D67" s="1">
        <v>1762.1645912078891</v>
      </c>
      <c r="E67" s="1">
        <v>58.963442512266013</v>
      </c>
      <c r="F67" s="1">
        <v>2415.3759320999998</v>
      </c>
      <c r="G67" s="1">
        <v>359.27095676819022</v>
      </c>
      <c r="J67" s="1">
        <v>70.37678970376659</v>
      </c>
      <c r="K67" s="1">
        <v>76.331491712707205</v>
      </c>
      <c r="L67" s="1">
        <v>82.87253853843491</v>
      </c>
    </row>
    <row r="68" spans="1:12" x14ac:dyDescent="0.2">
      <c r="A68" s="2">
        <v>33053</v>
      </c>
      <c r="B68" s="1">
        <v>4767.1000000000004</v>
      </c>
      <c r="C68" s="1">
        <v>1166.2465631179809</v>
      </c>
      <c r="D68" s="1">
        <v>1784.7221148126191</v>
      </c>
      <c r="E68" s="1">
        <v>57.527611144640012</v>
      </c>
      <c r="F68" s="1">
        <v>2310.6746357500001</v>
      </c>
      <c r="G68" s="1">
        <v>363.59265099071479</v>
      </c>
      <c r="J68" s="1">
        <v>71.417583591332232</v>
      </c>
      <c r="K68" s="1">
        <v>77.694290976058966</v>
      </c>
      <c r="L68" s="1">
        <v>83.875633411628172</v>
      </c>
    </row>
    <row r="69" spans="1:12" x14ac:dyDescent="0.2">
      <c r="A69" s="2">
        <v>33085</v>
      </c>
      <c r="B69" s="1">
        <v>5008.3999999999996</v>
      </c>
      <c r="C69" s="1">
        <v>1144.3535017816771</v>
      </c>
      <c r="D69" s="1">
        <v>1953.7554888286129</v>
      </c>
      <c r="E69" s="1">
        <v>56.509049787190008</v>
      </c>
      <c r="F69" s="1">
        <v>2496.0067580899999</v>
      </c>
      <c r="G69" s="1">
        <v>363.59265099071479</v>
      </c>
      <c r="J69" s="1">
        <v>72.934957192397505</v>
      </c>
      <c r="K69" s="1">
        <v>78.939226519337055</v>
      </c>
      <c r="L69" s="1">
        <v>84.934625218160065</v>
      </c>
    </row>
    <row r="70" spans="1:12" x14ac:dyDescent="0.2">
      <c r="A70" s="2">
        <v>33116</v>
      </c>
      <c r="B70" s="1">
        <v>4804.8</v>
      </c>
      <c r="C70" s="1">
        <v>998.88927784759551</v>
      </c>
      <c r="D70" s="1">
        <v>1675.2019087744141</v>
      </c>
      <c r="E70" s="1">
        <v>52.354601281621001</v>
      </c>
      <c r="F70" s="1">
        <v>2830.9311260499999</v>
      </c>
      <c r="G70" s="1">
        <v>363.59265099071479</v>
      </c>
      <c r="J70" s="1">
        <v>73.791047679672189</v>
      </c>
      <c r="K70" s="1">
        <v>78.342541436464103</v>
      </c>
      <c r="L70" s="1">
        <v>86.037575099433639</v>
      </c>
    </row>
    <row r="71" spans="1:12" x14ac:dyDescent="0.2">
      <c r="A71" s="2">
        <v>33144</v>
      </c>
      <c r="B71" s="1">
        <v>4464.2</v>
      </c>
      <c r="C71" s="1">
        <v>872.52440276696723</v>
      </c>
      <c r="D71" s="1">
        <v>1464.086137477289</v>
      </c>
      <c r="E71" s="1">
        <v>47.970135124404003</v>
      </c>
      <c r="F71" s="1">
        <v>3440.3799720900001</v>
      </c>
      <c r="G71" s="1">
        <v>361.42933520495558</v>
      </c>
      <c r="J71" s="1">
        <v>74.918837315104227</v>
      </c>
      <c r="K71" s="1">
        <v>78.990791896869283</v>
      </c>
      <c r="L71" s="1">
        <v>87.009859691323328</v>
      </c>
    </row>
    <row r="72" spans="1:12" x14ac:dyDescent="0.2">
      <c r="A72" s="2">
        <v>33177</v>
      </c>
      <c r="B72" s="1">
        <v>4286.2</v>
      </c>
      <c r="C72" s="1">
        <v>975.17395905761714</v>
      </c>
      <c r="D72" s="1">
        <v>1548.375785286868</v>
      </c>
      <c r="E72" s="1">
        <v>48.845611779690003</v>
      </c>
      <c r="F72" s="1">
        <v>3393.1906429000001</v>
      </c>
      <c r="G72" s="1">
        <v>361.42933520495558</v>
      </c>
      <c r="J72" s="1">
        <v>76.605161968306305</v>
      </c>
      <c r="K72" s="1">
        <v>80.788213627992661</v>
      </c>
      <c r="L72" s="1">
        <v>88.042952200823237</v>
      </c>
    </row>
    <row r="73" spans="1:12" x14ac:dyDescent="0.2">
      <c r="A73" s="2">
        <v>33207</v>
      </c>
      <c r="B73" s="1">
        <v>4301</v>
      </c>
      <c r="C73" s="1">
        <v>983.33730687011723</v>
      </c>
      <c r="D73" s="1">
        <v>1559.848040001227</v>
      </c>
      <c r="E73" s="1">
        <v>50.460555151755003</v>
      </c>
      <c r="F73" s="1">
        <v>3224.6171789999999</v>
      </c>
      <c r="G73" s="1">
        <v>361.42933520495558</v>
      </c>
      <c r="J73" s="1">
        <v>78.829213456860884</v>
      </c>
      <c r="K73" s="1">
        <v>82.70349907918974</v>
      </c>
      <c r="L73" s="1">
        <v>88.972086346641049</v>
      </c>
    </row>
    <row r="74" spans="1:12" x14ac:dyDescent="0.2">
      <c r="A74" s="2">
        <v>33238</v>
      </c>
      <c r="B74" s="1">
        <v>4197.7</v>
      </c>
      <c r="C74" s="1">
        <v>1014.021538251526</v>
      </c>
      <c r="D74" s="1">
        <v>1665.0986716142579</v>
      </c>
      <c r="E74" s="1">
        <v>50.410430775944008</v>
      </c>
      <c r="F74" s="1">
        <v>3169.37144872</v>
      </c>
      <c r="G74" s="1">
        <v>364.67623486590139</v>
      </c>
      <c r="J74" s="1">
        <v>80.162514675001447</v>
      </c>
      <c r="K74" s="1">
        <v>84.073664825046066</v>
      </c>
      <c r="L74" s="1">
        <v>89.928740063157562</v>
      </c>
    </row>
    <row r="75" spans="1:12" x14ac:dyDescent="0.2">
      <c r="A75" s="2">
        <v>33269</v>
      </c>
      <c r="B75" s="1">
        <v>4335.6000000000004</v>
      </c>
      <c r="C75" s="1">
        <v>1021.431087672852</v>
      </c>
      <c r="D75" s="1">
        <v>1836.467248163568</v>
      </c>
      <c r="E75" s="1">
        <v>53.637605109465987</v>
      </c>
      <c r="F75" s="1">
        <v>2828.4613733860001</v>
      </c>
      <c r="G75" s="1">
        <v>364.67623486590139</v>
      </c>
      <c r="J75" s="1">
        <v>82.019675737105274</v>
      </c>
      <c r="K75" s="1">
        <v>85.517495395948458</v>
      </c>
      <c r="L75" s="1">
        <v>90.854583498370502</v>
      </c>
    </row>
    <row r="76" spans="1:12" x14ac:dyDescent="0.2">
      <c r="A76" s="2">
        <v>33297</v>
      </c>
      <c r="B76" s="1">
        <v>4622.1000000000004</v>
      </c>
      <c r="C76" s="1">
        <v>1121.2287440161749</v>
      </c>
      <c r="D76" s="1">
        <v>2134.2780979072272</v>
      </c>
      <c r="E76" s="1">
        <v>55.114826837651997</v>
      </c>
      <c r="F76" s="1">
        <v>2857.106257593</v>
      </c>
      <c r="G76" s="1">
        <v>364.67623486590139</v>
      </c>
      <c r="J76" s="1">
        <v>83.097037850576342</v>
      </c>
      <c r="K76" s="1">
        <v>86.777163904235749</v>
      </c>
      <c r="L76" s="1">
        <v>91.668241793389129</v>
      </c>
    </row>
    <row r="77" spans="1:12" x14ac:dyDescent="0.2">
      <c r="A77" s="2">
        <v>33326</v>
      </c>
      <c r="B77" s="1">
        <v>4775.8</v>
      </c>
      <c r="C77" s="1">
        <v>1162.70252686615</v>
      </c>
      <c r="D77" s="1">
        <v>2346.2760954642299</v>
      </c>
      <c r="E77" s="1">
        <v>58.628196468342999</v>
      </c>
      <c r="F77" s="1">
        <v>3024.0268542220001</v>
      </c>
      <c r="G77" s="1">
        <v>365.4020313024098</v>
      </c>
      <c r="J77" s="1">
        <v>83.951858607784857</v>
      </c>
      <c r="K77" s="1">
        <v>87.476979742173128</v>
      </c>
      <c r="L77" s="1">
        <v>92.558338881391151</v>
      </c>
    </row>
    <row r="78" spans="1:12" x14ac:dyDescent="0.2">
      <c r="A78" s="2">
        <v>33358</v>
      </c>
      <c r="B78" s="1">
        <v>5092.7</v>
      </c>
      <c r="C78" s="1">
        <v>1150.58726315741</v>
      </c>
      <c r="D78" s="1">
        <v>2367.6266978796448</v>
      </c>
      <c r="E78" s="1">
        <v>58.812600472558003</v>
      </c>
      <c r="F78" s="1">
        <v>3047.1192961769998</v>
      </c>
      <c r="G78" s="1">
        <v>365.4020313024098</v>
      </c>
      <c r="J78" s="1">
        <v>85.909890104478009</v>
      </c>
      <c r="K78" s="1">
        <v>88.604051565377546</v>
      </c>
      <c r="L78" s="1">
        <v>93.459110713550459</v>
      </c>
    </row>
    <row r="79" spans="1:12" x14ac:dyDescent="0.2">
      <c r="A79" s="2">
        <v>33389</v>
      </c>
      <c r="B79" s="1">
        <v>5038.3</v>
      </c>
      <c r="C79" s="1">
        <v>1210.972374962158</v>
      </c>
      <c r="D79" s="1">
        <v>2656.8994951113282</v>
      </c>
      <c r="E79" s="1">
        <v>60.430612136736002</v>
      </c>
      <c r="F79" s="1">
        <v>3123.9358601200001</v>
      </c>
      <c r="G79" s="1">
        <v>365.4020313024098</v>
      </c>
      <c r="J79" s="1">
        <v>88.018580845021518</v>
      </c>
      <c r="K79" s="1">
        <v>89.539594843462254</v>
      </c>
      <c r="L79" s="1">
        <v>94.426459239532832</v>
      </c>
    </row>
    <row r="80" spans="1:12" x14ac:dyDescent="0.2">
      <c r="A80" s="2">
        <v>33417</v>
      </c>
      <c r="B80" s="1">
        <v>5046.6000000000004</v>
      </c>
      <c r="C80" s="1">
        <v>1141.455294929443</v>
      </c>
      <c r="D80" s="1">
        <v>2615.0355145466269</v>
      </c>
      <c r="E80" s="1">
        <v>58.703859467748003</v>
      </c>
      <c r="F80" s="1">
        <v>3025.1986079160001</v>
      </c>
      <c r="G80" s="1">
        <v>370.88941582897939</v>
      </c>
      <c r="J80" s="1">
        <v>87.420961227214889</v>
      </c>
      <c r="K80" s="1">
        <v>89.650092081031303</v>
      </c>
      <c r="L80" s="1">
        <v>95.20724052646554</v>
      </c>
    </row>
    <row r="81" spans="1:12" x14ac:dyDescent="0.2">
      <c r="A81" s="2">
        <v>33450</v>
      </c>
      <c r="B81" s="1">
        <v>5273.9</v>
      </c>
      <c r="C81" s="1">
        <v>1170.5668910495001</v>
      </c>
      <c r="D81" s="1">
        <v>2746.584715239258</v>
      </c>
      <c r="E81" s="1">
        <v>58.902019116870001</v>
      </c>
      <c r="F81" s="1">
        <v>3142.8187921200001</v>
      </c>
      <c r="G81" s="1">
        <v>370.88941582897939</v>
      </c>
      <c r="J81" s="1">
        <v>88.776324967171703</v>
      </c>
      <c r="K81" s="1">
        <v>90.990791896869254</v>
      </c>
      <c r="L81" s="1">
        <v>96.0734899952365</v>
      </c>
    </row>
    <row r="82" spans="1:12" x14ac:dyDescent="0.2">
      <c r="A82" s="2">
        <v>33480</v>
      </c>
      <c r="B82" s="1">
        <v>5173.5</v>
      </c>
      <c r="C82" s="1">
        <v>1157.6207350795901</v>
      </c>
      <c r="D82" s="1">
        <v>2858.200038486335</v>
      </c>
      <c r="E82" s="1">
        <v>58.418522223048001</v>
      </c>
      <c r="F82" s="1">
        <v>3171.7643819519999</v>
      </c>
      <c r="G82" s="1">
        <v>370.88941582897939</v>
      </c>
      <c r="J82" s="1">
        <v>90.388258829164201</v>
      </c>
      <c r="K82" s="1">
        <v>93.046040515653786</v>
      </c>
      <c r="L82" s="1">
        <v>96.883044934653313</v>
      </c>
    </row>
    <row r="83" spans="1:12" x14ac:dyDescent="0.2">
      <c r="A83" s="2">
        <v>33511</v>
      </c>
      <c r="B83" s="1">
        <v>5257.4</v>
      </c>
      <c r="C83" s="1">
        <v>1137.4192177734369</v>
      </c>
      <c r="D83" s="1">
        <v>2798.0978950195308</v>
      </c>
      <c r="E83" s="1">
        <v>56.996460720000002</v>
      </c>
      <c r="F83" s="1">
        <v>3125.7961380000002</v>
      </c>
      <c r="G83" s="1">
        <v>383.32196105363221</v>
      </c>
      <c r="J83" s="1">
        <v>93.007581134981692</v>
      </c>
      <c r="K83" s="1">
        <v>95.093922651933696</v>
      </c>
      <c r="L83" s="1">
        <v>97.732449576882843</v>
      </c>
    </row>
    <row r="84" spans="1:12" x14ac:dyDescent="0.2">
      <c r="A84" s="2">
        <v>33542</v>
      </c>
      <c r="B84" s="1">
        <v>5700.1</v>
      </c>
      <c r="C84" s="1">
        <v>1187.0759472984009</v>
      </c>
      <c r="D84" s="1">
        <v>3091.1514009619141</v>
      </c>
      <c r="E84" s="1">
        <v>59.427243886451002</v>
      </c>
      <c r="F84" s="1">
        <v>3305.1037948530002</v>
      </c>
      <c r="G84" s="1">
        <v>383.32196105363221</v>
      </c>
      <c r="J84" s="1">
        <v>96.26613172810724</v>
      </c>
      <c r="K84" s="1">
        <v>96.346224677716407</v>
      </c>
      <c r="L84" s="1">
        <v>98.588435640322132</v>
      </c>
    </row>
    <row r="85" spans="1:12" x14ac:dyDescent="0.2">
      <c r="A85" s="2">
        <v>33571</v>
      </c>
      <c r="B85" s="1">
        <v>5469.1</v>
      </c>
      <c r="C85" s="1">
        <v>1117.3559662857051</v>
      </c>
      <c r="D85" s="1">
        <v>3117.546769790777</v>
      </c>
      <c r="E85" s="1">
        <v>58.408695978005987</v>
      </c>
      <c r="F85" s="1">
        <v>3147.434987960999</v>
      </c>
      <c r="G85" s="1">
        <v>383.32196105363221</v>
      </c>
      <c r="J85" s="1">
        <v>97.139867615634714</v>
      </c>
      <c r="K85" s="1">
        <v>97.296500920810303</v>
      </c>
      <c r="L85" s="1">
        <v>99.284972729239129</v>
      </c>
    </row>
    <row r="86" spans="1:12" x14ac:dyDescent="0.2">
      <c r="A86" s="2">
        <v>33603</v>
      </c>
      <c r="B86" s="1">
        <v>5634.9</v>
      </c>
      <c r="C86" s="1">
        <v>1199.4486237868659</v>
      </c>
      <c r="D86" s="1">
        <v>3674.2843573984378</v>
      </c>
      <c r="E86" s="1">
        <v>63.377599435316</v>
      </c>
      <c r="F86" s="1">
        <v>3009.3655435999999</v>
      </c>
      <c r="G86" s="1">
        <v>384.47211889128698</v>
      </c>
      <c r="J86" s="1">
        <v>97.356410459251379</v>
      </c>
      <c r="K86" s="1">
        <v>98.523020257826886</v>
      </c>
      <c r="L86" s="1">
        <v>98.523020257826886</v>
      </c>
    </row>
    <row r="87" spans="1:12" x14ac:dyDescent="0.2">
      <c r="A87" s="2">
        <v>33634</v>
      </c>
      <c r="B87" s="1">
        <v>5544.2</v>
      </c>
      <c r="C87" s="1">
        <v>1208.6971237719731</v>
      </c>
      <c r="D87" s="1">
        <v>4279.360371346429</v>
      </c>
      <c r="E87" s="1">
        <v>65.454409769198989</v>
      </c>
      <c r="F87" s="1">
        <v>3125.8043458950001</v>
      </c>
      <c r="G87" s="1">
        <v>384.47211889128698</v>
      </c>
      <c r="J87" s="1">
        <v>97.572953302868029</v>
      </c>
      <c r="K87" s="1">
        <v>99.749539594843455</v>
      </c>
      <c r="L87" s="1">
        <v>100.6780469070731</v>
      </c>
    </row>
    <row r="88" spans="1:12" x14ac:dyDescent="0.2">
      <c r="A88" s="2">
        <v>33662</v>
      </c>
      <c r="B88" s="1">
        <v>5525.7</v>
      </c>
      <c r="C88" s="1">
        <v>1201.5835489963381</v>
      </c>
      <c r="D88" s="1">
        <v>4607.3276794130797</v>
      </c>
      <c r="E88" s="1">
        <v>63.534360335335997</v>
      </c>
      <c r="F88" s="1">
        <v>3085.4467213359999</v>
      </c>
      <c r="G88" s="1">
        <v>384.47211889128698</v>
      </c>
      <c r="J88" s="1">
        <v>98.461818216517145</v>
      </c>
      <c r="K88" s="1">
        <v>100.5524861878453</v>
      </c>
      <c r="L88" s="1">
        <v>101.2874704588495</v>
      </c>
    </row>
    <row r="89" spans="1:12" x14ac:dyDescent="0.2">
      <c r="A89" s="2">
        <v>33694</v>
      </c>
      <c r="B89" s="1">
        <v>5435.9</v>
      </c>
      <c r="C89" s="1">
        <v>1133.2978886679689</v>
      </c>
      <c r="D89" s="1">
        <v>4844.0727018759762</v>
      </c>
      <c r="E89" s="1">
        <v>60.560625446431999</v>
      </c>
      <c r="F89" s="1">
        <v>3056.740958897999</v>
      </c>
      <c r="G89" s="1">
        <v>383.05832054737209</v>
      </c>
      <c r="J89" s="1">
        <v>99.525936660631501</v>
      </c>
      <c r="K89" s="1">
        <v>100.2578268876611</v>
      </c>
      <c r="L89" s="1">
        <v>101.9236009363275</v>
      </c>
    </row>
    <row r="90" spans="1:12" x14ac:dyDescent="0.2">
      <c r="A90" s="2">
        <v>33724</v>
      </c>
      <c r="B90" s="1">
        <v>5715.9</v>
      </c>
      <c r="C90" s="1">
        <v>1170.7480096264651</v>
      </c>
      <c r="D90" s="1">
        <v>5086.2331121704037</v>
      </c>
      <c r="E90" s="1">
        <v>62.196290897639997</v>
      </c>
      <c r="F90" s="1">
        <v>3208.6167335999999</v>
      </c>
      <c r="G90" s="1">
        <v>383.05832054737209</v>
      </c>
      <c r="J90" s="1">
        <v>102.4944962973132</v>
      </c>
      <c r="K90" s="1">
        <v>101.10497237569059</v>
      </c>
      <c r="L90" s="1">
        <v>102.6246627523263</v>
      </c>
    </row>
    <row r="91" spans="1:12" x14ac:dyDescent="0.2">
      <c r="A91" s="2">
        <v>33753</v>
      </c>
      <c r="B91" s="1">
        <v>6016.7</v>
      </c>
      <c r="C91" s="1">
        <v>1192.159299105469</v>
      </c>
      <c r="D91" s="1">
        <v>5243.1322828007878</v>
      </c>
      <c r="E91" s="1">
        <v>63.734080709040001</v>
      </c>
      <c r="F91" s="1">
        <v>3289.9571752319998</v>
      </c>
      <c r="G91" s="1">
        <v>383.05832054737209</v>
      </c>
      <c r="J91" s="1">
        <v>104.24196807236819</v>
      </c>
      <c r="K91" s="1">
        <v>102.9318600368324</v>
      </c>
      <c r="L91" s="1">
        <v>103.2201108166861</v>
      </c>
    </row>
    <row r="92" spans="1:12" x14ac:dyDescent="0.2">
      <c r="A92" s="2">
        <v>33785</v>
      </c>
      <c r="B92" s="1">
        <v>5901.3</v>
      </c>
      <c r="C92" s="1">
        <v>1148.0265197290039</v>
      </c>
      <c r="D92" s="1">
        <v>4944.8624064628912</v>
      </c>
      <c r="E92" s="1">
        <v>63.905141769420013</v>
      </c>
      <c r="F92" s="1">
        <v>3316.1070199740002</v>
      </c>
      <c r="G92" s="1">
        <v>385.32861090247502</v>
      </c>
      <c r="J92" s="1">
        <v>106.6942323781475</v>
      </c>
      <c r="K92" s="1">
        <v>104.073664825046</v>
      </c>
      <c r="L92" s="1">
        <v>103.773642451451</v>
      </c>
    </row>
    <row r="93" spans="1:12" x14ac:dyDescent="0.2">
      <c r="A93" s="2">
        <v>33816</v>
      </c>
      <c r="B93" s="1">
        <v>5792.5</v>
      </c>
      <c r="C93" s="1">
        <v>1149.3016568222661</v>
      </c>
      <c r="D93" s="1">
        <v>5169.7177142460932</v>
      </c>
      <c r="E93" s="1">
        <v>65.393982853485994</v>
      </c>
      <c r="F93" s="1">
        <v>3282.4138782539999</v>
      </c>
      <c r="G93" s="1">
        <v>385.32861090247502</v>
      </c>
      <c r="J93" s="1">
        <v>110.32030441509001</v>
      </c>
      <c r="K93" s="1">
        <v>105.7090239410681</v>
      </c>
      <c r="L93" s="1">
        <v>104.3834673093986</v>
      </c>
    </row>
    <row r="94" spans="1:12" x14ac:dyDescent="0.2">
      <c r="A94" s="2">
        <v>33847</v>
      </c>
      <c r="B94" s="1">
        <v>5531.9</v>
      </c>
      <c r="C94" s="1">
        <v>1205.998115249512</v>
      </c>
      <c r="D94" s="1">
        <v>5246.0812210048834</v>
      </c>
      <c r="E94" s="1">
        <v>66.519672175349001</v>
      </c>
      <c r="F94" s="1">
        <v>3429.3141739080002</v>
      </c>
      <c r="G94" s="1">
        <v>385.32861090247502</v>
      </c>
      <c r="J94" s="1">
        <v>106.6885609171853</v>
      </c>
      <c r="K94" s="1">
        <v>106.6961325966851</v>
      </c>
      <c r="L94" s="1">
        <v>104.8494740681972</v>
      </c>
    </row>
    <row r="95" spans="1:12" x14ac:dyDescent="0.2">
      <c r="A95" s="2">
        <v>33877</v>
      </c>
      <c r="B95" s="1">
        <v>5304.4</v>
      </c>
      <c r="C95" s="1">
        <v>1210.019813208618</v>
      </c>
      <c r="D95" s="1">
        <v>5479.8200462695304</v>
      </c>
      <c r="E95" s="1">
        <v>66.895360807205989</v>
      </c>
      <c r="F95" s="1">
        <v>3478.7586490980002</v>
      </c>
      <c r="G95" s="1">
        <v>386.8179420788951</v>
      </c>
      <c r="J95" s="1">
        <v>107.77726595258071</v>
      </c>
      <c r="K95" s="1">
        <v>108.2062615101289</v>
      </c>
      <c r="L95" s="1">
        <v>105.352872529509</v>
      </c>
    </row>
    <row r="96" spans="1:12" x14ac:dyDescent="0.2">
      <c r="A96" s="2">
        <v>33907</v>
      </c>
      <c r="B96" s="1">
        <v>5137.1000000000004</v>
      </c>
      <c r="C96" s="1">
        <v>1250.155038513793</v>
      </c>
      <c r="D96" s="1">
        <v>6128.945347372558</v>
      </c>
      <c r="E96" s="1">
        <v>69.032759163186</v>
      </c>
      <c r="F96" s="1">
        <v>3482.968800486</v>
      </c>
      <c r="G96" s="1">
        <v>386.8179420788951</v>
      </c>
      <c r="J96" s="1">
        <v>108.7745581185463</v>
      </c>
      <c r="K96" s="1">
        <v>108.2504604051565</v>
      </c>
      <c r="L96" s="1">
        <v>105.87722920561841</v>
      </c>
    </row>
    <row r="97" spans="1:12" x14ac:dyDescent="0.2">
      <c r="A97" s="2">
        <v>33938</v>
      </c>
      <c r="B97" s="1">
        <v>5248.1</v>
      </c>
      <c r="C97" s="1">
        <v>1313.4666805433351</v>
      </c>
      <c r="D97" s="1">
        <v>6352.1121077666012</v>
      </c>
      <c r="E97" s="1">
        <v>71.495247711852002</v>
      </c>
      <c r="F97" s="1">
        <v>3494.2718452559998</v>
      </c>
      <c r="G97" s="1">
        <v>386.8179420788951</v>
      </c>
      <c r="J97" s="1">
        <v>108.6749574140231</v>
      </c>
      <c r="K97" s="1">
        <v>108.47882136279929</v>
      </c>
      <c r="L97" s="1">
        <v>106.3946031543468</v>
      </c>
    </row>
    <row r="98" spans="1:12" x14ac:dyDescent="0.2">
      <c r="A98" s="2">
        <v>33969</v>
      </c>
      <c r="B98" s="1">
        <v>5664.9</v>
      </c>
      <c r="C98" s="1">
        <v>1315.0890239994501</v>
      </c>
      <c r="D98" s="1">
        <v>6687.7188375839842</v>
      </c>
      <c r="E98" s="1">
        <v>71.932413233372998</v>
      </c>
      <c r="F98" s="1">
        <v>3470.7319778599999</v>
      </c>
      <c r="G98" s="1">
        <v>391.69748257567738</v>
      </c>
      <c r="J98" s="1">
        <v>110.4136026412848</v>
      </c>
      <c r="K98" s="1">
        <v>110.1436464088398</v>
      </c>
      <c r="L98" s="1">
        <v>106.9197825081074</v>
      </c>
    </row>
    <row r="99" spans="1:12" x14ac:dyDescent="0.2">
      <c r="A99" s="2">
        <v>33998</v>
      </c>
      <c r="B99" s="1">
        <v>5564.2</v>
      </c>
      <c r="C99" s="1">
        <v>1341.8681251803589</v>
      </c>
      <c r="D99" s="1">
        <v>7041.6540076435549</v>
      </c>
      <c r="E99" s="1">
        <v>76.493308689977994</v>
      </c>
      <c r="F99" s="1">
        <v>3565.7700422940002</v>
      </c>
      <c r="G99" s="1">
        <v>391.69748257567738</v>
      </c>
      <c r="J99" s="1">
        <v>112.3955897118929</v>
      </c>
      <c r="K99" s="1">
        <v>112.1694290976059</v>
      </c>
      <c r="L99" s="1">
        <v>107.4593386554558</v>
      </c>
    </row>
    <row r="100" spans="1:12" x14ac:dyDescent="0.2">
      <c r="A100" s="2">
        <v>34026</v>
      </c>
      <c r="B100" s="1">
        <v>5877.5</v>
      </c>
      <c r="C100" s="1">
        <v>1335.2370987564079</v>
      </c>
      <c r="D100" s="1">
        <v>7206.2975010864257</v>
      </c>
      <c r="E100" s="1">
        <v>78.290171486825002</v>
      </c>
      <c r="F100" s="1">
        <v>3520.0895905000002</v>
      </c>
      <c r="G100" s="1">
        <v>391.69748257567738</v>
      </c>
      <c r="J100" s="1">
        <v>115.9535734359542</v>
      </c>
      <c r="K100" s="1">
        <v>114.37200736648251</v>
      </c>
      <c r="L100" s="1">
        <v>107.9697198441487</v>
      </c>
    </row>
    <row r="101" spans="1:12" x14ac:dyDescent="0.2">
      <c r="A101" s="2">
        <v>34059</v>
      </c>
      <c r="B101" s="1">
        <v>6112.1</v>
      </c>
      <c r="C101" s="1">
        <v>1373.0189917454229</v>
      </c>
      <c r="D101" s="1">
        <v>7578.3120264536128</v>
      </c>
      <c r="E101" s="1">
        <v>82.420826961953992</v>
      </c>
      <c r="F101" s="1">
        <v>3548.030866829999</v>
      </c>
      <c r="G101" s="1">
        <v>396.60257470394203</v>
      </c>
      <c r="J101" s="1">
        <v>117.5049911934601</v>
      </c>
      <c r="K101" s="1">
        <v>114.939226519337</v>
      </c>
      <c r="L101" s="1">
        <v>108.4948991979094</v>
      </c>
    </row>
    <row r="102" spans="1:12" x14ac:dyDescent="0.2">
      <c r="A102" s="2">
        <v>34089</v>
      </c>
      <c r="B102" s="1">
        <v>6173.2</v>
      </c>
      <c r="C102" s="1">
        <v>1407.425835950929</v>
      </c>
      <c r="D102" s="1">
        <v>7994.6134716601564</v>
      </c>
      <c r="E102" s="1">
        <v>79.684387272839999</v>
      </c>
      <c r="F102" s="1">
        <v>3502.115445416001</v>
      </c>
      <c r="G102" s="1">
        <v>396.60257470394203</v>
      </c>
      <c r="J102" s="1">
        <v>119.625663568628</v>
      </c>
      <c r="K102" s="1">
        <v>115.6611418047882</v>
      </c>
      <c r="L102" s="1">
        <v>108.97692810559811</v>
      </c>
    </row>
    <row r="103" spans="1:12" x14ac:dyDescent="0.2">
      <c r="A103" s="2">
        <v>34120</v>
      </c>
      <c r="B103" s="1">
        <v>6387.9</v>
      </c>
      <c r="C103" s="1">
        <v>1487.6512600512769</v>
      </c>
      <c r="D103" s="1">
        <v>8881.2289437500003</v>
      </c>
      <c r="E103" s="1">
        <v>82.45366777612</v>
      </c>
      <c r="F103" s="1">
        <v>3545.8619303199998</v>
      </c>
      <c r="G103" s="1">
        <v>396.60257470394203</v>
      </c>
      <c r="J103" s="1">
        <v>119.43906711623841</v>
      </c>
      <c r="K103" s="1">
        <v>116.1915285451197</v>
      </c>
      <c r="L103" s="1">
        <v>109.45074026942891</v>
      </c>
    </row>
    <row r="104" spans="1:12" x14ac:dyDescent="0.2">
      <c r="A104" s="2">
        <v>34150</v>
      </c>
      <c r="B104" s="1">
        <v>6412.5</v>
      </c>
      <c r="C104" s="1">
        <v>1513.728037815004</v>
      </c>
      <c r="D104" s="1">
        <v>9743.6421943657224</v>
      </c>
      <c r="E104" s="1">
        <v>86.048927590855001</v>
      </c>
      <c r="F104" s="1">
        <v>3493.667828522</v>
      </c>
      <c r="G104" s="1">
        <v>400.39891376558671</v>
      </c>
      <c r="J104" s="1">
        <v>121.5610015261386</v>
      </c>
      <c r="K104" s="1">
        <v>118.6372007366483</v>
      </c>
      <c r="L104" s="1">
        <v>109.9118109623202</v>
      </c>
    </row>
    <row r="105" spans="1:12" x14ac:dyDescent="0.2">
      <c r="A105" s="2">
        <v>34180</v>
      </c>
      <c r="B105" s="1">
        <v>6797.3</v>
      </c>
      <c r="C105" s="1">
        <v>1500.937581045403</v>
      </c>
      <c r="D105" s="1">
        <v>10102.63971299707</v>
      </c>
      <c r="E105" s="1">
        <v>85.719128539463995</v>
      </c>
      <c r="F105" s="1">
        <v>3346.962856272</v>
      </c>
      <c r="G105" s="1">
        <v>400.39891376558671</v>
      </c>
      <c r="J105" s="1">
        <v>124.020822649645</v>
      </c>
      <c r="K105" s="1">
        <v>119.7421731123389</v>
      </c>
      <c r="L105" s="1">
        <v>110.4439830761161</v>
      </c>
    </row>
    <row r="106" spans="1:12" x14ac:dyDescent="0.2">
      <c r="A106" s="2">
        <v>34212</v>
      </c>
      <c r="B106" s="1">
        <v>7270</v>
      </c>
      <c r="C106" s="1">
        <v>1607.851393547852</v>
      </c>
      <c r="D106" s="1">
        <v>11714.416767447259</v>
      </c>
      <c r="E106" s="1">
        <v>90.713852644284998</v>
      </c>
      <c r="F106" s="1">
        <v>3471.5394198290001</v>
      </c>
      <c r="G106" s="1">
        <v>400.39891376558671</v>
      </c>
      <c r="J106" s="1">
        <v>125.87987676384751</v>
      </c>
      <c r="K106" s="1">
        <v>122.2467771639042</v>
      </c>
      <c r="L106" s="1">
        <v>110.89436899219579</v>
      </c>
    </row>
    <row r="107" spans="1:12" x14ac:dyDescent="0.2">
      <c r="A107" s="2">
        <v>34242</v>
      </c>
      <c r="B107" s="1">
        <v>7140.8</v>
      </c>
      <c r="C107" s="1">
        <v>1634.231433784184</v>
      </c>
      <c r="D107" s="1">
        <v>13215.073100601559</v>
      </c>
      <c r="E107" s="1">
        <v>95.390805210416005</v>
      </c>
      <c r="F107" s="1">
        <v>3608.8048929279998</v>
      </c>
      <c r="G107" s="1">
        <v>401.9791411302603</v>
      </c>
      <c r="J107" s="1">
        <v>125.5867461112401</v>
      </c>
      <c r="K107" s="1">
        <v>122.8139963167588</v>
      </c>
      <c r="L107" s="1">
        <v>111.327910081734</v>
      </c>
    </row>
    <row r="108" spans="1:12" x14ac:dyDescent="0.2">
      <c r="A108" s="2">
        <v>34271</v>
      </c>
      <c r="B108" s="1">
        <v>7748.9</v>
      </c>
      <c r="C108" s="1">
        <v>1649.6810943273849</v>
      </c>
      <c r="D108" s="1">
        <v>14691.80953791504</v>
      </c>
      <c r="E108" s="1">
        <v>92.045288965529991</v>
      </c>
      <c r="F108" s="1">
        <v>3378.3990715899999</v>
      </c>
      <c r="G108" s="1">
        <v>401.9791411302603</v>
      </c>
      <c r="J108" s="1">
        <v>127.8990553823935</v>
      </c>
      <c r="K108" s="1">
        <v>123.8526703499079</v>
      </c>
      <c r="L108" s="1">
        <v>111.7971975184832</v>
      </c>
    </row>
    <row r="109" spans="1:12" x14ac:dyDescent="0.2">
      <c r="A109" s="2">
        <v>34303</v>
      </c>
      <c r="B109" s="1">
        <v>7325.4</v>
      </c>
      <c r="C109" s="1">
        <v>1583.444503984005</v>
      </c>
      <c r="D109" s="1">
        <v>16211.22009864844</v>
      </c>
      <c r="E109" s="1">
        <v>89.616453245033</v>
      </c>
      <c r="F109" s="1">
        <v>3246.8841647220002</v>
      </c>
      <c r="G109" s="1">
        <v>401.9791411302603</v>
      </c>
      <c r="J109" s="1">
        <v>126.9622793209145</v>
      </c>
      <c r="K109" s="1">
        <v>123.5948434622468</v>
      </c>
      <c r="L109" s="1">
        <v>112.2286819138934</v>
      </c>
    </row>
    <row r="110" spans="1:12" x14ac:dyDescent="0.2">
      <c r="A110" s="2">
        <v>34334</v>
      </c>
      <c r="B110" s="1">
        <v>7956.7</v>
      </c>
      <c r="C110" s="1">
        <v>1621.4194709411661</v>
      </c>
      <c r="D110" s="1">
        <v>19321.75782441406</v>
      </c>
      <c r="E110" s="1">
        <v>88.424950075249996</v>
      </c>
      <c r="F110" s="1">
        <v>3086.1580619000001</v>
      </c>
      <c r="G110" s="1">
        <v>406.94884180873601</v>
      </c>
      <c r="J110" s="1">
        <v>128.4348968609811</v>
      </c>
      <c r="K110" s="1">
        <v>125.060773480663</v>
      </c>
      <c r="L110" s="1">
        <v>112.68235854057789</v>
      </c>
    </row>
    <row r="111" spans="1:12" x14ac:dyDescent="0.2">
      <c r="A111" s="2">
        <v>34365</v>
      </c>
      <c r="B111" s="1">
        <v>8457.1</v>
      </c>
      <c r="C111" s="1">
        <v>1642.223653276249</v>
      </c>
      <c r="D111" s="1">
        <v>20000.088410668941</v>
      </c>
      <c r="E111" s="1">
        <v>88.356827674043998</v>
      </c>
      <c r="F111" s="1">
        <v>3199.0039505730001</v>
      </c>
      <c r="G111" s="1">
        <v>406.94884180873601</v>
      </c>
      <c r="J111" s="1">
        <v>130.44398689700139</v>
      </c>
      <c r="K111" s="1">
        <v>126.0920810313075</v>
      </c>
      <c r="L111" s="1">
        <v>113.15041196085021</v>
      </c>
    </row>
    <row r="112" spans="1:12" x14ac:dyDescent="0.2">
      <c r="A112" s="2">
        <v>34393</v>
      </c>
      <c r="B112" s="1">
        <v>7973.7</v>
      </c>
      <c r="C112" s="1">
        <v>1590.464263703373</v>
      </c>
      <c r="D112" s="1">
        <v>20548.986578097662</v>
      </c>
      <c r="E112" s="1">
        <v>88.340626931436006</v>
      </c>
      <c r="F112" s="1">
        <v>3114.0823371239999</v>
      </c>
      <c r="G112" s="1">
        <v>406.94884180873601</v>
      </c>
      <c r="J112" s="1">
        <v>127.8580777302583</v>
      </c>
      <c r="K112" s="1">
        <v>123.8526703499079</v>
      </c>
      <c r="L112" s="1">
        <v>113.5560121082098</v>
      </c>
    </row>
    <row r="113" spans="1:12" x14ac:dyDescent="0.2">
      <c r="A113" s="2">
        <v>34424</v>
      </c>
      <c r="B113" s="1">
        <v>7515.5</v>
      </c>
      <c r="C113" s="1">
        <v>1537.1145901057159</v>
      </c>
      <c r="D113" s="1">
        <v>20224.78330197266</v>
      </c>
      <c r="E113" s="1">
        <v>88.206584382529996</v>
      </c>
      <c r="F113" s="1">
        <v>3128.8056099280002</v>
      </c>
      <c r="G113" s="1">
        <v>412.6661125967305</v>
      </c>
      <c r="J113" s="1">
        <v>124.55099266727041</v>
      </c>
      <c r="K113" s="1">
        <v>121.6353591160221</v>
      </c>
      <c r="L113" s="1">
        <v>114.0121467351937</v>
      </c>
    </row>
    <row r="114" spans="1:12" x14ac:dyDescent="0.2">
      <c r="A114" s="2">
        <v>34453</v>
      </c>
      <c r="B114" s="1">
        <v>7616.4</v>
      </c>
      <c r="C114" s="1">
        <v>1545.710235449714</v>
      </c>
      <c r="D114" s="1">
        <v>20344.221139029301</v>
      </c>
      <c r="E114" s="1">
        <v>85.309051448290006</v>
      </c>
      <c r="F114" s="1">
        <v>3154.4982318279999</v>
      </c>
      <c r="G114" s="1">
        <v>412.6661125967305</v>
      </c>
      <c r="J114" s="1">
        <v>123.524065771094</v>
      </c>
      <c r="K114" s="1">
        <v>120.92081031307551</v>
      </c>
      <c r="L114" s="1">
        <v>114.4818555434227</v>
      </c>
    </row>
    <row r="115" spans="1:12" x14ac:dyDescent="0.2">
      <c r="A115" s="2">
        <v>34485</v>
      </c>
      <c r="B115" s="1">
        <v>7711.3</v>
      </c>
      <c r="C115" s="1">
        <v>1508.5277100391879</v>
      </c>
      <c r="D115" s="1">
        <v>21032.23241305957</v>
      </c>
      <c r="E115" s="1">
        <v>83.743017789684004</v>
      </c>
      <c r="F115" s="1">
        <v>3093.8941827859999</v>
      </c>
      <c r="G115" s="1">
        <v>412.6661125967305</v>
      </c>
      <c r="J115" s="1">
        <v>123.28641077937731</v>
      </c>
      <c r="K115" s="1">
        <v>120.4346224677717</v>
      </c>
      <c r="L115" s="1">
        <v>114.9577143687273</v>
      </c>
    </row>
    <row r="116" spans="1:12" x14ac:dyDescent="0.2">
      <c r="A116" s="2">
        <v>34515</v>
      </c>
      <c r="B116" s="1">
        <v>7407.6</v>
      </c>
      <c r="C116" s="1">
        <v>1483.7419978113981</v>
      </c>
      <c r="D116" s="1">
        <v>21656.571148671879</v>
      </c>
      <c r="E116" s="1">
        <v>83.112374571648999</v>
      </c>
      <c r="F116" s="1">
        <v>3202.9731830119999</v>
      </c>
      <c r="G116" s="1">
        <v>418.83876220604071</v>
      </c>
      <c r="J116" s="1">
        <v>120.1848296037642</v>
      </c>
      <c r="K116" s="1">
        <v>119.8305709023941</v>
      </c>
      <c r="L116" s="1">
        <v>115.3329055409547</v>
      </c>
    </row>
    <row r="117" spans="1:12" x14ac:dyDescent="0.2">
      <c r="A117" s="2">
        <v>34544</v>
      </c>
      <c r="B117" s="1">
        <v>7685.7</v>
      </c>
      <c r="C117" s="1">
        <v>1501.9581105322329</v>
      </c>
      <c r="D117" s="1">
        <v>22610.303120507819</v>
      </c>
      <c r="E117" s="1">
        <v>81.577277680259996</v>
      </c>
      <c r="F117" s="1">
        <v>3221.52103872</v>
      </c>
      <c r="G117" s="1">
        <v>418.83876220604071</v>
      </c>
      <c r="J117" s="1">
        <v>121.4670645872439</v>
      </c>
      <c r="K117" s="1">
        <v>121.7163904235728</v>
      </c>
      <c r="L117" s="1">
        <v>115.8987673078335</v>
      </c>
    </row>
    <row r="118" spans="1:12" x14ac:dyDescent="0.2">
      <c r="A118" s="2">
        <v>34577</v>
      </c>
      <c r="B118" s="1">
        <v>7921.9</v>
      </c>
      <c r="C118" s="1">
        <v>1533.434083199832</v>
      </c>
      <c r="D118" s="1">
        <v>24979.714672285161</v>
      </c>
      <c r="E118" s="1">
        <v>80.984147125478998</v>
      </c>
      <c r="F118" s="1">
        <v>2982.1980262010002</v>
      </c>
      <c r="G118" s="1">
        <v>418.83876220604071</v>
      </c>
      <c r="J118" s="1">
        <v>123.07270366624169</v>
      </c>
      <c r="K118" s="1">
        <v>121.4364640883978</v>
      </c>
      <c r="L118" s="1">
        <v>116.3939389926332</v>
      </c>
    </row>
    <row r="119" spans="1:12" x14ac:dyDescent="0.2">
      <c r="A119" s="2">
        <v>34607</v>
      </c>
      <c r="B119" s="1">
        <v>7592</v>
      </c>
      <c r="C119" s="1">
        <v>1487.206314656501</v>
      </c>
      <c r="D119" s="1">
        <v>25248.884904882809</v>
      </c>
      <c r="E119" s="1">
        <v>79.56335498919799</v>
      </c>
      <c r="F119" s="1">
        <v>2972.0992272540002</v>
      </c>
      <c r="G119" s="1">
        <v>426.5386514228743</v>
      </c>
      <c r="J119" s="1">
        <v>120.264891855936</v>
      </c>
      <c r="K119" s="1">
        <v>120.4714548802947</v>
      </c>
      <c r="L119" s="1">
        <v>116.8998054868988</v>
      </c>
    </row>
    <row r="120" spans="1:12" x14ac:dyDescent="0.2">
      <c r="A120" s="2">
        <v>34638</v>
      </c>
      <c r="B120" s="1">
        <v>7671.6</v>
      </c>
      <c r="C120" s="1">
        <v>1504.4910823325131</v>
      </c>
      <c r="D120" s="1">
        <v>24671.436813460939</v>
      </c>
      <c r="E120" s="1">
        <v>77.256810208578003</v>
      </c>
      <c r="F120" s="1">
        <v>2976.6430133439999</v>
      </c>
      <c r="G120" s="1">
        <v>426.5386514228743</v>
      </c>
      <c r="J120" s="1">
        <v>120.085228899241</v>
      </c>
      <c r="K120" s="1">
        <v>120.707182320442</v>
      </c>
      <c r="L120" s="1">
        <v>117.44141832837521</v>
      </c>
    </row>
    <row r="121" spans="1:12" x14ac:dyDescent="0.2">
      <c r="A121" s="2">
        <v>34668</v>
      </c>
      <c r="B121" s="1">
        <v>7130.4</v>
      </c>
      <c r="C121" s="1">
        <v>1414.5841074223599</v>
      </c>
      <c r="D121" s="1">
        <v>22633.810808968748</v>
      </c>
      <c r="E121" s="1">
        <v>71.854608458664003</v>
      </c>
      <c r="F121" s="1">
        <v>2780.6398355920001</v>
      </c>
      <c r="G121" s="1">
        <v>426.5386514228743</v>
      </c>
      <c r="J121" s="1">
        <v>120.3455851254739</v>
      </c>
      <c r="K121" s="1">
        <v>121.40699815837939</v>
      </c>
      <c r="L121" s="1">
        <v>118.0627606734399</v>
      </c>
    </row>
    <row r="122" spans="1:12" x14ac:dyDescent="0.2">
      <c r="A122" s="2">
        <v>34698</v>
      </c>
      <c r="B122" s="1">
        <v>7255.7</v>
      </c>
      <c r="C122" s="1">
        <v>1416.2445552988279</v>
      </c>
      <c r="D122" s="1">
        <v>21622.823042082029</v>
      </c>
      <c r="E122" s="1">
        <v>74.244415330357995</v>
      </c>
      <c r="F122" s="1">
        <v>2848.0955163439999</v>
      </c>
      <c r="G122" s="1">
        <v>425.89262417576339</v>
      </c>
      <c r="J122" s="1">
        <v>122.4479733876891</v>
      </c>
      <c r="K122" s="1">
        <v>121.9889502762431</v>
      </c>
      <c r="L122" s="1">
        <v>118.72396275397161</v>
      </c>
    </row>
    <row r="123" spans="1:12" x14ac:dyDescent="0.2">
      <c r="A123" s="2">
        <v>34730</v>
      </c>
      <c r="B123" s="1">
        <v>6978.3</v>
      </c>
      <c r="C123" s="1">
        <v>1420.528244672852</v>
      </c>
      <c r="D123" s="1">
        <v>20085.177698393549</v>
      </c>
      <c r="E123" s="1">
        <v>75.327105204329996</v>
      </c>
      <c r="F123" s="1">
        <v>2845.1781916949999</v>
      </c>
      <c r="G123" s="1">
        <v>425.89262417576339</v>
      </c>
      <c r="J123" s="1">
        <v>122.36476374402</v>
      </c>
      <c r="K123" s="1">
        <v>124.1694290976059</v>
      </c>
      <c r="L123" s="1">
        <v>119.54994114845</v>
      </c>
    </row>
    <row r="124" spans="1:12" x14ac:dyDescent="0.2">
      <c r="A124" s="2">
        <v>34758</v>
      </c>
      <c r="B124" s="1">
        <v>7357.5</v>
      </c>
      <c r="C124" s="1">
        <v>1466.0481397480471</v>
      </c>
      <c r="D124" s="1">
        <v>20183.922000499999</v>
      </c>
      <c r="E124" s="1">
        <v>78.794981585068001</v>
      </c>
      <c r="F124" s="1">
        <v>2945.1720453200001</v>
      </c>
      <c r="G124" s="1">
        <v>425.89262417576339</v>
      </c>
      <c r="J124" s="1">
        <v>126.17743223335211</v>
      </c>
      <c r="K124" s="1">
        <v>126.7845303867403</v>
      </c>
      <c r="L124" s="1">
        <v>120.3483899395753</v>
      </c>
    </row>
    <row r="125" spans="1:12" x14ac:dyDescent="0.2">
      <c r="A125" s="2">
        <v>34789</v>
      </c>
      <c r="B125" s="1">
        <v>7352.3</v>
      </c>
      <c r="C125" s="1">
        <v>1479.5329860441959</v>
      </c>
      <c r="D125" s="1">
        <v>20308.76737114941</v>
      </c>
      <c r="E125" s="1">
        <v>79.371578239464</v>
      </c>
      <c r="F125" s="1">
        <v>3001.1558014689999</v>
      </c>
      <c r="G125" s="1">
        <v>431.37735354462728</v>
      </c>
      <c r="J125" s="1">
        <v>127.5012758863332</v>
      </c>
      <c r="K125" s="1">
        <v>128.390423572744</v>
      </c>
      <c r="L125" s="1">
        <v>121.12958256533361</v>
      </c>
    </row>
    <row r="126" spans="1:12" x14ac:dyDescent="0.2">
      <c r="A126" s="2">
        <v>34817</v>
      </c>
      <c r="B126" s="1">
        <v>7913.2</v>
      </c>
      <c r="C126" s="1">
        <v>1535.199391879391</v>
      </c>
      <c r="D126" s="1">
        <v>21125.288689386722</v>
      </c>
      <c r="E126" s="1">
        <v>80.083687113604</v>
      </c>
      <c r="F126" s="1">
        <v>3117.2784450200002</v>
      </c>
      <c r="G126" s="1">
        <v>431.37735354462728</v>
      </c>
      <c r="J126" s="1">
        <v>129.36096101790179</v>
      </c>
      <c r="K126" s="1">
        <v>130.51933701657461</v>
      </c>
      <c r="L126" s="1">
        <v>121.9415955050498</v>
      </c>
    </row>
    <row r="127" spans="1:12" x14ac:dyDescent="0.2">
      <c r="A127" s="2">
        <v>34850</v>
      </c>
      <c r="B127" s="1">
        <v>7840.9</v>
      </c>
      <c r="C127" s="1">
        <v>1575.4656626342769</v>
      </c>
      <c r="D127" s="1">
        <v>22560.733845336919</v>
      </c>
      <c r="E127" s="1">
        <v>84.209096678224995</v>
      </c>
      <c r="F127" s="1">
        <v>3125.3102614499999</v>
      </c>
      <c r="G127" s="1">
        <v>431.37735354462728</v>
      </c>
      <c r="J127" s="1">
        <v>134.80510182157789</v>
      </c>
      <c r="K127" s="1">
        <v>135.34438305709031</v>
      </c>
      <c r="L127" s="1">
        <v>122.77128598161291</v>
      </c>
    </row>
    <row r="128" spans="1:12" x14ac:dyDescent="0.2">
      <c r="A128" s="2">
        <v>34880</v>
      </c>
      <c r="B128" s="1">
        <v>7884.8</v>
      </c>
      <c r="C128" s="1">
        <v>1595.316527110836</v>
      </c>
      <c r="D128" s="1">
        <v>22913.76091862109</v>
      </c>
      <c r="E128" s="1">
        <v>86.022370555812003</v>
      </c>
      <c r="F128" s="1">
        <v>3116.746637832</v>
      </c>
      <c r="G128" s="1">
        <v>429.6141895186534</v>
      </c>
      <c r="J128" s="1">
        <v>134.46216696904199</v>
      </c>
      <c r="K128" s="1">
        <v>135.95580110497241</v>
      </c>
      <c r="L128" s="1">
        <v>123.52658432666639</v>
      </c>
    </row>
    <row r="129" spans="1:12" x14ac:dyDescent="0.2">
      <c r="A129" s="2">
        <v>34911</v>
      </c>
      <c r="B129" s="1">
        <v>8298.4</v>
      </c>
      <c r="C129" s="1">
        <v>1615.6812388443641</v>
      </c>
      <c r="D129" s="1">
        <v>22544.919071636719</v>
      </c>
      <c r="E129" s="1">
        <v>83.931220207694992</v>
      </c>
      <c r="F129" s="1">
        <v>3066.6336032220001</v>
      </c>
      <c r="G129" s="1">
        <v>429.6141895186534</v>
      </c>
      <c r="J129" s="1">
        <v>134.21631644689819</v>
      </c>
      <c r="K129" s="1">
        <v>136.76611418047881</v>
      </c>
      <c r="L129" s="1">
        <v>124.3147596798058</v>
      </c>
    </row>
    <row r="130" spans="1:12" x14ac:dyDescent="0.2">
      <c r="A130" s="2">
        <v>34942</v>
      </c>
      <c r="B130" s="1">
        <v>8365.1</v>
      </c>
      <c r="C130" s="1">
        <v>1612.222571192865</v>
      </c>
      <c r="D130" s="1">
        <v>21993.30900904688</v>
      </c>
      <c r="E130" s="1">
        <v>82.254719061077992</v>
      </c>
      <c r="F130" s="1">
        <v>3075.073229956</v>
      </c>
      <c r="G130" s="1">
        <v>429.6141895186534</v>
      </c>
      <c r="J130" s="1">
        <v>137.4282102315926</v>
      </c>
      <c r="K130" s="1">
        <v>138.43093922651931</v>
      </c>
      <c r="L130" s="1">
        <v>125.1185558756641</v>
      </c>
    </row>
    <row r="131" spans="1:12" x14ac:dyDescent="0.2">
      <c r="A131" s="2">
        <v>34971</v>
      </c>
      <c r="B131" s="1">
        <v>8395.4</v>
      </c>
      <c r="C131" s="1">
        <v>1644.893734409909</v>
      </c>
      <c r="D131" s="1">
        <v>21981.040854820309</v>
      </c>
      <c r="E131" s="1">
        <v>83.562777338237993</v>
      </c>
      <c r="F131" s="1">
        <v>3080.2855500000001</v>
      </c>
      <c r="G131" s="1">
        <v>431.68011242066001</v>
      </c>
      <c r="J131" s="1">
        <v>140.1509116507969</v>
      </c>
      <c r="K131" s="1">
        <v>140.22836095764271</v>
      </c>
      <c r="L131" s="1">
        <v>125.89070907991329</v>
      </c>
    </row>
    <row r="132" spans="1:12" x14ac:dyDescent="0.2">
      <c r="A132" s="2">
        <v>35003</v>
      </c>
      <c r="B132" s="1">
        <v>8190.1</v>
      </c>
      <c r="C132" s="1">
        <v>1617.272689609124</v>
      </c>
      <c r="D132" s="1">
        <v>21314.972887872071</v>
      </c>
      <c r="E132" s="1">
        <v>81.953606273847001</v>
      </c>
      <c r="F132" s="1">
        <v>3087.1586381789998</v>
      </c>
      <c r="G132" s="1">
        <v>431.68011242066001</v>
      </c>
      <c r="J132" s="1">
        <v>140.01411939833579</v>
      </c>
      <c r="K132" s="1">
        <v>142.21731123388579</v>
      </c>
      <c r="L132" s="1">
        <v>126.6846431766112</v>
      </c>
    </row>
    <row r="133" spans="1:12" x14ac:dyDescent="0.2">
      <c r="A133" s="2">
        <v>35033</v>
      </c>
      <c r="B133" s="1">
        <v>8552.7000000000007</v>
      </c>
      <c r="C133" s="1">
        <v>1722.119810786133</v>
      </c>
      <c r="D133" s="1">
        <v>21707.175828837891</v>
      </c>
      <c r="E133" s="1">
        <v>83.485912622279997</v>
      </c>
      <c r="F133" s="1">
        <v>3243.84553701</v>
      </c>
      <c r="G133" s="1">
        <v>431.68011242066001</v>
      </c>
      <c r="J133" s="1">
        <v>144.31156313159451</v>
      </c>
      <c r="K133" s="1">
        <v>145.03867403314919</v>
      </c>
      <c r="L133" s="1">
        <v>127.467481157672</v>
      </c>
    </row>
    <row r="134" spans="1:12" x14ac:dyDescent="0.2">
      <c r="A134" s="2">
        <v>35062</v>
      </c>
      <c r="B134" s="1">
        <v>8759.2999999999993</v>
      </c>
      <c r="C134" s="1">
        <v>1772.3138082571991</v>
      </c>
      <c r="D134" s="1">
        <v>22720.168083322271</v>
      </c>
      <c r="E134" s="1">
        <v>87.570105412329013</v>
      </c>
      <c r="F134" s="1">
        <v>3573.678704553</v>
      </c>
      <c r="G134" s="1">
        <v>432.19566885737152</v>
      </c>
      <c r="J134" s="1">
        <v>145.25842777559919</v>
      </c>
      <c r="K134" s="1">
        <v>147.1528545119705</v>
      </c>
      <c r="L134" s="1">
        <v>128.26099388289001</v>
      </c>
    </row>
    <row r="135" spans="1:12" x14ac:dyDescent="0.2">
      <c r="A135" s="2">
        <v>35095</v>
      </c>
      <c r="B135" s="1">
        <v>9053.1</v>
      </c>
      <c r="C135" s="1">
        <v>1836.1032535952211</v>
      </c>
      <c r="D135" s="1">
        <v>24421.49890233593</v>
      </c>
      <c r="E135" s="1">
        <v>89.607501462485999</v>
      </c>
      <c r="F135" s="1">
        <v>3563.589376003999</v>
      </c>
      <c r="G135" s="1">
        <v>432.19566885737152</v>
      </c>
      <c r="J135" s="1">
        <v>146.96492959385259</v>
      </c>
      <c r="K135" s="1">
        <v>148.78084714548811</v>
      </c>
      <c r="L135" s="1">
        <v>129.0656127563995</v>
      </c>
    </row>
    <row r="136" spans="1:12" x14ac:dyDescent="0.2">
      <c r="A136" s="2">
        <v>35124</v>
      </c>
      <c r="B136" s="1">
        <v>9093</v>
      </c>
      <c r="C136" s="1">
        <v>1785.3139759189451</v>
      </c>
      <c r="D136" s="1">
        <v>23635.293567359371</v>
      </c>
      <c r="E136" s="1">
        <v>87.480400456262004</v>
      </c>
      <c r="F136" s="1">
        <v>3609.987217716</v>
      </c>
      <c r="G136" s="1">
        <v>432.19566885737152</v>
      </c>
      <c r="J136" s="1">
        <v>144.56687891423149</v>
      </c>
      <c r="K136" s="1">
        <v>146.93922651933701</v>
      </c>
      <c r="L136" s="1">
        <v>129.82543582853469</v>
      </c>
    </row>
    <row r="137" spans="1:12" x14ac:dyDescent="0.2">
      <c r="A137" s="2">
        <v>35153</v>
      </c>
      <c r="B137" s="1">
        <v>8874.6</v>
      </c>
      <c r="C137" s="1">
        <v>1780.15857595386</v>
      </c>
      <c r="D137" s="1">
        <v>23361.58473130078</v>
      </c>
      <c r="E137" s="1">
        <v>85.839463859784004</v>
      </c>
      <c r="F137" s="1">
        <v>3758.1554714099998</v>
      </c>
      <c r="G137" s="1">
        <v>432.71072510641579</v>
      </c>
      <c r="J137" s="1">
        <v>143.8236328008368</v>
      </c>
      <c r="K137" s="1">
        <v>147.1012891344383</v>
      </c>
      <c r="L137" s="1">
        <v>130.64319747915519</v>
      </c>
    </row>
    <row r="138" spans="1:12" x14ac:dyDescent="0.2">
      <c r="A138" s="2">
        <v>35185</v>
      </c>
      <c r="B138" s="1">
        <v>9254.7999999999993</v>
      </c>
      <c r="C138" s="1">
        <v>1818.2878346208429</v>
      </c>
      <c r="D138" s="1">
        <v>24448.277097175782</v>
      </c>
      <c r="E138" s="1">
        <v>85.300576680044998</v>
      </c>
      <c r="F138" s="1">
        <v>3954.8969403440001</v>
      </c>
      <c r="G138" s="1">
        <v>432.71072510641579</v>
      </c>
      <c r="J138" s="1">
        <v>145.92792181048429</v>
      </c>
      <c r="K138" s="1">
        <v>147.74953959484341</v>
      </c>
      <c r="L138" s="1">
        <v>131.4535750962232</v>
      </c>
    </row>
    <row r="139" spans="1:12" x14ac:dyDescent="0.2">
      <c r="A139" s="2">
        <v>35216</v>
      </c>
      <c r="B139" s="1">
        <v>9086.1</v>
      </c>
      <c r="C139" s="1">
        <v>1799.193275625983</v>
      </c>
      <c r="D139" s="1">
        <v>24104.152311328129</v>
      </c>
      <c r="E139" s="1">
        <v>85.073834329820002</v>
      </c>
      <c r="F139" s="1">
        <v>3863.7190026399999</v>
      </c>
      <c r="G139" s="1">
        <v>432.71072510641579</v>
      </c>
      <c r="J139" s="1">
        <v>146.11704233233871</v>
      </c>
      <c r="K139" s="1">
        <v>148.24309392265189</v>
      </c>
      <c r="L139" s="1">
        <v>132.29229496164109</v>
      </c>
    </row>
    <row r="140" spans="1:12" x14ac:dyDescent="0.2">
      <c r="A140" s="2">
        <v>35244</v>
      </c>
      <c r="B140" s="1">
        <v>9014.2000000000007</v>
      </c>
      <c r="C140" s="1">
        <v>1838.797454471066</v>
      </c>
      <c r="D140" s="1">
        <v>24683.713752158201</v>
      </c>
      <c r="E140" s="1">
        <v>88.102250071133</v>
      </c>
      <c r="F140" s="1">
        <v>4071.754565099</v>
      </c>
      <c r="G140" s="1">
        <v>439.41178347220227</v>
      </c>
      <c r="J140" s="1">
        <v>147.17170321129359</v>
      </c>
      <c r="K140" s="1">
        <v>150.26887661141811</v>
      </c>
      <c r="L140" s="1">
        <v>133.1038965625317</v>
      </c>
    </row>
    <row r="141" spans="1:12" x14ac:dyDescent="0.2">
      <c r="A141" s="2">
        <v>35277</v>
      </c>
      <c r="B141" s="1">
        <v>8769.7999999999993</v>
      </c>
      <c r="C141" s="1">
        <v>1785.9937273300779</v>
      </c>
      <c r="D141" s="1">
        <v>23569.027870031248</v>
      </c>
      <c r="E141" s="1">
        <v>90.108856778652012</v>
      </c>
      <c r="F141" s="1">
        <v>3950.3272940520001</v>
      </c>
      <c r="G141" s="1">
        <v>439.41178347220227</v>
      </c>
      <c r="J141" s="1">
        <v>152.10962957125909</v>
      </c>
      <c r="K141" s="1">
        <v>151.28545119705339</v>
      </c>
      <c r="L141" s="1">
        <v>134.0437054525068</v>
      </c>
    </row>
    <row r="142" spans="1:12" x14ac:dyDescent="0.2">
      <c r="A142" s="2">
        <v>35307</v>
      </c>
      <c r="B142" s="1">
        <v>9138.4</v>
      </c>
      <c r="C142" s="1">
        <v>1770.675794770257</v>
      </c>
      <c r="D142" s="1">
        <v>23623.999444576169</v>
      </c>
      <c r="E142" s="1">
        <v>91.563151914962006</v>
      </c>
      <c r="F142" s="1">
        <v>3982.729031762</v>
      </c>
      <c r="G142" s="1">
        <v>439.41178347220227</v>
      </c>
      <c r="J142" s="1">
        <v>154.6993248421995</v>
      </c>
      <c r="K142" s="1">
        <v>152.0957642725599</v>
      </c>
      <c r="L142" s="1">
        <v>134.8475016483651</v>
      </c>
    </row>
    <row r="143" spans="1:12" x14ac:dyDescent="0.2">
      <c r="A143" s="2">
        <v>35338</v>
      </c>
      <c r="B143" s="1">
        <v>9263.7000000000007</v>
      </c>
      <c r="C143" s="1">
        <v>1859.724167946903</v>
      </c>
      <c r="D143" s="1">
        <v>23948.830760537108</v>
      </c>
      <c r="E143" s="1">
        <v>93.097869216508002</v>
      </c>
      <c r="F143" s="1">
        <v>4123.9788506149998</v>
      </c>
      <c r="G143" s="1">
        <v>442.30332133393682</v>
      </c>
      <c r="J143" s="1">
        <v>157.2341677742817</v>
      </c>
      <c r="K143" s="1">
        <v>155.292817679558</v>
      </c>
      <c r="L143" s="1">
        <v>135.61718681966059</v>
      </c>
    </row>
    <row r="144" spans="1:12" x14ac:dyDescent="0.2">
      <c r="A144" s="2">
        <v>35369</v>
      </c>
      <c r="B144" s="1">
        <v>9605.2999999999993</v>
      </c>
      <c r="C144" s="1">
        <v>1866.189504058844</v>
      </c>
      <c r="D144" s="1">
        <v>23550.74391967773</v>
      </c>
      <c r="E144" s="1">
        <v>94.740790798500001</v>
      </c>
      <c r="F144" s="1">
        <v>4104.4343436250001</v>
      </c>
      <c r="G144" s="1">
        <v>442.30332133393682</v>
      </c>
      <c r="J144" s="1">
        <v>160.40382956744219</v>
      </c>
      <c r="K144" s="1">
        <v>158.54880294659301</v>
      </c>
      <c r="L144" s="1">
        <v>136.41564564344031</v>
      </c>
    </row>
    <row r="145" spans="1:12" x14ac:dyDescent="0.2">
      <c r="A145" s="2">
        <v>35398</v>
      </c>
      <c r="B145" s="1">
        <v>9787.7000000000007</v>
      </c>
      <c r="C145" s="1">
        <v>1919.7321560885041</v>
      </c>
      <c r="D145" s="1">
        <v>23316.615671841799</v>
      </c>
      <c r="E145" s="1">
        <v>96.391965158966997</v>
      </c>
      <c r="F145" s="1">
        <v>4329.18325164</v>
      </c>
      <c r="G145" s="1">
        <v>442.30332133393682</v>
      </c>
      <c r="J145" s="1">
        <v>162.20993978555259</v>
      </c>
      <c r="K145" s="1">
        <v>161.6869244935543</v>
      </c>
      <c r="L145" s="1">
        <v>137.17588005440109</v>
      </c>
    </row>
    <row r="146" spans="1:12" x14ac:dyDescent="0.2">
      <c r="A146" s="2">
        <v>35430</v>
      </c>
      <c r="B146" s="1">
        <v>10015.6</v>
      </c>
      <c r="C146" s="1">
        <v>1944.509440523678</v>
      </c>
      <c r="D146" s="1">
        <v>24156.16475572265</v>
      </c>
      <c r="E146" s="1">
        <v>105.90766102002</v>
      </c>
      <c r="F146" s="1">
        <v>4482.0930891899998</v>
      </c>
      <c r="G146" s="1">
        <v>444.77031913668048</v>
      </c>
      <c r="J146" s="1">
        <v>162.50496349025869</v>
      </c>
      <c r="K146" s="1">
        <v>161.097605893186</v>
      </c>
      <c r="L146" s="1">
        <v>137.9669347793197</v>
      </c>
    </row>
    <row r="147" spans="1:12" x14ac:dyDescent="0.2">
      <c r="A147" s="2">
        <v>35461</v>
      </c>
      <c r="B147" s="1">
        <v>10029.4</v>
      </c>
      <c r="C147" s="1">
        <v>2104.5144548979488</v>
      </c>
      <c r="D147" s="1">
        <v>26897.33180428125</v>
      </c>
      <c r="E147" s="1">
        <v>112.164747245361</v>
      </c>
      <c r="F147" s="1">
        <v>4601.589505467</v>
      </c>
      <c r="G147" s="1">
        <v>444.77031913668048</v>
      </c>
      <c r="J147" s="1">
        <v>163.55015910872029</v>
      </c>
      <c r="K147" s="1">
        <v>162.3130755064457</v>
      </c>
      <c r="L147" s="1">
        <v>138.68360740538299</v>
      </c>
    </row>
    <row r="148" spans="1:12" x14ac:dyDescent="0.2">
      <c r="A148" s="2">
        <v>35489</v>
      </c>
      <c r="B148" s="1">
        <v>10137</v>
      </c>
      <c r="C148" s="1">
        <v>2099.6835395205039</v>
      </c>
      <c r="D148" s="1">
        <v>27635.933993062499</v>
      </c>
      <c r="E148" s="1">
        <v>112.125127350296</v>
      </c>
      <c r="F148" s="1">
        <v>4207.6444631439999</v>
      </c>
      <c r="G148" s="1">
        <v>444.77031913668048</v>
      </c>
      <c r="J148" s="1">
        <v>162.6285197686968</v>
      </c>
      <c r="K148" s="1">
        <v>163.10865561694291</v>
      </c>
      <c r="L148" s="1">
        <v>139.2716614035362</v>
      </c>
    </row>
    <row r="149" spans="1:12" x14ac:dyDescent="0.2">
      <c r="A149" s="2">
        <v>35520</v>
      </c>
      <c r="B149" s="1">
        <v>10067</v>
      </c>
      <c r="C149" s="1">
        <v>2039.686360032108</v>
      </c>
      <c r="D149" s="1">
        <v>26684.171522517579</v>
      </c>
      <c r="E149" s="1">
        <v>111.4665207978</v>
      </c>
      <c r="F149" s="1">
        <v>4236.5891247259997</v>
      </c>
      <c r="G149" s="1">
        <v>450.01796240692818</v>
      </c>
      <c r="J149" s="1">
        <v>161.88527365530209</v>
      </c>
      <c r="K149" s="1">
        <v>161.8342541436464</v>
      </c>
      <c r="L149" s="1">
        <v>139.97312452570631</v>
      </c>
    </row>
    <row r="150" spans="1:12" x14ac:dyDescent="0.2">
      <c r="A150" s="2">
        <v>35550</v>
      </c>
      <c r="B150" s="1">
        <v>10337.200000000001</v>
      </c>
      <c r="C150" s="1">
        <v>2139.8258123565711</v>
      </c>
      <c r="D150" s="1">
        <v>27024.173523263671</v>
      </c>
      <c r="E150" s="1">
        <v>108.052165106781</v>
      </c>
      <c r="F150" s="1">
        <v>4346.796234333</v>
      </c>
      <c r="G150" s="1">
        <v>450.01796240692818</v>
      </c>
      <c r="J150" s="1">
        <v>164.3873344656761</v>
      </c>
      <c r="K150" s="1">
        <v>164.11786372007359</v>
      </c>
      <c r="L150" s="1">
        <v>140.67993505260921</v>
      </c>
    </row>
    <row r="151" spans="1:12" x14ac:dyDescent="0.2">
      <c r="A151" s="2">
        <v>35580</v>
      </c>
      <c r="B151" s="1">
        <v>10872.8</v>
      </c>
      <c r="C151" s="1">
        <v>2291.0226296477122</v>
      </c>
      <c r="D151" s="1">
        <v>28591.79555699414</v>
      </c>
      <c r="E151" s="1">
        <v>113.405259008657</v>
      </c>
      <c r="F151" s="1">
        <v>4495.1989733419996</v>
      </c>
      <c r="G151" s="1">
        <v>450.01796240692818</v>
      </c>
      <c r="J151" s="1">
        <v>168.36138949408419</v>
      </c>
      <c r="K151" s="1">
        <v>165.5690607734806</v>
      </c>
      <c r="L151" s="1">
        <v>141.4635957113212</v>
      </c>
    </row>
    <row r="152" spans="1:12" x14ac:dyDescent="0.2">
      <c r="A152" s="2">
        <v>35611</v>
      </c>
      <c r="B152" s="1">
        <v>11433.6</v>
      </c>
      <c r="C152" s="1">
        <v>2443.0551713375212</v>
      </c>
      <c r="D152" s="1">
        <v>30802.119508371092</v>
      </c>
      <c r="E152" s="1">
        <v>119.745937015377</v>
      </c>
      <c r="F152" s="1">
        <v>4320.6764816069999</v>
      </c>
      <c r="G152" s="1">
        <v>457.23350599341347</v>
      </c>
      <c r="J152" s="1">
        <v>171.83554025244391</v>
      </c>
      <c r="K152" s="1">
        <v>167.95580110497241</v>
      </c>
      <c r="L152" s="1">
        <v>142.1104109656109</v>
      </c>
    </row>
    <row r="153" spans="1:12" x14ac:dyDescent="0.2">
      <c r="A153" s="2">
        <v>35642</v>
      </c>
      <c r="B153" s="1">
        <v>11444.2</v>
      </c>
      <c r="C153" s="1">
        <v>2615.7971003794009</v>
      </c>
      <c r="D153" s="1">
        <v>32311.401856105469</v>
      </c>
      <c r="E153" s="1">
        <v>125.029217085602</v>
      </c>
      <c r="F153" s="1">
        <v>4522.4421884419999</v>
      </c>
      <c r="G153" s="1">
        <v>457.23350599341347</v>
      </c>
      <c r="J153" s="1">
        <v>176.4645759163142</v>
      </c>
      <c r="K153" s="1">
        <v>171.65377532228359</v>
      </c>
      <c r="L153" s="1">
        <v>142.81435215338891</v>
      </c>
    </row>
    <row r="154" spans="1:12" x14ac:dyDescent="0.2">
      <c r="A154" s="2">
        <v>35671</v>
      </c>
      <c r="B154" s="1">
        <v>10857.3</v>
      </c>
      <c r="C154" s="1">
        <v>2478.6133061035162</v>
      </c>
      <c r="D154" s="1">
        <v>29252.507192304689</v>
      </c>
      <c r="E154" s="1">
        <v>125.12695548924999</v>
      </c>
      <c r="F154" s="1">
        <v>4703.7318112399998</v>
      </c>
      <c r="G154" s="1">
        <v>457.23350599341347</v>
      </c>
      <c r="J154" s="1">
        <v>176.7923817427284</v>
      </c>
      <c r="K154" s="1">
        <v>170.8066298342541</v>
      </c>
      <c r="L154" s="1">
        <v>143.4188396392579</v>
      </c>
    </row>
    <row r="155" spans="1:12" x14ac:dyDescent="0.2">
      <c r="A155" s="2">
        <v>35703</v>
      </c>
      <c r="B155" s="1">
        <v>11655.6</v>
      </c>
      <c r="C155" s="1">
        <v>2644.2101336396481</v>
      </c>
      <c r="D155" s="1">
        <v>30957.71843759765</v>
      </c>
      <c r="E155" s="1">
        <v>135.463935808656</v>
      </c>
      <c r="F155" s="1">
        <v>4891.2965190179993</v>
      </c>
      <c r="G155" s="1">
        <v>466.87662769097278</v>
      </c>
      <c r="J155" s="1">
        <v>180.1858392315502</v>
      </c>
      <c r="K155" s="1">
        <v>173.54696132596681</v>
      </c>
      <c r="L155" s="1">
        <v>143.98429006731109</v>
      </c>
    </row>
    <row r="156" spans="1:12" x14ac:dyDescent="0.2">
      <c r="A156" s="2">
        <v>35734</v>
      </c>
      <c r="B156" s="1">
        <v>10439.6</v>
      </c>
      <c r="C156" s="1">
        <v>2551.6641258554691</v>
      </c>
      <c r="D156" s="1">
        <v>27442.809388654299</v>
      </c>
      <c r="E156" s="1">
        <v>134.48518070259999</v>
      </c>
      <c r="F156" s="1">
        <v>5163.4758814939996</v>
      </c>
      <c r="G156" s="1">
        <v>466.87662769097278</v>
      </c>
      <c r="J156" s="1">
        <v>181.6269289893072</v>
      </c>
      <c r="K156" s="1">
        <v>175.38121546961321</v>
      </c>
      <c r="L156" s="1">
        <v>144.56781933838261</v>
      </c>
    </row>
    <row r="157" spans="1:12" x14ac:dyDescent="0.2">
      <c r="A157" s="2">
        <v>35762</v>
      </c>
      <c r="B157" s="1">
        <v>10517.5</v>
      </c>
      <c r="C157" s="1">
        <v>2711.5892965605472</v>
      </c>
      <c r="D157" s="1">
        <v>27798.55322491406</v>
      </c>
      <c r="E157" s="1">
        <v>142.49842879855299</v>
      </c>
      <c r="F157" s="1">
        <v>4794.4968386250002</v>
      </c>
      <c r="G157" s="1">
        <v>466.87662769097278</v>
      </c>
      <c r="J157" s="1">
        <v>180.50796590166851</v>
      </c>
      <c r="K157" s="1">
        <v>176.41988950276229</v>
      </c>
      <c r="L157" s="1">
        <v>145.11806026254251</v>
      </c>
    </row>
    <row r="158" spans="1:12" x14ac:dyDescent="0.2">
      <c r="A158" s="2">
        <v>35795</v>
      </c>
      <c r="B158" s="1">
        <v>11159.3</v>
      </c>
      <c r="C158" s="1">
        <v>2914.137860701172</v>
      </c>
      <c r="D158" s="1">
        <v>30864.035918859368</v>
      </c>
      <c r="E158" s="1">
        <v>153.4684</v>
      </c>
      <c r="F158" s="1">
        <v>4694.85925228</v>
      </c>
      <c r="G158" s="1">
        <v>477.32756762219742</v>
      </c>
      <c r="J158" s="1">
        <v>182.37585425899789</v>
      </c>
      <c r="K158" s="1">
        <v>178.34990791896871</v>
      </c>
      <c r="L158" s="1">
        <v>145.7410479629097</v>
      </c>
    </row>
    <row r="159" spans="1:12" x14ac:dyDescent="0.2">
      <c r="A159" s="2">
        <v>35825</v>
      </c>
      <c r="B159" s="1">
        <v>11299.1</v>
      </c>
      <c r="C159" s="1">
        <v>2851.588775657227</v>
      </c>
      <c r="D159" s="1">
        <v>27809.18793724219</v>
      </c>
      <c r="E159" s="1">
        <v>145.36738705962</v>
      </c>
      <c r="F159" s="1">
        <v>4391.3990547299991</v>
      </c>
      <c r="G159" s="1">
        <v>477.32756762219742</v>
      </c>
      <c r="J159" s="1">
        <v>184.35280088600999</v>
      </c>
      <c r="K159" s="1">
        <v>180.6040515653774</v>
      </c>
      <c r="L159" s="1">
        <v>146.36073492001771</v>
      </c>
    </row>
    <row r="160" spans="1:12" x14ac:dyDescent="0.2">
      <c r="A160" s="2">
        <v>35853</v>
      </c>
      <c r="B160" s="1">
        <v>11422.1</v>
      </c>
      <c r="C160" s="1">
        <v>3051.0973640273442</v>
      </c>
      <c r="D160" s="1">
        <v>30281.214155562498</v>
      </c>
      <c r="E160" s="1">
        <v>145.25474356095799</v>
      </c>
      <c r="F160" s="1">
        <v>4126.3182931020001</v>
      </c>
      <c r="G160" s="1">
        <v>477.32756762219742</v>
      </c>
      <c r="J160" s="1">
        <v>184.75183472146901</v>
      </c>
      <c r="K160" s="1">
        <v>181.1491712707182</v>
      </c>
      <c r="L160" s="1">
        <v>146.91920262068979</v>
      </c>
    </row>
    <row r="161" spans="1:12" x14ac:dyDescent="0.2">
      <c r="A161" s="2">
        <v>35885</v>
      </c>
      <c r="B161" s="1">
        <v>11729.8</v>
      </c>
      <c r="C161" s="1">
        <v>3297.86251589209</v>
      </c>
      <c r="D161" s="1">
        <v>32564.40621671094</v>
      </c>
      <c r="E161" s="1">
        <v>151.84698767578701</v>
      </c>
      <c r="F161" s="1">
        <v>4216.9186110599994</v>
      </c>
      <c r="G161" s="1">
        <v>490.59558932397817</v>
      </c>
      <c r="J161" s="1">
        <v>187.26902455796471</v>
      </c>
      <c r="K161" s="1">
        <v>182.14364640883969</v>
      </c>
      <c r="L161" s="1">
        <v>147.54013362692891</v>
      </c>
    </row>
    <row r="162" spans="1:12" x14ac:dyDescent="0.2">
      <c r="A162" s="2">
        <v>35915</v>
      </c>
      <c r="B162" s="1">
        <v>11857.4</v>
      </c>
      <c r="C162" s="1">
        <v>3363.5209196162109</v>
      </c>
      <c r="D162" s="1">
        <v>32851.735139453122</v>
      </c>
      <c r="E162" s="1">
        <v>150.77908399612801</v>
      </c>
      <c r="F162" s="1">
        <v>4172.3948042840002</v>
      </c>
      <c r="G162" s="1">
        <v>490.59558932397817</v>
      </c>
      <c r="J162" s="1">
        <v>187.37872923568111</v>
      </c>
      <c r="K162" s="1">
        <v>182.9834254143646</v>
      </c>
      <c r="L162" s="1">
        <v>148.14420977397231</v>
      </c>
    </row>
    <row r="163" spans="1:12" x14ac:dyDescent="0.2">
      <c r="A163" s="2">
        <v>35944</v>
      </c>
      <c r="B163" s="1">
        <v>11630.4</v>
      </c>
      <c r="C163" s="1">
        <v>3482.591160960937</v>
      </c>
      <c r="D163" s="1">
        <v>30124.293264859381</v>
      </c>
      <c r="E163" s="1">
        <v>156.14534542467999</v>
      </c>
      <c r="F163" s="1">
        <v>4138.0251970160007</v>
      </c>
      <c r="G163" s="1">
        <v>490.59558932397817</v>
      </c>
      <c r="J163" s="1">
        <v>191.79468110844829</v>
      </c>
      <c r="K163" s="1">
        <v>185.0607734806629</v>
      </c>
      <c r="L163" s="1">
        <v>148.75979337547849</v>
      </c>
    </row>
    <row r="164" spans="1:12" x14ac:dyDescent="0.2">
      <c r="A164" s="2">
        <v>35976</v>
      </c>
      <c r="B164" s="1">
        <v>11543.6</v>
      </c>
      <c r="C164" s="1">
        <v>3613.6791266176838</v>
      </c>
      <c r="D164" s="1">
        <v>28173.53425348828</v>
      </c>
      <c r="E164" s="1">
        <v>156.38963147494201</v>
      </c>
      <c r="F164" s="1">
        <v>4037.0668972560002</v>
      </c>
      <c r="G164" s="1">
        <v>502.77992741101508</v>
      </c>
      <c r="I164" s="1">
        <v>100</v>
      </c>
      <c r="J164" s="1">
        <v>190.53577068151731</v>
      </c>
      <c r="K164" s="1">
        <v>186.26151012891339</v>
      </c>
      <c r="L164" s="1">
        <v>149.3720862663798</v>
      </c>
    </row>
    <row r="165" spans="1:12" x14ac:dyDescent="0.2">
      <c r="A165" s="2">
        <v>36007</v>
      </c>
      <c r="B165" s="1">
        <v>11727.7</v>
      </c>
      <c r="C165" s="1">
        <v>3691.3475679501948</v>
      </c>
      <c r="D165" s="1">
        <v>29612.086264056641</v>
      </c>
      <c r="E165" s="1">
        <v>152.01444326218299</v>
      </c>
      <c r="F165" s="1">
        <v>3793.2216513590001</v>
      </c>
      <c r="G165" s="1">
        <v>502.77992741101508</v>
      </c>
      <c r="I165" s="1">
        <v>100</v>
      </c>
      <c r="J165" s="1">
        <v>191.8501644646727</v>
      </c>
      <c r="K165" s="1">
        <v>187.2412523020258</v>
      </c>
      <c r="L165" s="1">
        <v>150.04931049580171</v>
      </c>
    </row>
    <row r="166" spans="1:12" x14ac:dyDescent="0.2">
      <c r="A166" s="2">
        <v>36038</v>
      </c>
      <c r="B166" s="1">
        <v>10715.8</v>
      </c>
      <c r="C166" s="1">
        <v>3376.955462345577</v>
      </c>
      <c r="D166" s="1">
        <v>23077.048225854491</v>
      </c>
      <c r="E166" s="1">
        <v>146.94744872339999</v>
      </c>
      <c r="F166" s="1">
        <v>3787.64565945</v>
      </c>
      <c r="G166" s="1">
        <v>502.77992741101508</v>
      </c>
      <c r="I166" s="1">
        <v>100</v>
      </c>
      <c r="J166" s="1">
        <v>189.1822999936592</v>
      </c>
      <c r="K166" s="1">
        <v>190.54880294659301</v>
      </c>
      <c r="L166" s="1">
        <v>150.66243609700851</v>
      </c>
    </row>
    <row r="167" spans="1:12" x14ac:dyDescent="0.2">
      <c r="A167" s="2">
        <v>36068</v>
      </c>
      <c r="B167" s="1">
        <v>11105.8</v>
      </c>
      <c r="C167" s="1">
        <v>3259.968713400142</v>
      </c>
      <c r="D167" s="1">
        <v>23665.676104224611</v>
      </c>
      <c r="E167" s="1">
        <v>151.77360208365599</v>
      </c>
      <c r="F167" s="1">
        <v>4033.80135948</v>
      </c>
      <c r="G167" s="1">
        <v>504.2875504823794</v>
      </c>
      <c r="I167" s="1">
        <v>96.355000000000004</v>
      </c>
      <c r="J167" s="1">
        <v>196.97028554613181</v>
      </c>
      <c r="K167" s="1">
        <v>194.7034990791897</v>
      </c>
      <c r="L167" s="1">
        <v>151.35240179737011</v>
      </c>
    </row>
    <row r="168" spans="1:12" x14ac:dyDescent="0.2">
      <c r="A168" s="2">
        <v>36098</v>
      </c>
      <c r="B168" s="1">
        <v>11369.3</v>
      </c>
      <c r="C168" s="1">
        <v>3325.48290487745</v>
      </c>
      <c r="D168" s="1">
        <v>24355.84867633594</v>
      </c>
      <c r="E168" s="1">
        <v>142.77737037829399</v>
      </c>
      <c r="F168" s="1">
        <v>3659.235119764</v>
      </c>
      <c r="G168" s="1">
        <v>504.2875504823794</v>
      </c>
      <c r="I168" s="1">
        <v>96.355000000000004</v>
      </c>
      <c r="J168" s="1">
        <v>199.14895765165511</v>
      </c>
      <c r="K168" s="1">
        <v>194.12891344383061</v>
      </c>
      <c r="L168" s="1">
        <v>151.9979830351829</v>
      </c>
    </row>
    <row r="169" spans="1:12" x14ac:dyDescent="0.2">
      <c r="A169" s="2">
        <v>36129</v>
      </c>
      <c r="B169" s="1">
        <v>11964.5</v>
      </c>
      <c r="C169" s="1">
        <v>3529.7668330083011</v>
      </c>
      <c r="D169" s="1">
        <v>26068.246046945311</v>
      </c>
      <c r="E169" s="1">
        <v>143.39143761744401</v>
      </c>
      <c r="F169" s="1">
        <v>3180.7765038319999</v>
      </c>
      <c r="G169" s="1">
        <v>504.2875504823794</v>
      </c>
      <c r="I169" s="1">
        <v>96.355000000000004</v>
      </c>
      <c r="J169" s="1">
        <v>199.09789141699429</v>
      </c>
      <c r="K169" s="1">
        <v>195.6611418047882</v>
      </c>
      <c r="L169" s="1">
        <v>152.59794579397021</v>
      </c>
    </row>
    <row r="170" spans="1:12" x14ac:dyDescent="0.2">
      <c r="A170" s="2">
        <v>36160</v>
      </c>
      <c r="B170" s="1">
        <v>12105.5</v>
      </c>
      <c r="C170" s="1">
        <v>3748.985237347656</v>
      </c>
      <c r="D170" s="1">
        <v>26345.437342355472</v>
      </c>
      <c r="E170" s="1">
        <v>146.81979322340399</v>
      </c>
      <c r="F170" s="1">
        <v>3204.5133771840001</v>
      </c>
      <c r="G170" s="1">
        <v>514.15222403965129</v>
      </c>
      <c r="I170" s="1">
        <v>94.88</v>
      </c>
      <c r="J170" s="1">
        <v>199.77368023487409</v>
      </c>
      <c r="K170" s="1">
        <v>196.33149171270719</v>
      </c>
      <c r="L170" s="1">
        <v>153.2336649326227</v>
      </c>
    </row>
    <row r="171" spans="1:12" x14ac:dyDescent="0.2">
      <c r="A171" s="2">
        <v>36189</v>
      </c>
      <c r="B171" s="1">
        <v>12350.5</v>
      </c>
      <c r="C171" s="1">
        <v>3782.1318011894532</v>
      </c>
      <c r="D171" s="1">
        <v>26977.39987928906</v>
      </c>
      <c r="E171" s="1">
        <v>140.84622371998799</v>
      </c>
      <c r="F171" s="1">
        <v>3142.173387888</v>
      </c>
      <c r="G171" s="1">
        <v>514.15222403965129</v>
      </c>
      <c r="I171" s="1">
        <v>94.88</v>
      </c>
      <c r="J171" s="1">
        <v>200.68145258350839</v>
      </c>
      <c r="K171" s="1">
        <v>198.57090239410681</v>
      </c>
      <c r="L171" s="1">
        <v>153.86939410392949</v>
      </c>
    </row>
    <row r="172" spans="1:12" x14ac:dyDescent="0.2">
      <c r="A172" s="2">
        <v>36217</v>
      </c>
      <c r="B172" s="1">
        <v>12345.6</v>
      </c>
      <c r="C172" s="1">
        <v>3772.4830514863279</v>
      </c>
      <c r="D172" s="1">
        <v>27888.82671142188</v>
      </c>
      <c r="E172" s="1">
        <v>138.705642897812</v>
      </c>
      <c r="F172" s="1">
        <v>3032.6683558220002</v>
      </c>
      <c r="G172" s="1">
        <v>514.15222403965129</v>
      </c>
      <c r="I172" s="1">
        <v>94.88</v>
      </c>
      <c r="J172" s="1">
        <v>197.87805789476619</v>
      </c>
      <c r="K172" s="1">
        <v>196.02209944751391</v>
      </c>
      <c r="L172" s="1">
        <v>154.42210306104309</v>
      </c>
    </row>
    <row r="173" spans="1:12" x14ac:dyDescent="0.2">
      <c r="A173" s="2">
        <v>36250</v>
      </c>
      <c r="B173" s="1">
        <v>12871.6</v>
      </c>
      <c r="C173" s="1">
        <v>3874.1356537973629</v>
      </c>
      <c r="D173" s="1">
        <v>30476.47061296484</v>
      </c>
      <c r="E173" s="1">
        <v>135.98183705639499</v>
      </c>
      <c r="F173" s="1">
        <v>3486.0231481440001</v>
      </c>
      <c r="G173" s="1">
        <v>524.92684641861547</v>
      </c>
      <c r="I173" s="1">
        <v>93.814999999999998</v>
      </c>
      <c r="J173" s="1">
        <v>199.72261400021321</v>
      </c>
      <c r="K173" s="1">
        <v>197.5027624309393</v>
      </c>
      <c r="L173" s="1">
        <v>155.05125081114011</v>
      </c>
    </row>
    <row r="174" spans="1:12" x14ac:dyDescent="0.2">
      <c r="A174" s="2">
        <v>36280</v>
      </c>
      <c r="B174" s="1">
        <v>13675.5</v>
      </c>
      <c r="C174" s="1">
        <v>3854.0756984018549</v>
      </c>
      <c r="D174" s="1">
        <v>32276.36242304297</v>
      </c>
      <c r="E174" s="1">
        <v>140.217657106248</v>
      </c>
      <c r="F174" s="1">
        <v>3458.6638099020001</v>
      </c>
      <c r="G174" s="1">
        <v>524.92684641861547</v>
      </c>
      <c r="I174" s="1">
        <v>93.814999999999998</v>
      </c>
      <c r="J174" s="1">
        <v>200.3826427746051</v>
      </c>
      <c r="K174" s="1">
        <v>198.93186003683249</v>
      </c>
      <c r="L174" s="1">
        <v>155.65984165261091</v>
      </c>
    </row>
    <row r="175" spans="1:12" x14ac:dyDescent="0.2">
      <c r="A175" s="2">
        <v>36311</v>
      </c>
      <c r="B175" s="1">
        <v>12821.2</v>
      </c>
      <c r="C175" s="1">
        <v>3817.01442407373</v>
      </c>
      <c r="D175" s="1">
        <v>33212.588977359374</v>
      </c>
      <c r="E175" s="1">
        <v>145.849968031527</v>
      </c>
      <c r="F175" s="1">
        <v>3340.4869915559998</v>
      </c>
      <c r="G175" s="1">
        <v>524.92684641861547</v>
      </c>
      <c r="I175" s="1">
        <v>93.814999999999998</v>
      </c>
      <c r="J175" s="1">
        <v>197.6410262250819</v>
      </c>
      <c r="K175" s="1">
        <v>197.70902394106821</v>
      </c>
      <c r="L175" s="1">
        <v>156.28406336945491</v>
      </c>
    </row>
    <row r="176" spans="1:12" x14ac:dyDescent="0.2">
      <c r="A176" s="2">
        <v>36341</v>
      </c>
      <c r="B176" s="1">
        <v>13175.5</v>
      </c>
      <c r="C176" s="1">
        <v>3929.2544486181641</v>
      </c>
      <c r="D176" s="1">
        <v>35911.135022761708</v>
      </c>
      <c r="E176" s="1">
        <v>141.375944075104</v>
      </c>
      <c r="F176" s="1">
        <v>3484.9699950039999</v>
      </c>
      <c r="G176" s="1">
        <v>538.51683844556624</v>
      </c>
      <c r="I176" s="1">
        <v>92.4</v>
      </c>
      <c r="J176" s="1">
        <v>196.79124591146939</v>
      </c>
      <c r="K176" s="1">
        <v>195.926335174954</v>
      </c>
      <c r="L176" s="1">
        <v>156.89717893800739</v>
      </c>
    </row>
    <row r="177" spans="1:12" x14ac:dyDescent="0.2">
      <c r="A177" s="2">
        <v>36371</v>
      </c>
      <c r="B177" s="1">
        <v>13411.8</v>
      </c>
      <c r="C177" s="1">
        <v>3905.7975905952221</v>
      </c>
      <c r="D177" s="1">
        <v>35708.527848324207</v>
      </c>
      <c r="E177" s="1">
        <v>139.33604541832801</v>
      </c>
      <c r="F177" s="1">
        <v>3659.1924560880002</v>
      </c>
      <c r="G177" s="1">
        <v>538.51683844556624</v>
      </c>
      <c r="I177" s="1">
        <v>92.4</v>
      </c>
      <c r="J177" s="1">
        <v>198.159214608083</v>
      </c>
      <c r="K177" s="1">
        <v>195.0865561694292</v>
      </c>
      <c r="L177" s="1">
        <v>157.56454106826899</v>
      </c>
    </row>
    <row r="178" spans="1:12" x14ac:dyDescent="0.2">
      <c r="A178" s="2">
        <v>36403</v>
      </c>
      <c r="B178" s="1">
        <v>13071.8</v>
      </c>
      <c r="C178" s="1">
        <v>3989.2214742670822</v>
      </c>
      <c r="D178" s="1">
        <v>37163.472713542971</v>
      </c>
      <c r="E178" s="1">
        <v>141.49888319284199</v>
      </c>
      <c r="F178" s="1">
        <v>4013.8497157500001</v>
      </c>
      <c r="G178" s="1">
        <v>538.51683844556624</v>
      </c>
      <c r="I178" s="1">
        <v>92.4</v>
      </c>
      <c r="J178" s="1">
        <v>197.97892832935551</v>
      </c>
      <c r="K178" s="1">
        <v>195.1381215469614</v>
      </c>
      <c r="L178" s="1">
        <v>158.21464703316349</v>
      </c>
    </row>
    <row r="179" spans="1:12" x14ac:dyDescent="0.2">
      <c r="A179" s="2">
        <v>36433</v>
      </c>
      <c r="B179" s="1">
        <v>12912</v>
      </c>
      <c r="C179" s="1">
        <v>3823.941988089844</v>
      </c>
      <c r="D179" s="1">
        <v>35424.813309148441</v>
      </c>
      <c r="E179" s="1">
        <v>132.75807714975599</v>
      </c>
      <c r="F179" s="1">
        <v>4127.0037259559986</v>
      </c>
      <c r="G179" s="1">
        <v>550.19032594145563</v>
      </c>
      <c r="I179" s="1">
        <v>92.36</v>
      </c>
      <c r="J179" s="1">
        <v>199.65327904326699</v>
      </c>
      <c r="K179" s="1">
        <v>196.2136279926336</v>
      </c>
      <c r="L179" s="1">
        <v>158.84214942795811</v>
      </c>
    </row>
    <row r="180" spans="1:12" x14ac:dyDescent="0.2">
      <c r="A180" s="2">
        <v>36462</v>
      </c>
      <c r="B180" s="1">
        <v>12975.7</v>
      </c>
      <c r="C180" s="1">
        <v>4122.1299566015696</v>
      </c>
      <c r="D180" s="1">
        <v>37084.244964375001</v>
      </c>
      <c r="E180" s="1">
        <v>133.31796477888</v>
      </c>
      <c r="F180" s="1">
        <v>4008.1397294399999</v>
      </c>
      <c r="G180" s="1">
        <v>550.19032594145563</v>
      </c>
      <c r="I180" s="1">
        <v>92.36</v>
      </c>
      <c r="J180" s="1">
        <v>197.9278620946946</v>
      </c>
      <c r="K180" s="1">
        <v>196.64088397790059</v>
      </c>
      <c r="L180" s="1">
        <v>159.5119695585191</v>
      </c>
    </row>
    <row r="181" spans="1:12" x14ac:dyDescent="0.2">
      <c r="A181" s="2">
        <v>36494</v>
      </c>
      <c r="B181" s="1">
        <v>13674.8</v>
      </c>
      <c r="C181" s="1">
        <v>4288.4061546779703</v>
      </c>
      <c r="D181" s="1">
        <v>40484.015272337892</v>
      </c>
      <c r="E181" s="1">
        <v>131.201028691293</v>
      </c>
      <c r="F181" s="1">
        <v>4180.8209886120003</v>
      </c>
      <c r="G181" s="1">
        <v>550.19032594145563</v>
      </c>
      <c r="I181" s="1">
        <v>92.36</v>
      </c>
      <c r="J181" s="1">
        <v>198.53305392089581</v>
      </c>
      <c r="K181" s="1">
        <v>197.26703499079201</v>
      </c>
      <c r="L181" s="1">
        <v>160.18878244911539</v>
      </c>
    </row>
    <row r="182" spans="1:12" x14ac:dyDescent="0.2">
      <c r="A182" s="2">
        <v>36525</v>
      </c>
      <c r="B182" s="1">
        <v>14441.3</v>
      </c>
      <c r="C182" s="1">
        <v>4501.3010494987866</v>
      </c>
      <c r="D182" s="1">
        <v>43825.732978019529</v>
      </c>
      <c r="E182" s="1">
        <v>131.07306513737799</v>
      </c>
      <c r="F182" s="1">
        <v>4232.891730585</v>
      </c>
      <c r="G182" s="1">
        <v>569.972101782697</v>
      </c>
      <c r="I182" s="1">
        <v>91.89</v>
      </c>
      <c r="J182" s="1">
        <v>197.33844570264881</v>
      </c>
      <c r="K182" s="1">
        <v>196.87661141804799</v>
      </c>
      <c r="L182" s="1">
        <v>160.90833444695801</v>
      </c>
    </row>
    <row r="183" spans="1:12" x14ac:dyDescent="0.2">
      <c r="A183" s="2">
        <v>36556</v>
      </c>
      <c r="B183" s="1">
        <v>14338.1</v>
      </c>
      <c r="C183" s="1">
        <v>4406.7760951025393</v>
      </c>
      <c r="D183" s="1">
        <v>45337.976928984383</v>
      </c>
      <c r="E183" s="1">
        <v>134.21795816277</v>
      </c>
      <c r="F183" s="1">
        <v>4657.0926917699999</v>
      </c>
      <c r="G183" s="1">
        <v>569.972101782697</v>
      </c>
      <c r="I183" s="1">
        <v>91.89</v>
      </c>
      <c r="J183" s="1">
        <v>196.8839131202979</v>
      </c>
      <c r="K183" s="1">
        <v>196.3756906077349</v>
      </c>
      <c r="L183" s="1">
        <v>161.70884996486569</v>
      </c>
    </row>
    <row r="184" spans="1:12" x14ac:dyDescent="0.2">
      <c r="A184" s="2">
        <v>36585</v>
      </c>
      <c r="B184" s="1">
        <v>14612</v>
      </c>
      <c r="C184" s="1">
        <v>4635.7061214746091</v>
      </c>
      <c r="D184" s="1">
        <v>47701.677302300777</v>
      </c>
      <c r="E184" s="1">
        <v>137.23019343426199</v>
      </c>
      <c r="F184" s="1">
        <v>5138.167849642</v>
      </c>
      <c r="G184" s="1">
        <v>569.972101782697</v>
      </c>
      <c r="I184" s="1">
        <v>91.89</v>
      </c>
      <c r="J184" s="1">
        <v>200.91597557439519</v>
      </c>
      <c r="K184" s="1">
        <v>198.16574585635371</v>
      </c>
      <c r="L184" s="1">
        <v>162.40744374791069</v>
      </c>
    </row>
    <row r="185" spans="1:12" x14ac:dyDescent="0.2">
      <c r="A185" s="2">
        <v>36616</v>
      </c>
      <c r="B185" s="1">
        <v>14690.041999999999</v>
      </c>
      <c r="C185" s="1">
        <v>4970.2935015209878</v>
      </c>
      <c r="D185" s="1">
        <v>48375.642956015618</v>
      </c>
      <c r="E185" s="1">
        <v>142.94788612538599</v>
      </c>
      <c r="F185" s="1">
        <v>5138.7695763639986</v>
      </c>
      <c r="G185" s="1">
        <v>582.2104865775807</v>
      </c>
      <c r="I185" s="1">
        <v>90.454999999999998</v>
      </c>
      <c r="J185" s="1">
        <v>203.29637315842979</v>
      </c>
      <c r="K185" s="1">
        <v>200.7734806629835</v>
      </c>
      <c r="L185" s="1">
        <v>163.1750722250782</v>
      </c>
    </row>
    <row r="186" spans="1:12" x14ac:dyDescent="0.2">
      <c r="A186" s="2">
        <v>36644</v>
      </c>
      <c r="B186" s="1">
        <v>14471.398999999999</v>
      </c>
      <c r="C186" s="1">
        <v>5053.0400588896573</v>
      </c>
      <c r="D186" s="1">
        <v>46405.669346585943</v>
      </c>
      <c r="E186" s="1">
        <v>157.91444193167999</v>
      </c>
      <c r="F186" s="1">
        <v>5297.0349527200005</v>
      </c>
      <c r="G186" s="1">
        <v>582.2104865775807</v>
      </c>
      <c r="I186" s="1">
        <v>90.454999999999998</v>
      </c>
      <c r="J186" s="1">
        <v>204.11589541979899</v>
      </c>
      <c r="K186" s="1">
        <v>200.83977900552489</v>
      </c>
      <c r="L186" s="1">
        <v>163.9287252148292</v>
      </c>
    </row>
    <row r="187" spans="1:12" x14ac:dyDescent="0.2">
      <c r="A187" s="2">
        <v>36677</v>
      </c>
      <c r="B187" s="1">
        <v>14284.504000000001</v>
      </c>
      <c r="C187" s="1">
        <v>5042.8281518203121</v>
      </c>
      <c r="D187" s="1">
        <v>46073.308409249999</v>
      </c>
      <c r="E187" s="1">
        <v>163.820334465808</v>
      </c>
      <c r="F187" s="1">
        <v>6024.3860782239999</v>
      </c>
      <c r="G187" s="1">
        <v>582.2104865775807</v>
      </c>
      <c r="I187" s="1">
        <v>90.454999999999998</v>
      </c>
      <c r="J187" s="1">
        <v>206.6047202561501</v>
      </c>
      <c r="K187" s="1">
        <v>201.3112338858196</v>
      </c>
      <c r="L187" s="1">
        <v>164.7966300715569</v>
      </c>
    </row>
    <row r="188" spans="1:12" x14ac:dyDescent="0.2">
      <c r="A188" s="2">
        <v>36707</v>
      </c>
      <c r="B188" s="1">
        <v>15384.218999999999</v>
      </c>
      <c r="C188" s="1">
        <v>4893.3486329658117</v>
      </c>
      <c r="D188" s="1">
        <v>45150.584945320312</v>
      </c>
      <c r="E188" s="1">
        <v>160.69968998071599</v>
      </c>
      <c r="F188" s="1">
        <v>6132.3273585999996</v>
      </c>
      <c r="G188" s="1">
        <v>597.76220082618374</v>
      </c>
      <c r="I188" s="1">
        <v>92.9</v>
      </c>
      <c r="J188" s="1">
        <v>208.9334205881575</v>
      </c>
      <c r="K188" s="1">
        <v>203.64640883977901</v>
      </c>
      <c r="L188" s="1">
        <v>165.65055944086811</v>
      </c>
    </row>
    <row r="189" spans="1:12" x14ac:dyDescent="0.2">
      <c r="A189" s="2">
        <v>36738</v>
      </c>
      <c r="B189" s="1">
        <v>15178.829</v>
      </c>
      <c r="C189" s="1">
        <v>4999.9455826474523</v>
      </c>
      <c r="D189" s="1">
        <v>44547.627799117188</v>
      </c>
      <c r="E189" s="1">
        <v>179.55069438586</v>
      </c>
      <c r="F189" s="1">
        <v>5870.6261786720006</v>
      </c>
      <c r="G189" s="1">
        <v>597.76220082618374</v>
      </c>
      <c r="I189" s="1">
        <v>92.9</v>
      </c>
      <c r="J189" s="1">
        <v>208.99582974474279</v>
      </c>
      <c r="K189" s="1">
        <v>205.15653775322289</v>
      </c>
      <c r="L189" s="1">
        <v>166.49174733923971</v>
      </c>
    </row>
    <row r="190" spans="1:12" x14ac:dyDescent="0.2">
      <c r="A190" s="2">
        <v>36769</v>
      </c>
      <c r="B190" s="1">
        <v>15440.56</v>
      </c>
      <c r="C190" s="1">
        <v>5217.079545700919</v>
      </c>
      <c r="D190" s="1">
        <v>45018.772633376953</v>
      </c>
      <c r="E190" s="1">
        <v>174.206539402857</v>
      </c>
      <c r="F190" s="1">
        <v>6789.2848021440004</v>
      </c>
      <c r="G190" s="1">
        <v>597.76220082618374</v>
      </c>
      <c r="I190" s="1">
        <v>92.9</v>
      </c>
      <c r="J190" s="1">
        <v>209.50330622318569</v>
      </c>
      <c r="K190" s="1">
        <v>206.57090239410681</v>
      </c>
      <c r="L190" s="1">
        <v>167.3567728241882</v>
      </c>
    </row>
    <row r="191" spans="1:12" x14ac:dyDescent="0.2">
      <c r="A191" s="2">
        <v>36798</v>
      </c>
      <c r="B191" s="1">
        <v>15472.288</v>
      </c>
      <c r="C191" s="1">
        <v>5286.6080252485353</v>
      </c>
      <c r="D191" s="1">
        <v>44365.48457389453</v>
      </c>
      <c r="E191" s="1">
        <v>191.68273406149399</v>
      </c>
      <c r="F191" s="1">
        <v>7143.9121214830002</v>
      </c>
      <c r="G191" s="1">
        <v>598.73036168676231</v>
      </c>
      <c r="I191" s="1">
        <v>103.015</v>
      </c>
      <c r="J191" s="1">
        <v>211.44179157219369</v>
      </c>
      <c r="K191" s="1">
        <v>208.2357274401474</v>
      </c>
      <c r="L191" s="1">
        <v>168.2398771521548</v>
      </c>
    </row>
    <row r="192" spans="1:12" x14ac:dyDescent="0.2">
      <c r="A192" s="2">
        <v>36830</v>
      </c>
      <c r="B192" s="1">
        <v>15297.387000000001</v>
      </c>
      <c r="C192" s="1">
        <v>5500.4924760444337</v>
      </c>
      <c r="D192" s="1">
        <v>43988.840967453121</v>
      </c>
      <c r="E192" s="1">
        <v>193.27715120048401</v>
      </c>
      <c r="F192" s="1">
        <v>7483.3274800199997</v>
      </c>
      <c r="G192" s="1">
        <v>598.73036168676231</v>
      </c>
      <c r="I192" s="1">
        <v>103.015</v>
      </c>
      <c r="J192" s="1">
        <v>212.9761795561455</v>
      </c>
      <c r="K192" s="1">
        <v>209.78268876611421</v>
      </c>
      <c r="L192" s="1">
        <v>169.19202620689819</v>
      </c>
    </row>
    <row r="193" spans="1:12" x14ac:dyDescent="0.2">
      <c r="A193" s="2">
        <v>36860</v>
      </c>
      <c r="B193" s="1">
        <v>15469.439</v>
      </c>
      <c r="C193" s="1">
        <v>5083.496278771494</v>
      </c>
      <c r="D193" s="1">
        <v>39976.735530625003</v>
      </c>
      <c r="E193" s="1">
        <v>193.66505189579999</v>
      </c>
      <c r="F193" s="1">
        <v>8054.8105482159999</v>
      </c>
      <c r="G193" s="1">
        <v>598.73036168676231</v>
      </c>
      <c r="I193" s="1">
        <v>103.015</v>
      </c>
      <c r="J193" s="1">
        <v>217.15511514989589</v>
      </c>
      <c r="K193" s="1">
        <v>213.20073664825051</v>
      </c>
      <c r="L193" s="1">
        <v>170.09362071670881</v>
      </c>
    </row>
    <row r="194" spans="1:12" x14ac:dyDescent="0.2">
      <c r="A194" s="2">
        <v>36889</v>
      </c>
      <c r="B194" s="1">
        <v>15166.618</v>
      </c>
      <c r="C194" s="1">
        <v>4791.9305318554689</v>
      </c>
      <c r="D194" s="1">
        <v>38554.639202460938</v>
      </c>
      <c r="E194" s="1">
        <v>194.81374065459599</v>
      </c>
      <c r="F194" s="1">
        <v>7464.2805823320004</v>
      </c>
      <c r="G194" s="1">
        <v>614.82970158990975</v>
      </c>
      <c r="I194" s="1">
        <v>96.215000000000003</v>
      </c>
      <c r="J194" s="1">
        <v>221.17518827403521</v>
      </c>
      <c r="K194" s="1">
        <v>216.05893186003681</v>
      </c>
      <c r="L194" s="1">
        <v>171.00342193772289</v>
      </c>
    </row>
    <row r="195" spans="1:12" x14ac:dyDescent="0.2">
      <c r="A195" s="2">
        <v>36922</v>
      </c>
      <c r="B195" s="1">
        <v>15826.992</v>
      </c>
      <c r="C195" s="1">
        <v>4975.6619662200001</v>
      </c>
      <c r="D195" s="1">
        <v>44408.18281174</v>
      </c>
      <c r="E195" s="1">
        <v>199.08530420361001</v>
      </c>
      <c r="F195" s="1">
        <v>7151.76867416</v>
      </c>
      <c r="G195" s="1">
        <v>614.82970158990975</v>
      </c>
      <c r="I195" s="1">
        <v>96.215000000000003</v>
      </c>
      <c r="J195" s="1">
        <v>224.49363164961491</v>
      </c>
      <c r="K195" s="1">
        <v>218.96132596685081</v>
      </c>
      <c r="L195" s="1">
        <v>171.92104862907789</v>
      </c>
    </row>
    <row r="196" spans="1:12" x14ac:dyDescent="0.2">
      <c r="A196" s="2">
        <v>36950</v>
      </c>
      <c r="B196" s="1">
        <v>15790.637000000001</v>
      </c>
      <c r="C196" s="1">
        <v>4803.9836439119999</v>
      </c>
      <c r="D196" s="1">
        <v>43372.796722042003</v>
      </c>
      <c r="E196" s="1">
        <v>206.112735029334</v>
      </c>
      <c r="F196" s="1">
        <v>7388.260869494</v>
      </c>
      <c r="G196" s="1">
        <v>614.82970158990975</v>
      </c>
      <c r="I196" s="1">
        <v>96.215000000000003</v>
      </c>
      <c r="J196" s="1">
        <v>225.99208242502749</v>
      </c>
      <c r="K196" s="1">
        <v>220.9797421731123</v>
      </c>
      <c r="L196" s="1">
        <v>172.7281355355411</v>
      </c>
    </row>
    <row r="197" spans="1:12" x14ac:dyDescent="0.2">
      <c r="A197" s="2">
        <v>36980</v>
      </c>
      <c r="B197" s="1">
        <v>15029.049000000001</v>
      </c>
      <c r="C197" s="1">
        <v>4912.1883648619996</v>
      </c>
      <c r="D197" s="1">
        <v>42943.248649832</v>
      </c>
      <c r="E197" s="1">
        <v>222.944071006889</v>
      </c>
      <c r="F197" s="1">
        <v>7620.5884624140008</v>
      </c>
      <c r="G197" s="1">
        <v>630.18859590282398</v>
      </c>
      <c r="I197" s="1">
        <v>96.254999999999995</v>
      </c>
      <c r="J197" s="1">
        <v>227.3342101909613</v>
      </c>
      <c r="K197" s="1">
        <v>222.52670349907919</v>
      </c>
      <c r="L197" s="1">
        <v>173.56068531857491</v>
      </c>
    </row>
    <row r="198" spans="1:12" x14ac:dyDescent="0.2">
      <c r="A198" s="2">
        <v>37011</v>
      </c>
      <c r="B198" s="1">
        <v>15885.592000000001</v>
      </c>
      <c r="C198" s="1">
        <v>5025.4590595650006</v>
      </c>
      <c r="D198" s="1">
        <v>42997.988676800996</v>
      </c>
      <c r="E198" s="1">
        <v>217.648223981055</v>
      </c>
      <c r="F198" s="1">
        <v>7676.1241530450006</v>
      </c>
      <c r="G198" s="1">
        <v>630.18859590282398</v>
      </c>
      <c r="I198" s="1">
        <v>96.254999999999995</v>
      </c>
      <c r="J198" s="1">
        <v>225.13790038051889</v>
      </c>
      <c r="K198" s="1">
        <v>221.56169429097611</v>
      </c>
      <c r="L198" s="1">
        <v>174.31558235745709</v>
      </c>
    </row>
    <row r="199" spans="1:12" x14ac:dyDescent="0.2">
      <c r="A199" s="2">
        <v>37042</v>
      </c>
      <c r="B199" s="1">
        <v>16139.6</v>
      </c>
      <c r="C199" s="1">
        <v>5031.2771627040001</v>
      </c>
      <c r="D199" s="1">
        <v>44324.319331343999</v>
      </c>
      <c r="E199" s="1">
        <v>224.87561175767999</v>
      </c>
      <c r="F199" s="1">
        <v>7514.8522157279986</v>
      </c>
      <c r="G199" s="1">
        <v>630.18859590282398</v>
      </c>
      <c r="I199" s="1">
        <v>96.254999999999995</v>
      </c>
      <c r="J199" s="1">
        <v>224.2887510842726</v>
      </c>
      <c r="K199" s="1">
        <v>222.9539594843462</v>
      </c>
      <c r="L199" s="1">
        <v>175.02158023936309</v>
      </c>
    </row>
    <row r="200" spans="1:12" x14ac:dyDescent="0.2">
      <c r="A200" s="2">
        <v>37071</v>
      </c>
      <c r="B200" s="1">
        <v>16744.968000000001</v>
      </c>
      <c r="C200" s="1">
        <v>4893.3194565149997</v>
      </c>
      <c r="D200" s="1">
        <v>43468.072172273998</v>
      </c>
      <c r="E200" s="1">
        <v>236.694860833593</v>
      </c>
      <c r="F200" s="1">
        <v>6954.752755952999</v>
      </c>
      <c r="G200" s="1">
        <v>654.65767703977451</v>
      </c>
      <c r="I200" s="1">
        <v>93.344999999999999</v>
      </c>
      <c r="J200" s="1">
        <v>224.4413033802216</v>
      </c>
      <c r="K200" s="1">
        <v>224.21362799263349</v>
      </c>
      <c r="L200" s="1">
        <v>175.723464733013</v>
      </c>
    </row>
    <row r="201" spans="1:12" x14ac:dyDescent="0.2">
      <c r="A201" s="2">
        <v>37103</v>
      </c>
      <c r="B201" s="1">
        <v>15993.155000000001</v>
      </c>
      <c r="C201" s="1">
        <v>4797.7011062799993</v>
      </c>
      <c r="D201" s="1">
        <v>41247.534068720001</v>
      </c>
      <c r="E201" s="1">
        <v>233.41183889114001</v>
      </c>
      <c r="F201" s="1">
        <v>6982.3864912999998</v>
      </c>
      <c r="G201" s="1">
        <v>654.65767703977451</v>
      </c>
      <c r="I201" s="1">
        <v>93.344999999999999</v>
      </c>
      <c r="J201" s="1">
        <v>225.37493205020331</v>
      </c>
      <c r="K201" s="1">
        <v>227.74217311233889</v>
      </c>
      <c r="L201" s="1">
        <v>176.46519892947569</v>
      </c>
    </row>
    <row r="202" spans="1:12" x14ac:dyDescent="0.2">
      <c r="A202" s="2">
        <v>37134</v>
      </c>
      <c r="B202" s="1">
        <v>15792.422</v>
      </c>
      <c r="C202" s="1">
        <v>4340.5919752909986</v>
      </c>
      <c r="D202" s="1">
        <v>39518.230894625987</v>
      </c>
      <c r="E202" s="1">
        <v>232.90279151356799</v>
      </c>
      <c r="F202" s="1">
        <v>6798.5391513710001</v>
      </c>
      <c r="G202" s="1">
        <v>654.65767703977451</v>
      </c>
      <c r="I202" s="1">
        <v>93.344999999999999</v>
      </c>
      <c r="J202" s="1">
        <v>231.37572251488439</v>
      </c>
      <c r="K202" s="1">
        <v>230.04051565377529</v>
      </c>
      <c r="L202" s="1">
        <v>177.2472242655395</v>
      </c>
    </row>
    <row r="203" spans="1:12" x14ac:dyDescent="0.2">
      <c r="A203" s="2">
        <v>37162</v>
      </c>
      <c r="B203" s="1">
        <v>14738.0036</v>
      </c>
      <c r="C203" s="1">
        <v>4215.9261115199997</v>
      </c>
      <c r="D203" s="1">
        <v>36494.455894156003</v>
      </c>
      <c r="E203" s="1">
        <v>240.31317842636</v>
      </c>
      <c r="F203" s="1">
        <v>6452.3551973960002</v>
      </c>
      <c r="G203" s="1">
        <v>690.82166675114377</v>
      </c>
      <c r="I203" s="1">
        <v>96.174999999999997</v>
      </c>
      <c r="J203" s="1">
        <v>234.0177306645507</v>
      </c>
      <c r="K203" s="1">
        <v>232.20626151012891</v>
      </c>
      <c r="L203" s="1">
        <v>178.00703730502039</v>
      </c>
    </row>
    <row r="204" spans="1:12" x14ac:dyDescent="0.2">
      <c r="A204" s="2">
        <v>37195</v>
      </c>
      <c r="B204" s="1">
        <v>15739.835999999999</v>
      </c>
      <c r="C204" s="1">
        <v>4228.1416633600002</v>
      </c>
      <c r="D204" s="1">
        <v>37998.005442488</v>
      </c>
      <c r="E204" s="1">
        <v>230.11710943390401</v>
      </c>
      <c r="F204" s="1">
        <v>5992.2164120959997</v>
      </c>
      <c r="G204" s="1">
        <v>690.82166675114377</v>
      </c>
      <c r="I204" s="1">
        <v>96.174999999999997</v>
      </c>
      <c r="J204" s="1">
        <v>237.84049543174231</v>
      </c>
      <c r="K204" s="1">
        <v>236.69244935543281</v>
      </c>
      <c r="L204" s="1">
        <v>178.68097082383741</v>
      </c>
    </row>
    <row r="205" spans="1:12" x14ac:dyDescent="0.2">
      <c r="A205" s="2">
        <v>37225</v>
      </c>
      <c r="B205" s="1">
        <v>16271.041999999999</v>
      </c>
      <c r="C205" s="1">
        <v>4359.7265862579998</v>
      </c>
      <c r="D205" s="1">
        <v>40597.575686306998</v>
      </c>
      <c r="E205" s="1">
        <v>232.846253000329</v>
      </c>
      <c r="F205" s="1">
        <v>5501.3953941319996</v>
      </c>
      <c r="G205" s="1">
        <v>690.82166675114377</v>
      </c>
      <c r="I205" s="1">
        <v>96.174999999999997</v>
      </c>
      <c r="J205" s="1">
        <v>235.29555622180061</v>
      </c>
      <c r="K205" s="1">
        <v>235.1528545119705</v>
      </c>
      <c r="L205" s="1">
        <v>179.31916802809789</v>
      </c>
    </row>
    <row r="206" spans="1:12" x14ac:dyDescent="0.2">
      <c r="A206" s="2">
        <v>37256</v>
      </c>
      <c r="B206" s="1">
        <v>16703.698</v>
      </c>
      <c r="C206" s="1">
        <v>4478.9774075160003</v>
      </c>
      <c r="D206" s="1">
        <v>45162.077346234</v>
      </c>
      <c r="E206" s="1">
        <v>242.25976740022199</v>
      </c>
      <c r="F206" s="1">
        <v>5515.4281279290008</v>
      </c>
      <c r="G206" s="1">
        <v>718.91200864116377</v>
      </c>
      <c r="H206" s="1">
        <v>100</v>
      </c>
      <c r="I206" s="1">
        <v>102.55</v>
      </c>
      <c r="J206" s="1">
        <v>233.22846645542481</v>
      </c>
      <c r="K206" s="1">
        <v>233.95948434622471</v>
      </c>
      <c r="L206" s="1">
        <v>179.96844128268691</v>
      </c>
    </row>
    <row r="207" spans="1:12" x14ac:dyDescent="0.2">
      <c r="A207" s="2">
        <v>37287</v>
      </c>
      <c r="B207" s="1">
        <v>16923.652999999998</v>
      </c>
      <c r="C207" s="1">
        <v>4437.5618252020004</v>
      </c>
      <c r="D207" s="1">
        <v>47472.161975546012</v>
      </c>
      <c r="E207" s="1">
        <v>245.07378059903201</v>
      </c>
      <c r="F207" s="1">
        <v>5398.1872611480003</v>
      </c>
      <c r="G207" s="1">
        <v>718.91200864116377</v>
      </c>
      <c r="H207" s="1">
        <v>101.42</v>
      </c>
      <c r="I207" s="1">
        <v>102.55</v>
      </c>
      <c r="J207" s="1">
        <v>233.33878675983991</v>
      </c>
      <c r="K207" s="1">
        <v>235.52117863720079</v>
      </c>
      <c r="L207" s="1">
        <v>180.6103305037235</v>
      </c>
    </row>
    <row r="208" spans="1:12" x14ac:dyDescent="0.2">
      <c r="A208" s="2">
        <v>37315</v>
      </c>
      <c r="B208" s="1">
        <v>16744.578000000001</v>
      </c>
      <c r="C208" s="1">
        <v>4313.4413499319999</v>
      </c>
      <c r="D208" s="1">
        <v>47470.103981742002</v>
      </c>
      <c r="E208" s="1">
        <v>244.49340774968201</v>
      </c>
      <c r="F208" s="1">
        <v>5530.2935774580001</v>
      </c>
      <c r="G208" s="1">
        <v>718.91200864116377</v>
      </c>
      <c r="H208" s="1">
        <v>106.673556</v>
      </c>
      <c r="I208" s="1">
        <v>102.55</v>
      </c>
      <c r="J208" s="1">
        <v>234.6840696126047</v>
      </c>
      <c r="K208" s="1">
        <v>237.23020257826889</v>
      </c>
      <c r="L208" s="1">
        <v>181.20494585777789</v>
      </c>
    </row>
    <row r="209" spans="1:12" x14ac:dyDescent="0.2">
      <c r="A209" s="2">
        <v>37344</v>
      </c>
      <c r="B209" s="1">
        <v>16875.780999999999</v>
      </c>
      <c r="C209" s="1">
        <v>4339.9741777280015</v>
      </c>
      <c r="D209" s="1">
        <v>48503.246100160002</v>
      </c>
      <c r="E209" s="1">
        <v>249.51914665747199</v>
      </c>
      <c r="F209" s="1">
        <v>6070.0886374720003</v>
      </c>
      <c r="G209" s="1">
        <v>748.42507666588062</v>
      </c>
      <c r="H209" s="1">
        <v>108.36966554040001</v>
      </c>
      <c r="I209" s="1">
        <v>104.97499999999999</v>
      </c>
      <c r="J209" s="1">
        <v>232.6667840461574</v>
      </c>
      <c r="K209" s="1">
        <v>235.28545119705339</v>
      </c>
      <c r="L209" s="1">
        <v>181.83616033465731</v>
      </c>
    </row>
    <row r="210" spans="1:12" x14ac:dyDescent="0.2">
      <c r="A210" s="2">
        <v>37376</v>
      </c>
      <c r="B210" s="1">
        <v>16575.98</v>
      </c>
      <c r="C210" s="1">
        <v>4117.1592802550003</v>
      </c>
      <c r="D210" s="1">
        <v>48086.114621052999</v>
      </c>
      <c r="E210" s="1">
        <v>249.73496220349099</v>
      </c>
      <c r="F210" s="1">
        <v>6099.5722697870006</v>
      </c>
      <c r="G210" s="1">
        <v>748.42507666588062</v>
      </c>
      <c r="H210" s="1">
        <v>107.0909034870233</v>
      </c>
      <c r="I210" s="1">
        <v>104.97499999999999</v>
      </c>
      <c r="J210" s="1">
        <v>236.02619737853851</v>
      </c>
      <c r="K210" s="1">
        <v>238.9392265193371</v>
      </c>
      <c r="L210" s="1">
        <v>182.52323663058519</v>
      </c>
    </row>
    <row r="211" spans="1:12" x14ac:dyDescent="0.2">
      <c r="A211" s="2">
        <v>37407</v>
      </c>
      <c r="B211" s="1">
        <v>16727.098000000002</v>
      </c>
      <c r="C211" s="1">
        <v>3865.3675333199999</v>
      </c>
      <c r="D211" s="1">
        <v>44295.610253999999</v>
      </c>
      <c r="E211" s="1">
        <v>241.16805261566401</v>
      </c>
      <c r="F211" s="1">
        <v>5534.2666859280007</v>
      </c>
      <c r="G211" s="1">
        <v>748.42507666588062</v>
      </c>
      <c r="H211" s="1">
        <v>107.4014671071356</v>
      </c>
      <c r="I211" s="1">
        <v>104.97499999999999</v>
      </c>
      <c r="J211" s="1">
        <v>235.38759241326301</v>
      </c>
      <c r="K211" s="1">
        <v>240.5524861878454</v>
      </c>
      <c r="L211" s="1">
        <v>183.19923687618461</v>
      </c>
    </row>
    <row r="212" spans="1:12" x14ac:dyDescent="0.2">
      <c r="A212" s="2">
        <v>37435</v>
      </c>
      <c r="B212" s="1">
        <v>15991.246999999999</v>
      </c>
      <c r="C212" s="1">
        <v>3597.6698420520001</v>
      </c>
      <c r="D212" s="1">
        <v>41794.617473500002</v>
      </c>
      <c r="E212" s="1">
        <v>248.334103312536</v>
      </c>
      <c r="F212" s="1">
        <v>5771.312358915</v>
      </c>
      <c r="G212" s="1">
        <v>795.33951412228123</v>
      </c>
      <c r="H212" s="1">
        <v>109.9576220242855</v>
      </c>
      <c r="I212" s="1">
        <v>105.72</v>
      </c>
      <c r="J212" s="1">
        <v>238.37570589296359</v>
      </c>
      <c r="K212" s="1">
        <v>243.64640883977901</v>
      </c>
      <c r="L212" s="1">
        <v>183.9130401631229</v>
      </c>
    </row>
    <row r="213" spans="1:12" x14ac:dyDescent="0.2">
      <c r="A213" s="2">
        <v>37468</v>
      </c>
      <c r="B213" s="1">
        <v>15334.036</v>
      </c>
      <c r="C213" s="1">
        <v>3398.3977200559998</v>
      </c>
      <c r="D213" s="1">
        <v>40313.104106127998</v>
      </c>
      <c r="E213" s="1">
        <v>244.134095736734</v>
      </c>
      <c r="F213" s="1">
        <v>5987.0435180559998</v>
      </c>
      <c r="G213" s="1">
        <v>795.33951412228123</v>
      </c>
      <c r="H213" s="1">
        <v>110.25450760375109</v>
      </c>
      <c r="I213" s="1">
        <v>105.72</v>
      </c>
      <c r="J213" s="1">
        <v>240.8355347118038</v>
      </c>
      <c r="K213" s="1">
        <v>246.88766114180481</v>
      </c>
      <c r="L213" s="1">
        <v>184.718883020455</v>
      </c>
    </row>
    <row r="214" spans="1:12" x14ac:dyDescent="0.2">
      <c r="A214" s="2">
        <v>37498</v>
      </c>
      <c r="B214" s="1">
        <v>15611.315000000001</v>
      </c>
      <c r="C214" s="1">
        <v>3364.4427625919998</v>
      </c>
      <c r="D214" s="1">
        <v>40338.286839647997</v>
      </c>
      <c r="E214" s="1">
        <v>242.116813046457</v>
      </c>
      <c r="F214" s="1">
        <v>6273.0697061849996</v>
      </c>
      <c r="G214" s="1">
        <v>795.33951412228123</v>
      </c>
      <c r="H214" s="1">
        <v>114.2126444267257</v>
      </c>
      <c r="I214" s="1">
        <v>105.72</v>
      </c>
      <c r="J214" s="1">
        <v>243.34704539200351</v>
      </c>
      <c r="K214" s="1">
        <v>251.0202578268877</v>
      </c>
      <c r="L214" s="1">
        <v>185.4824081420206</v>
      </c>
    </row>
    <row r="215" spans="1:12" x14ac:dyDescent="0.2">
      <c r="A215" s="2">
        <v>37529</v>
      </c>
      <c r="B215" s="1">
        <v>14972.831</v>
      </c>
      <c r="C215" s="1">
        <v>3035.2429180150002</v>
      </c>
      <c r="D215" s="1">
        <v>37557.294848009988</v>
      </c>
      <c r="E215" s="1">
        <v>238.29680737852499</v>
      </c>
      <c r="F215" s="1">
        <v>6650.0699367200004</v>
      </c>
      <c r="G215" s="1">
        <v>830.97580681137651</v>
      </c>
      <c r="H215" s="1">
        <v>113.9271128156589</v>
      </c>
      <c r="I215" s="1">
        <v>105.675</v>
      </c>
      <c r="J215" s="1">
        <v>247.45222890724429</v>
      </c>
      <c r="K215" s="1">
        <v>255.0570902394108</v>
      </c>
      <c r="L215" s="1">
        <v>186.24880260271129</v>
      </c>
    </row>
    <row r="216" spans="1:12" x14ac:dyDescent="0.2">
      <c r="A216" s="2">
        <v>37560</v>
      </c>
      <c r="B216" s="1">
        <v>15356.834999999999</v>
      </c>
      <c r="C216" s="1">
        <v>3192.5715223540001</v>
      </c>
      <c r="D216" s="1">
        <v>38548.834871001993</v>
      </c>
      <c r="E216" s="1">
        <v>225.36392569092999</v>
      </c>
      <c r="F216" s="1">
        <v>6203.8511328739996</v>
      </c>
      <c r="G216" s="1">
        <v>830.97580681137651</v>
      </c>
      <c r="H216" s="1">
        <v>113.9043273930958</v>
      </c>
      <c r="I216" s="1">
        <v>105.675</v>
      </c>
      <c r="J216" s="1">
        <v>247.92124410768309</v>
      </c>
      <c r="K216" s="1">
        <v>255.0570902394108</v>
      </c>
      <c r="L216" s="1">
        <v>187.02589187286779</v>
      </c>
    </row>
    <row r="217" spans="1:12" x14ac:dyDescent="0.2">
      <c r="A217" s="2">
        <v>37589</v>
      </c>
      <c r="B217" s="1">
        <v>15582.646000000001</v>
      </c>
      <c r="C217" s="1">
        <v>3326.186071781</v>
      </c>
      <c r="D217" s="1">
        <v>40128.571997501997</v>
      </c>
      <c r="E217" s="1">
        <v>231.73820323245701</v>
      </c>
      <c r="F217" s="1">
        <v>6119.8125110430001</v>
      </c>
      <c r="G217" s="1">
        <v>830.97580681137651</v>
      </c>
      <c r="H217" s="1">
        <v>113.74486133474549</v>
      </c>
      <c r="I217" s="1">
        <v>105.675</v>
      </c>
      <c r="J217" s="1">
        <v>248.19421298590649</v>
      </c>
      <c r="K217" s="1">
        <v>256.01473296500939</v>
      </c>
      <c r="L217" s="1">
        <v>187.7470791933585</v>
      </c>
    </row>
    <row r="218" spans="1:12" x14ac:dyDescent="0.2">
      <c r="A218" s="2">
        <v>37621</v>
      </c>
      <c r="B218" s="1">
        <v>15351.3</v>
      </c>
      <c r="C218" s="1">
        <v>3104.1706448720001</v>
      </c>
      <c r="D218" s="1">
        <v>38132.448980383997</v>
      </c>
      <c r="E218" s="1">
        <v>232.87198147558399</v>
      </c>
      <c r="F218" s="1">
        <v>6621.8398961880002</v>
      </c>
      <c r="G218" s="1">
        <v>863.89842632873479</v>
      </c>
      <c r="H218" s="1">
        <v>117.2254540915887</v>
      </c>
      <c r="I218" s="1">
        <v>103.32</v>
      </c>
      <c r="J218" s="1">
        <v>253.78019418097341</v>
      </c>
      <c r="K218" s="1">
        <v>261.03867403314928</v>
      </c>
      <c r="L218" s="1">
        <v>188.5484073562632</v>
      </c>
    </row>
    <row r="219" spans="1:12" x14ac:dyDescent="0.2">
      <c r="A219" s="2">
        <v>37652</v>
      </c>
      <c r="B219" s="1">
        <v>15146.728999999999</v>
      </c>
      <c r="C219" s="1">
        <v>2873.6908613159999</v>
      </c>
      <c r="D219" s="1">
        <v>36417.641955354004</v>
      </c>
      <c r="E219" s="1">
        <v>218.98776051761399</v>
      </c>
      <c r="F219" s="1">
        <v>6932.8147283339986</v>
      </c>
      <c r="G219" s="1">
        <v>863.89842632873479</v>
      </c>
      <c r="H219" s="1">
        <v>116.9323904563597</v>
      </c>
      <c r="I219" s="1">
        <v>103.32</v>
      </c>
      <c r="J219" s="1">
        <v>254.81532430291051</v>
      </c>
      <c r="K219" s="1">
        <v>262.94659300184168</v>
      </c>
      <c r="L219" s="1">
        <v>189.31357783313129</v>
      </c>
    </row>
    <row r="220" spans="1:12" x14ac:dyDescent="0.2">
      <c r="A220" s="2">
        <v>37680</v>
      </c>
      <c r="B220" s="1">
        <v>14391.29</v>
      </c>
      <c r="C220" s="1">
        <v>2731.367753906</v>
      </c>
      <c r="D220" s="1">
        <v>34197.255107734003</v>
      </c>
      <c r="E220" s="1">
        <v>213.747165976264</v>
      </c>
      <c r="F220" s="1">
        <v>7508.128599394</v>
      </c>
      <c r="G220" s="1">
        <v>863.89842632873479</v>
      </c>
      <c r="H220" s="1">
        <v>117.5287456476871</v>
      </c>
      <c r="I220" s="1">
        <v>103.32</v>
      </c>
      <c r="J220" s="1">
        <v>257.28081688737922</v>
      </c>
      <c r="K220" s="1">
        <v>266.25414364640892</v>
      </c>
      <c r="L220" s="1">
        <v>190.01134893852509</v>
      </c>
    </row>
    <row r="221" spans="1:12" x14ac:dyDescent="0.2">
      <c r="A221" s="2">
        <v>37711</v>
      </c>
      <c r="B221" s="1">
        <v>14887.767</v>
      </c>
      <c r="C221" s="1">
        <v>2729.8076877610001</v>
      </c>
      <c r="D221" s="1">
        <v>33350.829690562998</v>
      </c>
      <c r="E221" s="1">
        <v>219.39378086695299</v>
      </c>
      <c r="F221" s="1">
        <v>6453.7704672979999</v>
      </c>
      <c r="G221" s="1">
        <v>889.73433159881029</v>
      </c>
      <c r="H221" s="1">
        <v>118.8685733480708</v>
      </c>
      <c r="I221" s="1">
        <v>102.27500000000001</v>
      </c>
      <c r="J221" s="1">
        <v>256.14041459995661</v>
      </c>
      <c r="K221" s="1">
        <v>266.7697974217312</v>
      </c>
      <c r="L221" s="1">
        <v>190.76951662270361</v>
      </c>
    </row>
    <row r="222" spans="1:12" x14ac:dyDescent="0.2">
      <c r="A222" s="2">
        <v>37741</v>
      </c>
      <c r="B222" s="1">
        <v>15541.173000000001</v>
      </c>
      <c r="C222" s="1">
        <v>2856.8662488821642</v>
      </c>
      <c r="D222" s="1">
        <v>33813.05703710395</v>
      </c>
      <c r="E222" s="1">
        <v>220.19138757459899</v>
      </c>
      <c r="F222" s="1">
        <v>5851.9118457519999</v>
      </c>
      <c r="G222" s="1">
        <v>889.73433159881029</v>
      </c>
      <c r="H222" s="1">
        <v>120.8180179509791</v>
      </c>
      <c r="I222" s="1">
        <v>102.27500000000001</v>
      </c>
      <c r="J222" s="1">
        <v>257.55252373087018</v>
      </c>
      <c r="K222" s="1">
        <v>268.95027624309409</v>
      </c>
      <c r="L222" s="1">
        <v>191.51660825655341</v>
      </c>
    </row>
    <row r="223" spans="1:12" x14ac:dyDescent="0.2">
      <c r="A223" s="2">
        <v>37771</v>
      </c>
      <c r="B223" s="1">
        <v>15620.093000000001</v>
      </c>
      <c r="C223" s="1">
        <v>2860.5714567383579</v>
      </c>
      <c r="D223" s="1">
        <v>35122.309029600678</v>
      </c>
      <c r="E223" s="1">
        <v>222.97309505968201</v>
      </c>
      <c r="F223" s="1">
        <v>6156.1217445420007</v>
      </c>
      <c r="G223" s="1">
        <v>889.73433159881029</v>
      </c>
      <c r="H223" s="1">
        <v>121.542926058685</v>
      </c>
      <c r="I223" s="1">
        <v>102.27500000000001</v>
      </c>
      <c r="J223" s="1">
        <v>261.67976207259352</v>
      </c>
      <c r="K223" s="1">
        <v>274.1878453038675</v>
      </c>
      <c r="L223" s="1">
        <v>192.29534288201239</v>
      </c>
    </row>
    <row r="224" spans="1:12" x14ac:dyDescent="0.2">
      <c r="A224" s="2">
        <v>37802</v>
      </c>
      <c r="B224" s="1">
        <v>15817.797</v>
      </c>
      <c r="C224" s="1">
        <v>2839.2123777270399</v>
      </c>
      <c r="D224" s="1">
        <v>35601.165680117221</v>
      </c>
      <c r="E224" s="1">
        <v>219.89363665033099</v>
      </c>
      <c r="F224" s="1">
        <v>5994.8433911309994</v>
      </c>
      <c r="G224" s="1">
        <v>940.54990458453324</v>
      </c>
      <c r="H224" s="1">
        <v>121.2026058657207</v>
      </c>
      <c r="I224" s="1">
        <v>108.68</v>
      </c>
      <c r="J224" s="1">
        <v>261.69866181224501</v>
      </c>
      <c r="K224" s="1">
        <v>274.11418047882148</v>
      </c>
      <c r="L224" s="1">
        <v>193.04777188794091</v>
      </c>
    </row>
    <row r="225" spans="1:12" x14ac:dyDescent="0.2">
      <c r="A225" s="2">
        <v>37833</v>
      </c>
      <c r="B225" s="1">
        <v>16388.580000000002</v>
      </c>
      <c r="C225" s="1">
        <v>3022.6133113901642</v>
      </c>
      <c r="D225" s="1">
        <v>39153.033322730749</v>
      </c>
      <c r="E225" s="1">
        <v>237.23589500832</v>
      </c>
      <c r="F225" s="1">
        <v>6247.6062649559999</v>
      </c>
      <c r="G225" s="1">
        <v>940.54990458453324</v>
      </c>
      <c r="H225" s="1">
        <v>121.929821500915</v>
      </c>
      <c r="I225" s="1">
        <v>108.68</v>
      </c>
      <c r="J225" s="1">
        <v>259.40905377560779</v>
      </c>
      <c r="K225" s="1">
        <v>269.04604051565389</v>
      </c>
      <c r="L225" s="1">
        <v>193.8047155882968</v>
      </c>
    </row>
    <row r="226" spans="1:12" x14ac:dyDescent="0.2">
      <c r="A226" s="2">
        <v>37862</v>
      </c>
      <c r="B226" s="1">
        <v>16964.274000000001</v>
      </c>
      <c r="C226" s="1">
        <v>3101.386301540254</v>
      </c>
      <c r="D226" s="1">
        <v>41836.481799921901</v>
      </c>
      <c r="E226" s="1">
        <v>238.184978199532</v>
      </c>
      <c r="F226" s="1">
        <v>6511.4481459299996</v>
      </c>
      <c r="G226" s="1">
        <v>940.54990458453324</v>
      </c>
      <c r="H226" s="1">
        <v>120.3447338214031</v>
      </c>
      <c r="I226" s="1">
        <v>108.68</v>
      </c>
      <c r="J226" s="1">
        <v>259.35610987951571</v>
      </c>
      <c r="K226" s="1">
        <v>269.73112338858209</v>
      </c>
      <c r="L226" s="1">
        <v>194.58013943784229</v>
      </c>
    </row>
    <row r="227" spans="1:12" x14ac:dyDescent="0.2">
      <c r="A227" s="2">
        <v>37894</v>
      </c>
      <c r="B227" s="1">
        <v>16940.939999999999</v>
      </c>
      <c r="C227" s="1">
        <v>2920.5572533082</v>
      </c>
      <c r="D227" s="1">
        <v>39580.427088816679</v>
      </c>
      <c r="E227" s="1">
        <v>233.58634285008</v>
      </c>
      <c r="F227" s="1">
        <v>5972.3947557120009</v>
      </c>
      <c r="G227" s="1">
        <v>998.88645357629298</v>
      </c>
      <c r="H227" s="1">
        <v>122.9562145453276</v>
      </c>
      <c r="I227" s="1">
        <v>116.05500000000001</v>
      </c>
      <c r="J227" s="1">
        <v>261.08780622041542</v>
      </c>
      <c r="K227" s="1">
        <v>275.12338858195233</v>
      </c>
      <c r="L227" s="1">
        <v>195.3522926420915</v>
      </c>
    </row>
    <row r="228" spans="1:12" x14ac:dyDescent="0.2">
      <c r="A228" s="2">
        <v>37925</v>
      </c>
      <c r="B228" s="1">
        <v>17530.702000000001</v>
      </c>
      <c r="C228" s="1">
        <v>2938.0498419860478</v>
      </c>
      <c r="D228" s="1">
        <v>41133.248356494332</v>
      </c>
      <c r="E228" s="1">
        <v>226.64061963302399</v>
      </c>
      <c r="F228" s="1">
        <v>5821.9704677760001</v>
      </c>
      <c r="G228" s="1">
        <v>998.88645357629298</v>
      </c>
      <c r="H228" s="1">
        <v>124.0997073405991</v>
      </c>
      <c r="I228" s="1">
        <v>116.05500000000001</v>
      </c>
      <c r="J228" s="1">
        <v>258.20876640106479</v>
      </c>
      <c r="K228" s="1">
        <v>273.51749539594857</v>
      </c>
      <c r="L228" s="1">
        <v>196.14910611056871</v>
      </c>
    </row>
    <row r="229" spans="1:12" x14ac:dyDescent="0.2">
      <c r="A229" s="2">
        <v>37953</v>
      </c>
      <c r="B229" s="1">
        <v>17155.542000000001</v>
      </c>
      <c r="C229" s="1">
        <v>2900.7603872796531</v>
      </c>
      <c r="D229" s="1">
        <v>40724.210195770283</v>
      </c>
      <c r="E229" s="1">
        <v>231.22612318433801</v>
      </c>
      <c r="F229" s="1">
        <v>5855.0166095099994</v>
      </c>
      <c r="G229" s="1">
        <v>998.88645357629298</v>
      </c>
      <c r="H229" s="1">
        <v>124.906355438313</v>
      </c>
      <c r="I229" s="1">
        <v>116.05500000000001</v>
      </c>
      <c r="J229" s="1">
        <v>257.00721699178939</v>
      </c>
      <c r="K229" s="1">
        <v>274.7697974217312</v>
      </c>
      <c r="L229" s="1">
        <v>196.90275910031971</v>
      </c>
    </row>
    <row r="230" spans="1:12" x14ac:dyDescent="0.2">
      <c r="A230" s="2">
        <v>37986</v>
      </c>
      <c r="B230" s="1">
        <v>17786.666000000001</v>
      </c>
      <c r="C230" s="1">
        <v>2911.9875159573239</v>
      </c>
      <c r="D230" s="1">
        <v>41820.408749475173</v>
      </c>
      <c r="E230" s="1">
        <v>228.65189206661199</v>
      </c>
      <c r="F230" s="1">
        <v>5974.2115795600012</v>
      </c>
      <c r="G230" s="1">
        <v>1039.6399122189639</v>
      </c>
      <c r="H230" s="1">
        <v>124.7689584473309</v>
      </c>
      <c r="I230" s="1">
        <v>125.005</v>
      </c>
      <c r="J230" s="1">
        <v>261.51523583735388</v>
      </c>
      <c r="K230" s="1">
        <v>278.25414364640892</v>
      </c>
      <c r="L230" s="1">
        <v>197.78587346094071</v>
      </c>
    </row>
    <row r="231" spans="1:12" x14ac:dyDescent="0.2">
      <c r="A231" s="2">
        <v>38016</v>
      </c>
      <c r="B231" s="1">
        <v>17668.397000000001</v>
      </c>
      <c r="C231" s="1">
        <v>2932.278311780296</v>
      </c>
      <c r="D231" s="1">
        <v>42964.59576696196</v>
      </c>
      <c r="E231" s="1">
        <v>234.80844149452</v>
      </c>
      <c r="F231" s="1">
        <v>5937.7263064179997</v>
      </c>
      <c r="G231" s="1">
        <v>1039.6399122189639</v>
      </c>
      <c r="H231" s="1">
        <v>126.9524152201592</v>
      </c>
      <c r="I231" s="1">
        <v>125.005</v>
      </c>
      <c r="J231" s="1">
        <v>261.02350401173152</v>
      </c>
      <c r="K231" s="1">
        <v>280.85451197053419</v>
      </c>
      <c r="L231" s="1">
        <v>198.6899360037049</v>
      </c>
    </row>
    <row r="232" spans="1:12" x14ac:dyDescent="0.2">
      <c r="A232" s="2">
        <v>38044</v>
      </c>
      <c r="B232" s="1">
        <v>18218.143</v>
      </c>
      <c r="C232" s="1">
        <v>2944.8283157918522</v>
      </c>
      <c r="D232" s="1">
        <v>44010.862076129568</v>
      </c>
      <c r="E232" s="1">
        <v>236.55497417076</v>
      </c>
      <c r="F232" s="1">
        <v>6291.5260769759998</v>
      </c>
      <c r="G232" s="1">
        <v>1039.6399122189639</v>
      </c>
      <c r="H232" s="1">
        <v>127.59987253778201</v>
      </c>
      <c r="I232" s="1">
        <v>125.005</v>
      </c>
      <c r="J232" s="1">
        <v>264.36338227770813</v>
      </c>
      <c r="K232" s="1">
        <v>284.69244935543293</v>
      </c>
      <c r="L232" s="1">
        <v>199.56605318992251</v>
      </c>
    </row>
    <row r="233" spans="1:12" x14ac:dyDescent="0.2">
      <c r="A233" s="2">
        <v>38077</v>
      </c>
      <c r="B233" s="1">
        <v>18580.785</v>
      </c>
      <c r="C233" s="1">
        <v>2950.4476995883588</v>
      </c>
      <c r="D233" s="1">
        <v>44408.001287919113</v>
      </c>
      <c r="E233" s="1">
        <v>251.77265201914281</v>
      </c>
      <c r="F233" s="1">
        <v>6486.055041408601</v>
      </c>
      <c r="G233" s="1">
        <v>1038.4081625738629</v>
      </c>
      <c r="H233" s="1">
        <v>129.0289911102052</v>
      </c>
      <c r="I233" s="1">
        <v>137.70500000000001</v>
      </c>
      <c r="J233" s="1">
        <v>266.81501464268109</v>
      </c>
      <c r="K233" s="1">
        <v>287.16022099447531</v>
      </c>
      <c r="L233" s="1">
        <v>200.51860635998051</v>
      </c>
    </row>
    <row r="234" spans="1:12" x14ac:dyDescent="0.2">
      <c r="A234" s="2">
        <v>38107</v>
      </c>
      <c r="B234" s="1">
        <v>18557.123</v>
      </c>
      <c r="C234" s="1">
        <v>3108.659705154475</v>
      </c>
      <c r="D234" s="1">
        <v>44230.459858444483</v>
      </c>
      <c r="E234" s="1">
        <v>234.52771848138599</v>
      </c>
      <c r="F234" s="1">
        <v>7045.621764984</v>
      </c>
      <c r="G234" s="1">
        <v>1038.4081625738629</v>
      </c>
      <c r="H234" s="1">
        <v>129.06769980753819</v>
      </c>
      <c r="I234" s="1">
        <v>137.70500000000001</v>
      </c>
      <c r="J234" s="1">
        <v>264.34447022552268</v>
      </c>
      <c r="K234" s="1">
        <v>283.49907918968722</v>
      </c>
      <c r="L234" s="1">
        <v>201.41814859003091</v>
      </c>
    </row>
    <row r="235" spans="1:12" x14ac:dyDescent="0.2">
      <c r="A235" s="2">
        <v>38138</v>
      </c>
      <c r="B235" s="1">
        <v>18857.334999999999</v>
      </c>
      <c r="C235" s="1">
        <v>3153.4161448180048</v>
      </c>
      <c r="D235" s="1">
        <v>43715.726242048579</v>
      </c>
      <c r="E235" s="1">
        <v>252.354444427305</v>
      </c>
      <c r="F235" s="1">
        <v>7460.4524841000002</v>
      </c>
      <c r="G235" s="1">
        <v>1038.4081625738629</v>
      </c>
      <c r="H235" s="1">
        <v>127.69958218957829</v>
      </c>
      <c r="I235" s="1">
        <v>137.70500000000001</v>
      </c>
      <c r="J235" s="1">
        <v>266.74440964785549</v>
      </c>
      <c r="K235" s="1">
        <v>283.73480662983451</v>
      </c>
      <c r="L235" s="1">
        <v>202.3702908225693</v>
      </c>
    </row>
    <row r="236" spans="1:12" x14ac:dyDescent="0.2">
      <c r="A236" s="2">
        <v>38168</v>
      </c>
      <c r="B236" s="1">
        <v>19356.205999999998</v>
      </c>
      <c r="C236" s="1">
        <v>3300.2936821279918</v>
      </c>
      <c r="D236" s="1">
        <v>44687.452453327111</v>
      </c>
      <c r="E236" s="1">
        <v>265.68805601509598</v>
      </c>
      <c r="F236" s="1">
        <v>7283.3229232719996</v>
      </c>
      <c r="G236" s="1">
        <v>1031.2981186416309</v>
      </c>
      <c r="H236" s="1">
        <v>129.05319776078781</v>
      </c>
      <c r="I236" s="1">
        <v>154.95599999999999</v>
      </c>
      <c r="J236" s="1">
        <v>267.79024613371053</v>
      </c>
      <c r="K236" s="1">
        <v>285.25230202578291</v>
      </c>
      <c r="L236" s="1">
        <v>203.28421586580001</v>
      </c>
    </row>
    <row r="237" spans="1:12" x14ac:dyDescent="0.2">
      <c r="A237" s="2">
        <v>38198</v>
      </c>
      <c r="B237" s="1">
        <v>19466.648000000001</v>
      </c>
      <c r="C237" s="1">
        <v>3188.8409847044009</v>
      </c>
      <c r="D237" s="1">
        <v>43755.436436558048</v>
      </c>
      <c r="E237" s="1">
        <v>266.48308541931698</v>
      </c>
      <c r="F237" s="1">
        <v>7806.5076291410014</v>
      </c>
      <c r="G237" s="1">
        <v>1031.2981186416309</v>
      </c>
      <c r="H237" s="1">
        <v>128.67894348728149</v>
      </c>
      <c r="I237" s="1">
        <v>154.95599999999999</v>
      </c>
      <c r="J237" s="1">
        <v>268.93946850484599</v>
      </c>
      <c r="K237" s="1">
        <v>288.16206261510149</v>
      </c>
      <c r="L237" s="1">
        <v>204.22485184779421</v>
      </c>
    </row>
    <row r="238" spans="1:12" x14ac:dyDescent="0.2">
      <c r="A238" s="2">
        <v>38230</v>
      </c>
      <c r="B238" s="1">
        <v>19671.009999999998</v>
      </c>
      <c r="C238" s="1">
        <v>3168.9953939506299</v>
      </c>
      <c r="D238" s="1">
        <v>45397.611798448888</v>
      </c>
      <c r="E238" s="1">
        <v>281.52276097153998</v>
      </c>
      <c r="F238" s="1">
        <v>7441.2236044700003</v>
      </c>
      <c r="G238" s="1">
        <v>1031.2981186416309</v>
      </c>
      <c r="H238" s="1">
        <v>129.2193950499281</v>
      </c>
      <c r="I238" s="1">
        <v>154.95599999999999</v>
      </c>
      <c r="J238" s="1">
        <v>272.73133496802762</v>
      </c>
      <c r="K238" s="1">
        <v>293.64272559852691</v>
      </c>
      <c r="L238" s="1">
        <v>205.16918626746329</v>
      </c>
    </row>
    <row r="239" spans="1:12" x14ac:dyDescent="0.2">
      <c r="A239" s="2">
        <v>38260</v>
      </c>
      <c r="B239" s="1">
        <v>20413.241000000002</v>
      </c>
      <c r="C239" s="1">
        <v>3130.0628323047199</v>
      </c>
      <c r="D239" s="1">
        <v>46367.151268674133</v>
      </c>
      <c r="E239" s="1">
        <v>275.17527824675199</v>
      </c>
      <c r="F239" s="1">
        <v>8169.3002932840009</v>
      </c>
      <c r="G239" s="1">
        <v>1034.3917547112551</v>
      </c>
      <c r="H239" s="1">
        <v>131.46781252379691</v>
      </c>
      <c r="I239" s="1">
        <v>158.428</v>
      </c>
      <c r="J239" s="1">
        <v>274.75177254317248</v>
      </c>
      <c r="K239" s="1">
        <v>295.77163904235749</v>
      </c>
      <c r="L239" s="1">
        <v>206.08311131069411</v>
      </c>
    </row>
    <row r="240" spans="1:12" x14ac:dyDescent="0.2">
      <c r="A240" s="2">
        <v>38289</v>
      </c>
      <c r="B240" s="1">
        <v>21054.523000000001</v>
      </c>
      <c r="C240" s="1">
        <v>3073.4951166263681</v>
      </c>
      <c r="D240" s="1">
        <v>45284.062113447893</v>
      </c>
      <c r="E240" s="1">
        <v>279.01246044518001</v>
      </c>
      <c r="F240" s="1">
        <v>8250.7629688680008</v>
      </c>
      <c r="G240" s="1">
        <v>1034.3917547112551</v>
      </c>
      <c r="H240" s="1">
        <v>133.20318764911099</v>
      </c>
      <c r="I240" s="1">
        <v>158.428</v>
      </c>
      <c r="J240" s="1">
        <v>276.63982575301941</v>
      </c>
      <c r="K240" s="1">
        <v>298.76979742173131</v>
      </c>
      <c r="L240" s="1">
        <v>206.9637504148503</v>
      </c>
    </row>
    <row r="241" spans="1:12" x14ac:dyDescent="0.2">
      <c r="A241" s="2">
        <v>38321</v>
      </c>
      <c r="B241" s="1">
        <v>22028.808000000001</v>
      </c>
      <c r="C241" s="1">
        <v>3058.7516698863742</v>
      </c>
      <c r="D241" s="1">
        <v>45850.448545867497</v>
      </c>
      <c r="E241" s="1">
        <v>279.18296330986601</v>
      </c>
      <c r="F241" s="1">
        <v>7558.68739241</v>
      </c>
      <c r="G241" s="1">
        <v>1034.3917547112551</v>
      </c>
      <c r="H241" s="1">
        <v>134.09564900635999</v>
      </c>
      <c r="I241" s="1">
        <v>158.428</v>
      </c>
      <c r="J241" s="1">
        <v>279.76913998797079</v>
      </c>
      <c r="K241" s="1">
        <v>300.22099447513841</v>
      </c>
      <c r="L241" s="1">
        <v>207.94794577390491</v>
      </c>
    </row>
    <row r="242" spans="1:12" x14ac:dyDescent="0.2">
      <c r="A242" s="2">
        <v>38352</v>
      </c>
      <c r="B242" s="1">
        <v>22690.100999999999</v>
      </c>
      <c r="C242" s="1">
        <v>3129.8710827169589</v>
      </c>
      <c r="D242" s="1">
        <v>46806.793462128138</v>
      </c>
      <c r="E242" s="1">
        <v>289.659565877087</v>
      </c>
      <c r="F242" s="1">
        <v>6734.2484265210014</v>
      </c>
      <c r="G242" s="1">
        <v>1055.129651179102</v>
      </c>
      <c r="H242" s="1">
        <v>133.6665429295397</v>
      </c>
      <c r="I242" s="1">
        <v>173.33600000000001</v>
      </c>
      <c r="J242" s="1">
        <v>279.71492543837257</v>
      </c>
      <c r="K242" s="1">
        <v>303.06445672191558</v>
      </c>
      <c r="L242" s="1">
        <v>208.89721144380729</v>
      </c>
    </row>
    <row r="243" spans="1:12" x14ac:dyDescent="0.2">
      <c r="A243" s="2">
        <v>38383</v>
      </c>
      <c r="B243" s="1">
        <v>22991.62</v>
      </c>
      <c r="C243" s="1">
        <v>3135.2362399196541</v>
      </c>
      <c r="D243" s="1">
        <v>47852.276107723359</v>
      </c>
      <c r="E243" s="1">
        <v>276.40680919017399</v>
      </c>
      <c r="F243" s="1">
        <v>7272.6224027079988</v>
      </c>
      <c r="G243" s="1">
        <v>1055.129651179102</v>
      </c>
      <c r="H243" s="1">
        <v>137.10177308282891</v>
      </c>
      <c r="I243" s="1">
        <v>173.33600000000001</v>
      </c>
      <c r="J243" s="1">
        <v>279.89963314805038</v>
      </c>
      <c r="K243" s="1">
        <v>306.10681399631699</v>
      </c>
      <c r="L243" s="1">
        <v>209.8485318013069</v>
      </c>
    </row>
    <row r="244" spans="1:12" x14ac:dyDescent="0.2">
      <c r="A244" s="2">
        <v>38411</v>
      </c>
      <c r="B244" s="1">
        <v>23405.036</v>
      </c>
      <c r="C244" s="1">
        <v>3138.3836962493601</v>
      </c>
      <c r="D244" s="1">
        <v>50030.99469349633</v>
      </c>
      <c r="E244" s="1">
        <v>274.36222867401602</v>
      </c>
      <c r="F244" s="1">
        <v>7541.5038842479998</v>
      </c>
      <c r="G244" s="1">
        <v>1055.129651179102</v>
      </c>
      <c r="H244" s="1">
        <v>142.21566921881839</v>
      </c>
      <c r="I244" s="1">
        <v>173.33600000000001</v>
      </c>
      <c r="J244" s="1">
        <v>279.16647592499481</v>
      </c>
      <c r="K244" s="1">
        <v>305.56906077348089</v>
      </c>
      <c r="L244" s="1">
        <v>210.68478965336379</v>
      </c>
    </row>
    <row r="245" spans="1:12" x14ac:dyDescent="0.2">
      <c r="A245" s="2">
        <v>38442</v>
      </c>
      <c r="B245" s="1">
        <v>23230.799999999999</v>
      </c>
      <c r="C245" s="1">
        <v>3189.6432084380358</v>
      </c>
      <c r="D245" s="1">
        <v>48936.12380959314</v>
      </c>
      <c r="E245" s="1">
        <v>277.66024582936598</v>
      </c>
      <c r="F245" s="1">
        <v>8324.4531260619988</v>
      </c>
      <c r="G245" s="1">
        <v>1056.8220419168961</v>
      </c>
      <c r="H245" s="1">
        <v>143.76582001330351</v>
      </c>
      <c r="I245" s="1">
        <v>177.512</v>
      </c>
      <c r="J245" s="1">
        <v>279.62162598092442</v>
      </c>
      <c r="K245" s="1">
        <v>306.74769797421772</v>
      </c>
      <c r="L245" s="1">
        <v>211.67432720017109</v>
      </c>
    </row>
    <row r="246" spans="1:12" x14ac:dyDescent="0.2">
      <c r="A246" s="2">
        <v>38471</v>
      </c>
      <c r="B246" s="1">
        <v>22352.415000000001</v>
      </c>
      <c r="C246" s="1">
        <v>3089.9334258036938</v>
      </c>
      <c r="D246" s="1">
        <v>46729.719115653897</v>
      </c>
      <c r="E246" s="1">
        <v>287.47421198199402</v>
      </c>
      <c r="F246" s="1">
        <v>7500.7215027559996</v>
      </c>
      <c r="G246" s="1">
        <v>1056.8220419168961</v>
      </c>
      <c r="H246" s="1">
        <v>145.50538643546449</v>
      </c>
      <c r="I246" s="1">
        <v>177.512</v>
      </c>
      <c r="J246" s="1">
        <v>284.01867811404009</v>
      </c>
      <c r="K246" s="1">
        <v>311.24861878453072</v>
      </c>
      <c r="L246" s="1">
        <v>212.7246834998553</v>
      </c>
    </row>
    <row r="247" spans="1:12" x14ac:dyDescent="0.2">
      <c r="A247" s="2">
        <v>38503</v>
      </c>
      <c r="B247" s="1">
        <v>23114.589</v>
      </c>
      <c r="C247" s="1">
        <v>3299.1149293273602</v>
      </c>
      <c r="D247" s="1">
        <v>50292.974039323817</v>
      </c>
      <c r="E247" s="1">
        <v>305.30524724408002</v>
      </c>
      <c r="F247" s="1">
        <v>7671.2298386460006</v>
      </c>
      <c r="G247" s="1">
        <v>1056.8220419168961</v>
      </c>
      <c r="H247" s="1">
        <v>148.41549416417379</v>
      </c>
      <c r="I247" s="1">
        <v>177.512</v>
      </c>
      <c r="J247" s="1">
        <v>286.97211026366688</v>
      </c>
      <c r="K247" s="1">
        <v>314.95395948434663</v>
      </c>
      <c r="L247" s="1">
        <v>213.75572573612601</v>
      </c>
    </row>
    <row r="248" spans="1:12" x14ac:dyDescent="0.2">
      <c r="A248" s="2">
        <v>38533</v>
      </c>
      <c r="B248" s="1">
        <v>24146.266</v>
      </c>
      <c r="C248" s="1">
        <v>3336.697663986648</v>
      </c>
      <c r="D248" s="1">
        <v>51913.990765027018</v>
      </c>
      <c r="E248" s="1">
        <v>318.11227222647</v>
      </c>
      <c r="F248" s="1">
        <v>8068.9500078300007</v>
      </c>
      <c r="G248" s="1">
        <v>1067.3839054131879</v>
      </c>
      <c r="H248" s="1">
        <v>150.34489558830811</v>
      </c>
      <c r="I248" s="1">
        <v>185.41200000000001</v>
      </c>
      <c r="J248" s="1">
        <v>288.64834848903678</v>
      </c>
      <c r="K248" s="1">
        <v>318.26887661141842</v>
      </c>
      <c r="L248" s="1">
        <v>214.74649609549161</v>
      </c>
    </row>
    <row r="249" spans="1:12" x14ac:dyDescent="0.2">
      <c r="A249" s="2">
        <v>38562</v>
      </c>
      <c r="B249" s="1">
        <v>24814.361000000001</v>
      </c>
      <c r="C249" s="1">
        <v>3472.8786882013251</v>
      </c>
      <c r="D249" s="1">
        <v>55603.046405249901</v>
      </c>
      <c r="E249" s="1">
        <v>337.60794384240302</v>
      </c>
      <c r="F249" s="1">
        <v>8537.0007535410004</v>
      </c>
      <c r="G249" s="1">
        <v>1067.3839054131879</v>
      </c>
      <c r="H249" s="1">
        <v>154.32903532139821</v>
      </c>
      <c r="I249" s="1">
        <v>185.41200000000001</v>
      </c>
      <c r="J249" s="1">
        <v>289.96714892810178</v>
      </c>
      <c r="K249" s="1">
        <v>317.11970534070008</v>
      </c>
      <c r="L249" s="1">
        <v>215.77671645672331</v>
      </c>
    </row>
    <row r="250" spans="1:12" x14ac:dyDescent="0.2">
      <c r="A250" s="2">
        <v>38595</v>
      </c>
      <c r="B250" s="1">
        <v>25353.562000000002</v>
      </c>
      <c r="C250" s="1">
        <v>3518.6313458951158</v>
      </c>
      <c r="D250" s="1">
        <v>57040.240858137462</v>
      </c>
      <c r="E250" s="1">
        <v>332.98213865180401</v>
      </c>
      <c r="F250" s="1">
        <v>9946.2662502959993</v>
      </c>
      <c r="G250" s="1">
        <v>1067.3839054131879</v>
      </c>
      <c r="H250" s="1">
        <v>155.8723256746122</v>
      </c>
      <c r="I250" s="1">
        <v>185.41200000000001</v>
      </c>
      <c r="J250" s="1">
        <v>292.34187228085398</v>
      </c>
      <c r="K250" s="1">
        <v>320.81767955801138</v>
      </c>
      <c r="L250" s="1">
        <v>216.8085805680328</v>
      </c>
    </row>
    <row r="251" spans="1:12" x14ac:dyDescent="0.2">
      <c r="A251" s="2">
        <v>38625</v>
      </c>
      <c r="B251" s="1">
        <v>26559.302</v>
      </c>
      <c r="C251" s="1">
        <v>3575.803637182501</v>
      </c>
      <c r="D251" s="1">
        <v>60986.874913758002</v>
      </c>
      <c r="E251" s="1">
        <v>329.842655847</v>
      </c>
      <c r="F251" s="1">
        <v>9785.2112505000005</v>
      </c>
      <c r="G251" s="1">
        <v>1069.102773156794</v>
      </c>
      <c r="H251" s="1">
        <v>158.67802753675531</v>
      </c>
      <c r="I251" s="1">
        <v>216.06399999999999</v>
      </c>
      <c r="J251" s="1">
        <v>290.54333611801832</v>
      </c>
      <c r="K251" s="1">
        <v>319.80847145488059</v>
      </c>
      <c r="L251" s="1">
        <v>217.7977071773208</v>
      </c>
    </row>
    <row r="252" spans="1:12" x14ac:dyDescent="0.2">
      <c r="A252" s="2">
        <v>38656</v>
      </c>
      <c r="B252" s="1">
        <v>25541.741000000002</v>
      </c>
      <c r="C252" s="1">
        <v>3585.4867790233188</v>
      </c>
      <c r="D252" s="1">
        <v>58914.265241321213</v>
      </c>
      <c r="E252" s="1">
        <v>328.15530501102398</v>
      </c>
      <c r="F252" s="1">
        <v>8968.6627370219994</v>
      </c>
      <c r="G252" s="1">
        <v>1069.102773156794</v>
      </c>
      <c r="H252" s="1">
        <v>161.4231574131411</v>
      </c>
      <c r="I252" s="1">
        <v>216.06399999999999</v>
      </c>
      <c r="J252" s="1">
        <v>291.06026554442047</v>
      </c>
      <c r="K252" s="1">
        <v>318.17311233885857</v>
      </c>
      <c r="L252" s="1">
        <v>218.83737910149961</v>
      </c>
    </row>
    <row r="253" spans="1:12" x14ac:dyDescent="0.2">
      <c r="A253" s="2">
        <v>38686</v>
      </c>
      <c r="B253" s="1">
        <v>26665.264999999999</v>
      </c>
      <c r="C253" s="1">
        <v>3774.1443027678388</v>
      </c>
      <c r="D253" s="1">
        <v>63842.680360871149</v>
      </c>
      <c r="E253" s="1">
        <v>343.42252366094402</v>
      </c>
      <c r="F253" s="1">
        <v>8705.1242187000007</v>
      </c>
      <c r="G253" s="1">
        <v>1069.102773156794</v>
      </c>
      <c r="H253" s="1">
        <v>162.64997340948099</v>
      </c>
      <c r="I253" s="1">
        <v>216.06399999999999</v>
      </c>
      <c r="J253" s="1">
        <v>293.24019475966259</v>
      </c>
      <c r="K253" s="1">
        <v>320.07366482504642</v>
      </c>
      <c r="L253" s="1">
        <v>219.85157289947321</v>
      </c>
    </row>
    <row r="254" spans="1:12" x14ac:dyDescent="0.2">
      <c r="A254" s="2">
        <v>38716</v>
      </c>
      <c r="B254" s="1">
        <v>27474.947</v>
      </c>
      <c r="C254" s="1">
        <v>3891.2089596029159</v>
      </c>
      <c r="D254" s="1">
        <v>67932.119910516791</v>
      </c>
      <c r="E254" s="1">
        <v>350.959796079554</v>
      </c>
      <c r="F254" s="1">
        <v>9035.4099829820007</v>
      </c>
      <c r="G254" s="1">
        <v>1093.1315158567529</v>
      </c>
      <c r="H254" s="1">
        <v>160.34034378706639</v>
      </c>
      <c r="I254" s="1">
        <v>227.904</v>
      </c>
      <c r="J254" s="1">
        <v>295.94587902566019</v>
      </c>
      <c r="K254" s="1">
        <v>323.1233885819525</v>
      </c>
      <c r="L254" s="1">
        <v>220.89083388613261</v>
      </c>
    </row>
    <row r="255" spans="1:12" x14ac:dyDescent="0.2">
      <c r="A255" s="2">
        <v>38748</v>
      </c>
      <c r="B255" s="1">
        <v>28476.555</v>
      </c>
      <c r="C255" s="1">
        <v>3895.4154777053882</v>
      </c>
      <c r="D255" s="1">
        <v>71249.191858804901</v>
      </c>
      <c r="E255" s="1">
        <v>359.52727166817999</v>
      </c>
      <c r="F255" s="1">
        <v>9141.6243013759995</v>
      </c>
      <c r="G255" s="1">
        <v>1093.1315158567529</v>
      </c>
      <c r="H255" s="1">
        <v>159.8432887213265</v>
      </c>
      <c r="I255" s="1">
        <v>227.904</v>
      </c>
      <c r="J255" s="1">
        <v>296.43507077552368</v>
      </c>
      <c r="K255" s="1">
        <v>323.21915285451229</v>
      </c>
      <c r="L255" s="1">
        <v>221.94899799868611</v>
      </c>
    </row>
    <row r="256" spans="1:12" x14ac:dyDescent="0.2">
      <c r="A256" s="2">
        <v>38776</v>
      </c>
      <c r="B256" s="1">
        <v>28675.986000000001</v>
      </c>
      <c r="C256" s="1">
        <v>3981.2269263174871</v>
      </c>
      <c r="D256" s="1">
        <v>72531.612413813782</v>
      </c>
      <c r="E256" s="1">
        <v>376.31928867957998</v>
      </c>
      <c r="F256" s="1">
        <v>8368.3758086489997</v>
      </c>
      <c r="G256" s="1">
        <v>1093.1315158567529</v>
      </c>
      <c r="H256" s="1">
        <v>160.46667754733971</v>
      </c>
      <c r="I256" s="1">
        <v>227.904</v>
      </c>
      <c r="J256" s="1">
        <v>298.12769944612091</v>
      </c>
      <c r="K256" s="1">
        <v>324.40515653775361</v>
      </c>
      <c r="L256" s="1">
        <v>222.90442773138011</v>
      </c>
    </row>
    <row r="257" spans="1:12" x14ac:dyDescent="0.2">
      <c r="A257" s="2">
        <v>38807</v>
      </c>
      <c r="B257" s="1">
        <v>30054.352999999999</v>
      </c>
      <c r="C257" s="1">
        <v>4250.9135201209119</v>
      </c>
      <c r="D257" s="1">
        <v>76644.309918759609</v>
      </c>
      <c r="E257" s="1">
        <v>407.17409178850198</v>
      </c>
      <c r="F257" s="1">
        <v>9165.3812221759999</v>
      </c>
      <c r="G257" s="1">
        <v>1108.3457446644099</v>
      </c>
      <c r="H257" s="1">
        <v>159.68039082735771</v>
      </c>
      <c r="I257" s="1">
        <v>253.33600000000001</v>
      </c>
      <c r="J257" s="1">
        <v>298.46685558197993</v>
      </c>
      <c r="K257" s="1">
        <v>321.6206261510132</v>
      </c>
      <c r="L257" s="1">
        <v>223.9609480938559</v>
      </c>
    </row>
    <row r="258" spans="1:12" x14ac:dyDescent="0.2">
      <c r="A258" s="2">
        <v>38835</v>
      </c>
      <c r="B258" s="1">
        <v>30777.028999999999</v>
      </c>
      <c r="C258" s="1">
        <v>4033.2513866833319</v>
      </c>
      <c r="D258" s="1">
        <v>75831.662353763779</v>
      </c>
      <c r="E258" s="1">
        <v>371.72951353042799</v>
      </c>
      <c r="F258" s="1">
        <v>9158.8654005299995</v>
      </c>
      <c r="G258" s="1">
        <v>1108.3457446644099</v>
      </c>
      <c r="H258" s="1">
        <v>159.9518474917642</v>
      </c>
      <c r="I258" s="1">
        <v>253.33600000000001</v>
      </c>
      <c r="J258" s="1">
        <v>296.80070378444219</v>
      </c>
      <c r="K258" s="1">
        <v>320.81767955801138</v>
      </c>
      <c r="L258" s="1">
        <v>224.9513075157021</v>
      </c>
    </row>
    <row r="259" spans="1:12" x14ac:dyDescent="0.2">
      <c r="A259" s="2">
        <v>38868</v>
      </c>
      <c r="B259" s="1">
        <v>29442.273000000001</v>
      </c>
      <c r="C259" s="1">
        <v>3885.828870485268</v>
      </c>
      <c r="D259" s="1">
        <v>70361.996856575017</v>
      </c>
      <c r="E259" s="1">
        <v>363.53105378515198</v>
      </c>
      <c r="F259" s="1">
        <v>9149.8794820559997</v>
      </c>
      <c r="G259" s="1">
        <v>1108.3457446644099</v>
      </c>
      <c r="H259" s="1">
        <v>162.76700000761929</v>
      </c>
      <c r="I259" s="1">
        <v>253.33600000000001</v>
      </c>
      <c r="J259" s="1">
        <v>297.98333744777199</v>
      </c>
      <c r="K259" s="1">
        <v>321.98895027624337</v>
      </c>
      <c r="L259" s="1">
        <v>226.03905912965519</v>
      </c>
    </row>
    <row r="260" spans="1:12" x14ac:dyDescent="0.2">
      <c r="A260" s="2">
        <v>38898</v>
      </c>
      <c r="B260" s="1">
        <v>29988.805</v>
      </c>
      <c r="C260" s="1">
        <v>3963.1966272750319</v>
      </c>
      <c r="D260" s="1">
        <v>71436.983507386918</v>
      </c>
      <c r="E260" s="1">
        <v>385.89122920250179</v>
      </c>
      <c r="F260" s="1">
        <v>9389.5504796862006</v>
      </c>
      <c r="G260" s="1">
        <v>1152.0675998548579</v>
      </c>
      <c r="H260" s="1">
        <v>164.55743700770299</v>
      </c>
      <c r="I260" s="1">
        <v>279.76</v>
      </c>
      <c r="J260" s="1">
        <v>298.50026687417409</v>
      </c>
      <c r="K260" s="1">
        <v>322.10681399631699</v>
      </c>
      <c r="L260" s="1">
        <v>227.12516699353051</v>
      </c>
    </row>
    <row r="261" spans="1:12" x14ac:dyDescent="0.2">
      <c r="A261" s="2">
        <v>38929</v>
      </c>
      <c r="B261" s="1">
        <v>29534.503000000001</v>
      </c>
      <c r="C261" s="1">
        <v>3864.4852618901718</v>
      </c>
      <c r="D261" s="1">
        <v>70017.865247012305</v>
      </c>
      <c r="E261" s="1">
        <v>386.82380948603048</v>
      </c>
      <c r="F261" s="1">
        <v>9285.9829896431002</v>
      </c>
      <c r="G261" s="1">
        <v>1152.0675998548579</v>
      </c>
      <c r="H261" s="1">
        <v>169.49416011793409</v>
      </c>
      <c r="I261" s="1">
        <v>279.76</v>
      </c>
      <c r="J261" s="1">
        <v>298.74297154388739</v>
      </c>
      <c r="K261" s="1">
        <v>325.9668508287296</v>
      </c>
      <c r="L261" s="1">
        <v>228.22072642035289</v>
      </c>
    </row>
    <row r="262" spans="1:12" x14ac:dyDescent="0.2">
      <c r="A262" s="2">
        <v>38960</v>
      </c>
      <c r="B262" s="1">
        <v>30472.258000000002</v>
      </c>
      <c r="C262" s="1">
        <v>3979.1123258969769</v>
      </c>
      <c r="D262" s="1">
        <v>72289.332751853406</v>
      </c>
      <c r="E262" s="1">
        <v>402.09772336645449</v>
      </c>
      <c r="F262" s="1">
        <v>8641.9398612085006</v>
      </c>
      <c r="G262" s="1">
        <v>1152.0675998548579</v>
      </c>
      <c r="H262" s="1">
        <v>169.17212121371011</v>
      </c>
      <c r="I262" s="1">
        <v>279.76</v>
      </c>
      <c r="J262" s="1">
        <v>301.89939305363788</v>
      </c>
      <c r="K262" s="1">
        <v>331.02025782688798</v>
      </c>
      <c r="L262" s="1">
        <v>229.41367803928219</v>
      </c>
    </row>
    <row r="263" spans="1:12" x14ac:dyDescent="0.2">
      <c r="A263" s="2">
        <v>38989</v>
      </c>
      <c r="B263" s="1">
        <v>30852.584999999999</v>
      </c>
      <c r="C263" s="1">
        <v>4146.6977952306179</v>
      </c>
      <c r="D263" s="1">
        <v>75040.014485058302</v>
      </c>
      <c r="E263" s="1">
        <v>422.84615416004999</v>
      </c>
      <c r="F263" s="1">
        <v>7896.6260570699988</v>
      </c>
      <c r="G263" s="1">
        <v>1176.5326942331001</v>
      </c>
      <c r="H263" s="1">
        <v>172.23413660767821</v>
      </c>
      <c r="I263" s="1">
        <v>290.55599999999998</v>
      </c>
      <c r="J263" s="1">
        <v>304.43549925170601</v>
      </c>
      <c r="K263" s="1">
        <v>333.61325966850859</v>
      </c>
      <c r="L263" s="1">
        <v>230.5856718447202</v>
      </c>
    </row>
    <row r="264" spans="1:12" x14ac:dyDescent="0.2">
      <c r="A264" s="2">
        <v>39021</v>
      </c>
      <c r="B264" s="1">
        <v>32334.94</v>
      </c>
      <c r="C264" s="1">
        <v>4122.956722128205</v>
      </c>
      <c r="D264" s="1">
        <v>74904.904132947908</v>
      </c>
      <c r="E264" s="1">
        <v>427.25046515205707</v>
      </c>
      <c r="F264" s="1">
        <v>7419.4107487910996</v>
      </c>
      <c r="G264" s="1">
        <v>1176.5326942331001</v>
      </c>
      <c r="H264" s="1">
        <v>171.26962544267519</v>
      </c>
      <c r="I264" s="1">
        <v>290.55599999999998</v>
      </c>
      <c r="J264" s="1">
        <v>303.87192009657969</v>
      </c>
      <c r="K264" s="1">
        <v>335.60220994475162</v>
      </c>
      <c r="L264" s="1">
        <v>231.75355627496381</v>
      </c>
    </row>
    <row r="265" spans="1:12" x14ac:dyDescent="0.2">
      <c r="A265" s="2">
        <v>39051</v>
      </c>
      <c r="B265" s="1">
        <v>33135.521999999997</v>
      </c>
      <c r="C265" s="1">
        <v>4089.108451508449</v>
      </c>
      <c r="D265" s="1">
        <v>78231.545304487488</v>
      </c>
      <c r="E265" s="1">
        <v>438.02837138329829</v>
      </c>
      <c r="F265" s="1">
        <v>7674.8459737629</v>
      </c>
      <c r="G265" s="1">
        <v>1176.5326942331001</v>
      </c>
      <c r="H265" s="1">
        <v>169.18013601227449</v>
      </c>
      <c r="I265" s="1">
        <v>290.55599999999998</v>
      </c>
      <c r="J265" s="1">
        <v>306.17099524059029</v>
      </c>
      <c r="K265" s="1">
        <v>338.72559852670378</v>
      </c>
      <c r="L265" s="1">
        <v>232.94856258149019</v>
      </c>
    </row>
    <row r="266" spans="1:12" x14ac:dyDescent="0.2">
      <c r="A266" s="2">
        <v>39080</v>
      </c>
      <c r="B266" s="1">
        <v>34334.226000000002</v>
      </c>
      <c r="C266" s="1">
        <v>4205.087064236388</v>
      </c>
      <c r="D266" s="1">
        <v>81457.65228475639</v>
      </c>
      <c r="E266" s="1">
        <v>444.68697822292052</v>
      </c>
      <c r="F266" s="1">
        <v>7139.8641098534999</v>
      </c>
      <c r="G266" s="1">
        <v>1201.134975861017</v>
      </c>
      <c r="H266" s="1">
        <v>171.1933796308206</v>
      </c>
      <c r="I266" s="1">
        <v>318.82799999999997</v>
      </c>
      <c r="J266" s="1">
        <v>305.24178307654552</v>
      </c>
      <c r="K266" s="1">
        <v>337.3701657458567</v>
      </c>
      <c r="L266" s="1">
        <v>234.191648577791</v>
      </c>
    </row>
    <row r="267" spans="1:12" x14ac:dyDescent="0.2">
      <c r="A267" s="2">
        <v>39113</v>
      </c>
      <c r="B267" s="1">
        <v>35025.745999999999</v>
      </c>
      <c r="C267" s="1">
        <v>4356.4997889834976</v>
      </c>
      <c r="D267" s="1">
        <v>82689.201175134323</v>
      </c>
      <c r="E267" s="1">
        <v>484.64422634687128</v>
      </c>
      <c r="F267" s="1">
        <v>7098.8574885975004</v>
      </c>
      <c r="G267" s="1">
        <v>1201.134975861017</v>
      </c>
      <c r="H267" s="1">
        <v>173.96671238083991</v>
      </c>
      <c r="I267" s="1">
        <v>318.82799999999997</v>
      </c>
      <c r="J267" s="1">
        <v>306.670273418286</v>
      </c>
      <c r="K267" s="1">
        <v>337.50276243093941</v>
      </c>
      <c r="L267" s="1">
        <v>235.47582832603561</v>
      </c>
    </row>
    <row r="268" spans="1:12" x14ac:dyDescent="0.2">
      <c r="A268" s="2">
        <v>39141</v>
      </c>
      <c r="B268" s="1">
        <v>35583.660000000003</v>
      </c>
      <c r="C268" s="1">
        <v>4233.8478666619758</v>
      </c>
      <c r="D268" s="1">
        <v>80746.144722096884</v>
      </c>
      <c r="E268" s="1">
        <v>472.45223200146398</v>
      </c>
      <c r="F268" s="1">
        <v>7278.4538687279992</v>
      </c>
      <c r="G268" s="1">
        <v>1201.134975861017</v>
      </c>
      <c r="H268" s="1">
        <v>177.0633198612189</v>
      </c>
      <c r="I268" s="1">
        <v>318.82799999999997</v>
      </c>
      <c r="J268" s="1">
        <v>310.33984194400159</v>
      </c>
      <c r="K268" s="1">
        <v>341.94475138121561</v>
      </c>
      <c r="L268" s="1">
        <v>236.63426119333201</v>
      </c>
    </row>
    <row r="269" spans="1:12" x14ac:dyDescent="0.2">
      <c r="A269" s="2">
        <v>39171</v>
      </c>
      <c r="B269" s="1">
        <v>36767.078999999998</v>
      </c>
      <c r="C269" s="1">
        <v>4193.620969888545</v>
      </c>
      <c r="D269" s="1">
        <v>81340.942735400167</v>
      </c>
      <c r="E269" s="1">
        <v>456.86440123398751</v>
      </c>
      <c r="F269" s="1">
        <v>7328.7698258644987</v>
      </c>
      <c r="G269" s="1">
        <v>1215.3066188233529</v>
      </c>
      <c r="H269" s="1">
        <v>178.816246727845</v>
      </c>
      <c r="I269" s="1">
        <v>327.72399999999999</v>
      </c>
      <c r="J269" s="1">
        <v>309.51590687045581</v>
      </c>
      <c r="K269" s="1">
        <v>342.12891344383081</v>
      </c>
      <c r="L269" s="1">
        <v>237.87323781443851</v>
      </c>
    </row>
    <row r="270" spans="1:12" x14ac:dyDescent="0.2">
      <c r="A270" s="2">
        <v>39202</v>
      </c>
      <c r="B270" s="1">
        <v>37886.911</v>
      </c>
      <c r="C270" s="1">
        <v>4214.9223599084817</v>
      </c>
      <c r="D270" s="1">
        <v>81749.750535788189</v>
      </c>
      <c r="E270" s="1">
        <v>442.40532386651512</v>
      </c>
      <c r="F270" s="1">
        <v>7093.4860736550991</v>
      </c>
      <c r="G270" s="1">
        <v>1215.3066188233529</v>
      </c>
      <c r="H270" s="1">
        <v>182.7502041558576</v>
      </c>
      <c r="I270" s="1">
        <v>327.72399999999999</v>
      </c>
      <c r="J270" s="1">
        <v>311.65738157958748</v>
      </c>
      <c r="K270" s="1">
        <v>343.50644567219172</v>
      </c>
      <c r="L270" s="1">
        <v>239.1754988135383</v>
      </c>
    </row>
    <row r="271" spans="1:12" x14ac:dyDescent="0.2">
      <c r="A271" s="2">
        <v>39233</v>
      </c>
      <c r="B271" s="1">
        <v>39096.220999999998</v>
      </c>
      <c r="C271" s="1">
        <v>4385.9993071395047</v>
      </c>
      <c r="D271" s="1">
        <v>85455.453609874501</v>
      </c>
      <c r="E271" s="1">
        <v>449.60567337562702</v>
      </c>
      <c r="F271" s="1">
        <v>7022.9529497894</v>
      </c>
      <c r="G271" s="1">
        <v>1215.3066188233529</v>
      </c>
      <c r="H271" s="1">
        <v>180.8313270122211</v>
      </c>
      <c r="I271" s="1">
        <v>327.72399999999999</v>
      </c>
      <c r="J271" s="1">
        <v>311.80930839881057</v>
      </c>
      <c r="K271" s="1">
        <v>341.45119705340721</v>
      </c>
      <c r="L271" s="1">
        <v>240.4674863746522</v>
      </c>
    </row>
    <row r="272" spans="1:12" x14ac:dyDescent="0.2">
      <c r="A272" s="2">
        <v>39262</v>
      </c>
      <c r="B272" s="1">
        <v>39069.813999999998</v>
      </c>
      <c r="C272" s="1">
        <v>4238.6022790386132</v>
      </c>
      <c r="D272" s="1">
        <v>87251.583019465004</v>
      </c>
      <c r="E272" s="1">
        <v>402.16084603546801</v>
      </c>
      <c r="F272" s="1">
        <v>7071.8806031327986</v>
      </c>
      <c r="G272" s="1">
        <v>1273.4642619103211</v>
      </c>
      <c r="H272" s="1">
        <v>184.84578247189239</v>
      </c>
      <c r="I272" s="1">
        <v>358.53199999999998</v>
      </c>
      <c r="J272" s="1">
        <v>310.40414292143208</v>
      </c>
      <c r="K272" s="1">
        <v>340.52302025782711</v>
      </c>
      <c r="L272" s="1">
        <v>241.71427080862799</v>
      </c>
    </row>
    <row r="273" spans="1:12" x14ac:dyDescent="0.2">
      <c r="A273" s="2">
        <v>39294</v>
      </c>
      <c r="B273" s="1">
        <v>38310.741000000002</v>
      </c>
      <c r="C273" s="1">
        <v>4069.613077473266</v>
      </c>
      <c r="D273" s="1">
        <v>90590.532496823187</v>
      </c>
      <c r="E273" s="1">
        <v>370.43017359301359</v>
      </c>
      <c r="F273" s="1">
        <v>7390.9097031416004</v>
      </c>
      <c r="G273" s="1">
        <v>1273.4642619103211</v>
      </c>
      <c r="H273" s="1">
        <v>191.00114702820639</v>
      </c>
      <c r="I273" s="1">
        <v>358.53199999999998</v>
      </c>
      <c r="J273" s="1">
        <v>312.48131665313338</v>
      </c>
      <c r="K273" s="1">
        <v>344.22099447513818</v>
      </c>
      <c r="L273" s="1">
        <v>242.98365680617269</v>
      </c>
    </row>
    <row r="274" spans="1:12" x14ac:dyDescent="0.2">
      <c r="A274" s="2">
        <v>39325</v>
      </c>
      <c r="B274" s="1">
        <v>38961.052000000003</v>
      </c>
      <c r="C274" s="1">
        <v>4285.6277515271813</v>
      </c>
      <c r="D274" s="1">
        <v>94524.909464034965</v>
      </c>
      <c r="E274" s="1">
        <v>409.84503491816929</v>
      </c>
      <c r="F274" s="1">
        <v>7457.9285208185993</v>
      </c>
      <c r="G274" s="1">
        <v>1273.4642619103211</v>
      </c>
      <c r="H274" s="1">
        <v>191.9752528780503</v>
      </c>
      <c r="I274" s="1">
        <v>358.53199999999998</v>
      </c>
      <c r="J274" s="1">
        <v>315.16241525128987</v>
      </c>
      <c r="K274" s="1">
        <v>348.63351749539601</v>
      </c>
      <c r="L274" s="1">
        <v>244.27317874216999</v>
      </c>
    </row>
    <row r="275" spans="1:12" x14ac:dyDescent="0.2">
      <c r="A275" s="2">
        <v>39353</v>
      </c>
      <c r="B275" s="1">
        <v>41211.885999999999</v>
      </c>
      <c r="C275" s="1">
        <v>4059.3019782954211</v>
      </c>
      <c r="D275" s="1">
        <v>94197.6136073284</v>
      </c>
      <c r="E275" s="1">
        <v>385.675469345826</v>
      </c>
      <c r="F275" s="1">
        <v>7557.3075600085986</v>
      </c>
      <c r="G275" s="1">
        <v>1322.8475746435261</v>
      </c>
      <c r="H275" s="1">
        <v>195.87235051147471</v>
      </c>
      <c r="I275" s="1">
        <v>347.74</v>
      </c>
      <c r="J275" s="1">
        <v>315.00922762858778</v>
      </c>
      <c r="K275" s="1">
        <v>350.47513812154699</v>
      </c>
      <c r="L275" s="1">
        <v>245.67201005833789</v>
      </c>
    </row>
    <row r="276" spans="1:12" x14ac:dyDescent="0.2">
      <c r="A276" s="2">
        <v>39386</v>
      </c>
      <c r="B276" s="1">
        <v>42478.406999999999</v>
      </c>
      <c r="C276" s="1">
        <v>3960.1244316699708</v>
      </c>
      <c r="D276" s="1">
        <v>98009.113297638862</v>
      </c>
      <c r="E276" s="1">
        <v>367.56057868705437</v>
      </c>
      <c r="F276" s="1">
        <v>7909.7224792995003</v>
      </c>
      <c r="G276" s="1">
        <v>1322.8475746435261</v>
      </c>
      <c r="H276" s="1">
        <v>200.14236775262481</v>
      </c>
      <c r="I276" s="1">
        <v>347.74</v>
      </c>
      <c r="J276" s="1">
        <v>314.88566888764291</v>
      </c>
      <c r="K276" s="1">
        <v>353.82688766114188</v>
      </c>
      <c r="L276" s="1">
        <v>247.07988199993341</v>
      </c>
    </row>
    <row r="277" spans="1:12" x14ac:dyDescent="0.2">
      <c r="A277" s="2">
        <v>39416</v>
      </c>
      <c r="B277" s="1">
        <v>41478.216999999997</v>
      </c>
      <c r="C277" s="1">
        <v>3973.6092850716809</v>
      </c>
      <c r="D277" s="1">
        <v>96380.935824713772</v>
      </c>
      <c r="E277" s="1">
        <v>354.29586487781592</v>
      </c>
      <c r="F277" s="1">
        <v>7982.0365081612999</v>
      </c>
      <c r="G277" s="1">
        <v>1322.8475746435261</v>
      </c>
      <c r="H277" s="1">
        <v>197.38040307763859</v>
      </c>
      <c r="I277" s="1">
        <v>347.74</v>
      </c>
      <c r="J277" s="1">
        <v>316.32172405025761</v>
      </c>
      <c r="K277" s="1">
        <v>358.51933701657458</v>
      </c>
      <c r="L277" s="1">
        <v>248.45611175253211</v>
      </c>
    </row>
    <row r="278" spans="1:12" x14ac:dyDescent="0.2">
      <c r="A278" s="2">
        <v>39447</v>
      </c>
      <c r="B278" s="1">
        <v>40498.373</v>
      </c>
      <c r="C278" s="1">
        <v>3971.079090324884</v>
      </c>
      <c r="D278" s="1">
        <v>97685.475700936178</v>
      </c>
      <c r="E278" s="1">
        <v>342.20741543936788</v>
      </c>
      <c r="F278" s="1">
        <v>8503.2742479899989</v>
      </c>
      <c r="G278" s="1">
        <v>1377.085546615521</v>
      </c>
      <c r="H278" s="1">
        <v>196.9066901102523</v>
      </c>
      <c r="I278" s="1">
        <v>364.916</v>
      </c>
      <c r="J278" s="1">
        <v>315.81172904299012</v>
      </c>
      <c r="K278" s="1">
        <v>359.72744014732979</v>
      </c>
      <c r="L278" s="1">
        <v>249.9543899484041</v>
      </c>
    </row>
    <row r="279" spans="1:12" x14ac:dyDescent="0.2">
      <c r="A279" s="2">
        <v>39478</v>
      </c>
      <c r="B279" s="1">
        <v>35942.620999999999</v>
      </c>
      <c r="C279" s="1">
        <v>3579.640279983319</v>
      </c>
      <c r="D279" s="1">
        <v>84189.380446796276</v>
      </c>
      <c r="E279" s="1">
        <v>323.71275445838103</v>
      </c>
      <c r="F279" s="1">
        <v>8364.407710998601</v>
      </c>
      <c r="G279" s="1">
        <v>1377.085546615521</v>
      </c>
      <c r="H279" s="1">
        <v>196.67040208212001</v>
      </c>
      <c r="I279" s="1">
        <v>364.916</v>
      </c>
      <c r="J279" s="1">
        <v>319.6716788940393</v>
      </c>
      <c r="K279" s="1">
        <v>366.20994475138127</v>
      </c>
      <c r="L279" s="1">
        <v>251.44650408148439</v>
      </c>
    </row>
    <row r="280" spans="1:12" x14ac:dyDescent="0.2">
      <c r="A280" s="2">
        <v>39507</v>
      </c>
      <c r="B280" s="1">
        <v>36036.942999999999</v>
      </c>
      <c r="C280" s="1">
        <v>3357.9196733075601</v>
      </c>
      <c r="D280" s="1">
        <v>85257.949380392878</v>
      </c>
      <c r="E280" s="1">
        <v>300.746332521954</v>
      </c>
      <c r="F280" s="1">
        <v>8878.3133191235993</v>
      </c>
      <c r="G280" s="1">
        <v>1377.085546615521</v>
      </c>
      <c r="H280" s="1">
        <v>198.75510834419049</v>
      </c>
      <c r="I280" s="1">
        <v>364.916</v>
      </c>
      <c r="J280" s="1">
        <v>317.70230385979511</v>
      </c>
      <c r="K280" s="1">
        <v>368.40515653775333</v>
      </c>
      <c r="L280" s="1">
        <v>252.80752914586401</v>
      </c>
    </row>
    <row r="281" spans="1:12" x14ac:dyDescent="0.2">
      <c r="A281" s="2">
        <v>39538</v>
      </c>
      <c r="B281" s="1">
        <v>34554.54</v>
      </c>
      <c r="C281" s="1">
        <v>3369.295486768664</v>
      </c>
      <c r="D281" s="1">
        <v>83685.191231166827</v>
      </c>
      <c r="E281" s="1">
        <v>315.77977646810541</v>
      </c>
      <c r="F281" s="1">
        <v>8990.8109445924019</v>
      </c>
      <c r="G281" s="1">
        <v>1387.328729522563</v>
      </c>
      <c r="H281" s="1">
        <v>199.19236958254771</v>
      </c>
      <c r="I281" s="1">
        <v>362.54399999999998</v>
      </c>
      <c r="J281" s="1">
        <v>322.79531951333507</v>
      </c>
      <c r="K281" s="1">
        <v>369.53222836095779</v>
      </c>
      <c r="L281" s="1">
        <v>254.49155110052189</v>
      </c>
    </row>
    <row r="282" spans="1:12" x14ac:dyDescent="0.2">
      <c r="A282" s="2">
        <v>39568</v>
      </c>
      <c r="B282" s="1">
        <v>36159.135000000002</v>
      </c>
      <c r="C282" s="1">
        <v>3466.9966275368211</v>
      </c>
      <c r="D282" s="1">
        <v>86949.451547049612</v>
      </c>
      <c r="E282" s="1">
        <v>317.84574360882488</v>
      </c>
      <c r="F282" s="1">
        <v>9403.0195344014992</v>
      </c>
      <c r="G282" s="1">
        <v>1387.328729522563</v>
      </c>
      <c r="H282" s="1">
        <v>202.7977514719918</v>
      </c>
      <c r="I282" s="1">
        <v>362.54399999999998</v>
      </c>
      <c r="J282" s="1">
        <v>322.84449084901729</v>
      </c>
      <c r="K282" s="1">
        <v>369.01657458563551</v>
      </c>
      <c r="L282" s="1">
        <v>256.15379336664972</v>
      </c>
    </row>
    <row r="283" spans="1:12" x14ac:dyDescent="0.2">
      <c r="A283" s="2">
        <v>39598</v>
      </c>
      <c r="B283" s="1">
        <v>37046.504999999997</v>
      </c>
      <c r="C283" s="1">
        <v>3485.7331765072281</v>
      </c>
      <c r="D283" s="1">
        <v>87553.21800152534</v>
      </c>
      <c r="E283" s="1">
        <v>308.01287217274</v>
      </c>
      <c r="F283" s="1">
        <v>10139.628832438</v>
      </c>
      <c r="G283" s="1">
        <v>1387.328729522563</v>
      </c>
      <c r="H283" s="1">
        <v>207.2593020043756</v>
      </c>
      <c r="I283" s="1">
        <v>362.54399999999998</v>
      </c>
      <c r="J283" s="1">
        <v>323.19625501966652</v>
      </c>
      <c r="K283" s="1">
        <v>367.14548802946598</v>
      </c>
      <c r="L283" s="1">
        <v>257.83411688363287</v>
      </c>
    </row>
    <row r="284" spans="1:12" x14ac:dyDescent="0.2">
      <c r="A284" s="2">
        <v>39629</v>
      </c>
      <c r="B284" s="1">
        <v>34336.36</v>
      </c>
      <c r="C284" s="1">
        <v>3179.3238266889498</v>
      </c>
      <c r="D284" s="1">
        <v>78406.019504913609</v>
      </c>
      <c r="E284" s="1">
        <v>273.04515606088597</v>
      </c>
      <c r="F284" s="1">
        <v>11002.604277225</v>
      </c>
      <c r="G284" s="1">
        <v>1379.230796176595</v>
      </c>
      <c r="H284" s="1">
        <v>209.97439886063299</v>
      </c>
      <c r="I284" s="1">
        <v>356.05599999999998</v>
      </c>
      <c r="J284" s="1">
        <v>324.12609758545091</v>
      </c>
      <c r="K284" s="1">
        <v>367.44014732965007</v>
      </c>
      <c r="L284" s="1">
        <v>259.45567633533619</v>
      </c>
    </row>
    <row r="285" spans="1:12" x14ac:dyDescent="0.2">
      <c r="A285" s="2">
        <v>39660</v>
      </c>
      <c r="B285" s="1">
        <v>32538.982</v>
      </c>
      <c r="C285" s="1">
        <v>3185.715854230808</v>
      </c>
      <c r="D285" s="1">
        <v>75982.640463266522</v>
      </c>
      <c r="E285" s="1">
        <v>281.12134027000519</v>
      </c>
      <c r="F285" s="1">
        <v>9853.5070126131995</v>
      </c>
      <c r="G285" s="1">
        <v>1379.230796176595</v>
      </c>
      <c r="H285" s="1">
        <v>211.42322221277129</v>
      </c>
      <c r="I285" s="1">
        <v>356.05599999999998</v>
      </c>
      <c r="J285" s="1">
        <v>329.9194895715919</v>
      </c>
      <c r="K285" s="1">
        <v>371.8453038674034</v>
      </c>
      <c r="L285" s="1">
        <v>261.18818891728802</v>
      </c>
    </row>
    <row r="286" spans="1:12" x14ac:dyDescent="0.2">
      <c r="A286" s="2">
        <v>39689</v>
      </c>
      <c r="B286" s="1">
        <v>33848.6</v>
      </c>
      <c r="C286" s="1">
        <v>3521.081278355186</v>
      </c>
      <c r="D286" s="1">
        <v>78997.572742605305</v>
      </c>
      <c r="E286" s="1">
        <v>315.03803923287501</v>
      </c>
      <c r="F286" s="1">
        <v>9997.0718739990007</v>
      </c>
      <c r="G286" s="1">
        <v>1379.230796176595</v>
      </c>
      <c r="H286" s="1">
        <v>213.1146079904735</v>
      </c>
      <c r="I286" s="1">
        <v>356.05599999999998</v>
      </c>
      <c r="J286" s="1">
        <v>337.05437645942038</v>
      </c>
      <c r="K286" s="1">
        <v>377.31860036832421</v>
      </c>
      <c r="L286" s="1">
        <v>262.93261868730337</v>
      </c>
    </row>
    <row r="287" spans="1:12" x14ac:dyDescent="0.2">
      <c r="A287" s="2">
        <v>39721</v>
      </c>
      <c r="B287" s="1">
        <v>30253.904999999999</v>
      </c>
      <c r="C287" s="1">
        <v>3431.4184450717639</v>
      </c>
      <c r="D287" s="1">
        <v>75579.86712293647</v>
      </c>
      <c r="E287" s="1">
        <v>333.78974825472648</v>
      </c>
      <c r="F287" s="1">
        <v>9556.6786595379999</v>
      </c>
      <c r="G287" s="1">
        <v>1352.6277705023031</v>
      </c>
      <c r="H287" s="1">
        <v>217.24903138548871</v>
      </c>
      <c r="I287" s="1">
        <v>345.37599999999998</v>
      </c>
      <c r="J287" s="1">
        <v>341.38523640988711</v>
      </c>
      <c r="K287" s="1">
        <v>374.88029465930032</v>
      </c>
      <c r="L287" s="1">
        <v>264.47404532271639</v>
      </c>
    </row>
    <row r="288" spans="1:12" x14ac:dyDescent="0.2">
      <c r="A288" s="2">
        <v>39752</v>
      </c>
      <c r="B288" s="1">
        <v>26042.257000000001</v>
      </c>
      <c r="C288" s="1">
        <v>3432.1559360992501</v>
      </c>
      <c r="D288" s="1">
        <v>70213.394345063411</v>
      </c>
      <c r="E288" s="1">
        <v>289.56425196996321</v>
      </c>
      <c r="F288" s="1">
        <v>8204.0376027183993</v>
      </c>
      <c r="G288" s="1">
        <v>1352.6277705023031</v>
      </c>
      <c r="H288" s="1">
        <v>221.8764357539996</v>
      </c>
      <c r="I288" s="1">
        <v>345.37599999999998</v>
      </c>
      <c r="J288" s="1">
        <v>348.24085532711058</v>
      </c>
      <c r="K288" s="1">
        <v>371.86003683241267</v>
      </c>
      <c r="L288" s="1">
        <v>266.36312509957412</v>
      </c>
    </row>
    <row r="289" spans="1:12" x14ac:dyDescent="0.2">
      <c r="A289" s="2">
        <v>39780</v>
      </c>
      <c r="B289" s="1">
        <v>24162.273000000001</v>
      </c>
      <c r="C289" s="1">
        <v>3268.4357380543529</v>
      </c>
      <c r="D289" s="1">
        <v>68298.403306447522</v>
      </c>
      <c r="E289" s="1">
        <v>246.88954713793939</v>
      </c>
      <c r="F289" s="1">
        <v>7078.2231158835002</v>
      </c>
      <c r="G289" s="1">
        <v>1352.6277705023031</v>
      </c>
      <c r="H289" s="1">
        <v>224.36145183444441</v>
      </c>
      <c r="I289" s="1">
        <v>345.37599999999998</v>
      </c>
      <c r="J289" s="1">
        <v>358.54918457165661</v>
      </c>
      <c r="K289" s="1">
        <v>383.18232044198908</v>
      </c>
      <c r="L289" s="1">
        <v>267.81414548071058</v>
      </c>
    </row>
    <row r="290" spans="1:12" x14ac:dyDescent="0.2">
      <c r="A290" s="2">
        <v>39813</v>
      </c>
      <c r="B290" s="1">
        <v>24143.19</v>
      </c>
      <c r="C290" s="1">
        <v>3085.561555038355</v>
      </c>
      <c r="D290" s="1">
        <v>66741.561296413958</v>
      </c>
      <c r="E290" s="1">
        <v>249.94390636273889</v>
      </c>
      <c r="F290" s="1">
        <v>5730.6251059712004</v>
      </c>
      <c r="G290" s="1">
        <v>1338.1846408221111</v>
      </c>
      <c r="H290" s="1">
        <v>225.50569523880009</v>
      </c>
      <c r="I290" s="1">
        <v>314.74</v>
      </c>
      <c r="J290" s="1">
        <v>363.0237761187326</v>
      </c>
      <c r="K290" s="1">
        <v>392.92817679558033</v>
      </c>
      <c r="L290" s="1">
        <v>268.95408615963242</v>
      </c>
    </row>
    <row r="291" spans="1:12" x14ac:dyDescent="0.2">
      <c r="A291" s="2">
        <v>39843</v>
      </c>
      <c r="B291" s="1">
        <v>22949.170999999998</v>
      </c>
      <c r="C291" s="1">
        <v>3144.0737580465452</v>
      </c>
      <c r="D291" s="1">
        <v>71041.496139627299</v>
      </c>
      <c r="E291" s="1">
        <v>241.28622490908131</v>
      </c>
      <c r="F291" s="1">
        <v>5721.4168744007002</v>
      </c>
      <c r="G291" s="1">
        <v>1338.1846408221111</v>
      </c>
      <c r="H291" s="1">
        <v>222.88982917403001</v>
      </c>
      <c r="I291" s="1">
        <v>314.74</v>
      </c>
      <c r="J291" s="1">
        <v>368.13066061054201</v>
      </c>
      <c r="K291" s="1">
        <v>390.50460405156548</v>
      </c>
      <c r="L291" s="1">
        <v>270.03156433559951</v>
      </c>
    </row>
    <row r="292" spans="1:12" x14ac:dyDescent="0.2">
      <c r="A292" s="2">
        <v>39871</v>
      </c>
      <c r="B292" s="1">
        <v>21971.129000000001</v>
      </c>
      <c r="C292" s="1">
        <v>2851.3620805130249</v>
      </c>
      <c r="D292" s="1">
        <v>68711.952183051078</v>
      </c>
      <c r="E292" s="1">
        <v>201.2599739479956</v>
      </c>
      <c r="F292" s="1">
        <v>5347.5633475666</v>
      </c>
      <c r="G292" s="1">
        <v>1338.1846408221111</v>
      </c>
      <c r="H292" s="1">
        <v>229.46507913466391</v>
      </c>
      <c r="I292" s="1">
        <v>314.74</v>
      </c>
      <c r="J292" s="1">
        <v>363.61004973648141</v>
      </c>
      <c r="K292" s="1">
        <v>391.32228360957657</v>
      </c>
      <c r="L292" s="1">
        <v>270.81727687276549</v>
      </c>
    </row>
    <row r="293" spans="1:12" x14ac:dyDescent="0.2">
      <c r="A293" s="2">
        <v>39903</v>
      </c>
      <c r="B293" s="1">
        <v>23739.917000000001</v>
      </c>
      <c r="C293" s="1">
        <v>2790.0369050725581</v>
      </c>
      <c r="D293" s="1">
        <v>69796.369598689824</v>
      </c>
      <c r="E293" s="1">
        <v>190.8050716972613</v>
      </c>
      <c r="F293" s="1">
        <v>5138.4859048819999</v>
      </c>
      <c r="G293" s="1">
        <v>1339.1069315805989</v>
      </c>
      <c r="H293" s="1">
        <v>235.77536881086709</v>
      </c>
      <c r="I293" s="1">
        <v>297.64800000000002</v>
      </c>
      <c r="J293" s="1">
        <v>364.02863649151931</v>
      </c>
      <c r="K293" s="1">
        <v>395.4401473296503</v>
      </c>
      <c r="L293" s="1">
        <v>271.52943159395198</v>
      </c>
    </row>
    <row r="294" spans="1:12" x14ac:dyDescent="0.2">
      <c r="A294" s="2">
        <v>39933</v>
      </c>
      <c r="B294" s="1">
        <v>25181.155999999999</v>
      </c>
      <c r="C294" s="1">
        <v>2913.775267571461</v>
      </c>
      <c r="D294" s="1">
        <v>74062.596369947918</v>
      </c>
      <c r="E294" s="1">
        <v>215.8552636558596</v>
      </c>
      <c r="F294" s="1">
        <v>4814.7840229734002</v>
      </c>
      <c r="G294" s="1">
        <v>1339.1069315805989</v>
      </c>
      <c r="H294" s="1">
        <v>232.80459916385021</v>
      </c>
      <c r="I294" s="1">
        <v>297.64800000000002</v>
      </c>
      <c r="J294" s="1">
        <v>364.04187492804903</v>
      </c>
      <c r="K294" s="1">
        <v>397.96685082872949</v>
      </c>
      <c r="L294" s="1">
        <v>272.24692850289131</v>
      </c>
    </row>
    <row r="295" spans="1:12" x14ac:dyDescent="0.2">
      <c r="A295" s="2">
        <v>39962</v>
      </c>
      <c r="B295" s="1">
        <v>25722.615000000002</v>
      </c>
      <c r="C295" s="1">
        <v>2828.0997312053851</v>
      </c>
      <c r="D295" s="1">
        <v>76496.086639248257</v>
      </c>
      <c r="E295" s="1">
        <v>204.6052019366102</v>
      </c>
      <c r="F295" s="1">
        <v>5288.3529273326003</v>
      </c>
      <c r="G295" s="1">
        <v>1339.1069315805989</v>
      </c>
      <c r="H295" s="1">
        <v>228.40459223965351</v>
      </c>
      <c r="I295" s="1">
        <v>297.64800000000002</v>
      </c>
      <c r="J295" s="1">
        <v>361.42255570036508</v>
      </c>
      <c r="K295" s="1">
        <v>399.49907918968722</v>
      </c>
      <c r="L295" s="1">
        <v>272.93155041027541</v>
      </c>
    </row>
    <row r="296" spans="1:12" x14ac:dyDescent="0.2">
      <c r="A296" s="2">
        <v>39994</v>
      </c>
      <c r="B296" s="1">
        <v>26732.29</v>
      </c>
      <c r="C296" s="1">
        <v>2799.394547650948</v>
      </c>
      <c r="D296" s="1">
        <v>74725.258475469818</v>
      </c>
      <c r="E296" s="1">
        <v>201.8889198402712</v>
      </c>
      <c r="F296" s="1">
        <v>5265.9250228712999</v>
      </c>
      <c r="G296" s="1">
        <v>1398.9580933206969</v>
      </c>
      <c r="H296" s="1">
        <v>233.84062153495719</v>
      </c>
      <c r="I296" s="1">
        <v>298.66000000000003</v>
      </c>
      <c r="J296" s="1">
        <v>359.20228077379392</v>
      </c>
      <c r="K296" s="1">
        <v>404.01473296500939</v>
      </c>
      <c r="L296" s="1">
        <v>273.66178638231708</v>
      </c>
    </row>
    <row r="297" spans="1:12" x14ac:dyDescent="0.2">
      <c r="A297" s="2">
        <v>40025</v>
      </c>
      <c r="B297" s="1">
        <v>28777.416000000001</v>
      </c>
      <c r="C297" s="1">
        <v>2925.0137473704522</v>
      </c>
      <c r="D297" s="1">
        <v>79872.294349296208</v>
      </c>
      <c r="E297" s="1">
        <v>213.75725406488559</v>
      </c>
      <c r="F297" s="1">
        <v>5143.6209869721006</v>
      </c>
      <c r="G297" s="1">
        <v>1398.9580933206969</v>
      </c>
      <c r="H297" s="1">
        <v>229.7951787824025</v>
      </c>
      <c r="I297" s="1">
        <v>298.66000000000003</v>
      </c>
      <c r="J297" s="1">
        <v>360.32880868230683</v>
      </c>
      <c r="K297" s="1">
        <v>410.2615101289137</v>
      </c>
      <c r="L297" s="1">
        <v>274.38709110412572</v>
      </c>
    </row>
    <row r="298" spans="1:12" x14ac:dyDescent="0.2">
      <c r="A298" s="2">
        <v>40056</v>
      </c>
      <c r="B298" s="1">
        <v>30640.156999999999</v>
      </c>
      <c r="C298" s="1">
        <v>2993.0675743711072</v>
      </c>
      <c r="D298" s="1">
        <v>78823.177320333911</v>
      </c>
      <c r="E298" s="1">
        <v>237.79716887582171</v>
      </c>
      <c r="F298" s="1">
        <v>4952.2580136693005</v>
      </c>
      <c r="G298" s="1">
        <v>1398.9580933206969</v>
      </c>
      <c r="H298" s="1">
        <v>233.2650859820167</v>
      </c>
      <c r="I298" s="1">
        <v>298.66000000000003</v>
      </c>
      <c r="J298" s="1">
        <v>362.9109342073595</v>
      </c>
      <c r="K298" s="1">
        <v>415.44751381215502</v>
      </c>
      <c r="L298" s="1">
        <v>275.08157551197638</v>
      </c>
    </row>
    <row r="299" spans="1:12" x14ac:dyDescent="0.2">
      <c r="A299" s="2">
        <v>40086</v>
      </c>
      <c r="B299" s="1">
        <v>32492.984</v>
      </c>
      <c r="C299" s="1">
        <v>2947.9829451078258</v>
      </c>
      <c r="D299" s="1">
        <v>80050.268882946897</v>
      </c>
      <c r="E299" s="1">
        <v>239.7092371358689</v>
      </c>
      <c r="F299" s="1">
        <v>4738.7782101618004</v>
      </c>
      <c r="G299" s="1">
        <v>1462.268933813677</v>
      </c>
      <c r="H299" s="1">
        <v>237.39387800389841</v>
      </c>
      <c r="I299" s="1">
        <v>319.68799999999999</v>
      </c>
      <c r="J299" s="1">
        <v>365.53655745243867</v>
      </c>
      <c r="K299" s="1">
        <v>419.81583793738508</v>
      </c>
      <c r="L299" s="1">
        <v>275.85989117379239</v>
      </c>
    </row>
    <row r="300" spans="1:12" x14ac:dyDescent="0.2">
      <c r="A300" s="2">
        <v>40116</v>
      </c>
      <c r="B300" s="1">
        <v>31878.885999999999</v>
      </c>
      <c r="C300" s="1">
        <v>2815.2873968350818</v>
      </c>
      <c r="D300" s="1">
        <v>77885.793623817532</v>
      </c>
      <c r="E300" s="1">
        <v>225.47373012059009</v>
      </c>
      <c r="F300" s="1">
        <v>4900.1988772259992</v>
      </c>
      <c r="G300" s="1">
        <v>1462.268933813677</v>
      </c>
      <c r="H300" s="1">
        <v>235.77959963347189</v>
      </c>
      <c r="I300" s="1">
        <v>319.68799999999999</v>
      </c>
      <c r="J300" s="1">
        <v>365.26044149053121</v>
      </c>
      <c r="K300" s="1">
        <v>421.73848987108681</v>
      </c>
      <c r="L300" s="1">
        <v>276.56547089466801</v>
      </c>
    </row>
    <row r="301" spans="1:12" x14ac:dyDescent="0.2">
      <c r="A301" s="2">
        <v>40147</v>
      </c>
      <c r="B301" s="1">
        <v>32498.722000000002</v>
      </c>
      <c r="C301" s="1">
        <v>2866.4890776608122</v>
      </c>
      <c r="D301" s="1">
        <v>79412.766920172726</v>
      </c>
      <c r="E301" s="1">
        <v>228.49677616046381</v>
      </c>
      <c r="F301" s="1">
        <v>4911.0340891645001</v>
      </c>
      <c r="G301" s="1">
        <v>1462.268933813677</v>
      </c>
      <c r="H301" s="1">
        <v>231.91281419948299</v>
      </c>
      <c r="I301" s="1">
        <v>319.68799999999999</v>
      </c>
      <c r="J301" s="1">
        <v>370.73295899125918</v>
      </c>
      <c r="K301" s="1">
        <v>427.13075506445688</v>
      </c>
      <c r="L301" s="1">
        <v>277.40501624688028</v>
      </c>
    </row>
    <row r="302" spans="1:12" x14ac:dyDescent="0.2">
      <c r="A302" s="2">
        <v>40178</v>
      </c>
      <c r="B302" s="1">
        <v>33698.601999999999</v>
      </c>
      <c r="C302" s="1">
        <v>3026.1873734938408</v>
      </c>
      <c r="D302" s="1">
        <v>84212.132301198755</v>
      </c>
      <c r="E302" s="1">
        <v>246.45627058071301</v>
      </c>
      <c r="F302" s="1">
        <v>5041.6068962997997</v>
      </c>
      <c r="G302" s="1">
        <v>1547.7890599743839</v>
      </c>
      <c r="H302" s="1">
        <v>230.0111291230472</v>
      </c>
      <c r="I302" s="1">
        <v>338.22800000000001</v>
      </c>
      <c r="J302" s="1">
        <v>369.31959829126708</v>
      </c>
      <c r="K302" s="1">
        <v>424.48618784530402</v>
      </c>
      <c r="L302" s="1">
        <v>278.30003816421691</v>
      </c>
    </row>
    <row r="303" spans="1:12" x14ac:dyDescent="0.2">
      <c r="A303" s="2">
        <v>40207</v>
      </c>
      <c r="B303" s="1">
        <v>31727.351512115099</v>
      </c>
      <c r="C303" s="1">
        <v>2951.7643981010328</v>
      </c>
      <c r="D303" s="1">
        <v>81476.898504159995</v>
      </c>
      <c r="E303" s="1">
        <v>239.75315566462919</v>
      </c>
      <c r="F303" s="1">
        <v>4698.4574702208001</v>
      </c>
      <c r="G303" s="1">
        <v>1547.7890599743839</v>
      </c>
      <c r="H303" s="1">
        <v>219.6376271995978</v>
      </c>
      <c r="I303" s="1">
        <v>338.22800000000001</v>
      </c>
      <c r="J303" s="1">
        <v>374.2934680160389</v>
      </c>
      <c r="K303" s="1">
        <v>430.21731123388599</v>
      </c>
      <c r="L303" s="1">
        <v>279.2653303973774</v>
      </c>
    </row>
    <row r="304" spans="1:12" x14ac:dyDescent="0.2">
      <c r="A304" s="2">
        <v>40235</v>
      </c>
      <c r="B304" s="1">
        <v>32304.449363735701</v>
      </c>
      <c r="C304" s="1">
        <v>2988.019582650511</v>
      </c>
      <c r="D304" s="1">
        <v>80752.243279826856</v>
      </c>
      <c r="E304" s="1">
        <v>245.45040906759459</v>
      </c>
      <c r="F304" s="1">
        <v>4922.7873400775998</v>
      </c>
      <c r="G304" s="1">
        <v>1547.7890599743839</v>
      </c>
      <c r="H304" s="1">
        <v>209.6660789247361</v>
      </c>
      <c r="I304" s="1">
        <v>338.22800000000001</v>
      </c>
      <c r="J304" s="1">
        <v>376.15000113891</v>
      </c>
      <c r="K304" s="1">
        <v>433.51012891344402</v>
      </c>
      <c r="L304" s="1">
        <v>280.22938981797961</v>
      </c>
    </row>
    <row r="305" spans="1:12" x14ac:dyDescent="0.2">
      <c r="A305" s="2">
        <v>40268</v>
      </c>
      <c r="B305" s="1">
        <v>34188.092152247002</v>
      </c>
      <c r="C305" s="1">
        <v>3107.0421503529119</v>
      </c>
      <c r="D305" s="1">
        <v>83698.241626157876</v>
      </c>
      <c r="E305" s="1">
        <v>256.14190319304532</v>
      </c>
      <c r="F305" s="1">
        <v>4895.8710454225002</v>
      </c>
      <c r="G305" s="1">
        <v>1600.946691605908</v>
      </c>
      <c r="H305" s="1">
        <v>207.21298580131659</v>
      </c>
      <c r="I305" s="1">
        <v>344.14800000000002</v>
      </c>
      <c r="J305" s="1">
        <v>373.95620308539839</v>
      </c>
      <c r="K305" s="1">
        <v>435.92633517495432</v>
      </c>
      <c r="L305" s="1">
        <v>281.14536954880748</v>
      </c>
    </row>
    <row r="306" spans="1:12" x14ac:dyDescent="0.2">
      <c r="A306" s="2">
        <v>40298</v>
      </c>
      <c r="B306" s="1">
        <v>33785.445250751101</v>
      </c>
      <c r="C306" s="1">
        <v>3073.0462341435932</v>
      </c>
      <c r="D306" s="1">
        <v>82630.573926911966</v>
      </c>
      <c r="E306" s="1">
        <v>263.50109396909608</v>
      </c>
      <c r="F306" s="1">
        <v>4961.4586875005998</v>
      </c>
      <c r="G306" s="1">
        <v>1600.946691605908</v>
      </c>
      <c r="H306" s="1">
        <v>207.9175099530411</v>
      </c>
      <c r="I306" s="1">
        <v>344.14800000000002</v>
      </c>
      <c r="J306" s="1">
        <v>376.01635597013279</v>
      </c>
      <c r="K306" s="1">
        <v>439.76427255985288</v>
      </c>
      <c r="L306" s="1">
        <v>282.11888053235668</v>
      </c>
    </row>
    <row r="307" spans="1:12" x14ac:dyDescent="0.2">
      <c r="A307" s="2">
        <v>40329</v>
      </c>
      <c r="B307" s="1">
        <v>31228.6145937287</v>
      </c>
      <c r="C307" s="1">
        <v>3155.4559378511931</v>
      </c>
      <c r="D307" s="1">
        <v>86962.350665409729</v>
      </c>
      <c r="E307" s="1">
        <v>276.22099757599187</v>
      </c>
      <c r="F307" s="1">
        <v>4780.0263394488002</v>
      </c>
      <c r="G307" s="1">
        <v>1600.946691605908</v>
      </c>
      <c r="H307" s="1">
        <v>206.1086276164497</v>
      </c>
      <c r="I307" s="1">
        <v>344.14800000000002</v>
      </c>
      <c r="J307" s="1">
        <v>382.20311864173112</v>
      </c>
      <c r="K307" s="1">
        <v>444.97237569060798</v>
      </c>
      <c r="L307" s="1">
        <v>283.17786651994908</v>
      </c>
    </row>
    <row r="308" spans="1:12" x14ac:dyDescent="0.2">
      <c r="A308" s="2">
        <v>40359</v>
      </c>
      <c r="B308" s="1">
        <v>30415.155617124899</v>
      </c>
      <c r="C308" s="1">
        <v>3003.9872617580049</v>
      </c>
      <c r="D308" s="1">
        <v>85924.113264862448</v>
      </c>
      <c r="E308" s="1">
        <v>265.71955699663522</v>
      </c>
      <c r="F308" s="1">
        <v>4766.4392138979001</v>
      </c>
      <c r="G308" s="1">
        <v>1637.141412802858</v>
      </c>
      <c r="H308" s="1">
        <v>209.75675032526081</v>
      </c>
      <c r="I308" s="1">
        <v>351.61599999999999</v>
      </c>
      <c r="J308" s="1">
        <v>387.42032343795557</v>
      </c>
      <c r="K308" s="1">
        <v>446.7476979742176</v>
      </c>
      <c r="L308" s="1">
        <v>284.29643844786011</v>
      </c>
    </row>
    <row r="309" spans="1:12" x14ac:dyDescent="0.2">
      <c r="A309" s="2">
        <v>40389</v>
      </c>
      <c r="B309" s="1">
        <v>31701.607998616601</v>
      </c>
      <c r="C309" s="1">
        <v>2964.4450868187791</v>
      </c>
      <c r="D309" s="1">
        <v>85171.501872249806</v>
      </c>
      <c r="E309" s="1">
        <v>267.59539024001811</v>
      </c>
      <c r="F309" s="1">
        <v>4697.7530260751992</v>
      </c>
      <c r="G309" s="1">
        <v>1637.141412802858</v>
      </c>
      <c r="H309" s="1">
        <v>217.49677441226291</v>
      </c>
      <c r="I309" s="1">
        <v>351.61599999999999</v>
      </c>
      <c r="J309" s="1">
        <v>388.47687675338238</v>
      </c>
      <c r="K309" s="1">
        <v>455.67587476979782</v>
      </c>
      <c r="L309" s="1">
        <v>285.49637600461978</v>
      </c>
    </row>
    <row r="310" spans="1:12" x14ac:dyDescent="0.2">
      <c r="A310" s="2">
        <v>40421</v>
      </c>
      <c r="B310" s="1">
        <v>31475.951090919902</v>
      </c>
      <c r="C310" s="1">
        <v>2914.8772009900081</v>
      </c>
      <c r="D310" s="1">
        <v>85430.882487047333</v>
      </c>
      <c r="E310" s="1">
        <v>272.03110631252019</v>
      </c>
      <c r="F310" s="1">
        <v>4514.0071352207997</v>
      </c>
      <c r="G310" s="1">
        <v>1637.141412802858</v>
      </c>
      <c r="H310" s="1">
        <v>228.50211119752339</v>
      </c>
      <c r="I310" s="1">
        <v>351.61599999999999</v>
      </c>
      <c r="J310" s="1">
        <v>395.93831174227961</v>
      </c>
      <c r="K310" s="1">
        <v>465.17127071823228</v>
      </c>
      <c r="L310" s="1">
        <v>286.65563074695518</v>
      </c>
    </row>
    <row r="311" spans="1:12" x14ac:dyDescent="0.2">
      <c r="A311" s="2">
        <v>40451</v>
      </c>
      <c r="B311" s="1">
        <v>33055.926526431598</v>
      </c>
      <c r="C311" s="1">
        <v>2866.7201049660689</v>
      </c>
      <c r="D311" s="1">
        <v>84608.352262854096</v>
      </c>
      <c r="E311" s="1">
        <v>260.87843466448498</v>
      </c>
      <c r="F311" s="1">
        <v>4501.6482561830999</v>
      </c>
      <c r="G311" s="1">
        <v>1621.5871553440379</v>
      </c>
      <c r="H311" s="1">
        <v>229.64462175351099</v>
      </c>
      <c r="I311" s="1">
        <v>369.05599999999998</v>
      </c>
      <c r="J311" s="1">
        <v>392.36519468270973</v>
      </c>
      <c r="K311" s="1">
        <v>466.09208103130783</v>
      </c>
      <c r="L311" s="1">
        <v>287.72036985981981</v>
      </c>
    </row>
    <row r="312" spans="1:12" x14ac:dyDescent="0.2">
      <c r="A312" s="2">
        <v>40480</v>
      </c>
      <c r="B312" s="1">
        <v>33773.518887739599</v>
      </c>
      <c r="C312" s="1">
        <v>2913.0839647175999</v>
      </c>
      <c r="D312" s="1">
        <v>85516.716835277795</v>
      </c>
      <c r="E312" s="1">
        <v>267.21660042205781</v>
      </c>
      <c r="F312" s="1">
        <v>4560.4613128000001</v>
      </c>
      <c r="G312" s="1">
        <v>1621.5871553440379</v>
      </c>
      <c r="H312" s="1">
        <v>235.47759514605019</v>
      </c>
      <c r="I312" s="1">
        <v>369.05599999999998</v>
      </c>
      <c r="J312" s="1">
        <v>392.36708588792823</v>
      </c>
      <c r="K312" s="1">
        <v>467.4401473296503</v>
      </c>
      <c r="L312" s="1">
        <v>288.92893710448772</v>
      </c>
    </row>
    <row r="313" spans="1:12" x14ac:dyDescent="0.2">
      <c r="A313" s="2">
        <v>40512</v>
      </c>
      <c r="B313" s="1">
        <v>33538.084614277301</v>
      </c>
      <c r="C313" s="1">
        <v>2968.9544547423302</v>
      </c>
      <c r="D313" s="1">
        <v>86472.218450050597</v>
      </c>
      <c r="E313" s="1">
        <v>266.50000553690637</v>
      </c>
      <c r="F313" s="1">
        <v>4711.4873925719994</v>
      </c>
      <c r="G313" s="1">
        <v>1621.5871553440379</v>
      </c>
      <c r="H313" s="1">
        <v>239.05685459227021</v>
      </c>
      <c r="I313" s="1">
        <v>369.05599999999998</v>
      </c>
      <c r="J313" s="1">
        <v>391.50469630827189</v>
      </c>
      <c r="K313" s="1">
        <v>463.95580110497258</v>
      </c>
      <c r="L313" s="1">
        <v>290.05202934511249</v>
      </c>
    </row>
    <row r="314" spans="1:12" x14ac:dyDescent="0.2">
      <c r="A314" s="2">
        <v>40543</v>
      </c>
      <c r="B314" s="1">
        <v>34812.762930282297</v>
      </c>
      <c r="C314" s="1">
        <v>2935.7936795769242</v>
      </c>
      <c r="D314" s="1">
        <v>84527.831059163611</v>
      </c>
      <c r="E314" s="1">
        <v>261.46739205161759</v>
      </c>
      <c r="F314" s="1">
        <v>4822.6076396142398</v>
      </c>
      <c r="G314" s="1">
        <v>1635.925645925648</v>
      </c>
      <c r="H314" s="1">
        <v>245.41576692442459</v>
      </c>
      <c r="I314" s="1">
        <v>364.81200000000001</v>
      </c>
      <c r="J314" s="1">
        <v>391.60871259529182</v>
      </c>
      <c r="K314" s="1">
        <v>463.86740331491751</v>
      </c>
      <c r="L314" s="1">
        <v>291.28237627831072</v>
      </c>
    </row>
    <row r="315" spans="1:12" x14ac:dyDescent="0.2">
      <c r="A315" s="2">
        <v>40574</v>
      </c>
      <c r="B315" s="1">
        <v>34836.107177549602</v>
      </c>
      <c r="C315" s="1">
        <v>3077.6142528298019</v>
      </c>
      <c r="D315" s="1">
        <v>85080.659198402602</v>
      </c>
      <c r="E315" s="1">
        <v>274.21158458191701</v>
      </c>
      <c r="F315" s="1">
        <v>5109.6041829024998</v>
      </c>
      <c r="G315" s="1">
        <v>1635.925645925648</v>
      </c>
      <c r="H315" s="1">
        <v>245.3666837710397</v>
      </c>
      <c r="I315" s="1">
        <v>364.81200000000001</v>
      </c>
      <c r="J315" s="1">
        <v>395.21208893835842</v>
      </c>
      <c r="K315" s="1">
        <v>464.26519337016612</v>
      </c>
      <c r="L315" s="1">
        <v>292.52998258732521</v>
      </c>
    </row>
    <row r="316" spans="1:12" x14ac:dyDescent="0.2">
      <c r="A316" s="2">
        <v>40602</v>
      </c>
      <c r="B316" s="1">
        <v>35600.182689515299</v>
      </c>
      <c r="C316" s="1">
        <v>3102.6435217304802</v>
      </c>
      <c r="D316" s="1">
        <v>82148.2463272881</v>
      </c>
      <c r="E316" s="1">
        <v>278.89376513240558</v>
      </c>
      <c r="F316" s="1">
        <v>5190.1039277937198</v>
      </c>
      <c r="G316" s="1">
        <v>1635.925645925648</v>
      </c>
      <c r="H316" s="1">
        <v>249.73421074216421</v>
      </c>
      <c r="I316" s="1">
        <v>364.81200000000001</v>
      </c>
      <c r="J316" s="1">
        <v>396.88832716372832</v>
      </c>
      <c r="K316" s="1">
        <v>466.73296500920839</v>
      </c>
      <c r="L316" s="1">
        <v>293.61526857616172</v>
      </c>
    </row>
    <row r="317" spans="1:12" x14ac:dyDescent="0.2">
      <c r="A317" s="2">
        <v>40633</v>
      </c>
      <c r="B317" s="1">
        <v>35829.6091859222</v>
      </c>
      <c r="C317" s="1">
        <v>3017.5549639536061</v>
      </c>
      <c r="D317" s="1">
        <v>84373.453807129772</v>
      </c>
      <c r="E317" s="1">
        <v>271.76762296623332</v>
      </c>
      <c r="F317" s="1">
        <v>5332.9400341620003</v>
      </c>
      <c r="G317" s="1">
        <v>1626.5791563430839</v>
      </c>
      <c r="H317" s="1">
        <v>248.53548653060179</v>
      </c>
      <c r="I317" s="1">
        <v>370.24799999999999</v>
      </c>
      <c r="J317" s="1">
        <v>399.59842424190242</v>
      </c>
      <c r="K317" s="1">
        <v>468.30202578268921</v>
      </c>
      <c r="L317" s="1">
        <v>294.84520457184038</v>
      </c>
    </row>
    <row r="318" spans="1:12" x14ac:dyDescent="0.2">
      <c r="A318" s="2">
        <v>40662</v>
      </c>
      <c r="B318" s="1">
        <v>35623.366081010601</v>
      </c>
      <c r="C318" s="1">
        <v>2917.994839047828</v>
      </c>
      <c r="D318" s="1">
        <v>80390.767868949944</v>
      </c>
      <c r="E318" s="1">
        <v>267.64619039959598</v>
      </c>
      <c r="F318" s="1">
        <v>5261.9079919783599</v>
      </c>
      <c r="G318" s="1">
        <v>1626.5791563430839</v>
      </c>
      <c r="H318" s="1">
        <v>250.54862397149969</v>
      </c>
      <c r="I318" s="1">
        <v>370.24799999999999</v>
      </c>
      <c r="J318" s="1">
        <v>401.5123239230694</v>
      </c>
      <c r="K318" s="1">
        <v>474.1068139963171</v>
      </c>
      <c r="L318" s="1">
        <v>296.03240306549759</v>
      </c>
    </row>
    <row r="319" spans="1:12" x14ac:dyDescent="0.2">
      <c r="A319" s="2">
        <v>40694</v>
      </c>
      <c r="B319" s="1">
        <v>34951.821491182898</v>
      </c>
      <c r="C319" s="1">
        <v>2961.7903518928401</v>
      </c>
      <c r="D319" s="1">
        <v>81281.749593886474</v>
      </c>
      <c r="E319" s="1">
        <v>278.86014288010119</v>
      </c>
      <c r="F319" s="1">
        <v>5031.8689136416797</v>
      </c>
      <c r="G319" s="1">
        <v>1626.5791563430839</v>
      </c>
      <c r="H319" s="1">
        <v>256.46157149722711</v>
      </c>
      <c r="I319" s="1">
        <v>370.24799999999999</v>
      </c>
      <c r="J319" s="1">
        <v>406.66774934882142</v>
      </c>
      <c r="K319" s="1">
        <v>480.67034990791927</v>
      </c>
      <c r="L319" s="1">
        <v>297.26521562381242</v>
      </c>
    </row>
    <row r="320" spans="1:12" x14ac:dyDescent="0.2">
      <c r="A320" s="2">
        <v>40724</v>
      </c>
      <c r="B320" s="1">
        <v>34117.5238092328</v>
      </c>
      <c r="C320" s="1">
        <v>2902.2287228965288</v>
      </c>
      <c r="D320" s="1">
        <v>79400.58147384919</v>
      </c>
      <c r="E320" s="1">
        <v>271.23527179793632</v>
      </c>
      <c r="F320" s="1">
        <v>4742.4333687692997</v>
      </c>
      <c r="G320" s="1">
        <v>1620.3399869386519</v>
      </c>
      <c r="H320" s="1">
        <v>259.4621718837447</v>
      </c>
      <c r="I320" s="1">
        <v>381.54</v>
      </c>
      <c r="J320" s="1">
        <v>408.91008833627558</v>
      </c>
      <c r="K320" s="1">
        <v>481.74585635359142</v>
      </c>
      <c r="L320" s="1">
        <v>298.46679693064988</v>
      </c>
    </row>
    <row r="321" spans="1:12" x14ac:dyDescent="0.2">
      <c r="A321" s="2">
        <v>40753</v>
      </c>
      <c r="B321" s="1">
        <v>32957.3297703227</v>
      </c>
      <c r="C321" s="1">
        <v>2752.298182967068</v>
      </c>
      <c r="D321" s="1">
        <v>76698.310187043637</v>
      </c>
      <c r="E321" s="1">
        <v>263.39464018295308</v>
      </c>
      <c r="F321" s="1">
        <v>4734.7389066137994</v>
      </c>
      <c r="G321" s="1">
        <v>1620.3399869386519</v>
      </c>
      <c r="H321" s="1">
        <v>253.3388646272883</v>
      </c>
      <c r="I321" s="1">
        <v>381.54</v>
      </c>
      <c r="J321" s="1">
        <v>415.75372962044833</v>
      </c>
      <c r="K321" s="1">
        <v>488.94290976058949</v>
      </c>
      <c r="L321" s="1">
        <v>299.71481417718388</v>
      </c>
    </row>
    <row r="322" spans="1:12" x14ac:dyDescent="0.2">
      <c r="A322" s="2">
        <v>40786</v>
      </c>
      <c r="B322" s="1">
        <v>32296.615742284299</v>
      </c>
      <c r="C322" s="1">
        <v>2633.1662507882688</v>
      </c>
      <c r="D322" s="1">
        <v>72931.424957910363</v>
      </c>
      <c r="E322" s="1">
        <v>257.63635261187852</v>
      </c>
      <c r="F322" s="1">
        <v>4766.7378994751998</v>
      </c>
      <c r="G322" s="1">
        <v>1620.3399869386519</v>
      </c>
      <c r="H322" s="1">
        <v>252.30017528231639</v>
      </c>
      <c r="I322" s="1">
        <v>381.54</v>
      </c>
      <c r="J322" s="1">
        <v>424.03216526375672</v>
      </c>
      <c r="K322" s="1">
        <v>497.15653775322289</v>
      </c>
      <c r="L322" s="1">
        <v>300.99241892511748</v>
      </c>
    </row>
    <row r="323" spans="1:12" x14ac:dyDescent="0.2">
      <c r="A323" s="2">
        <v>40816</v>
      </c>
      <c r="B323" s="1">
        <v>30270.107149455998</v>
      </c>
      <c r="C323" s="1">
        <v>2726.830680240816</v>
      </c>
      <c r="D323" s="1">
        <v>74415.48987328881</v>
      </c>
      <c r="E323" s="1">
        <v>257.92364696643938</v>
      </c>
      <c r="F323" s="1">
        <v>4613.3643663396006</v>
      </c>
      <c r="G323" s="1">
        <v>1596.52068652515</v>
      </c>
      <c r="H323" s="1">
        <v>256.26128803424882</v>
      </c>
      <c r="I323" s="1">
        <v>383.56</v>
      </c>
      <c r="J323" s="1">
        <v>427.84924779651891</v>
      </c>
      <c r="K323" s="1">
        <v>502.37937384898731</v>
      </c>
      <c r="L323" s="1">
        <v>302.15660491768608</v>
      </c>
    </row>
    <row r="324" spans="1:12" x14ac:dyDescent="0.2">
      <c r="A324" s="2">
        <v>40847</v>
      </c>
      <c r="B324" s="1">
        <v>32440.8001228951</v>
      </c>
      <c r="C324" s="1">
        <v>2712.1935228514171</v>
      </c>
      <c r="D324" s="1">
        <v>74351.517875912294</v>
      </c>
      <c r="E324" s="1">
        <v>259.75835969245821</v>
      </c>
      <c r="F324" s="1">
        <v>4638.0339021829996</v>
      </c>
      <c r="G324" s="1">
        <v>1596.52068652515</v>
      </c>
      <c r="H324" s="1">
        <v>257.28633318638578</v>
      </c>
      <c r="I324" s="1">
        <v>383.56</v>
      </c>
      <c r="J324" s="1">
        <v>425.40391944894088</v>
      </c>
      <c r="K324" s="1">
        <v>504.09576427256002</v>
      </c>
      <c r="L324" s="1">
        <v>303.4259909152309</v>
      </c>
    </row>
    <row r="325" spans="1:12" x14ac:dyDescent="0.2">
      <c r="A325" s="2">
        <v>40877</v>
      </c>
      <c r="B325" s="1">
        <v>31326.677061251201</v>
      </c>
      <c r="C325" s="1">
        <v>2766.7355786066569</v>
      </c>
      <c r="D325" s="1">
        <v>73833.488051166787</v>
      </c>
      <c r="E325" s="1">
        <v>260.28178739052453</v>
      </c>
      <c r="F325" s="1">
        <v>4857.8088976885001</v>
      </c>
      <c r="G325" s="1">
        <v>1596.52068652515</v>
      </c>
      <c r="H325" s="1">
        <v>265.41658131507558</v>
      </c>
      <c r="I325" s="1">
        <v>383.56</v>
      </c>
      <c r="J325" s="1">
        <v>432.77709819430612</v>
      </c>
      <c r="K325" s="1">
        <v>503.08655616942917</v>
      </c>
      <c r="L325" s="1">
        <v>304.61688784656297</v>
      </c>
    </row>
    <row r="326" spans="1:12" x14ac:dyDescent="0.2">
      <c r="A326" s="2">
        <v>40907</v>
      </c>
      <c r="B326" s="1">
        <v>30833.3692464874</v>
      </c>
      <c r="C326" s="1">
        <v>2789.7246312875509</v>
      </c>
      <c r="D326" s="1">
        <v>73978.63396680553</v>
      </c>
      <c r="E326" s="1">
        <v>266.68687053862669</v>
      </c>
      <c r="F326" s="1">
        <v>4765.1734763664008</v>
      </c>
      <c r="G326" s="1">
        <v>1588.5241661034061</v>
      </c>
      <c r="H326" s="1">
        <v>271.1761211296128</v>
      </c>
      <c r="I326" s="1">
        <v>392.84399999999999</v>
      </c>
      <c r="J326" s="1">
        <v>436.1497475007103</v>
      </c>
      <c r="K326" s="1">
        <v>512.63351749539606</v>
      </c>
      <c r="L326" s="1">
        <v>305.84476915464461</v>
      </c>
    </row>
    <row r="327" spans="1:12" x14ac:dyDescent="0.2">
      <c r="A327" s="2">
        <v>40939</v>
      </c>
      <c r="B327" s="1">
        <v>32444.7806863919</v>
      </c>
      <c r="C327" s="1">
        <v>2808.382272181449</v>
      </c>
      <c r="D327" s="1">
        <v>76670.75132393057</v>
      </c>
      <c r="E327" s="1">
        <v>271.76802240558283</v>
      </c>
      <c r="F327" s="1">
        <v>4699.4183429572786</v>
      </c>
      <c r="G327" s="1">
        <v>1588.5241661034061</v>
      </c>
      <c r="H327" s="1">
        <v>271.93541426877567</v>
      </c>
      <c r="I327" s="1">
        <v>392.84399999999999</v>
      </c>
      <c r="J327" s="1">
        <v>436.74232513585417</v>
      </c>
      <c r="K327" s="1">
        <v>519.46961325966868</v>
      </c>
      <c r="L327" s="1">
        <v>307.03566608597657</v>
      </c>
    </row>
    <row r="328" spans="1:12" x14ac:dyDescent="0.2">
      <c r="A328" s="2">
        <v>40968</v>
      </c>
      <c r="B328" s="1">
        <v>33227.243699267397</v>
      </c>
      <c r="C328" s="1">
        <v>2894.54482134097</v>
      </c>
      <c r="D328" s="1">
        <v>78845.998649116023</v>
      </c>
      <c r="E328" s="1">
        <v>269.24558152856099</v>
      </c>
      <c r="F328" s="1">
        <v>4902.7117581264501</v>
      </c>
      <c r="G328" s="1">
        <v>1588.5241661034061</v>
      </c>
      <c r="H328" s="1">
        <v>272.91438176014333</v>
      </c>
      <c r="I328" s="1">
        <v>392.84399999999999</v>
      </c>
      <c r="J328" s="1">
        <v>435.81626498050701</v>
      </c>
      <c r="K328" s="1">
        <v>523.02025782688781</v>
      </c>
      <c r="L328" s="1">
        <v>308.05643488426131</v>
      </c>
    </row>
    <row r="329" spans="1:12" x14ac:dyDescent="0.2">
      <c r="A329" s="2">
        <v>40998</v>
      </c>
      <c r="B329" s="1">
        <v>33608.211837639799</v>
      </c>
      <c r="C329" s="1">
        <v>3073.7668576066098</v>
      </c>
      <c r="D329" s="1">
        <v>81076.447449247949</v>
      </c>
      <c r="E329" s="1">
        <v>292.07413958464741</v>
      </c>
      <c r="F329" s="1">
        <v>4993.1360123663999</v>
      </c>
      <c r="G329" s="1">
        <v>1602.9073765019109</v>
      </c>
      <c r="H329" s="1">
        <v>276.05289715038492</v>
      </c>
      <c r="I329" s="1">
        <v>399.012</v>
      </c>
      <c r="J329" s="1">
        <v>439.57093774105721</v>
      </c>
      <c r="K329" s="1">
        <v>524.05156537753237</v>
      </c>
      <c r="L329" s="1">
        <v>309.25924900365709</v>
      </c>
    </row>
    <row r="330" spans="1:12" x14ac:dyDescent="0.2">
      <c r="A330" s="2">
        <v>41029</v>
      </c>
      <c r="B330" s="1">
        <v>33978.786483650598</v>
      </c>
      <c r="C330" s="1">
        <v>3013.9505505255652</v>
      </c>
      <c r="D330" s="1">
        <v>80241.406111553952</v>
      </c>
      <c r="E330" s="1">
        <v>297.64042651800833</v>
      </c>
      <c r="F330" s="1">
        <v>4943.1718664316304</v>
      </c>
      <c r="G330" s="1">
        <v>1602.9073765019109</v>
      </c>
      <c r="H330" s="1">
        <v>276.93626642126623</v>
      </c>
      <c r="I330" s="1">
        <v>399.012</v>
      </c>
      <c r="J330" s="1">
        <v>446.57722267402471</v>
      </c>
      <c r="K330" s="1">
        <v>529.08287292817704</v>
      </c>
      <c r="L330" s="1">
        <v>310.42918812149787</v>
      </c>
    </row>
    <row r="331" spans="1:12" x14ac:dyDescent="0.2">
      <c r="A331" s="2">
        <v>41060</v>
      </c>
      <c r="B331" s="1">
        <v>31634.4980321113</v>
      </c>
      <c r="C331" s="1">
        <v>3019.1996054966762</v>
      </c>
      <c r="D331" s="1">
        <v>80389.04538537217</v>
      </c>
      <c r="E331" s="1">
        <v>308.11275522333051</v>
      </c>
      <c r="F331" s="1">
        <v>4616.9700436299991</v>
      </c>
      <c r="G331" s="1">
        <v>1602.9073765019109</v>
      </c>
      <c r="H331" s="1">
        <v>281.06261679094303</v>
      </c>
      <c r="I331" s="1">
        <v>399.012</v>
      </c>
      <c r="J331" s="1">
        <v>460.40571523202141</v>
      </c>
      <c r="K331" s="1">
        <v>536.81031307550666</v>
      </c>
      <c r="L331" s="1">
        <v>311.61186630244117</v>
      </c>
    </row>
    <row r="332" spans="1:12" x14ac:dyDescent="0.2">
      <c r="A332" s="2">
        <v>41089</v>
      </c>
      <c r="B332" s="1">
        <v>31714.2744139803</v>
      </c>
      <c r="C332" s="1">
        <v>2980.686805411593</v>
      </c>
      <c r="D332" s="1">
        <v>77732.701888850468</v>
      </c>
      <c r="E332" s="1">
        <v>306.72881201215711</v>
      </c>
      <c r="F332" s="1">
        <v>4421.2769759847997</v>
      </c>
      <c r="G332" s="1">
        <v>1614.1473638300281</v>
      </c>
      <c r="H332" s="1">
        <v>278.84222211829461</v>
      </c>
      <c r="I332" s="1">
        <v>398.17200000000003</v>
      </c>
      <c r="J332" s="1">
        <v>459.65553716199878</v>
      </c>
      <c r="K332" s="1">
        <v>537.55432780847161</v>
      </c>
      <c r="L332" s="1">
        <v>312.49620384427237</v>
      </c>
    </row>
    <row r="333" spans="1:12" x14ac:dyDescent="0.2">
      <c r="A333" s="2">
        <v>41121</v>
      </c>
      <c r="B333" s="1">
        <v>32901.398942704102</v>
      </c>
      <c r="C333" s="1">
        <v>2943.2725118330309</v>
      </c>
      <c r="D333" s="1">
        <v>77098.430290266086</v>
      </c>
      <c r="E333" s="1">
        <v>307.47670064833642</v>
      </c>
      <c r="F333" s="1">
        <v>4581.0605174418006</v>
      </c>
      <c r="G333" s="1">
        <v>1614.1473638300281</v>
      </c>
      <c r="H333" s="1">
        <v>275.94226300826432</v>
      </c>
      <c r="I333" s="1">
        <v>398.17200000000003</v>
      </c>
      <c r="J333" s="1">
        <v>461.36329547434451</v>
      </c>
      <c r="K333" s="1">
        <v>546.25414364640892</v>
      </c>
      <c r="L333" s="1">
        <v>313.41012888750299</v>
      </c>
    </row>
    <row r="334" spans="1:12" x14ac:dyDescent="0.2">
      <c r="A334" s="2">
        <v>41152</v>
      </c>
      <c r="B334" s="1">
        <v>33600.095737965697</v>
      </c>
      <c r="C334" s="1">
        <v>3058.6400683811949</v>
      </c>
      <c r="D334" s="1">
        <v>78396.831188040349</v>
      </c>
      <c r="E334" s="1">
        <v>314.36924172757932</v>
      </c>
      <c r="F334" s="1">
        <v>4961.7659981999004</v>
      </c>
      <c r="G334" s="1">
        <v>1614.1473638300281</v>
      </c>
      <c r="H334" s="1">
        <v>277.15640896550059</v>
      </c>
      <c r="I334" s="1">
        <v>398.17200000000003</v>
      </c>
      <c r="J334" s="1">
        <v>464.25873066393592</v>
      </c>
      <c r="K334" s="1">
        <v>549.22283609576436</v>
      </c>
      <c r="L334" s="1">
        <v>314.34788830686108</v>
      </c>
    </row>
    <row r="335" spans="1:12" x14ac:dyDescent="0.2">
      <c r="A335" s="2">
        <v>41180</v>
      </c>
      <c r="B335" s="1">
        <v>34315.231386525396</v>
      </c>
      <c r="C335" s="1">
        <v>3106.3594421182588</v>
      </c>
      <c r="D335" s="1">
        <v>81255.898431318492</v>
      </c>
      <c r="E335" s="1">
        <v>310.65943780981638</v>
      </c>
      <c r="F335" s="1">
        <v>4860.8597685595196</v>
      </c>
      <c r="G335" s="1">
        <v>1615.76404021849</v>
      </c>
      <c r="H335" s="1">
        <v>271.03125232736312</v>
      </c>
      <c r="I335" s="1">
        <v>410.83600000000001</v>
      </c>
      <c r="J335" s="1">
        <v>468.77618952929902</v>
      </c>
      <c r="K335" s="1">
        <v>552.92817679558027</v>
      </c>
      <c r="L335" s="1">
        <v>315.33249460343529</v>
      </c>
    </row>
    <row r="336" spans="1:12" x14ac:dyDescent="0.2">
      <c r="A336" s="2">
        <v>41213</v>
      </c>
      <c r="B336" s="1">
        <v>35332.871245272901</v>
      </c>
      <c r="C336" s="1">
        <v>3101.7139972197392</v>
      </c>
      <c r="D336" s="1">
        <v>81282.053649266512</v>
      </c>
      <c r="E336" s="1">
        <v>315.28168469276937</v>
      </c>
      <c r="F336" s="1">
        <v>4676.4947590096999</v>
      </c>
      <c r="G336" s="1">
        <v>1615.76404021849</v>
      </c>
      <c r="H336" s="1">
        <v>264.03864601731709</v>
      </c>
      <c r="I336" s="1">
        <v>410.83600000000001</v>
      </c>
      <c r="J336" s="1">
        <v>468.86129376413351</v>
      </c>
      <c r="K336" s="1">
        <v>556.11049723756923</v>
      </c>
      <c r="L336" s="1">
        <v>316.26737746015732</v>
      </c>
    </row>
    <row r="337" spans="1:12" x14ac:dyDescent="0.2">
      <c r="A337" s="2">
        <v>41243</v>
      </c>
      <c r="B337" s="1">
        <v>35426.556703059403</v>
      </c>
      <c r="C337" s="1">
        <v>3129.962758882014</v>
      </c>
      <c r="D337" s="1">
        <v>82094.417657238169</v>
      </c>
      <c r="E337" s="1">
        <v>314.22776495372312</v>
      </c>
      <c r="F337" s="1">
        <v>4716.9086268450001</v>
      </c>
      <c r="G337" s="1">
        <v>1615.76404021849</v>
      </c>
      <c r="H337" s="1">
        <v>269.7946885004946</v>
      </c>
      <c r="I337" s="1">
        <v>410.83600000000001</v>
      </c>
      <c r="J337" s="1">
        <v>468.89722666328578</v>
      </c>
      <c r="K337" s="1">
        <v>560.22836095764285</v>
      </c>
      <c r="L337" s="1">
        <v>317.07199312321751</v>
      </c>
    </row>
    <row r="338" spans="1:12" x14ac:dyDescent="0.2">
      <c r="A338" s="2">
        <v>41274</v>
      </c>
      <c r="B338" s="1">
        <v>36642.628307517902</v>
      </c>
      <c r="C338" s="1">
        <v>3207.0422698221878</v>
      </c>
      <c r="D338" s="1">
        <v>85753.842324675279</v>
      </c>
      <c r="E338" s="1">
        <v>325.63604335987418</v>
      </c>
      <c r="F338" s="1">
        <v>4709.1218104560003</v>
      </c>
      <c r="G338" s="1">
        <v>1656.193903411682</v>
      </c>
      <c r="H338" s="1">
        <v>267.55539258594052</v>
      </c>
      <c r="I338" s="1">
        <v>415.97199999999998</v>
      </c>
      <c r="J338" s="1">
        <v>469.75016021684951</v>
      </c>
      <c r="K338" s="1">
        <v>562.15837937384913</v>
      </c>
      <c r="L338" s="1">
        <v>317.98345254133147</v>
      </c>
    </row>
    <row r="339" spans="1:12" x14ac:dyDescent="0.2">
      <c r="A339" s="2">
        <v>41305</v>
      </c>
      <c r="B339" s="1">
        <v>38503.951833401501</v>
      </c>
      <c r="C339" s="1">
        <v>3364.6302176149579</v>
      </c>
      <c r="D339" s="1">
        <v>86547.117622862119</v>
      </c>
      <c r="E339" s="1">
        <v>335.70114296369331</v>
      </c>
      <c r="F339" s="1">
        <v>4891.4682350328003</v>
      </c>
      <c r="G339" s="1">
        <v>1656.193903411682</v>
      </c>
      <c r="H339" s="1">
        <v>273.84294431171008</v>
      </c>
      <c r="I339" s="1">
        <v>415.97199999999998</v>
      </c>
      <c r="J339" s="1">
        <v>468.68919408924609</v>
      </c>
      <c r="K339" s="1">
        <v>560.42725598526715</v>
      </c>
      <c r="L339" s="1">
        <v>318.83696976920481</v>
      </c>
    </row>
    <row r="340" spans="1:12" x14ac:dyDescent="0.2">
      <c r="A340" s="2">
        <v>41333</v>
      </c>
      <c r="B340" s="1">
        <v>40497.260398324499</v>
      </c>
      <c r="C340" s="1">
        <v>3480.3436811929591</v>
      </c>
      <c r="D340" s="1">
        <v>87331.670982552037</v>
      </c>
      <c r="E340" s="1">
        <v>348.89231909498159</v>
      </c>
      <c r="F340" s="1">
        <v>4765.1361327080003</v>
      </c>
      <c r="G340" s="1">
        <v>1656.193903411682</v>
      </c>
      <c r="H340" s="1">
        <v>279.37457178680671</v>
      </c>
      <c r="I340" s="1">
        <v>415.97199999999998</v>
      </c>
      <c r="J340" s="1">
        <v>471.4743089744224</v>
      </c>
      <c r="K340" s="1">
        <v>565.07550644567232</v>
      </c>
      <c r="L340" s="1">
        <v>319.5532338655857</v>
      </c>
    </row>
    <row r="341" spans="1:12" x14ac:dyDescent="0.2">
      <c r="A341" s="2">
        <v>41362</v>
      </c>
      <c r="B341" s="1">
        <v>39590.277547158999</v>
      </c>
      <c r="C341" s="1">
        <v>3510.8519397453051</v>
      </c>
      <c r="D341" s="1">
        <v>85020.10364666165</v>
      </c>
      <c r="E341" s="1">
        <v>353.87100336537668</v>
      </c>
      <c r="F341" s="1">
        <v>4715.2969645389994</v>
      </c>
      <c r="G341" s="1">
        <v>1672.5194510491681</v>
      </c>
      <c r="H341" s="1">
        <v>279.45838415834282</v>
      </c>
      <c r="I341" s="1">
        <v>426.58</v>
      </c>
      <c r="J341" s="1">
        <v>470.51798953557852</v>
      </c>
      <c r="K341" s="1">
        <v>569.29650092081067</v>
      </c>
      <c r="L341" s="1">
        <v>320.34017921531</v>
      </c>
    </row>
    <row r="342" spans="1:12" x14ac:dyDescent="0.2">
      <c r="A342" s="2">
        <v>41394</v>
      </c>
      <c r="B342" s="1">
        <v>41102.839916224402</v>
      </c>
      <c r="C342" s="1">
        <v>3626.7822732795221</v>
      </c>
      <c r="D342" s="1">
        <v>85345.718764433797</v>
      </c>
      <c r="E342" s="1">
        <v>377.20143715474308</v>
      </c>
      <c r="F342" s="1">
        <v>4511.6623313622504</v>
      </c>
      <c r="G342" s="1">
        <v>1672.5194510491681</v>
      </c>
      <c r="H342" s="1">
        <v>278.84357571319441</v>
      </c>
      <c r="I342" s="1">
        <v>426.58</v>
      </c>
      <c r="J342" s="1">
        <v>477.77391355739383</v>
      </c>
      <c r="K342" s="1">
        <v>576.83977900552509</v>
      </c>
      <c r="L342" s="1">
        <v>321.17766987992519</v>
      </c>
    </row>
    <row r="343" spans="1:12" x14ac:dyDescent="0.2">
      <c r="A343" s="2">
        <v>41425</v>
      </c>
      <c r="B343" s="1">
        <v>39300.253694039398</v>
      </c>
      <c r="C343" s="1">
        <v>3986.7249399753382</v>
      </c>
      <c r="D343" s="1">
        <v>93185.574833089981</v>
      </c>
      <c r="E343" s="1">
        <v>385.5779782966265</v>
      </c>
      <c r="F343" s="1">
        <v>4812.0898300568006</v>
      </c>
      <c r="G343" s="1">
        <v>1672.5194510491681</v>
      </c>
      <c r="H343" s="1">
        <v>274.29842542906943</v>
      </c>
      <c r="I343" s="1">
        <v>426.58</v>
      </c>
      <c r="J343" s="1">
        <v>477.41773657456798</v>
      </c>
      <c r="K343" s="1">
        <v>569.28913443830595</v>
      </c>
      <c r="L343" s="1">
        <v>322.00242148143781</v>
      </c>
    </row>
    <row r="344" spans="1:12" x14ac:dyDescent="0.2">
      <c r="A344" s="2">
        <v>41453</v>
      </c>
      <c r="B344" s="1">
        <v>38270.321610907296</v>
      </c>
      <c r="C344" s="1">
        <v>4076.4154448262238</v>
      </c>
      <c r="D344" s="1">
        <v>92679.84537385116</v>
      </c>
      <c r="E344" s="1">
        <v>394.48351058449998</v>
      </c>
      <c r="F344" s="1">
        <v>5052.0446332586998</v>
      </c>
      <c r="G344" s="1">
        <v>1719.8407940526549</v>
      </c>
      <c r="H344" s="1">
        <v>275.20361023298528</v>
      </c>
      <c r="I344" s="1">
        <v>452.77199999999999</v>
      </c>
      <c r="J344" s="1">
        <v>472.42243319065261</v>
      </c>
      <c r="K344" s="1">
        <v>562.23204419889521</v>
      </c>
      <c r="L344" s="1">
        <v>322.74293089146562</v>
      </c>
    </row>
    <row r="345" spans="1:12" x14ac:dyDescent="0.2">
      <c r="A345" s="2">
        <v>41486</v>
      </c>
      <c r="B345" s="1">
        <v>40360.327409963596</v>
      </c>
      <c r="C345" s="1">
        <v>4355.7067889193786</v>
      </c>
      <c r="D345" s="1">
        <v>95956.928793007188</v>
      </c>
      <c r="E345" s="1">
        <v>404.91072416633489</v>
      </c>
      <c r="F345" s="1">
        <v>5405.9791420471993</v>
      </c>
      <c r="G345" s="1">
        <v>1719.8407940526549</v>
      </c>
      <c r="H345" s="1">
        <v>278.4234924727113</v>
      </c>
      <c r="I345" s="1">
        <v>452.77199999999999</v>
      </c>
      <c r="J345" s="1">
        <v>476.46393874268199</v>
      </c>
      <c r="K345" s="1">
        <v>565.76795580110513</v>
      </c>
      <c r="L345" s="1">
        <v>323.55987468010881</v>
      </c>
    </row>
    <row r="346" spans="1:12" x14ac:dyDescent="0.2">
      <c r="A346" s="2">
        <v>41516</v>
      </c>
      <c r="B346" s="1">
        <v>41406.586205682397</v>
      </c>
      <c r="C346" s="1">
        <v>4300.3292399752399</v>
      </c>
      <c r="D346" s="1">
        <v>96633.109958885296</v>
      </c>
      <c r="E346" s="1">
        <v>385.63256600741818</v>
      </c>
      <c r="F346" s="1">
        <v>5631.1541481571994</v>
      </c>
      <c r="G346" s="1">
        <v>1719.8407940526549</v>
      </c>
      <c r="H346" s="1">
        <v>280.6230380632457</v>
      </c>
      <c r="I346" s="1">
        <v>452.77199999999999</v>
      </c>
      <c r="J346" s="1">
        <v>474.93647532783763</v>
      </c>
      <c r="K346" s="1">
        <v>564.83241252302048</v>
      </c>
      <c r="L346" s="1">
        <v>324.30860284052528</v>
      </c>
    </row>
    <row r="347" spans="1:12" x14ac:dyDescent="0.2">
      <c r="A347" s="2">
        <v>41547</v>
      </c>
      <c r="B347" s="1">
        <v>42394.840710366203</v>
      </c>
      <c r="C347" s="1">
        <v>4250.6135667193657</v>
      </c>
      <c r="D347" s="1">
        <v>95957.396120207501</v>
      </c>
      <c r="E347" s="1">
        <v>382.64063638361591</v>
      </c>
      <c r="F347" s="1">
        <v>5181.8441096327997</v>
      </c>
      <c r="G347" s="1">
        <v>1767.4309001672</v>
      </c>
      <c r="H347" s="1">
        <v>283.51345535529708</v>
      </c>
      <c r="I347" s="1">
        <v>464.99599999999998</v>
      </c>
      <c r="J347" s="1">
        <v>477.31435068928738</v>
      </c>
      <c r="K347" s="1">
        <v>570.34990791896882</v>
      </c>
      <c r="L347" s="1">
        <v>324.99322474790949</v>
      </c>
    </row>
    <row r="348" spans="1:12" x14ac:dyDescent="0.2">
      <c r="A348" s="2">
        <v>41578</v>
      </c>
      <c r="B348" s="1">
        <v>44054.1636641187</v>
      </c>
      <c r="C348" s="1">
        <v>4364.317871708301</v>
      </c>
      <c r="D348" s="1">
        <v>98570.693506479249</v>
      </c>
      <c r="E348" s="1">
        <v>391.9824459312423</v>
      </c>
      <c r="F348" s="1">
        <v>5042.8974126468001</v>
      </c>
      <c r="G348" s="1">
        <v>1767.4309001672</v>
      </c>
      <c r="H348" s="1">
        <v>283.14488786333533</v>
      </c>
      <c r="I348" s="1">
        <v>464.99599999999998</v>
      </c>
      <c r="J348" s="1">
        <v>477.04642994999358</v>
      </c>
      <c r="K348" s="1">
        <v>576.66298342541461</v>
      </c>
      <c r="L348" s="1">
        <v>325.70127009390171</v>
      </c>
    </row>
    <row r="349" spans="1:12" x14ac:dyDescent="0.2">
      <c r="A349" s="2">
        <v>41607</v>
      </c>
      <c r="B349" s="1">
        <v>43445.882092020198</v>
      </c>
      <c r="C349" s="1">
        <v>4622.6947490356406</v>
      </c>
      <c r="D349" s="1">
        <v>102110.9553305273</v>
      </c>
      <c r="E349" s="1">
        <v>391.10998278209661</v>
      </c>
      <c r="F349" s="1">
        <v>5184.8170363675008</v>
      </c>
      <c r="G349" s="1">
        <v>1767.4309001672</v>
      </c>
      <c r="H349" s="1">
        <v>284.73049923537002</v>
      </c>
      <c r="I349" s="1">
        <v>464.99599999999998</v>
      </c>
      <c r="J349" s="1">
        <v>476.57551985057609</v>
      </c>
      <c r="K349" s="1">
        <v>576.95764272559882</v>
      </c>
      <c r="L349" s="1">
        <v>326.39575450175232</v>
      </c>
    </row>
    <row r="350" spans="1:12" x14ac:dyDescent="0.2">
      <c r="A350" s="2">
        <v>41639</v>
      </c>
      <c r="B350" s="1">
        <v>43845.007085345504</v>
      </c>
      <c r="C350" s="1">
        <v>4822.2683352432578</v>
      </c>
      <c r="D350" s="1">
        <v>103286.8350504627</v>
      </c>
      <c r="E350" s="1">
        <v>400.42941149181729</v>
      </c>
      <c r="F350" s="1">
        <v>5398.1633013184992</v>
      </c>
      <c r="G350" s="1">
        <v>1843.1195544288039</v>
      </c>
      <c r="H350" s="1">
        <v>290.96609716862457</v>
      </c>
      <c r="I350" s="1">
        <v>510.65600000000012</v>
      </c>
      <c r="J350" s="1">
        <v>479.07821475644988</v>
      </c>
      <c r="K350" s="1">
        <v>574.90976058931892</v>
      </c>
      <c r="L350" s="1">
        <v>327.09681390991398</v>
      </c>
    </row>
    <row r="351" spans="1:12" x14ac:dyDescent="0.2">
      <c r="A351" s="2">
        <v>41670</v>
      </c>
      <c r="B351" s="1">
        <v>42634.496493973398</v>
      </c>
      <c r="C351" s="1">
        <v>4785.5049309007582</v>
      </c>
      <c r="D351" s="1">
        <v>101220.78742530879</v>
      </c>
      <c r="E351" s="1">
        <v>419.67384688663208</v>
      </c>
      <c r="F351" s="1">
        <v>5444.624617333001</v>
      </c>
      <c r="G351" s="1">
        <v>1843.1195544288039</v>
      </c>
      <c r="H351" s="1">
        <v>291.69351241154612</v>
      </c>
      <c r="I351" s="1">
        <v>510.65600000000012</v>
      </c>
      <c r="J351" s="1">
        <v>484.28785473180022</v>
      </c>
      <c r="K351" s="1">
        <v>584.53038674033178</v>
      </c>
      <c r="L351" s="1">
        <v>327.83033738211128</v>
      </c>
    </row>
    <row r="352" spans="1:12" x14ac:dyDescent="0.2">
      <c r="A352" s="2">
        <v>41698</v>
      </c>
      <c r="B352" s="1">
        <v>44697.021199385403</v>
      </c>
      <c r="C352" s="1">
        <v>4864.9736860618113</v>
      </c>
      <c r="D352" s="1">
        <v>100846.5743455802</v>
      </c>
      <c r="E352" s="1">
        <v>428.01893720842298</v>
      </c>
      <c r="F352" s="1">
        <v>5547.9643281971994</v>
      </c>
      <c r="G352" s="1">
        <v>1843.1195544288039</v>
      </c>
      <c r="H352" s="1">
        <v>294.20207661828539</v>
      </c>
      <c r="I352" s="1">
        <v>510.65600000000012</v>
      </c>
      <c r="J352" s="1">
        <v>485.94076809280813</v>
      </c>
      <c r="K352" s="1">
        <v>588.4567219152857</v>
      </c>
      <c r="L352" s="1">
        <v>328.48372803801823</v>
      </c>
    </row>
    <row r="353" spans="1:12" x14ac:dyDescent="0.2">
      <c r="A353" s="2">
        <v>41729</v>
      </c>
      <c r="B353" s="1">
        <v>44810.8062680933</v>
      </c>
      <c r="C353" s="1">
        <v>4708.4209440609347</v>
      </c>
      <c r="D353" s="1">
        <v>99233.383415287448</v>
      </c>
      <c r="E353" s="1">
        <v>412.90318535290658</v>
      </c>
      <c r="F353" s="1">
        <v>5363.9044511120001</v>
      </c>
      <c r="G353" s="1">
        <v>1874.917046485976</v>
      </c>
      <c r="H353" s="1">
        <v>296.4380124005844</v>
      </c>
      <c r="I353" s="1">
        <v>527.76400000000001</v>
      </c>
      <c r="J353" s="1">
        <v>486.0334371485169</v>
      </c>
      <c r="K353" s="1">
        <v>590.26887661141836</v>
      </c>
      <c r="L353" s="1">
        <v>329.19999213439911</v>
      </c>
    </row>
    <row r="354" spans="1:12" x14ac:dyDescent="0.2">
      <c r="A354" s="2">
        <v>41759</v>
      </c>
      <c r="B354" s="1">
        <v>45389.480529500899</v>
      </c>
      <c r="C354" s="1">
        <v>4746.851801934401</v>
      </c>
      <c r="D354" s="1">
        <v>99130.223643198842</v>
      </c>
      <c r="E354" s="1">
        <v>427.23390771398158</v>
      </c>
      <c r="F354" s="1">
        <v>5405.4342862029989</v>
      </c>
      <c r="G354" s="1">
        <v>1874.917046485976</v>
      </c>
      <c r="H354" s="1">
        <v>298.06842146878762</v>
      </c>
      <c r="I354" s="1">
        <v>527.76400000000001</v>
      </c>
      <c r="J354" s="1">
        <v>490.43994530772528</v>
      </c>
      <c r="K354" s="1">
        <v>595.5727440147333</v>
      </c>
      <c r="L354" s="1">
        <v>329.92899529388262</v>
      </c>
    </row>
    <row r="355" spans="1:12" x14ac:dyDescent="0.2">
      <c r="A355" s="2">
        <v>41789</v>
      </c>
      <c r="B355" s="1">
        <v>45667.4006894587</v>
      </c>
      <c r="C355" s="1">
        <v>4836.4394787800402</v>
      </c>
      <c r="D355" s="1">
        <v>101529.2762861526</v>
      </c>
      <c r="E355" s="1">
        <v>436.99712906445228</v>
      </c>
      <c r="F355" s="1">
        <v>5371.8895562799999</v>
      </c>
      <c r="G355" s="1">
        <v>1874.917046485976</v>
      </c>
      <c r="H355" s="1">
        <v>294.16372514754647</v>
      </c>
      <c r="I355" s="1">
        <v>527.76400000000001</v>
      </c>
      <c r="J355" s="1">
        <v>497.17326628748299</v>
      </c>
      <c r="K355" s="1">
        <v>602.56353591160246</v>
      </c>
      <c r="L355" s="1">
        <v>330.67073751646859</v>
      </c>
    </row>
    <row r="356" spans="1:12" x14ac:dyDescent="0.2">
      <c r="A356" s="2">
        <v>41820</v>
      </c>
      <c r="B356" s="1">
        <v>45021.476660042201</v>
      </c>
      <c r="C356" s="1">
        <v>4836.9721291496326</v>
      </c>
      <c r="D356" s="1">
        <v>102557.688597827</v>
      </c>
      <c r="E356" s="1">
        <v>436.95490551699868</v>
      </c>
      <c r="F356" s="1">
        <v>5409.1900955456003</v>
      </c>
      <c r="G356" s="1">
        <v>1916.7688937349681</v>
      </c>
      <c r="H356" s="1">
        <v>298.07610269200887</v>
      </c>
      <c r="I356" s="1">
        <v>554.20399999999995</v>
      </c>
      <c r="J356" s="1">
        <v>501.17316532470443</v>
      </c>
      <c r="K356" s="1">
        <v>605.85635359116043</v>
      </c>
      <c r="L356" s="1">
        <v>331.39891880091318</v>
      </c>
    </row>
    <row r="357" spans="1:12" x14ac:dyDescent="0.2">
      <c r="A357" s="2">
        <v>41851</v>
      </c>
      <c r="B357" s="1">
        <v>47043.661012805002</v>
      </c>
      <c r="C357" s="1">
        <v>4873.3736678014202</v>
      </c>
      <c r="D357" s="1">
        <v>107301.44830995001</v>
      </c>
      <c r="E357" s="1">
        <v>446.53533405005112</v>
      </c>
      <c r="F357" s="1">
        <v>5200.6206784686001</v>
      </c>
      <c r="G357" s="1">
        <v>1916.7688937349681</v>
      </c>
      <c r="H357" s="1">
        <v>297.15206677366371</v>
      </c>
      <c r="I357" s="1">
        <v>554.20399999999995</v>
      </c>
      <c r="J357" s="1">
        <v>502.63254535168107</v>
      </c>
      <c r="K357" s="1">
        <v>608.64825046040528</v>
      </c>
      <c r="L357" s="1">
        <v>332.1607969619518</v>
      </c>
    </row>
    <row r="358" spans="1:12" x14ac:dyDescent="0.2">
      <c r="A358" s="2">
        <v>41880</v>
      </c>
      <c r="B358" s="1">
        <v>47383.134296299198</v>
      </c>
      <c r="C358" s="1">
        <v>4974.1455638310372</v>
      </c>
      <c r="D358" s="1">
        <v>108819.7162250658</v>
      </c>
      <c r="E358" s="1">
        <v>455.64093352277911</v>
      </c>
      <c r="F358" s="1">
        <v>5084.7269893964994</v>
      </c>
      <c r="G358" s="1">
        <v>1916.7688937349681</v>
      </c>
      <c r="H358" s="1">
        <v>301.34191091517238</v>
      </c>
      <c r="I358" s="1">
        <v>554.20399999999995</v>
      </c>
      <c r="J358" s="1">
        <v>507.72997381739782</v>
      </c>
      <c r="K358" s="1">
        <v>617.32596685082888</v>
      </c>
      <c r="L358" s="1">
        <v>332.91363449756273</v>
      </c>
    </row>
    <row r="359" spans="1:12" x14ac:dyDescent="0.2">
      <c r="A359" s="2">
        <v>41912</v>
      </c>
      <c r="B359" s="1">
        <v>44890.654210525601</v>
      </c>
      <c r="C359" s="1">
        <v>5265.8976893317831</v>
      </c>
      <c r="D359" s="1">
        <v>111393.9630397975</v>
      </c>
      <c r="E359" s="1">
        <v>464.28894771318937</v>
      </c>
      <c r="F359" s="1">
        <v>5107.4421265372994</v>
      </c>
      <c r="G359" s="1">
        <v>1945.643000485117</v>
      </c>
      <c r="H359" s="1">
        <v>306.34418663636421</v>
      </c>
      <c r="I359" s="1">
        <v>591.06000000000006</v>
      </c>
      <c r="J359" s="1">
        <v>506.03923635201897</v>
      </c>
      <c r="K359" s="1">
        <v>616.61878453038685</v>
      </c>
      <c r="L359" s="1">
        <v>333.55387515284752</v>
      </c>
    </row>
    <row r="360" spans="1:12" x14ac:dyDescent="0.2">
      <c r="A360" s="2">
        <v>41943</v>
      </c>
      <c r="B360" s="1">
        <v>46668.8095773897</v>
      </c>
      <c r="C360" s="1">
        <v>5303.1354618912883</v>
      </c>
      <c r="D360" s="1">
        <v>112481.38585018989</v>
      </c>
      <c r="E360" s="1">
        <v>497.14109884453973</v>
      </c>
      <c r="F360" s="1">
        <v>4780.2483126469997</v>
      </c>
      <c r="G360" s="1">
        <v>1945.643000485117</v>
      </c>
      <c r="H360" s="1">
        <v>308.94811222277332</v>
      </c>
      <c r="I360" s="1">
        <v>591.06000000000006</v>
      </c>
      <c r="J360" s="1">
        <v>510.88009130975308</v>
      </c>
      <c r="K360" s="1">
        <v>622.50460405156559</v>
      </c>
      <c r="L360" s="1">
        <v>334.37492831668521</v>
      </c>
    </row>
    <row r="361" spans="1:12" x14ac:dyDescent="0.2">
      <c r="A361" s="2">
        <v>41971</v>
      </c>
      <c r="B361" s="1">
        <v>45175.8071460883</v>
      </c>
      <c r="C361" s="1">
        <v>5621.9247364622224</v>
      </c>
      <c r="D361" s="1">
        <v>117154.1324926535</v>
      </c>
      <c r="E361" s="1">
        <v>525.0760609958694</v>
      </c>
      <c r="F361" s="1">
        <v>4385.4479193779998</v>
      </c>
      <c r="G361" s="1">
        <v>1945.643000485117</v>
      </c>
      <c r="H361" s="1">
        <v>308.05216269732728</v>
      </c>
      <c r="I361" s="1">
        <v>591.06000000000006</v>
      </c>
      <c r="J361" s="1">
        <v>517.35620837978877</v>
      </c>
      <c r="K361" s="1">
        <v>629.80478821362829</v>
      </c>
      <c r="L361" s="1">
        <v>335.12694397725721</v>
      </c>
    </row>
    <row r="362" spans="1:12" x14ac:dyDescent="0.2">
      <c r="A362" s="2">
        <v>42004</v>
      </c>
      <c r="B362" s="1">
        <v>46046.9273383748</v>
      </c>
      <c r="C362" s="1">
        <v>5820.2863003220373</v>
      </c>
      <c r="D362" s="1">
        <v>119206.5768334826</v>
      </c>
      <c r="E362" s="1">
        <v>556.78630988288035</v>
      </c>
      <c r="F362" s="1">
        <v>3950.3854048580001</v>
      </c>
      <c r="G362" s="1">
        <v>1991.2395166703529</v>
      </c>
      <c r="H362" s="1">
        <v>313.53549119333968</v>
      </c>
      <c r="I362" s="1">
        <v>624.928</v>
      </c>
      <c r="J362" s="1">
        <v>526.07466443727833</v>
      </c>
      <c r="K362" s="1">
        <v>634.53406998158403</v>
      </c>
      <c r="L362" s="1">
        <v>335.90361588899549</v>
      </c>
    </row>
    <row r="363" spans="1:12" x14ac:dyDescent="0.2">
      <c r="A363" s="2">
        <v>42034</v>
      </c>
      <c r="B363" s="1">
        <v>47441.6456007542</v>
      </c>
      <c r="C363" s="1">
        <v>6084.2612791970432</v>
      </c>
      <c r="D363" s="1">
        <v>127058.2226734182</v>
      </c>
      <c r="E363" s="1">
        <v>624.06736310098324</v>
      </c>
      <c r="F363" s="1">
        <v>3840.0666263131998</v>
      </c>
      <c r="G363" s="1">
        <v>1991.2395166703529</v>
      </c>
      <c r="H363" s="1">
        <v>313.15924860390771</v>
      </c>
      <c r="I363" s="1">
        <v>624.928</v>
      </c>
      <c r="J363" s="1">
        <v>534.54600301287826</v>
      </c>
      <c r="K363" s="1">
        <v>648.34622467771658</v>
      </c>
      <c r="L363" s="1">
        <v>336.74850342896059</v>
      </c>
    </row>
    <row r="364" spans="1:12" x14ac:dyDescent="0.2">
      <c r="A364" s="2">
        <v>42062</v>
      </c>
      <c r="B364" s="1">
        <v>50760.195528284399</v>
      </c>
      <c r="C364" s="1">
        <v>6412.9489383295759</v>
      </c>
      <c r="D364" s="1">
        <v>130577.805737441</v>
      </c>
      <c r="E364" s="1">
        <v>610.83281132120067</v>
      </c>
      <c r="F364" s="1">
        <v>4067.4442366031999</v>
      </c>
      <c r="G364" s="1">
        <v>1991.2395166703529</v>
      </c>
      <c r="H364" s="1">
        <v>313.2218804536285</v>
      </c>
      <c r="I364" s="1">
        <v>624.928</v>
      </c>
      <c r="J364" s="1">
        <v>536.04194634074679</v>
      </c>
      <c r="K364" s="1">
        <v>645.71639042357299</v>
      </c>
      <c r="L364" s="1">
        <v>337.4520284622389</v>
      </c>
    </row>
    <row r="365" spans="1:12" x14ac:dyDescent="0.2">
      <c r="A365" s="2">
        <v>42094</v>
      </c>
      <c r="B365" s="1">
        <v>50746.4778289772</v>
      </c>
      <c r="C365" s="1">
        <v>6546.7571116702002</v>
      </c>
      <c r="D365" s="1">
        <v>134008.51317598639</v>
      </c>
      <c r="E365" s="1">
        <v>631.60091005196318</v>
      </c>
      <c r="F365" s="1">
        <v>3883.9204427302002</v>
      </c>
      <c r="G365" s="1">
        <v>2028.781458358992</v>
      </c>
      <c r="H365" s="1">
        <v>316.54203238643697</v>
      </c>
      <c r="I365" s="1">
        <v>667.86</v>
      </c>
      <c r="J365" s="1">
        <v>540.1143415780125</v>
      </c>
      <c r="K365" s="1">
        <v>650.77716390423586</v>
      </c>
      <c r="L365" s="1">
        <v>338.14486912001178</v>
      </c>
    </row>
    <row r="366" spans="1:12" x14ac:dyDescent="0.2">
      <c r="A366" s="2">
        <v>42124</v>
      </c>
      <c r="B366" s="1">
        <v>49999.314413387503</v>
      </c>
      <c r="C366" s="1">
        <v>6410.1670238926654</v>
      </c>
      <c r="D366" s="1">
        <v>137196.7114342023</v>
      </c>
      <c r="E366" s="1">
        <v>588.48154984082214</v>
      </c>
      <c r="F366" s="1">
        <v>4177.7735505071996</v>
      </c>
      <c r="G366" s="1">
        <v>2028.781458358992</v>
      </c>
      <c r="H366" s="1">
        <v>320.05564894592652</v>
      </c>
      <c r="I366" s="1">
        <v>667.86</v>
      </c>
      <c r="J366" s="1">
        <v>534.12993786479853</v>
      </c>
      <c r="K366" s="1">
        <v>648.4714548802948</v>
      </c>
      <c r="L366" s="1">
        <v>338.75264571126098</v>
      </c>
    </row>
    <row r="367" spans="1:12" x14ac:dyDescent="0.2">
      <c r="A367" s="2">
        <v>42153</v>
      </c>
      <c r="B367" s="1">
        <v>50289.734439471198</v>
      </c>
      <c r="C367" s="1">
        <v>6694.6894213616724</v>
      </c>
      <c r="D367" s="1">
        <v>137847.35710468309</v>
      </c>
      <c r="E367" s="1">
        <v>604.29720121599746</v>
      </c>
      <c r="F367" s="1">
        <v>4219.4040798030001</v>
      </c>
      <c r="G367" s="1">
        <v>2028.781458358992</v>
      </c>
      <c r="H367" s="1">
        <v>319.70358773208602</v>
      </c>
      <c r="I367" s="1">
        <v>667.86</v>
      </c>
      <c r="J367" s="1">
        <v>534.32347119882945</v>
      </c>
      <c r="K367" s="1">
        <v>646.78453038674058</v>
      </c>
      <c r="L367" s="1">
        <v>339.43110355585361</v>
      </c>
    </row>
    <row r="368" spans="1:12" x14ac:dyDescent="0.2">
      <c r="A368" s="2">
        <v>42185</v>
      </c>
      <c r="B368" s="1">
        <v>47574.920903273603</v>
      </c>
      <c r="C368" s="1">
        <v>6473.8254348576966</v>
      </c>
      <c r="D368" s="1">
        <v>134288.87407645979</v>
      </c>
      <c r="E368" s="1">
        <v>577.09696647023407</v>
      </c>
      <c r="F368" s="1">
        <v>4197.3940442272997</v>
      </c>
      <c r="G368" s="1">
        <v>2129.8617687389478</v>
      </c>
      <c r="H368" s="1">
        <v>323.50806042609781</v>
      </c>
      <c r="I368" s="1">
        <v>682.02</v>
      </c>
      <c r="J368" s="1">
        <v>529.3773391505963</v>
      </c>
      <c r="K368" s="1">
        <v>639.88213627992639</v>
      </c>
      <c r="L368" s="1">
        <v>340.02819577159738</v>
      </c>
    </row>
    <row r="369" spans="1:12" x14ac:dyDescent="0.2">
      <c r="A369" s="2">
        <v>42216</v>
      </c>
      <c r="B369" s="1">
        <v>49589.388629338398</v>
      </c>
      <c r="C369" s="1">
        <v>6947.0159882745484</v>
      </c>
      <c r="D369" s="1">
        <v>134516.55120737379</v>
      </c>
      <c r="E369" s="1">
        <v>632.34454667130558</v>
      </c>
      <c r="F369" s="1">
        <v>3773.6325054995</v>
      </c>
      <c r="G369" s="1">
        <v>2129.8617687389478</v>
      </c>
      <c r="H369" s="1">
        <v>322.66693946898988</v>
      </c>
      <c r="I369" s="1">
        <v>682.02</v>
      </c>
      <c r="J369" s="1">
        <v>536.25943494087949</v>
      </c>
      <c r="K369" s="1">
        <v>647.63167587476983</v>
      </c>
      <c r="L369" s="1">
        <v>340.6413145505993</v>
      </c>
    </row>
    <row r="370" spans="1:12" x14ac:dyDescent="0.2">
      <c r="A370" s="2">
        <v>42247</v>
      </c>
      <c r="B370" s="1">
        <v>45970.230944949202</v>
      </c>
      <c r="C370" s="1">
        <v>6720.0652057595926</v>
      </c>
      <c r="D370" s="1">
        <v>130342.70693600331</v>
      </c>
      <c r="E370" s="1">
        <v>618.32823938730758</v>
      </c>
      <c r="F370" s="1">
        <v>3920.5418984224002</v>
      </c>
      <c r="G370" s="1">
        <v>2129.8617687389478</v>
      </c>
      <c r="H370" s="1">
        <v>322.21520575373341</v>
      </c>
      <c r="I370" s="1">
        <v>682.02</v>
      </c>
      <c r="J370" s="1">
        <v>539.67558196731011</v>
      </c>
      <c r="K370" s="1">
        <v>646.99079189686938</v>
      </c>
      <c r="L370" s="1">
        <v>341.25772082975669</v>
      </c>
    </row>
    <row r="371" spans="1:12" x14ac:dyDescent="0.2">
      <c r="A371" s="2">
        <v>42277</v>
      </c>
      <c r="B371" s="1">
        <v>44820.373012807599</v>
      </c>
      <c r="C371" s="1">
        <v>6546.4478291388941</v>
      </c>
      <c r="D371" s="1">
        <v>129382.3667501943</v>
      </c>
      <c r="E371" s="1">
        <v>638.46136265187101</v>
      </c>
      <c r="F371" s="1">
        <v>3707.5428873546002</v>
      </c>
      <c r="G371" s="1">
        <v>2179.7121552810181</v>
      </c>
      <c r="H371" s="1">
        <v>325.72735149644899</v>
      </c>
      <c r="I371" s="1">
        <v>705.89200000000005</v>
      </c>
      <c r="J371" s="1">
        <v>541.02464168987171</v>
      </c>
      <c r="K371" s="1">
        <v>651.86740331491717</v>
      </c>
      <c r="L371" s="1">
        <v>341.85892242069491</v>
      </c>
    </row>
    <row r="372" spans="1:12" x14ac:dyDescent="0.2">
      <c r="A372" s="2">
        <v>42307</v>
      </c>
      <c r="B372" s="1">
        <v>46877.8758963402</v>
      </c>
      <c r="C372" s="1">
        <v>6952.9340567680729</v>
      </c>
      <c r="D372" s="1">
        <v>134267.8514340698</v>
      </c>
      <c r="E372" s="1">
        <v>662.61874255051282</v>
      </c>
      <c r="F372" s="1">
        <v>3657.7138764803999</v>
      </c>
      <c r="G372" s="1">
        <v>2179.7121552810181</v>
      </c>
      <c r="H372" s="1">
        <v>328.56117945446812</v>
      </c>
      <c r="I372" s="1">
        <v>705.89200000000005</v>
      </c>
      <c r="J372" s="1">
        <v>542.60758045779346</v>
      </c>
      <c r="K372" s="1">
        <v>655.06445672191546</v>
      </c>
      <c r="L372" s="1">
        <v>342.48601307535768</v>
      </c>
    </row>
    <row r="373" spans="1:12" x14ac:dyDescent="0.2">
      <c r="A373" s="2">
        <v>42338</v>
      </c>
      <c r="B373" s="1">
        <v>46555.206623571597</v>
      </c>
      <c r="C373" s="1">
        <v>6893.1597505698437</v>
      </c>
      <c r="D373" s="1">
        <v>128657.96664362089</v>
      </c>
      <c r="E373" s="1">
        <v>646.55413698405755</v>
      </c>
      <c r="F373" s="1">
        <v>3278.5275495878</v>
      </c>
      <c r="G373" s="1">
        <v>2179.7121552810181</v>
      </c>
      <c r="H373" s="1">
        <v>334.31100009492133</v>
      </c>
      <c r="I373" s="1">
        <v>705.89200000000005</v>
      </c>
      <c r="J373" s="1">
        <v>537.89028424100434</v>
      </c>
      <c r="K373" s="1">
        <v>656.39779005524895</v>
      </c>
      <c r="L373" s="1">
        <v>343.07653029079052</v>
      </c>
    </row>
    <row r="374" spans="1:12" x14ac:dyDescent="0.2">
      <c r="A374" s="2">
        <v>42369</v>
      </c>
      <c r="B374" s="1">
        <v>47788.213542925201</v>
      </c>
      <c r="C374" s="1">
        <v>6719.8560641449121</v>
      </c>
      <c r="D374" s="1">
        <v>126837.5708383936</v>
      </c>
      <c r="E374" s="1">
        <v>649.97050782226972</v>
      </c>
      <c r="F374" s="1">
        <v>2983.4582227400001</v>
      </c>
      <c r="G374" s="1">
        <v>2189.6052528194182</v>
      </c>
      <c r="H374" s="1">
        <v>336.81833259563331</v>
      </c>
      <c r="I374" s="1">
        <v>744.29200000000003</v>
      </c>
      <c r="J374" s="1">
        <v>539.68062518122622</v>
      </c>
      <c r="K374" s="1">
        <v>655.77163904235749</v>
      </c>
      <c r="L374" s="1">
        <v>343.73361938437228</v>
      </c>
    </row>
    <row r="375" spans="1:12" x14ac:dyDescent="0.2">
      <c r="A375" s="2">
        <v>42398</v>
      </c>
      <c r="B375" s="1">
        <v>45216.356400669298</v>
      </c>
      <c r="C375" s="1">
        <v>6539.2766397929263</v>
      </c>
      <c r="D375" s="1">
        <v>123652.4538073341</v>
      </c>
      <c r="E375" s="1">
        <v>651.34800302710232</v>
      </c>
      <c r="F375" s="1">
        <v>2909.9851723194001</v>
      </c>
      <c r="G375" s="1">
        <v>2189.6052528194182</v>
      </c>
      <c r="H375" s="1">
        <v>339.9507430887727</v>
      </c>
      <c r="I375" s="1">
        <v>744.29200000000003</v>
      </c>
      <c r="J375" s="1">
        <v>546.26472880843721</v>
      </c>
      <c r="K375" s="1">
        <v>666.6003683241255</v>
      </c>
      <c r="L375" s="1">
        <v>344.42108662314098</v>
      </c>
    </row>
    <row r="376" spans="1:12" x14ac:dyDescent="0.2">
      <c r="A376" s="2">
        <v>42429</v>
      </c>
      <c r="B376" s="1">
        <v>44550.206369792097</v>
      </c>
      <c r="C376" s="1">
        <v>6380.7080442512388</v>
      </c>
      <c r="D376" s="1">
        <v>122550.5056845233</v>
      </c>
      <c r="E376" s="1">
        <v>646.97189124894896</v>
      </c>
      <c r="F376" s="1">
        <v>2823.9257892300002</v>
      </c>
      <c r="G376" s="1">
        <v>2189.6052528194182</v>
      </c>
      <c r="H376" s="1">
        <v>342.50037366193851</v>
      </c>
      <c r="I376" s="1">
        <v>744.29200000000003</v>
      </c>
      <c r="J376" s="1">
        <v>551.89125551516406</v>
      </c>
      <c r="K376" s="1">
        <v>673.87845303867425</v>
      </c>
      <c r="L376" s="1">
        <v>345.04104457906271</v>
      </c>
    </row>
    <row r="377" spans="1:12" x14ac:dyDescent="0.2">
      <c r="A377" s="2">
        <v>42460</v>
      </c>
      <c r="B377" s="1">
        <v>46663.766912832798</v>
      </c>
      <c r="C377" s="1">
        <v>6240.7341150465663</v>
      </c>
      <c r="D377" s="1">
        <v>123290.91632333311</v>
      </c>
      <c r="E377" s="1">
        <v>649.34651713456401</v>
      </c>
      <c r="F377" s="1">
        <v>2751.2980158300002</v>
      </c>
      <c r="G377" s="1">
        <v>2192.8105336719768</v>
      </c>
      <c r="H377" s="1">
        <v>338.52736932746001</v>
      </c>
      <c r="I377" s="1">
        <v>725.98</v>
      </c>
      <c r="J377" s="1">
        <v>550.73228387858217</v>
      </c>
      <c r="K377" s="1">
        <v>680.11049723756935</v>
      </c>
      <c r="L377" s="1">
        <v>345.73112666822078</v>
      </c>
    </row>
    <row r="378" spans="1:12" x14ac:dyDescent="0.2">
      <c r="A378" s="2">
        <v>42489</v>
      </c>
      <c r="B378" s="1">
        <v>48173.386565082998</v>
      </c>
      <c r="C378" s="1">
        <v>6348.6082471210457</v>
      </c>
      <c r="D378" s="1">
        <v>124204.6884510738</v>
      </c>
      <c r="E378" s="1">
        <v>648.41766851253431</v>
      </c>
      <c r="F378" s="1">
        <v>3054.5043965280001</v>
      </c>
      <c r="G378" s="1">
        <v>2192.8105336719768</v>
      </c>
      <c r="H378" s="1">
        <v>338.83204395985467</v>
      </c>
      <c r="I378" s="1">
        <v>725.98</v>
      </c>
      <c r="J378" s="1">
        <v>552.16418781666641</v>
      </c>
      <c r="K378" s="1">
        <v>682.20994475138161</v>
      </c>
      <c r="L378" s="1">
        <v>346.42258892155729</v>
      </c>
    </row>
    <row r="379" spans="1:12" x14ac:dyDescent="0.2">
      <c r="A379" s="2">
        <v>42521</v>
      </c>
      <c r="B379" s="1">
        <v>49661.915091053103</v>
      </c>
      <c r="C379" s="1">
        <v>6811.7524576853984</v>
      </c>
      <c r="D379" s="1">
        <v>129812.3412241862</v>
      </c>
      <c r="E379" s="1">
        <v>693.86978032710613</v>
      </c>
      <c r="F379" s="1">
        <v>3289.0482134825002</v>
      </c>
      <c r="G379" s="1">
        <v>2192.8105336719768</v>
      </c>
      <c r="H379" s="1">
        <v>332.29258551142948</v>
      </c>
      <c r="I379" s="1">
        <v>725.98</v>
      </c>
      <c r="J379" s="1">
        <v>559.12145658315637</v>
      </c>
      <c r="K379" s="1">
        <v>686.06998158379395</v>
      </c>
      <c r="L379" s="1">
        <v>347.08079184050831</v>
      </c>
    </row>
    <row r="380" spans="1:12" x14ac:dyDescent="0.2">
      <c r="A380" s="2">
        <v>42551</v>
      </c>
      <c r="B380" s="1">
        <v>48530.360975743199</v>
      </c>
      <c r="C380" s="1">
        <v>6543.3826697505092</v>
      </c>
      <c r="D380" s="1">
        <v>128432.3978883333</v>
      </c>
      <c r="E380" s="1">
        <v>702.71940234686792</v>
      </c>
      <c r="F380" s="1">
        <v>3202.6066385169001</v>
      </c>
      <c r="G380" s="1">
        <v>2243.2421662946831</v>
      </c>
      <c r="H380" s="1">
        <v>329.73393260299139</v>
      </c>
      <c r="I380" s="1">
        <v>758.43200000000002</v>
      </c>
      <c r="J380" s="1">
        <v>566.55777195571238</v>
      </c>
      <c r="K380" s="1">
        <v>699.62578268876644</v>
      </c>
      <c r="L380" s="1">
        <v>347.63612110745311</v>
      </c>
    </row>
    <row r="381" spans="1:12" x14ac:dyDescent="0.2">
      <c r="A381" s="2">
        <v>42580</v>
      </c>
      <c r="B381" s="1">
        <v>51580.954261105602</v>
      </c>
      <c r="C381" s="1">
        <v>6676.1862863221822</v>
      </c>
      <c r="D381" s="1">
        <v>131224.29650332819</v>
      </c>
      <c r="E381" s="1">
        <v>718.382659571403</v>
      </c>
      <c r="F381" s="1">
        <v>2837.3106724442</v>
      </c>
      <c r="G381" s="1">
        <v>2243.2421662946831</v>
      </c>
      <c r="H381" s="1">
        <v>334.87778195159808</v>
      </c>
      <c r="I381" s="1">
        <v>758.43200000000002</v>
      </c>
      <c r="J381" s="1">
        <v>570.75029946818472</v>
      </c>
      <c r="K381" s="1">
        <v>704.53775322283639</v>
      </c>
      <c r="L381" s="1">
        <v>348.22710251333581</v>
      </c>
    </row>
    <row r="382" spans="1:12" x14ac:dyDescent="0.2">
      <c r="A382" s="2">
        <v>42613</v>
      </c>
      <c r="B382" s="1">
        <v>50896.569674114799</v>
      </c>
      <c r="C382" s="1">
        <v>6783.5266037034608</v>
      </c>
      <c r="D382" s="1">
        <v>136414.74231351801</v>
      </c>
      <c r="E382" s="1">
        <v>705.72294752092478</v>
      </c>
      <c r="F382" s="1">
        <v>2920.1624171080002</v>
      </c>
      <c r="G382" s="1">
        <v>2243.2421662946831</v>
      </c>
      <c r="H382" s="1">
        <v>336.51868308316091</v>
      </c>
      <c r="I382" s="1">
        <v>758.43200000000002</v>
      </c>
      <c r="J382" s="1">
        <v>573.1474507259511</v>
      </c>
      <c r="K382" s="1">
        <v>704.9200736648254</v>
      </c>
      <c r="L382" s="1">
        <v>348.81908858760852</v>
      </c>
    </row>
    <row r="383" spans="1:12" x14ac:dyDescent="0.2">
      <c r="A383" s="2">
        <v>42643</v>
      </c>
      <c r="B383" s="1">
        <v>51100.342923185701</v>
      </c>
      <c r="C383" s="1">
        <v>6678.0685461874882</v>
      </c>
      <c r="D383" s="1">
        <v>134604.89513870631</v>
      </c>
      <c r="E383" s="1">
        <v>682.19865169837055</v>
      </c>
      <c r="F383" s="1">
        <v>2986.7468241000001</v>
      </c>
      <c r="G383" s="1">
        <v>2283.806207102803</v>
      </c>
      <c r="H383" s="1">
        <v>330.36039118273908</v>
      </c>
      <c r="I383" s="1">
        <v>780.12400000000002</v>
      </c>
      <c r="J383" s="1">
        <v>571.88652633435402</v>
      </c>
      <c r="K383" s="1">
        <v>705.41657458563577</v>
      </c>
      <c r="L383" s="1">
        <v>349.3074353116312</v>
      </c>
    </row>
    <row r="384" spans="1:12" x14ac:dyDescent="0.2">
      <c r="A384" s="2">
        <v>42674</v>
      </c>
      <c r="B384" s="1">
        <v>49988.121350189802</v>
      </c>
      <c r="C384" s="1">
        <v>6672.6179195457826</v>
      </c>
      <c r="D384" s="1">
        <v>136207.96726356531</v>
      </c>
      <c r="E384" s="1">
        <v>650.04265292085245</v>
      </c>
      <c r="F384" s="1">
        <v>2958.6543357584001</v>
      </c>
      <c r="G384" s="1">
        <v>2283.806207102803</v>
      </c>
      <c r="H384" s="1">
        <v>330.72378761304009</v>
      </c>
      <c r="I384" s="1">
        <v>780.12400000000002</v>
      </c>
      <c r="J384" s="1">
        <v>564.5663787972743</v>
      </c>
      <c r="K384" s="1">
        <v>699.04014732965049</v>
      </c>
      <c r="L384" s="1">
        <v>349.83139646459858</v>
      </c>
    </row>
    <row r="385" spans="1:12" x14ac:dyDescent="0.2">
      <c r="A385" s="2">
        <v>42704</v>
      </c>
      <c r="B385" s="1">
        <v>51217.002987920801</v>
      </c>
      <c r="C385" s="1">
        <v>7057.0131996558266</v>
      </c>
      <c r="D385" s="1">
        <v>137233.7698972841</v>
      </c>
      <c r="E385" s="1">
        <v>659.50902697616914</v>
      </c>
      <c r="F385" s="1">
        <v>3124.3960367620002</v>
      </c>
      <c r="G385" s="1">
        <v>2283.806207102803</v>
      </c>
      <c r="H385" s="1">
        <v>336.44530913874581</v>
      </c>
      <c r="I385" s="1">
        <v>780.12400000000002</v>
      </c>
      <c r="J385" s="1">
        <v>556.43662294259354</v>
      </c>
      <c r="K385" s="1">
        <v>687.67513812154743</v>
      </c>
      <c r="L385" s="1">
        <v>350.32116041964912</v>
      </c>
    </row>
    <row r="386" spans="1:12" x14ac:dyDescent="0.2">
      <c r="A386" s="2">
        <v>42734</v>
      </c>
      <c r="B386" s="1">
        <v>53353.974570757302</v>
      </c>
      <c r="C386" s="1">
        <v>7403.2922083089843</v>
      </c>
      <c r="D386" s="1">
        <v>140321.6923523405</v>
      </c>
      <c r="E386" s="1">
        <v>703.517711816325</v>
      </c>
      <c r="F386" s="1">
        <v>3338.3661985816998</v>
      </c>
      <c r="G386" s="1">
        <v>2385.6775813491072</v>
      </c>
      <c r="H386" s="1">
        <v>339.47331692099442</v>
      </c>
      <c r="I386" s="1">
        <v>802.82399999999996</v>
      </c>
      <c r="J386" s="1">
        <v>555.49068068359111</v>
      </c>
      <c r="K386" s="1">
        <v>690.11860036832445</v>
      </c>
      <c r="L386" s="1">
        <v>350.84664216027858</v>
      </c>
    </row>
    <row r="387" spans="1:12" x14ac:dyDescent="0.2">
      <c r="A387" s="2">
        <v>42766</v>
      </c>
      <c r="B387" s="1">
        <v>52945.540169183201</v>
      </c>
      <c r="C387" s="1">
        <v>7154.0062301774724</v>
      </c>
      <c r="D387" s="1">
        <v>139165.78050118839</v>
      </c>
      <c r="E387" s="1">
        <v>665.18354894137042</v>
      </c>
      <c r="F387" s="1">
        <v>3139.2440626595999</v>
      </c>
      <c r="G387" s="1">
        <v>2385.6775813491072</v>
      </c>
      <c r="H387" s="1">
        <v>341.034894178831</v>
      </c>
      <c r="I387" s="1">
        <v>802.82399999999996</v>
      </c>
      <c r="J387" s="1">
        <v>558.87917383576098</v>
      </c>
      <c r="K387" s="1">
        <v>688.3447513812157</v>
      </c>
      <c r="L387" s="1">
        <v>351.4079967877351</v>
      </c>
    </row>
    <row r="388" spans="1:12" x14ac:dyDescent="0.2">
      <c r="A388" s="2">
        <v>42794</v>
      </c>
      <c r="B388" s="1">
        <v>54051.445177911497</v>
      </c>
      <c r="C388" s="1">
        <v>7285.9631247993111</v>
      </c>
      <c r="D388" s="1">
        <v>139731.98771566449</v>
      </c>
      <c r="E388" s="1">
        <v>677.41617446901898</v>
      </c>
      <c r="F388" s="1">
        <v>3106.841341841</v>
      </c>
      <c r="G388" s="1">
        <v>2385.6775813491072</v>
      </c>
      <c r="H388" s="1">
        <v>341.9556883931138</v>
      </c>
      <c r="I388" s="1">
        <v>802.82399999999996</v>
      </c>
      <c r="J388" s="1">
        <v>559.82926843128178</v>
      </c>
      <c r="K388" s="1">
        <v>694.64162062615128</v>
      </c>
      <c r="L388" s="1">
        <v>351.86482718355921</v>
      </c>
    </row>
    <row r="389" spans="1:12" x14ac:dyDescent="0.2">
      <c r="A389" s="2">
        <v>42825</v>
      </c>
      <c r="B389" s="1">
        <v>55757.483318467603</v>
      </c>
      <c r="C389" s="1">
        <v>7419.307186962481</v>
      </c>
      <c r="D389" s="1">
        <v>143587.91284263119</v>
      </c>
      <c r="E389" s="1">
        <v>671.871093681101</v>
      </c>
      <c r="F389" s="1">
        <v>3008.7002748819</v>
      </c>
      <c r="G389" s="1">
        <v>2445.591868782089</v>
      </c>
      <c r="H389" s="1">
        <v>348.00830407767188</v>
      </c>
      <c r="I389" s="1">
        <v>817.19600000000003</v>
      </c>
      <c r="J389" s="1">
        <v>562.29251721237938</v>
      </c>
      <c r="K389" s="1">
        <v>694.816942909761</v>
      </c>
      <c r="L389" s="1">
        <v>352.39262442433449</v>
      </c>
    </row>
    <row r="390" spans="1:12" x14ac:dyDescent="0.2">
      <c r="A390" s="2">
        <v>42853</v>
      </c>
      <c r="B390" s="1">
        <v>56191.9993418827</v>
      </c>
      <c r="C390" s="1">
        <v>7659.0645933338919</v>
      </c>
      <c r="D390" s="1">
        <v>149904.18499205669</v>
      </c>
      <c r="E390" s="1">
        <v>689.42196669312398</v>
      </c>
      <c r="F390" s="1">
        <v>3004.407201859</v>
      </c>
      <c r="G390" s="1">
        <v>2445.591868782089</v>
      </c>
      <c r="H390" s="1">
        <v>349.50473978520591</v>
      </c>
      <c r="I390" s="1">
        <v>817.19600000000003</v>
      </c>
      <c r="J390" s="1">
        <v>566.50971109147224</v>
      </c>
      <c r="K390" s="1">
        <v>699.96316758747741</v>
      </c>
      <c r="L390" s="1">
        <v>352.92121336097108</v>
      </c>
    </row>
    <row r="391" spans="1:12" x14ac:dyDescent="0.2">
      <c r="A391" s="2">
        <v>42886</v>
      </c>
      <c r="B391" s="1">
        <v>54742.437995777698</v>
      </c>
      <c r="C391" s="1">
        <v>7815.4761840988822</v>
      </c>
      <c r="D391" s="1">
        <v>154327.1023929042</v>
      </c>
      <c r="E391" s="1">
        <v>691.69540079901731</v>
      </c>
      <c r="F391" s="1">
        <v>2971.7615757079998</v>
      </c>
      <c r="G391" s="1">
        <v>2445.591868782089</v>
      </c>
      <c r="H391" s="1">
        <v>351.53186727596011</v>
      </c>
      <c r="I391" s="1">
        <v>817.19600000000003</v>
      </c>
      <c r="J391" s="1">
        <v>573.13787471124249</v>
      </c>
      <c r="K391" s="1">
        <v>704.4559852670352</v>
      </c>
      <c r="L391" s="1">
        <v>353.45059518101249</v>
      </c>
    </row>
    <row r="392" spans="1:12" x14ac:dyDescent="0.2">
      <c r="A392" s="2">
        <v>42916</v>
      </c>
      <c r="B392" s="1">
        <v>54897.112183442703</v>
      </c>
      <c r="C392" s="1">
        <v>7589.800027124048</v>
      </c>
      <c r="D392" s="1">
        <v>152337.3740330961</v>
      </c>
      <c r="E392" s="1">
        <v>676.37419978140849</v>
      </c>
      <c r="F392" s="1">
        <v>2828.776528848</v>
      </c>
      <c r="G392" s="1">
        <v>2500.724302318873</v>
      </c>
      <c r="H392" s="1">
        <v>350.79365035468061</v>
      </c>
      <c r="I392" s="1">
        <v>846.2879999999999</v>
      </c>
      <c r="J392" s="1">
        <v>568.03694762631244</v>
      </c>
      <c r="K392" s="1">
        <v>702.93186003683297</v>
      </c>
      <c r="L392" s="1">
        <v>353.94542601426599</v>
      </c>
    </row>
    <row r="393" spans="1:12" x14ac:dyDescent="0.2">
      <c r="A393" s="2">
        <v>42947</v>
      </c>
      <c r="B393" s="1">
        <v>54996.646980327198</v>
      </c>
      <c r="C393" s="1">
        <v>7398.8640381833966</v>
      </c>
      <c r="D393" s="1">
        <v>153637.31516237551</v>
      </c>
      <c r="E393" s="1">
        <v>656.59625213677805</v>
      </c>
      <c r="F393" s="1">
        <v>2842.4802210490002</v>
      </c>
      <c r="G393" s="1">
        <v>2500.724302318873</v>
      </c>
      <c r="H393" s="1">
        <v>352.19682495609931</v>
      </c>
      <c r="I393" s="1">
        <v>846.2879999999999</v>
      </c>
      <c r="J393" s="1">
        <v>569.45703999537818</v>
      </c>
      <c r="K393" s="1">
        <v>705.49907918968734</v>
      </c>
      <c r="L393" s="1">
        <v>354.47634415328741</v>
      </c>
    </row>
    <row r="394" spans="1:12" x14ac:dyDescent="0.2">
      <c r="A394" s="2">
        <v>42978</v>
      </c>
      <c r="B394" s="1">
        <v>55431.164381270901</v>
      </c>
      <c r="C394" s="1">
        <v>7462.1539927968524</v>
      </c>
      <c r="D394" s="1">
        <v>157962.93462294561</v>
      </c>
      <c r="E394" s="1">
        <v>660.30600468489922</v>
      </c>
      <c r="F394" s="1">
        <v>2838.8893246739999</v>
      </c>
      <c r="G394" s="1">
        <v>2500.724302318873</v>
      </c>
      <c r="H394" s="1">
        <v>356.03577034812082</v>
      </c>
      <c r="I394" s="1">
        <v>846.2879999999999</v>
      </c>
      <c r="J394" s="1">
        <v>569.42349640185057</v>
      </c>
      <c r="K394" s="1">
        <v>712.25119705340728</v>
      </c>
      <c r="L394" s="1">
        <v>354.97999012122727</v>
      </c>
    </row>
    <row r="395" spans="1:12" x14ac:dyDescent="0.2">
      <c r="A395" s="2">
        <v>43007</v>
      </c>
      <c r="B395" s="1">
        <v>55459.747114903803</v>
      </c>
      <c r="C395" s="1">
        <v>7721.0003658721771</v>
      </c>
      <c r="D395" s="1">
        <v>160419.60543989061</v>
      </c>
      <c r="E395" s="1">
        <v>666.47525636369448</v>
      </c>
      <c r="F395" s="1">
        <v>2964.9599917959999</v>
      </c>
      <c r="G395" s="1">
        <v>2503.0890791373672</v>
      </c>
      <c r="H395" s="1">
        <v>359.95216382195008</v>
      </c>
      <c r="I395" s="1">
        <v>867.78399999999999</v>
      </c>
      <c r="J395" s="1">
        <v>567.65035178308847</v>
      </c>
      <c r="K395" s="1">
        <v>709.16685082872959</v>
      </c>
      <c r="L395" s="1">
        <v>355.48268272789238</v>
      </c>
    </row>
    <row r="396" spans="1:12" x14ac:dyDescent="0.2">
      <c r="A396" s="2">
        <v>43039</v>
      </c>
      <c r="B396" s="1">
        <v>57712.858858954503</v>
      </c>
      <c r="C396" s="1">
        <v>8104.0960174973743</v>
      </c>
      <c r="D396" s="1">
        <v>170563.62645895861</v>
      </c>
      <c r="E396" s="1">
        <v>679.07859850693535</v>
      </c>
      <c r="F396" s="1">
        <v>3150.0252760919998</v>
      </c>
      <c r="G396" s="1">
        <v>2503.0890791373672</v>
      </c>
      <c r="H396" s="1">
        <v>361.93190072297091</v>
      </c>
      <c r="I396" s="1">
        <v>867.78399999999999</v>
      </c>
      <c r="J396" s="1">
        <v>573.86430248406498</v>
      </c>
      <c r="K396" s="1">
        <v>712.46629834254168</v>
      </c>
      <c r="L396" s="1">
        <v>356.0045452929495</v>
      </c>
    </row>
    <row r="397" spans="1:12" x14ac:dyDescent="0.2">
      <c r="A397" s="2">
        <v>43069</v>
      </c>
      <c r="B397" s="1">
        <v>58813.497835162001</v>
      </c>
      <c r="C397" s="1">
        <v>8318.1871091506564</v>
      </c>
      <c r="D397" s="1">
        <v>170863.18702470249</v>
      </c>
      <c r="E397" s="1">
        <v>704.22278524401281</v>
      </c>
      <c r="F397" s="1">
        <v>3225.5326796364002</v>
      </c>
      <c r="G397" s="1">
        <v>2503.0890791373672</v>
      </c>
      <c r="H397" s="1">
        <v>364.24826488759783</v>
      </c>
      <c r="I397" s="1">
        <v>867.78399999999999</v>
      </c>
      <c r="J397" s="1">
        <v>578.85422728062395</v>
      </c>
      <c r="K397" s="1">
        <v>713.80994475138152</v>
      </c>
      <c r="L397" s="1">
        <v>355.36934368771881</v>
      </c>
    </row>
    <row r="398" spans="1:12" x14ac:dyDescent="0.2">
      <c r="A398" s="2">
        <v>43098</v>
      </c>
      <c r="B398" s="1">
        <v>60007.7743495264</v>
      </c>
      <c r="C398" s="1">
        <v>8165.1654369203434</v>
      </c>
      <c r="D398" s="1">
        <v>170174.3748146994</v>
      </c>
      <c r="E398" s="1">
        <v>688.78278639219855</v>
      </c>
      <c r="F398" s="1">
        <v>3268.8204647868001</v>
      </c>
      <c r="G398" s="1">
        <v>2534.6407455661338</v>
      </c>
      <c r="H398" s="1">
        <v>365.92380690608081</v>
      </c>
      <c r="I398" s="1">
        <v>921.41200000000003</v>
      </c>
      <c r="J398" s="1">
        <v>575.84293313911701</v>
      </c>
      <c r="K398" s="1">
        <v>715.51602209944781</v>
      </c>
      <c r="L398" s="1">
        <v>356.98971678166453</v>
      </c>
    </row>
    <row r="399" spans="1:12" x14ac:dyDescent="0.2">
      <c r="A399" s="2">
        <v>43131</v>
      </c>
      <c r="B399" s="1">
        <v>59809.189929442502</v>
      </c>
      <c r="C399" s="1">
        <v>8185.5943124901551</v>
      </c>
      <c r="D399" s="1">
        <v>175511.83264343391</v>
      </c>
      <c r="E399" s="1">
        <v>646.61193624363636</v>
      </c>
      <c r="F399" s="1">
        <v>3265.3622589357001</v>
      </c>
      <c r="G399" s="1">
        <v>2534.6407455661338</v>
      </c>
      <c r="H399" s="1">
        <v>366.39950785505869</v>
      </c>
      <c r="I399" s="1">
        <v>921.41200000000003</v>
      </c>
      <c r="J399" s="1">
        <v>574.30163023727368</v>
      </c>
      <c r="K399" s="1">
        <v>710.61436464088422</v>
      </c>
      <c r="L399" s="1">
        <v>357.54608527182722</v>
      </c>
    </row>
    <row r="400" spans="1:12" x14ac:dyDescent="0.2">
      <c r="A400" s="2">
        <v>43159</v>
      </c>
      <c r="B400" s="1">
        <v>59916.011744866701</v>
      </c>
      <c r="C400" s="1">
        <v>8209.2308283001767</v>
      </c>
      <c r="D400" s="1">
        <v>175350.02932091249</v>
      </c>
      <c r="E400" s="1">
        <v>630.98772016296914</v>
      </c>
      <c r="F400" s="1">
        <v>3279.8500853019</v>
      </c>
      <c r="G400" s="1">
        <v>2534.6407455661338</v>
      </c>
      <c r="H400" s="1">
        <v>370.24670268753681</v>
      </c>
      <c r="I400" s="1">
        <v>921.41200000000003</v>
      </c>
      <c r="J400" s="1">
        <v>577.91089344400291</v>
      </c>
      <c r="K400" s="1">
        <v>708.97458563535952</v>
      </c>
      <c r="L400" s="1">
        <v>359.5583657540929</v>
      </c>
    </row>
    <row r="401" spans="1:12" x14ac:dyDescent="0.2">
      <c r="A401" s="2">
        <v>43189</v>
      </c>
      <c r="B401" s="1">
        <v>57791.408301334901</v>
      </c>
      <c r="C401" s="1">
        <v>8152.4911452277593</v>
      </c>
      <c r="D401" s="1">
        <v>174848.82765120629</v>
      </c>
      <c r="E401" s="1">
        <v>658.0446313447236</v>
      </c>
      <c r="F401" s="1">
        <v>3405.9940988752001</v>
      </c>
      <c r="G401" s="1">
        <v>2525.0211957741458</v>
      </c>
      <c r="H401" s="1">
        <v>373.02355295769343</v>
      </c>
      <c r="I401" s="1">
        <v>961.40400000000011</v>
      </c>
      <c r="J401" s="1">
        <v>579.4712528563017</v>
      </c>
      <c r="K401" s="1">
        <v>714.89871086556218</v>
      </c>
      <c r="L401" s="1">
        <v>360.09770330272409</v>
      </c>
    </row>
    <row r="402" spans="1:12" x14ac:dyDescent="0.2">
      <c r="A402" s="2">
        <v>43220</v>
      </c>
      <c r="B402" s="1">
        <v>59810.055563956099</v>
      </c>
      <c r="C402" s="1">
        <v>8450.3011039532939</v>
      </c>
      <c r="D402" s="1">
        <v>179780.284808358</v>
      </c>
      <c r="E402" s="1">
        <v>684.37010195339087</v>
      </c>
      <c r="F402" s="1">
        <v>3635.426878833</v>
      </c>
      <c r="G402" s="1">
        <v>2525.0211957741458</v>
      </c>
      <c r="H402" s="1">
        <v>375.56011311780571</v>
      </c>
      <c r="I402" s="1">
        <v>961.40400000000011</v>
      </c>
      <c r="J402" s="1">
        <v>577.44310347130465</v>
      </c>
      <c r="K402" s="1">
        <v>712.15911602209985</v>
      </c>
      <c r="L402" s="1">
        <v>360.67385962800847</v>
      </c>
    </row>
    <row r="403" spans="1:12" x14ac:dyDescent="0.2">
      <c r="A403" s="2">
        <v>43251</v>
      </c>
      <c r="B403" s="1">
        <v>60647.026490073004</v>
      </c>
      <c r="C403" s="1">
        <v>8545.4122866908947</v>
      </c>
      <c r="D403" s="1">
        <v>175423.26595450519</v>
      </c>
      <c r="E403" s="1">
        <v>701.45169289820035</v>
      </c>
      <c r="F403" s="1">
        <v>3679.2677875700001</v>
      </c>
      <c r="G403" s="1">
        <v>2525.0211957741458</v>
      </c>
      <c r="H403" s="1">
        <v>380.2546145317782</v>
      </c>
      <c r="I403" s="1">
        <v>961.40400000000011</v>
      </c>
      <c r="J403" s="1">
        <v>581.42746088525655</v>
      </c>
      <c r="K403" s="1">
        <v>714.78232044198944</v>
      </c>
      <c r="L403" s="1">
        <v>361.28700518937609</v>
      </c>
    </row>
    <row r="404" spans="1:12" x14ac:dyDescent="0.2">
      <c r="A404" s="2">
        <v>43280</v>
      </c>
      <c r="B404" s="1">
        <v>62434.902639465297</v>
      </c>
      <c r="C404" s="1">
        <v>8783.295646023138</v>
      </c>
      <c r="D404" s="1">
        <v>175342.94768230099</v>
      </c>
      <c r="E404" s="1">
        <v>740.12731014522615</v>
      </c>
      <c r="F404" s="1">
        <v>3818.9700404362002</v>
      </c>
      <c r="G404" s="1">
        <v>2515.321141057525</v>
      </c>
      <c r="H404" s="1">
        <v>381.5094547597331</v>
      </c>
      <c r="I404" s="1">
        <v>994.66800000000001</v>
      </c>
      <c r="J404" s="1">
        <v>584.21831269750578</v>
      </c>
      <c r="K404" s="1">
        <v>715.96906077348115</v>
      </c>
      <c r="L404" s="1">
        <v>361.82893569716009</v>
      </c>
    </row>
    <row r="405" spans="1:12" x14ac:dyDescent="0.2">
      <c r="A405" s="2">
        <v>43312</v>
      </c>
      <c r="B405" s="1">
        <v>63198.741751620299</v>
      </c>
      <c r="C405" s="1">
        <v>9006.346877968339</v>
      </c>
      <c r="D405" s="1">
        <v>177375.96708554239</v>
      </c>
      <c r="E405" s="1">
        <v>741.76323869521605</v>
      </c>
      <c r="F405" s="1">
        <v>3661.5888190725</v>
      </c>
      <c r="G405" s="1">
        <v>2515.321141057525</v>
      </c>
      <c r="H405" s="1">
        <v>389.13964385492778</v>
      </c>
      <c r="I405" s="1">
        <v>994.66800000000001</v>
      </c>
      <c r="J405" s="1">
        <v>585.15306199782185</v>
      </c>
      <c r="K405" s="1">
        <v>716.09723756906124</v>
      </c>
      <c r="L405" s="1">
        <v>362.51641067498468</v>
      </c>
    </row>
    <row r="406" spans="1:12" x14ac:dyDescent="0.2">
      <c r="A406" s="2">
        <v>43343</v>
      </c>
      <c r="B406" s="1">
        <v>64278.8711820877</v>
      </c>
      <c r="C406" s="1">
        <v>9386.2092083300577</v>
      </c>
      <c r="D406" s="1">
        <v>181382.11963771941</v>
      </c>
      <c r="E406" s="1">
        <v>777.89132432018846</v>
      </c>
      <c r="F406" s="1">
        <v>3804.4110535899999</v>
      </c>
      <c r="G406" s="1">
        <v>2515.321141057525</v>
      </c>
      <c r="H406" s="1">
        <v>383.88625866288629</v>
      </c>
      <c r="I406" s="1">
        <v>994.66800000000001</v>
      </c>
      <c r="J406" s="1">
        <v>589.89280180000424</v>
      </c>
      <c r="K406" s="1">
        <v>718.19226519337076</v>
      </c>
      <c r="L406" s="1">
        <v>363.13268857313221</v>
      </c>
    </row>
    <row r="407" spans="1:12" x14ac:dyDescent="0.2">
      <c r="A407" s="2">
        <v>43371</v>
      </c>
      <c r="B407" s="1">
        <v>63599.123335313197</v>
      </c>
      <c r="C407" s="1">
        <v>9453.8719018873089</v>
      </c>
      <c r="D407" s="1">
        <v>179250.76932816481</v>
      </c>
      <c r="E407" s="1">
        <v>760.83180787093204</v>
      </c>
      <c r="F407" s="1">
        <v>3951.963254503501</v>
      </c>
      <c r="G407" s="1">
        <v>2484.746477331747</v>
      </c>
      <c r="H407" s="1">
        <v>381.65971836264151</v>
      </c>
      <c r="I407" s="1">
        <v>1028.1880000000001</v>
      </c>
      <c r="J407" s="1">
        <v>587.41525203244419</v>
      </c>
      <c r="K407" s="1">
        <v>715.46593001841666</v>
      </c>
      <c r="L407" s="1">
        <v>363.71370087484922</v>
      </c>
    </row>
    <row r="408" spans="1:12" x14ac:dyDescent="0.2">
      <c r="A408" s="2">
        <v>43404</v>
      </c>
      <c r="B408" s="1">
        <v>59483.086148020302</v>
      </c>
      <c r="C408" s="1">
        <v>8996.9065226603216</v>
      </c>
      <c r="D408" s="1">
        <v>168776.7158009267</v>
      </c>
      <c r="E408" s="1">
        <v>755.74554577683284</v>
      </c>
      <c r="F408" s="1">
        <v>3798.738505153201</v>
      </c>
      <c r="G408" s="1">
        <v>2484.746477331747</v>
      </c>
      <c r="H408" s="1">
        <v>383.9878426446536</v>
      </c>
      <c r="I408" s="1">
        <v>1028.1880000000001</v>
      </c>
      <c r="J408" s="1">
        <v>590.23484524219987</v>
      </c>
      <c r="K408" s="1">
        <v>713.84088397790094</v>
      </c>
      <c r="L408" s="1">
        <v>364.33201416633648</v>
      </c>
    </row>
    <row r="409" spans="1:12" x14ac:dyDescent="0.2">
      <c r="A409" s="2">
        <v>43434</v>
      </c>
      <c r="B409" s="1">
        <v>58149.200156663697</v>
      </c>
      <c r="C409" s="1">
        <v>8837.0119848959694</v>
      </c>
      <c r="D409" s="1">
        <v>168679.72856964279</v>
      </c>
      <c r="E409" s="1">
        <v>757.97397833487355</v>
      </c>
      <c r="F409" s="1">
        <v>3270.9799372653001</v>
      </c>
      <c r="G409" s="1">
        <v>2484.746477331747</v>
      </c>
      <c r="H409" s="1">
        <v>385.10140738832308</v>
      </c>
      <c r="I409" s="1">
        <v>1028.1880000000001</v>
      </c>
      <c r="J409" s="1">
        <v>591.6514088707811</v>
      </c>
      <c r="K409" s="1">
        <v>717.04677716390449</v>
      </c>
      <c r="L409" s="1">
        <v>364.87851218758601</v>
      </c>
    </row>
    <row r="410" spans="1:12" x14ac:dyDescent="0.2">
      <c r="A410" s="2">
        <v>43465</v>
      </c>
      <c r="B410" s="1">
        <v>57887.914831405302</v>
      </c>
      <c r="C410" s="1">
        <v>8449.1676415584443</v>
      </c>
      <c r="D410" s="1">
        <v>170687.98514735929</v>
      </c>
      <c r="E410" s="1">
        <v>740.44848055658963</v>
      </c>
      <c r="F410" s="1">
        <v>3129.9274566605</v>
      </c>
      <c r="G410" s="1">
        <v>2433.111400568122</v>
      </c>
      <c r="H410" s="1">
        <v>383.59951189950863</v>
      </c>
      <c r="I410" s="1">
        <v>1027.26</v>
      </c>
      <c r="J410" s="1">
        <v>600.5261800038428</v>
      </c>
      <c r="K410" s="1">
        <v>727.31933701657488</v>
      </c>
      <c r="L410" s="1">
        <v>365.42582995586741</v>
      </c>
    </row>
    <row r="411" spans="1:12" x14ac:dyDescent="0.2">
      <c r="A411" s="2">
        <v>43496</v>
      </c>
      <c r="B411" s="1">
        <v>60199.504810303901</v>
      </c>
      <c r="C411" s="1">
        <v>8751.1953363163793</v>
      </c>
      <c r="D411" s="1">
        <v>176619.65841342759</v>
      </c>
      <c r="E411" s="1">
        <v>787.74857963017712</v>
      </c>
      <c r="F411" s="1">
        <v>3293.609191099999</v>
      </c>
      <c r="G411" s="1">
        <v>2433.111400568122</v>
      </c>
      <c r="H411" s="1">
        <v>385.36406965424641</v>
      </c>
      <c r="I411" s="1">
        <v>1027.26</v>
      </c>
      <c r="J411" s="1">
        <v>604.36954755586737</v>
      </c>
      <c r="K411" s="1">
        <v>734.33885819521208</v>
      </c>
      <c r="L411" s="1">
        <v>366.08359644978799</v>
      </c>
    </row>
    <row r="412" spans="1:12" x14ac:dyDescent="0.2">
      <c r="A412" s="2">
        <v>43524</v>
      </c>
      <c r="B412" s="1">
        <v>63843.819754353201</v>
      </c>
      <c r="C412" s="1">
        <v>9272.7829188532778</v>
      </c>
      <c r="D412" s="1">
        <v>183016.09945826739</v>
      </c>
      <c r="E412" s="1">
        <v>811.12299166539958</v>
      </c>
      <c r="F412" s="1">
        <v>3504.2716747427999</v>
      </c>
      <c r="G412" s="1">
        <v>2433.111400568122</v>
      </c>
      <c r="H412" s="1">
        <v>385.78797013086609</v>
      </c>
      <c r="I412" s="1">
        <v>1027.26</v>
      </c>
      <c r="J412" s="1">
        <v>610.05062130289252</v>
      </c>
      <c r="K412" s="1">
        <v>734.84198895027669</v>
      </c>
      <c r="L412" s="1">
        <v>366.70593856375262</v>
      </c>
    </row>
    <row r="413" spans="1:12" x14ac:dyDescent="0.2">
      <c r="A413" s="2">
        <v>43553</v>
      </c>
      <c r="B413" s="1">
        <v>64292.238779427797</v>
      </c>
      <c r="C413" s="1">
        <v>9443.2347394048065</v>
      </c>
      <c r="D413" s="1">
        <v>185849.45509400801</v>
      </c>
      <c r="E413" s="1">
        <v>838.95610250027289</v>
      </c>
      <c r="F413" s="1">
        <v>3566.1757284111</v>
      </c>
      <c r="G413" s="1">
        <v>2367.196680988272</v>
      </c>
      <c r="H413" s="1">
        <v>385.51791855177453</v>
      </c>
      <c r="I413" s="1">
        <v>1047.5</v>
      </c>
      <c r="J413" s="1">
        <v>621.1535426106052</v>
      </c>
      <c r="K413" s="1">
        <v>747.62946593001891</v>
      </c>
      <c r="L413" s="1">
        <v>367.32933865931102</v>
      </c>
    </row>
    <row r="414" spans="1:12" x14ac:dyDescent="0.2">
      <c r="A414" s="2">
        <v>43585</v>
      </c>
      <c r="B414" s="1">
        <v>65925.669009720194</v>
      </c>
      <c r="C414" s="1">
        <v>9894.7847983584452</v>
      </c>
      <c r="D414" s="1">
        <v>192405.90361519411</v>
      </c>
      <c r="E414" s="1">
        <v>844.85730566528082</v>
      </c>
      <c r="F414" s="1">
        <v>3701.6538562357</v>
      </c>
      <c r="G414" s="1">
        <v>2367.196680988272</v>
      </c>
      <c r="H414" s="1">
        <v>376.65100642508372</v>
      </c>
      <c r="I414" s="1">
        <v>1047.5</v>
      </c>
      <c r="J414" s="1">
        <v>622.89277252991485</v>
      </c>
      <c r="K414" s="1">
        <v>747.61841620626194</v>
      </c>
      <c r="L414" s="1">
        <v>367.91706560116592</v>
      </c>
    </row>
    <row r="415" spans="1:12" x14ac:dyDescent="0.2">
      <c r="A415" s="2">
        <v>43616</v>
      </c>
      <c r="B415" s="1">
        <v>67027.282268558803</v>
      </c>
      <c r="C415" s="1">
        <v>9488.275715746604</v>
      </c>
      <c r="D415" s="1">
        <v>182615.91957983439</v>
      </c>
      <c r="E415" s="1">
        <v>857.74773084259334</v>
      </c>
      <c r="F415" s="1">
        <v>3451.562271027</v>
      </c>
      <c r="G415" s="1">
        <v>2367.196680988272</v>
      </c>
      <c r="H415" s="1">
        <v>375.33272790259588</v>
      </c>
      <c r="I415" s="1">
        <v>1047.5</v>
      </c>
      <c r="J415" s="1">
        <v>633.4819496629234</v>
      </c>
      <c r="K415" s="1">
        <v>757.92117863720125</v>
      </c>
      <c r="L415" s="1">
        <v>368.46894119956772</v>
      </c>
    </row>
    <row r="416" spans="1:12" x14ac:dyDescent="0.2">
      <c r="A416" s="2">
        <v>43644</v>
      </c>
      <c r="B416" s="1">
        <v>69326.901303194798</v>
      </c>
      <c r="C416" s="1">
        <v>9924.1981121238987</v>
      </c>
      <c r="D416" s="1">
        <v>188748.0343240347</v>
      </c>
      <c r="E416" s="1">
        <v>860.5941634227479</v>
      </c>
      <c r="F416" s="1">
        <v>3558.7673515484989</v>
      </c>
      <c r="G416" s="1">
        <v>2356.8145858148109</v>
      </c>
      <c r="H416" s="1">
        <v>384.94124573690237</v>
      </c>
      <c r="I416" s="1">
        <v>1091.808</v>
      </c>
      <c r="J416" s="1">
        <v>640.07016193941774</v>
      </c>
      <c r="K416" s="1">
        <v>767.70165745856389</v>
      </c>
      <c r="L416" s="1">
        <v>368.94795082312709</v>
      </c>
    </row>
    <row r="417" spans="1:12" x14ac:dyDescent="0.2">
      <c r="A417" s="2">
        <v>43677</v>
      </c>
      <c r="B417" s="1">
        <v>71378.466708467895</v>
      </c>
      <c r="C417" s="1">
        <v>10226.674172961741</v>
      </c>
      <c r="D417" s="1">
        <v>190434.31044902341</v>
      </c>
      <c r="E417" s="1">
        <v>887.00101103100155</v>
      </c>
      <c r="F417" s="1">
        <v>3615.6344455824001</v>
      </c>
      <c r="G417" s="1">
        <v>2356.8145858148109</v>
      </c>
      <c r="H417" s="1">
        <v>389.32957593830309</v>
      </c>
      <c r="I417" s="1">
        <v>1091.808</v>
      </c>
      <c r="J417" s="1">
        <v>646.15082847784231</v>
      </c>
      <c r="K417" s="1">
        <v>772.99373848987159</v>
      </c>
      <c r="L417" s="1">
        <v>369.39068836411491</v>
      </c>
    </row>
    <row r="418" spans="1:12" x14ac:dyDescent="0.2">
      <c r="A418" s="2">
        <v>43707</v>
      </c>
      <c r="B418" s="1">
        <v>69796.969326306498</v>
      </c>
      <c r="C418" s="1">
        <v>10262.96820289378</v>
      </c>
      <c r="D418" s="1">
        <v>189944.61749451619</v>
      </c>
      <c r="E418" s="1">
        <v>932.26725708106733</v>
      </c>
      <c r="F418" s="1">
        <v>3490.8362327300001</v>
      </c>
      <c r="G418" s="1">
        <v>2356.8145858148109</v>
      </c>
      <c r="H418" s="1">
        <v>392.21061480024662</v>
      </c>
      <c r="I418" s="1">
        <v>1091.808</v>
      </c>
      <c r="J418" s="1">
        <v>655.90770598785764</v>
      </c>
      <c r="K418" s="1">
        <v>790.02504604051603</v>
      </c>
      <c r="L418" s="1">
        <v>369.68620091480619</v>
      </c>
    </row>
    <row r="419" spans="1:12" x14ac:dyDescent="0.2">
      <c r="A419" s="2">
        <v>43738</v>
      </c>
      <c r="B419" s="1">
        <v>71282.549744426899</v>
      </c>
      <c r="C419" s="1">
        <v>10496.98115071151</v>
      </c>
      <c r="D419" s="1">
        <v>192599.99944329061</v>
      </c>
      <c r="E419" s="1">
        <v>957.74963724981103</v>
      </c>
      <c r="F419" s="1">
        <v>3548.2096548640002</v>
      </c>
      <c r="G419" s="1">
        <v>2421.7558227157429</v>
      </c>
      <c r="H419" s="1">
        <v>396.8387000548895</v>
      </c>
      <c r="I419" s="1">
        <v>1105.8920000000001</v>
      </c>
      <c r="J419" s="1">
        <v>652.69375822851714</v>
      </c>
      <c r="K419" s="1">
        <v>785.63683241252352</v>
      </c>
      <c r="L419" s="1">
        <v>369.98194987553802</v>
      </c>
    </row>
    <row r="420" spans="1:12" x14ac:dyDescent="0.2">
      <c r="A420" s="2">
        <v>43769</v>
      </c>
      <c r="B420" s="1">
        <v>71018.385184140003</v>
      </c>
      <c r="C420" s="1">
        <v>10471.905320524829</v>
      </c>
      <c r="D420" s="1">
        <v>194214.82964346421</v>
      </c>
      <c r="E420" s="1">
        <v>954.23746718585755</v>
      </c>
      <c r="F420" s="1">
        <v>3516.7659902716</v>
      </c>
      <c r="G420" s="1">
        <v>2421.7558227157429</v>
      </c>
      <c r="H420" s="1">
        <v>392.98936466435708</v>
      </c>
      <c r="I420" s="1">
        <v>1105.8920000000001</v>
      </c>
      <c r="J420" s="1">
        <v>649.49555881319736</v>
      </c>
      <c r="K420" s="1">
        <v>783.42983425414411</v>
      </c>
      <c r="L420" s="1">
        <v>370.27793543543839</v>
      </c>
    </row>
    <row r="421" spans="1:12" x14ac:dyDescent="0.2">
      <c r="A421" s="2">
        <v>43798</v>
      </c>
      <c r="B421" s="1">
        <v>73201.448967942299</v>
      </c>
      <c r="C421" s="1">
        <v>11007.384631489331</v>
      </c>
      <c r="D421" s="1">
        <v>198987.28043920139</v>
      </c>
      <c r="E421" s="1">
        <v>963.99023658628516</v>
      </c>
      <c r="F421" s="1">
        <v>3581.5685040522999</v>
      </c>
      <c r="G421" s="1">
        <v>2421.7558227157429</v>
      </c>
      <c r="H421" s="1">
        <v>400.57405940237919</v>
      </c>
      <c r="I421" s="1">
        <v>1105.8920000000001</v>
      </c>
      <c r="J421" s="1">
        <v>654.82142239546556</v>
      </c>
      <c r="K421" s="1">
        <v>781.85709023941104</v>
      </c>
      <c r="L421" s="1">
        <v>370.57415778378669</v>
      </c>
    </row>
    <row r="422" spans="1:12" x14ac:dyDescent="0.2">
      <c r="A422" s="2">
        <v>43830</v>
      </c>
      <c r="B422" s="1">
        <v>71813.874446151996</v>
      </c>
      <c r="C422" s="1">
        <v>10836.637184470639</v>
      </c>
      <c r="D422" s="1">
        <v>202577.83947097961</v>
      </c>
      <c r="E422" s="1">
        <v>919.99107857205536</v>
      </c>
      <c r="F422" s="1">
        <v>3687.1200314942998</v>
      </c>
      <c r="G422" s="1">
        <v>2524.00124620516</v>
      </c>
      <c r="H422" s="1">
        <v>402.69710191721191</v>
      </c>
      <c r="I422" s="1">
        <v>1130.3320000000001</v>
      </c>
      <c r="J422" s="1">
        <v>644.08235106817995</v>
      </c>
      <c r="K422" s="1">
        <v>779.64198895027675</v>
      </c>
      <c r="L422" s="1">
        <v>370.8335596942353</v>
      </c>
    </row>
    <row r="423" spans="1:12" x14ac:dyDescent="0.2">
      <c r="A423" s="2">
        <v>43861</v>
      </c>
      <c r="B423" s="1">
        <v>75179.4100346388</v>
      </c>
      <c r="C423" s="1">
        <v>11353.507696433549</v>
      </c>
      <c r="D423" s="1">
        <v>205722.86831435279</v>
      </c>
      <c r="E423" s="1">
        <v>979.35332486134575</v>
      </c>
      <c r="F423" s="1">
        <v>3452.5268460983998</v>
      </c>
      <c r="G423" s="1">
        <v>2524.00124620516</v>
      </c>
      <c r="H423" s="1">
        <v>424.78183421567309</v>
      </c>
      <c r="I423" s="1">
        <v>1130.3320000000001</v>
      </c>
      <c r="J423" s="1">
        <v>660.63002310396894</v>
      </c>
      <c r="K423" s="1">
        <v>793.40120517782464</v>
      </c>
      <c r="L423" s="1">
        <v>371.1365384522764</v>
      </c>
    </row>
    <row r="424" spans="1:12" x14ac:dyDescent="0.2">
      <c r="A424" s="2">
        <v>43889</v>
      </c>
      <c r="B424" s="1">
        <v>69106.335744315205</v>
      </c>
      <c r="C424" s="1">
        <v>10839.105419572201</v>
      </c>
      <c r="D424" s="1">
        <v>205424.85912755801</v>
      </c>
      <c r="E424" s="1">
        <v>938.77803281207298</v>
      </c>
      <c r="F424" s="1">
        <v>3284.0543791872001</v>
      </c>
      <c r="G424" s="1">
        <v>2524.00124620516</v>
      </c>
      <c r="H424" s="1">
        <v>434.4728370196234</v>
      </c>
      <c r="I424" s="1">
        <v>1130.3320000000001</v>
      </c>
      <c r="J424" s="1">
        <v>666.7946401909378</v>
      </c>
      <c r="K424" s="1">
        <v>804.58026983665559</v>
      </c>
      <c r="L424" s="1">
        <v>371.4151660871579</v>
      </c>
    </row>
    <row r="425" spans="1:12" x14ac:dyDescent="0.2">
      <c r="A425" s="2">
        <v>43921</v>
      </c>
      <c r="B425" s="1">
        <v>54633.826016196799</v>
      </c>
      <c r="C425" s="1">
        <v>9959.888570009718</v>
      </c>
      <c r="D425" s="1">
        <v>188407.99888357139</v>
      </c>
      <c r="E425" s="1">
        <v>766.8408854090593</v>
      </c>
      <c r="F425" s="1">
        <v>2441.5373913161998</v>
      </c>
      <c r="G425" s="1">
        <v>2572.1479338965928</v>
      </c>
      <c r="H425" s="1">
        <v>453.75180445374139</v>
      </c>
      <c r="I425" s="1">
        <v>1057.3119999999999</v>
      </c>
      <c r="J425" s="1">
        <v>665.40774268109919</v>
      </c>
      <c r="K425" s="1">
        <v>803.49344315783094</v>
      </c>
      <c r="L425" s="1">
        <v>371.78336582838472</v>
      </c>
    </row>
    <row r="426" spans="1:12" x14ac:dyDescent="0.2">
      <c r="A426" s="2">
        <v>43951</v>
      </c>
      <c r="B426" s="1">
        <v>59847.1561082931</v>
      </c>
      <c r="C426" s="1">
        <v>10294.794529191489</v>
      </c>
      <c r="D426" s="1">
        <v>191662.34035536501</v>
      </c>
      <c r="E426" s="1">
        <v>768.22640422845393</v>
      </c>
      <c r="F426" s="1">
        <v>2061.7337026524001</v>
      </c>
      <c r="G426" s="1">
        <v>2572.1479338965928</v>
      </c>
      <c r="H426" s="1">
        <v>398.82594068696937</v>
      </c>
      <c r="I426" s="1">
        <v>1057.3119999999999</v>
      </c>
      <c r="J426" s="1">
        <v>664.55206184739768</v>
      </c>
      <c r="K426" s="1">
        <v>809.46035210984428</v>
      </c>
      <c r="L426" s="1">
        <v>371.96465980359352</v>
      </c>
    </row>
    <row r="427" spans="1:12" x14ac:dyDescent="0.2">
      <c r="A427" s="2">
        <v>43980</v>
      </c>
      <c r="B427" s="1">
        <v>62861.770267579603</v>
      </c>
      <c r="C427" s="1">
        <v>10639.804686954099</v>
      </c>
      <c r="D427" s="1">
        <v>190274.33938774111</v>
      </c>
      <c r="E427" s="1">
        <v>764.77978907168688</v>
      </c>
      <c r="F427" s="1">
        <v>2366.4114837072002</v>
      </c>
      <c r="G427" s="1">
        <v>2572.1479338965928</v>
      </c>
      <c r="H427" s="1">
        <v>408.26747832422279</v>
      </c>
      <c r="I427" s="1">
        <v>1057.3119999999999</v>
      </c>
      <c r="J427" s="1">
        <v>666.49723153873322</v>
      </c>
      <c r="K427" s="1">
        <v>809.30449008704772</v>
      </c>
      <c r="L427" s="1">
        <v>371.99640103454908</v>
      </c>
    </row>
    <row r="428" spans="1:12" x14ac:dyDescent="0.2">
      <c r="A428" s="2">
        <v>44012</v>
      </c>
      <c r="B428" s="1">
        <v>64331.6749896697</v>
      </c>
      <c r="C428" s="1">
        <v>10504.85142710714</v>
      </c>
      <c r="D428" s="1">
        <v>195701.55167661211</v>
      </c>
      <c r="E428" s="1">
        <v>753.06253518489802</v>
      </c>
      <c r="F428" s="1">
        <v>2397.6617069909998</v>
      </c>
      <c r="G428" s="1">
        <v>2533.8597174227471</v>
      </c>
      <c r="H428" s="1">
        <v>407.43071587101508</v>
      </c>
      <c r="I428" s="1">
        <v>1095.376</v>
      </c>
      <c r="J428" s="1">
        <v>668.63542408920489</v>
      </c>
      <c r="K428" s="1">
        <v>811.64177210649018</v>
      </c>
      <c r="L428" s="1">
        <v>372.02540051403372</v>
      </c>
    </row>
    <row r="429" spans="1:12" x14ac:dyDescent="0.2">
      <c r="A429" s="2">
        <v>44043</v>
      </c>
      <c r="B429" s="1">
        <v>64941.705405788001</v>
      </c>
      <c r="C429" s="1">
        <v>10430.57179699205</v>
      </c>
      <c r="D429" s="1">
        <v>203299.9292153689</v>
      </c>
      <c r="E429" s="1">
        <v>743.91345454467307</v>
      </c>
      <c r="F429" s="1">
        <v>2389.2687660440001</v>
      </c>
      <c r="G429" s="1">
        <v>2533.8597174227471</v>
      </c>
      <c r="H429" s="1">
        <v>420.56064438038419</v>
      </c>
      <c r="I429" s="1">
        <v>1095.376</v>
      </c>
      <c r="J429" s="1">
        <v>671.16794053496176</v>
      </c>
      <c r="K429" s="1">
        <v>817.32306191706823</v>
      </c>
      <c r="L429" s="1">
        <v>372.05621709367699</v>
      </c>
    </row>
    <row r="430" spans="1:12" x14ac:dyDescent="0.2">
      <c r="A430" s="2">
        <v>44074</v>
      </c>
      <c r="B430" s="1">
        <v>67348.081624861807</v>
      </c>
      <c r="C430" s="1">
        <v>10752.6784987029</v>
      </c>
      <c r="D430" s="1">
        <v>201476.7437767426</v>
      </c>
      <c r="E430" s="1">
        <v>732.25936908326821</v>
      </c>
      <c r="F430" s="1">
        <v>2423.1329520608001</v>
      </c>
      <c r="G430" s="1">
        <v>2533.8597174227471</v>
      </c>
      <c r="H430" s="1">
        <v>424.62561925196121</v>
      </c>
      <c r="I430" s="1">
        <v>1095.376</v>
      </c>
      <c r="J430" s="1">
        <v>668.40302941256709</v>
      </c>
      <c r="K430" s="1">
        <v>808.04985372782176</v>
      </c>
      <c r="L430" s="1">
        <v>372.09174162310057</v>
      </c>
    </row>
    <row r="431" spans="1:12" x14ac:dyDescent="0.2">
      <c r="A431" s="2">
        <v>44104</v>
      </c>
      <c r="B431" s="1">
        <v>65039.962346485998</v>
      </c>
      <c r="C431" s="1">
        <v>10778.344700856</v>
      </c>
      <c r="D431" s="1">
        <v>204505.87730144701</v>
      </c>
      <c r="E431" s="1">
        <v>735.02727951749898</v>
      </c>
      <c r="F431" s="1">
        <v>2409.2223454270002</v>
      </c>
      <c r="G431" s="1">
        <v>2560.9817579119399</v>
      </c>
      <c r="H431" s="1">
        <v>438.94033929986722</v>
      </c>
      <c r="I431" s="1">
        <v>1157.152</v>
      </c>
      <c r="J431" s="1">
        <v>676.16553656983183</v>
      </c>
      <c r="K431" s="1">
        <v>815.40447715665778</v>
      </c>
      <c r="L431" s="1">
        <v>372.11962978051162</v>
      </c>
    </row>
    <row r="432" spans="1:12" x14ac:dyDescent="0.2">
      <c r="A432" s="2">
        <v>44134</v>
      </c>
      <c r="B432" s="1">
        <v>66394.874035261106</v>
      </c>
      <c r="C432" s="1">
        <v>10667.88038139759</v>
      </c>
      <c r="D432" s="1">
        <v>211876.41583719139</v>
      </c>
      <c r="E432" s="1">
        <v>727.52007896375608</v>
      </c>
      <c r="F432" s="1">
        <v>2371.0672770326</v>
      </c>
      <c r="G432" s="1">
        <v>2560.9817579119399</v>
      </c>
      <c r="H432" s="1">
        <v>441.28972806051382</v>
      </c>
      <c r="I432" s="1">
        <v>1157.152</v>
      </c>
      <c r="J432" s="1">
        <v>678.20701578397905</v>
      </c>
      <c r="K432" s="1">
        <v>814.51644732779232</v>
      </c>
      <c r="L432" s="1">
        <v>372.16026315615761</v>
      </c>
    </row>
    <row r="433" spans="1:12" x14ac:dyDescent="0.2">
      <c r="A433" s="2">
        <v>44165</v>
      </c>
      <c r="B433" s="1">
        <v>73140.936099323502</v>
      </c>
      <c r="C433" s="1">
        <v>11388.408966661649</v>
      </c>
      <c r="D433" s="1">
        <v>217638.0938282517</v>
      </c>
      <c r="E433" s="1">
        <v>768.67632916480727</v>
      </c>
      <c r="F433" s="1">
        <v>2531.8137712460998</v>
      </c>
      <c r="G433" s="1">
        <v>2560.9817579119399</v>
      </c>
      <c r="H433" s="1">
        <v>434.24207047186218</v>
      </c>
      <c r="I433" s="1">
        <v>1157.152</v>
      </c>
      <c r="J433" s="1">
        <v>677.34164342596955</v>
      </c>
      <c r="K433" s="1">
        <v>815.99855226901479</v>
      </c>
      <c r="L433" s="1">
        <v>372.18539141074319</v>
      </c>
    </row>
    <row r="434" spans="1:12" x14ac:dyDescent="0.2">
      <c r="A434" s="2">
        <v>44196</v>
      </c>
      <c r="B434" s="1">
        <v>74424.554982234302</v>
      </c>
      <c r="C434" s="1">
        <v>11259.970318386369</v>
      </c>
      <c r="D434" s="1">
        <v>220526.83240431879</v>
      </c>
      <c r="E434" s="1">
        <v>758.16705963189668</v>
      </c>
      <c r="F434" s="1">
        <v>2561.9840245065002</v>
      </c>
      <c r="G434" s="1">
        <v>2646.9892094429028</v>
      </c>
      <c r="H434" s="1">
        <v>443.39154078372752</v>
      </c>
      <c r="I434" s="1">
        <v>1215.3399999999999</v>
      </c>
      <c r="J434" s="1">
        <v>675.56587350326902</v>
      </c>
      <c r="K434" s="1">
        <v>815.17520914893134</v>
      </c>
      <c r="L434" s="1">
        <v>372.19556364210422</v>
      </c>
    </row>
    <row r="435" spans="1:12" x14ac:dyDescent="0.2">
      <c r="A435" s="2">
        <v>44225</v>
      </c>
      <c r="B435" s="1">
        <v>74648.999779985694</v>
      </c>
      <c r="C435" s="1">
        <v>11239.7905432711</v>
      </c>
      <c r="D435" s="1">
        <v>230290.043400289</v>
      </c>
      <c r="E435" s="1">
        <v>763.14045688755209</v>
      </c>
      <c r="F435" s="1">
        <v>2704.0705014276</v>
      </c>
      <c r="G435" s="1">
        <v>2646.9892094429028</v>
      </c>
      <c r="H435" s="1">
        <v>459.45366798595052</v>
      </c>
      <c r="I435" s="1">
        <v>1215.3399999999999</v>
      </c>
      <c r="J435" s="1">
        <v>672.29175354118706</v>
      </c>
      <c r="K435" s="1">
        <v>811.13846214493003</v>
      </c>
      <c r="L435" s="1">
        <v>372.19957637219341</v>
      </c>
    </row>
    <row r="436" spans="1:12" x14ac:dyDescent="0.2">
      <c r="A436" s="2">
        <v>44253</v>
      </c>
      <c r="B436" s="1">
        <v>75712.815773170703</v>
      </c>
      <c r="C436" s="1">
        <v>11437.534397238491</v>
      </c>
      <c r="D436" s="1">
        <v>230592.9296417908</v>
      </c>
      <c r="E436" s="1">
        <v>779.14105058167615</v>
      </c>
      <c r="F436" s="1">
        <v>2963.3828402309</v>
      </c>
      <c r="G436" s="1">
        <v>2646.9892094429028</v>
      </c>
      <c r="H436" s="1">
        <v>460.09814661620209</v>
      </c>
      <c r="I436" s="1">
        <v>1215.3399999999999</v>
      </c>
      <c r="J436" s="1">
        <v>647.9298862184902</v>
      </c>
      <c r="K436" s="1">
        <v>790.12887010124678</v>
      </c>
      <c r="L436" s="1">
        <v>372.20005547937183</v>
      </c>
    </row>
    <row r="437" spans="1:12" x14ac:dyDescent="0.2">
      <c r="A437" s="2">
        <v>44286</v>
      </c>
      <c r="B437" s="1">
        <v>77108.768080832597</v>
      </c>
      <c r="C437" s="1">
        <v>12122.12441629424</v>
      </c>
      <c r="D437" s="1">
        <v>232408.7812982332</v>
      </c>
      <c r="E437" s="1">
        <v>825.60321823742083</v>
      </c>
      <c r="F437" s="1">
        <v>2947.3274812479999</v>
      </c>
      <c r="G437" s="1">
        <v>2797.7649386555581</v>
      </c>
      <c r="H437" s="1">
        <v>467.09314171973318</v>
      </c>
      <c r="I437" s="1">
        <v>1245.7239999999999</v>
      </c>
      <c r="J437" s="1">
        <v>651.96559846578259</v>
      </c>
      <c r="K437" s="1">
        <v>790.80116730857594</v>
      </c>
      <c r="L437" s="1">
        <v>372.20770553464638</v>
      </c>
    </row>
    <row r="438" spans="1:12" x14ac:dyDescent="0.2">
      <c r="A438" s="2">
        <v>44316</v>
      </c>
      <c r="B438" s="1">
        <v>80128.735795851593</v>
      </c>
      <c r="C438" s="1">
        <v>12441.37460107981</v>
      </c>
      <c r="D438" s="1">
        <v>232864.27264955529</v>
      </c>
      <c r="E438" s="1">
        <v>867.16234326846404</v>
      </c>
      <c r="F438" s="1">
        <v>3145.3101972495001</v>
      </c>
      <c r="G438" s="1">
        <v>2797.7649386555581</v>
      </c>
      <c r="H438" s="1">
        <v>473.93408073997841</v>
      </c>
      <c r="I438" s="1">
        <v>1245.7239999999999</v>
      </c>
      <c r="J438" s="1">
        <v>656.36878100975673</v>
      </c>
      <c r="K438" s="1">
        <v>791.56155699024976</v>
      </c>
      <c r="L438" s="1">
        <v>372.21923064347561</v>
      </c>
    </row>
    <row r="439" spans="1:12" x14ac:dyDescent="0.2">
      <c r="A439" s="2">
        <v>44347</v>
      </c>
      <c r="B439" s="1">
        <v>81695.433143239497</v>
      </c>
      <c r="C439" s="1">
        <v>12550.964016249871</v>
      </c>
      <c r="D439" s="1">
        <v>235569.27434920651</v>
      </c>
      <c r="E439" s="1">
        <v>874.65268247197503</v>
      </c>
      <c r="F439" s="1">
        <v>3217.9600611443998</v>
      </c>
      <c r="G439" s="1">
        <v>2797.7649386555581</v>
      </c>
      <c r="H439" s="1">
        <v>494.79278063568449</v>
      </c>
      <c r="I439" s="1">
        <v>1245.7239999999999</v>
      </c>
      <c r="J439" s="1">
        <v>658.31294116731021</v>
      </c>
      <c r="K439" s="1">
        <v>792.63634339396867</v>
      </c>
      <c r="L439" s="1">
        <v>372.23257632659039</v>
      </c>
    </row>
    <row r="440" spans="1:12" x14ac:dyDescent="0.2">
      <c r="A440" s="2">
        <v>44377</v>
      </c>
      <c r="B440" s="1">
        <v>83786.322907099398</v>
      </c>
      <c r="C440" s="1">
        <v>13247.821730339119</v>
      </c>
      <c r="D440" s="1">
        <v>244987.96286008481</v>
      </c>
      <c r="E440" s="1">
        <v>925.12052154510775</v>
      </c>
      <c r="F440" s="1">
        <v>3460.2636531308999</v>
      </c>
      <c r="G440" s="1">
        <v>2994.1895710337249</v>
      </c>
      <c r="H440" s="1">
        <v>499.51173252308689</v>
      </c>
      <c r="I440" s="1">
        <v>1339.9</v>
      </c>
      <c r="J440" s="1">
        <v>663.35495668859244</v>
      </c>
      <c r="K440" s="1">
        <v>794.60674103054828</v>
      </c>
      <c r="L440" s="1">
        <v>372.24298034357628</v>
      </c>
    </row>
    <row r="441" spans="1:12" x14ac:dyDescent="0.2">
      <c r="A441" s="2">
        <v>44407</v>
      </c>
      <c r="B441" s="1">
        <v>84671.618407166403</v>
      </c>
      <c r="C441" s="1">
        <v>13766.0718392934</v>
      </c>
      <c r="D441" s="1">
        <v>235091.91729730391</v>
      </c>
      <c r="E441" s="1">
        <v>983.6221197853987</v>
      </c>
      <c r="F441" s="1">
        <v>3589.8089358213001</v>
      </c>
      <c r="G441" s="1">
        <v>2994.1895710337249</v>
      </c>
      <c r="H441" s="1">
        <v>512.05496832831841</v>
      </c>
      <c r="I441" s="1">
        <v>1339.9</v>
      </c>
      <c r="J441" s="1">
        <v>675.65067434096466</v>
      </c>
      <c r="K441" s="1">
        <v>807.87586513700899</v>
      </c>
      <c r="L441" s="1">
        <v>372.25363641803068</v>
      </c>
    </row>
    <row r="442" spans="1:12" x14ac:dyDescent="0.2">
      <c r="A442" s="2">
        <v>44439</v>
      </c>
      <c r="B442" s="1">
        <v>86876.921850234095</v>
      </c>
      <c r="C442" s="1">
        <v>14219.6024981306</v>
      </c>
      <c r="D442" s="1">
        <v>241861.74291213401</v>
      </c>
      <c r="E442" s="1">
        <v>1008.687913403621</v>
      </c>
      <c r="F442" s="1">
        <v>3527.3352357193999</v>
      </c>
      <c r="G442" s="1">
        <v>2994.1895710337249</v>
      </c>
      <c r="H442" s="1">
        <v>510.07699423222368</v>
      </c>
      <c r="I442" s="1">
        <v>1339.9</v>
      </c>
      <c r="J442" s="1">
        <v>676.14675924148492</v>
      </c>
      <c r="K442" s="1">
        <v>806.79651401360718</v>
      </c>
      <c r="L442" s="1">
        <v>372.25870391383739</v>
      </c>
    </row>
    <row r="443" spans="1:12" x14ac:dyDescent="0.2">
      <c r="A443" s="2">
        <v>44469</v>
      </c>
      <c r="B443" s="1">
        <v>85501.908646947501</v>
      </c>
      <c r="C443" s="1">
        <v>13862.80455018562</v>
      </c>
      <c r="D443" s="1">
        <v>237893.2101934512</v>
      </c>
      <c r="E443" s="1">
        <v>968.85657000279014</v>
      </c>
      <c r="F443" s="1">
        <v>3784.1612603255999</v>
      </c>
      <c r="G443" s="1">
        <v>3154.049760445283</v>
      </c>
      <c r="H443" s="1">
        <v>510.59539393429822</v>
      </c>
      <c r="I443" s="1">
        <v>1500.6880000000001</v>
      </c>
      <c r="J443" s="1">
        <v>664.99968912637735</v>
      </c>
      <c r="K443" s="1">
        <v>796.36308639167783</v>
      </c>
      <c r="L443" s="1">
        <v>372.26156717469962</v>
      </c>
    </row>
    <row r="444" spans="1:12" x14ac:dyDescent="0.2">
      <c r="A444" s="2">
        <v>44498</v>
      </c>
      <c r="B444" s="1">
        <v>85629.599228848805</v>
      </c>
      <c r="C444" s="1">
        <v>14069.663368136749</v>
      </c>
      <c r="D444" s="1">
        <v>230861.25260237971</v>
      </c>
      <c r="E444" s="1">
        <v>986.96119209189851</v>
      </c>
      <c r="F444" s="1">
        <v>3850.2874575505998</v>
      </c>
      <c r="G444" s="1">
        <v>3154.049760445283</v>
      </c>
      <c r="H444" s="1">
        <v>488.3916808107839</v>
      </c>
      <c r="I444" s="1">
        <v>1500.6880000000001</v>
      </c>
      <c r="J444" s="1">
        <v>641.9597053379523</v>
      </c>
      <c r="K444" s="1">
        <v>794.20869747419761</v>
      </c>
      <c r="L444" s="1">
        <v>372.26055857908682</v>
      </c>
    </row>
    <row r="445" spans="1:12" x14ac:dyDescent="0.2">
      <c r="A445" s="2">
        <v>44530</v>
      </c>
      <c r="B445" s="1">
        <v>85347.507890656198</v>
      </c>
      <c r="C445" s="1">
        <v>14690.349696090159</v>
      </c>
      <c r="D445" s="1">
        <v>236694.03732907251</v>
      </c>
      <c r="E445" s="1">
        <v>1039.4588358439701</v>
      </c>
      <c r="F445" s="1">
        <v>3637.1737452563998</v>
      </c>
      <c r="G445" s="1">
        <v>3154.049760445283</v>
      </c>
      <c r="H445" s="1">
        <v>512.63266464844526</v>
      </c>
      <c r="I445" s="1">
        <v>1500.6880000000001</v>
      </c>
      <c r="J445" s="1">
        <v>655.32653833312463</v>
      </c>
      <c r="K445" s="1">
        <v>800.69351025968513</v>
      </c>
      <c r="L445" s="1">
        <v>372.27887640518333</v>
      </c>
    </row>
    <row r="446" spans="1:12" x14ac:dyDescent="0.2">
      <c r="A446" s="2">
        <v>44561</v>
      </c>
      <c r="B446" s="1">
        <v>87626.080640867804</v>
      </c>
      <c r="C446" s="1">
        <v>14903.57164263597</v>
      </c>
      <c r="D446" s="1">
        <v>234372.6914649239</v>
      </c>
      <c r="E446" s="1">
        <v>1086.892126244403</v>
      </c>
      <c r="F446" s="1">
        <v>3816.4169645912002</v>
      </c>
      <c r="G446" s="1">
        <v>3313.0413007364659</v>
      </c>
      <c r="H446" s="1">
        <v>499.43346093530818</v>
      </c>
      <c r="I446" s="1">
        <v>1635.204</v>
      </c>
      <c r="J446" s="1">
        <v>654.97219197561014</v>
      </c>
      <c r="K446" s="1">
        <v>795.64969347613066</v>
      </c>
      <c r="L446" s="1">
        <v>372.29535638027443</v>
      </c>
    </row>
    <row r="447" spans="1:12" x14ac:dyDescent="0.2">
      <c r="A447" s="2">
        <v>44592</v>
      </c>
      <c r="B447" s="1">
        <v>81873.493069901306</v>
      </c>
      <c r="C447" s="1">
        <v>14624.13215140855</v>
      </c>
      <c r="D447" s="1">
        <v>237545.0398592464</v>
      </c>
      <c r="E447" s="1">
        <v>1050.9238871300611</v>
      </c>
      <c r="F447" s="1">
        <v>4396.4644667753</v>
      </c>
      <c r="G447" s="1">
        <v>3313.0413007364659</v>
      </c>
      <c r="H447" s="1">
        <v>512.03179257889417</v>
      </c>
      <c r="I447" s="1">
        <v>1635.204</v>
      </c>
      <c r="J447" s="1">
        <v>647.60138392579722</v>
      </c>
      <c r="K447" s="1">
        <v>784.14308041013919</v>
      </c>
      <c r="L447" s="1">
        <v>372.31318547903749</v>
      </c>
    </row>
    <row r="448" spans="1:12" x14ac:dyDescent="0.2">
      <c r="A448" s="2">
        <v>44620</v>
      </c>
      <c r="B448" s="1">
        <v>83287.824179954099</v>
      </c>
      <c r="C448" s="1">
        <v>13827.10764772531</v>
      </c>
      <c r="D448" s="1">
        <v>225170.86550318319</v>
      </c>
      <c r="E448" s="1">
        <v>995.10628646378848</v>
      </c>
      <c r="F448" s="1">
        <v>4643.1491386449006</v>
      </c>
      <c r="G448" s="1">
        <v>3313.0413007364659</v>
      </c>
      <c r="H448" s="1">
        <v>490.6346373756341</v>
      </c>
      <c r="I448" s="1">
        <v>1635.204</v>
      </c>
      <c r="J448" s="1">
        <v>637.9070329231206</v>
      </c>
      <c r="K448" s="1">
        <v>774.38421250877309</v>
      </c>
      <c r="L448" s="1">
        <v>372.33194069217552</v>
      </c>
    </row>
    <row r="449" spans="1:12" x14ac:dyDescent="0.2">
      <c r="A449" s="2">
        <v>44651</v>
      </c>
      <c r="B449" s="1">
        <v>89045.516165224006</v>
      </c>
      <c r="C449" s="1">
        <v>13784.79634825042</v>
      </c>
      <c r="D449" s="1">
        <v>213172.0864736189</v>
      </c>
      <c r="E449" s="1">
        <v>1017.815088740535</v>
      </c>
      <c r="F449" s="1">
        <v>4918.9387478682002</v>
      </c>
      <c r="G449" s="1">
        <v>3414.2989670444722</v>
      </c>
      <c r="H449" s="1">
        <v>468.16669194488583</v>
      </c>
      <c r="I449" s="1">
        <v>1698.322161246017</v>
      </c>
      <c r="J449" s="1">
        <v>612.86534555156277</v>
      </c>
      <c r="K449" s="1">
        <v>755.95084240555821</v>
      </c>
      <c r="L449" s="1">
        <v>372.35161864254582</v>
      </c>
    </row>
    <row r="450" spans="1:12" x14ac:dyDescent="0.2">
      <c r="A450" s="2">
        <v>44680</v>
      </c>
      <c r="B450" s="1">
        <v>88319.800888572805</v>
      </c>
      <c r="C450" s="1">
        <v>13568.079845312321</v>
      </c>
      <c r="D450" s="1">
        <v>217365.74956757019</v>
      </c>
      <c r="E450" s="1">
        <v>1038.448738497538</v>
      </c>
      <c r="F450" s="1">
        <v>5463.9989347383998</v>
      </c>
      <c r="G450" s="1">
        <v>3414.2989670444722</v>
      </c>
      <c r="H450" s="1">
        <v>477.92258127035069</v>
      </c>
      <c r="I450" s="1">
        <v>1698.322161246017</v>
      </c>
      <c r="J450" s="1">
        <v>601.71201632700615</v>
      </c>
      <c r="K450" s="1">
        <v>740.09546720639844</v>
      </c>
      <c r="L450" s="1">
        <v>372.29913545947352</v>
      </c>
    </row>
    <row r="451" spans="1:12" x14ac:dyDescent="0.2">
      <c r="A451" s="2">
        <v>44712</v>
      </c>
      <c r="B451" s="1">
        <v>85556.885163392799</v>
      </c>
      <c r="C451" s="1">
        <v>13420.195181569001</v>
      </c>
      <c r="D451" s="1">
        <v>215026.0840263417</v>
      </c>
      <c r="E451" s="1">
        <v>975.90904783549695</v>
      </c>
      <c r="F451" s="1">
        <v>5687.3880770207998</v>
      </c>
      <c r="G451" s="1">
        <v>3414.2989670444722</v>
      </c>
      <c r="H451" s="1">
        <v>489.89325414232121</v>
      </c>
      <c r="I451" s="1">
        <v>1698.322161246017</v>
      </c>
      <c r="J451" s="1">
        <v>596.25730339560471</v>
      </c>
      <c r="K451" s="1">
        <v>736.83586042064655</v>
      </c>
      <c r="L451" s="1">
        <v>372.4176700477156</v>
      </c>
    </row>
    <row r="452" spans="1:12" x14ac:dyDescent="0.2">
      <c r="A452" s="2">
        <v>44742</v>
      </c>
      <c r="B452" s="1">
        <v>77550.907614712894</v>
      </c>
      <c r="C452" s="1">
        <v>12916.52454156461</v>
      </c>
      <c r="D452" s="1">
        <v>214284.28477273561</v>
      </c>
      <c r="E452" s="1">
        <v>943.94632108633971</v>
      </c>
      <c r="F452" s="1">
        <v>5479.5565794793993</v>
      </c>
      <c r="G452" s="1">
        <v>3435.0495072483918</v>
      </c>
      <c r="H452" s="1">
        <v>495.01780270372802</v>
      </c>
      <c r="I452" s="1">
        <v>1519.3299870502419</v>
      </c>
      <c r="J452" s="1">
        <v>585.51404679333405</v>
      </c>
      <c r="K452" s="1">
        <v>720.53824988617669</v>
      </c>
      <c r="L452" s="1">
        <v>372.60151455443389</v>
      </c>
    </row>
    <row r="453" spans="1:12" x14ac:dyDescent="0.2">
      <c r="A453" s="2">
        <v>44771</v>
      </c>
      <c r="B453" s="1">
        <v>82468.654483003294</v>
      </c>
      <c r="C453" s="1">
        <v>13747.42158133056</v>
      </c>
      <c r="D453" s="1">
        <v>211578.74153435341</v>
      </c>
      <c r="E453" s="1">
        <v>1007.190251298012</v>
      </c>
      <c r="F453" s="1">
        <v>5397.5695803696008</v>
      </c>
      <c r="G453" s="1">
        <v>3435.0495072483918</v>
      </c>
      <c r="H453" s="1">
        <v>463.43361475976991</v>
      </c>
      <c r="I453" s="1">
        <v>1519.3299870502419</v>
      </c>
      <c r="J453" s="1">
        <v>607.234368021808</v>
      </c>
      <c r="K453" s="1">
        <v>741.62722835912803</v>
      </c>
      <c r="L453" s="1">
        <v>373.07493980913563</v>
      </c>
    </row>
    <row r="454" spans="1:12" x14ac:dyDescent="0.2">
      <c r="A454" s="2">
        <v>44804</v>
      </c>
      <c r="B454" s="1">
        <v>83524.426954299197</v>
      </c>
      <c r="C454" s="1">
        <v>13514.7378924191</v>
      </c>
      <c r="D454" s="1">
        <v>218041.75576744031</v>
      </c>
      <c r="E454" s="1">
        <v>970.81937727414322</v>
      </c>
      <c r="F454" s="1">
        <v>5346.8572333463999</v>
      </c>
      <c r="G454" s="1">
        <v>3435.0495072483918</v>
      </c>
      <c r="H454" s="1">
        <v>471.04638676387651</v>
      </c>
      <c r="I454" s="1">
        <v>1519.3299870502419</v>
      </c>
      <c r="J454" s="1">
        <v>589.88956811167884</v>
      </c>
      <c r="K454" s="1">
        <v>721.89923759847909</v>
      </c>
      <c r="L454" s="1">
        <v>373.63684542072377</v>
      </c>
    </row>
    <row r="455" spans="1:12" x14ac:dyDescent="0.2">
      <c r="A455" s="2">
        <v>44834</v>
      </c>
      <c r="B455" s="1">
        <v>78174.035678540196</v>
      </c>
      <c r="C455" s="1">
        <v>13219.381632033919</v>
      </c>
      <c r="D455" s="1">
        <v>210797.71799995689</v>
      </c>
      <c r="E455" s="1">
        <v>916.07554125330455</v>
      </c>
      <c r="F455" s="1">
        <v>5256.3667583529004</v>
      </c>
      <c r="G455" s="1">
        <v>3326.1928812930778</v>
      </c>
      <c r="H455" s="1">
        <v>491.1525455777894</v>
      </c>
      <c r="I455" s="1">
        <v>1515.779703036098</v>
      </c>
      <c r="J455" s="1">
        <v>581.45491336229702</v>
      </c>
      <c r="K455" s="1">
        <v>695.41252440922426</v>
      </c>
      <c r="L455" s="1">
        <v>374.17812506383478</v>
      </c>
    </row>
    <row r="456" spans="1:12" x14ac:dyDescent="0.2">
      <c r="A456" s="2">
        <v>44865</v>
      </c>
      <c r="B456" s="1">
        <v>82614.274805097899</v>
      </c>
      <c r="C456" s="1">
        <v>14244.904840390651</v>
      </c>
      <c r="D456" s="1">
        <v>206412.09780929179</v>
      </c>
      <c r="E456" s="1">
        <v>959.40922587609884</v>
      </c>
      <c r="F456" s="1">
        <v>5639.5013920760002</v>
      </c>
      <c r="G456" s="1">
        <v>3326.1928812930778</v>
      </c>
      <c r="H456" s="1">
        <v>486.47559315352851</v>
      </c>
      <c r="I456" s="1">
        <v>1515.779703036098</v>
      </c>
      <c r="J456" s="1">
        <v>585.87000840489998</v>
      </c>
      <c r="K456" s="1">
        <v>695.83541591793585</v>
      </c>
      <c r="L456" s="1">
        <v>375.08914571107931</v>
      </c>
    </row>
    <row r="457" spans="1:12" x14ac:dyDescent="0.2">
      <c r="A457" s="2">
        <v>44895</v>
      </c>
      <c r="B457" s="1">
        <v>87937.741913532198</v>
      </c>
      <c r="C457" s="1">
        <v>14377.163563624081</v>
      </c>
      <c r="D457" s="1">
        <v>220142.64166648209</v>
      </c>
      <c r="E457" s="1">
        <v>963.29085681602601</v>
      </c>
      <c r="F457" s="1">
        <v>5292.9326099943</v>
      </c>
      <c r="G457" s="1">
        <v>3326.1928812930778</v>
      </c>
      <c r="H457" s="1">
        <v>492.3589486382316</v>
      </c>
      <c r="I457" s="1">
        <v>1515.779703036098</v>
      </c>
      <c r="J457" s="1">
        <v>596.08992269453393</v>
      </c>
      <c r="K457" s="1">
        <v>707.91141491678195</v>
      </c>
      <c r="L457" s="1">
        <v>376.02342339367362</v>
      </c>
    </row>
    <row r="458" spans="1:12" x14ac:dyDescent="0.2">
      <c r="A458" s="2">
        <v>44925</v>
      </c>
      <c r="B458" s="1">
        <v>85033.523900144297</v>
      </c>
      <c r="C458" s="1">
        <v>13482.1524523642</v>
      </c>
      <c r="D458" s="1">
        <v>213170.24886881359</v>
      </c>
      <c r="E458" s="1">
        <v>912.69278074329395</v>
      </c>
      <c r="F458" s="1">
        <v>5154.8550689999993</v>
      </c>
      <c r="G458" s="1">
        <v>3249.8980556527858</v>
      </c>
      <c r="H458" s="1">
        <v>511.37578634693227</v>
      </c>
      <c r="I458" s="1">
        <v>1663.0946291333539</v>
      </c>
      <c r="J458" s="1">
        <v>582.38509778911714</v>
      </c>
      <c r="K458" s="1">
        <v>695.4694974032958</v>
      </c>
      <c r="L458" s="1">
        <v>376.96960721979138</v>
      </c>
    </row>
    <row r="459" spans="1:12" x14ac:dyDescent="0.2">
      <c r="A459" s="2">
        <v>44957</v>
      </c>
      <c r="B459" s="1">
        <v>90505.754566779302</v>
      </c>
      <c r="C459" s="1">
        <v>13822.3154500646</v>
      </c>
      <c r="D459" s="1">
        <v>218596.62613962559</v>
      </c>
      <c r="E459" s="1">
        <v>954.84900213521462</v>
      </c>
      <c r="F459" s="1">
        <v>4956.6566497643998</v>
      </c>
      <c r="G459" s="1">
        <v>3249.8980556527858</v>
      </c>
      <c r="H459" s="1">
        <v>499.46653603042063</v>
      </c>
      <c r="I459" s="1">
        <v>1663.0946291333539</v>
      </c>
      <c r="J459" s="1">
        <v>600.37014402384921</v>
      </c>
      <c r="K459" s="1">
        <v>706.61454497718535</v>
      </c>
      <c r="L459" s="1">
        <v>377.96591436544031</v>
      </c>
    </row>
    <row r="460" spans="1:12" x14ac:dyDescent="0.2">
      <c r="A460" s="2">
        <v>44985</v>
      </c>
      <c r="B460" s="1">
        <v>88258.4069485894</v>
      </c>
      <c r="C460" s="1">
        <v>14222.4633406432</v>
      </c>
      <c r="D460" s="1">
        <v>217804.02187964821</v>
      </c>
      <c r="E460" s="1">
        <v>963.22086238981524</v>
      </c>
      <c r="F460" s="1">
        <v>4981.2113073520004</v>
      </c>
      <c r="G460" s="1">
        <v>3249.8980556527858</v>
      </c>
      <c r="H460" s="1">
        <v>521.85001919700017</v>
      </c>
      <c r="I460" s="1">
        <v>1663.0946291333539</v>
      </c>
      <c r="J460" s="1">
        <v>591.32310608225009</v>
      </c>
      <c r="K460" s="1">
        <v>695.59946621907943</v>
      </c>
      <c r="L460" s="1">
        <v>378.86505041107432</v>
      </c>
    </row>
    <row r="461" spans="1:12" x14ac:dyDescent="0.2">
      <c r="A461" s="2">
        <v>45016</v>
      </c>
      <c r="B461" s="1">
        <v>88105.413157265793</v>
      </c>
      <c r="C461" s="1">
        <v>14686.25642283735</v>
      </c>
      <c r="D461" s="1">
        <v>224131.8574275845</v>
      </c>
      <c r="E461" s="1">
        <v>938.54759683292252</v>
      </c>
      <c r="F461" s="1">
        <v>4961.5721014271994</v>
      </c>
      <c r="G461" s="1">
        <v>3243.5870421618179</v>
      </c>
      <c r="H461" s="1">
        <v>535.71276369738348</v>
      </c>
      <c r="I461" s="1">
        <v>1731.1576136572451</v>
      </c>
      <c r="J461" s="1">
        <v>611.62604188066632</v>
      </c>
      <c r="K461" s="1">
        <v>711.93842385212633</v>
      </c>
      <c r="L461" s="1">
        <v>379.94476011447779</v>
      </c>
    </row>
    <row r="462" spans="1:12" x14ac:dyDescent="0.2">
      <c r="A462" s="2">
        <v>45044</v>
      </c>
      <c r="B462" s="1">
        <v>89655.4093987058</v>
      </c>
      <c r="C462" s="1">
        <v>15130.211877044479</v>
      </c>
      <c r="D462" s="1">
        <v>225609.66105827241</v>
      </c>
      <c r="E462" s="1">
        <v>967.02183231810557</v>
      </c>
      <c r="F462" s="1">
        <v>4990.2489432761986</v>
      </c>
      <c r="G462" s="1">
        <v>3243.5870421618179</v>
      </c>
      <c r="H462" s="1">
        <v>548.36693229891705</v>
      </c>
      <c r="I462" s="1">
        <v>1731.1576136572451</v>
      </c>
      <c r="J462" s="1">
        <v>613.45592281408699</v>
      </c>
      <c r="K462" s="1">
        <v>711.18392199728987</v>
      </c>
      <c r="L462" s="1">
        <v>381.10192171231841</v>
      </c>
    </row>
    <row r="463" spans="1:12" x14ac:dyDescent="0.2">
      <c r="A463" s="2">
        <v>45077</v>
      </c>
      <c r="B463" s="1">
        <v>87300.981070036505</v>
      </c>
      <c r="C463" s="1">
        <v>15429.006830369741</v>
      </c>
      <c r="D463" s="1">
        <v>228170.53306562081</v>
      </c>
      <c r="E463" s="1">
        <v>957.44841160263752</v>
      </c>
      <c r="F463" s="1">
        <v>4784.6681370464003</v>
      </c>
      <c r="G463" s="1">
        <v>3243.5870421618179</v>
      </c>
      <c r="H463" s="1">
        <v>504.08997291106152</v>
      </c>
      <c r="I463" s="1">
        <v>1731.1576136572451</v>
      </c>
      <c r="J463" s="1">
        <v>605.336242604718</v>
      </c>
      <c r="K463" s="1">
        <v>709.71070833614544</v>
      </c>
      <c r="L463" s="1">
        <v>382.22706837954109</v>
      </c>
    </row>
    <row r="464" spans="1:12" x14ac:dyDescent="0.2">
      <c r="A464" s="2">
        <v>45107</v>
      </c>
      <c r="B464" s="1">
        <v>88991.443038940502</v>
      </c>
      <c r="C464" s="1">
        <v>15858.778317147209</v>
      </c>
      <c r="D464" s="1">
        <v>229684.1958408932</v>
      </c>
      <c r="E464" s="1">
        <v>960.09990106750934</v>
      </c>
      <c r="F464" s="1">
        <v>4855.9243046860001</v>
      </c>
      <c r="G464" s="1">
        <v>3344.0017590409761</v>
      </c>
      <c r="H464" s="1">
        <v>538.31879349546705</v>
      </c>
      <c r="I464" s="1">
        <v>1747.3009671232751</v>
      </c>
      <c r="J464" s="1">
        <v>592.58663856391695</v>
      </c>
      <c r="K464" s="1">
        <v>708.05341077659978</v>
      </c>
      <c r="L464" s="1">
        <v>383.38034488867112</v>
      </c>
    </row>
    <row r="465" spans="1:12" x14ac:dyDescent="0.2">
      <c r="A465" s="2">
        <v>45138</v>
      </c>
      <c r="B465" s="1">
        <v>91651.883883332703</v>
      </c>
      <c r="C465" s="1">
        <v>16126.41658718514</v>
      </c>
      <c r="D465" s="1">
        <v>239077.02214298179</v>
      </c>
      <c r="E465" s="1">
        <v>976.625164252574</v>
      </c>
      <c r="F465" s="1">
        <v>5311.8019917726006</v>
      </c>
      <c r="G465" s="1">
        <v>3344.0017590409761</v>
      </c>
      <c r="H465" s="1">
        <v>548.2191574110268</v>
      </c>
      <c r="I465" s="1">
        <v>1747.3009671232751</v>
      </c>
      <c r="J465" s="1">
        <v>595.87428627867894</v>
      </c>
      <c r="K465" s="1">
        <v>704.80960189027223</v>
      </c>
      <c r="L465" s="1">
        <v>384.81409361759722</v>
      </c>
    </row>
    <row r="466" spans="1:12" x14ac:dyDescent="0.2">
      <c r="A466" s="2">
        <v>45169</v>
      </c>
      <c r="B466" s="1">
        <v>90974.065183878105</v>
      </c>
      <c r="C466" s="1">
        <v>16491.193999867832</v>
      </c>
      <c r="D466" s="1">
        <v>237180.4382786557</v>
      </c>
      <c r="E466" s="1">
        <v>992.02830381875413</v>
      </c>
      <c r="F466" s="1">
        <v>5559.6728396957997</v>
      </c>
      <c r="G466" s="1">
        <v>3344.0017590409761</v>
      </c>
      <c r="H466" s="1">
        <v>568.31320168163847</v>
      </c>
      <c r="I466" s="1">
        <v>1747.3009671232751</v>
      </c>
      <c r="J466" s="1">
        <v>600.60274060724328</v>
      </c>
      <c r="K466" s="1">
        <v>701.85052566358672</v>
      </c>
      <c r="L466" s="1">
        <v>386.21865637518232</v>
      </c>
    </row>
    <row r="467" spans="1:12" x14ac:dyDescent="0.2">
      <c r="A467" s="2">
        <v>45198</v>
      </c>
      <c r="B467" s="1">
        <v>88404.5124623015</v>
      </c>
      <c r="C467" s="1">
        <v>15943.042980376529</v>
      </c>
      <c r="D467" s="1">
        <v>233831.705012155</v>
      </c>
      <c r="E467" s="1">
        <v>936.1015782876201</v>
      </c>
      <c r="F467" s="1">
        <v>5808.6798430173994</v>
      </c>
      <c r="G467" s="1">
        <v>3445.60009465645</v>
      </c>
      <c r="H467" s="1">
        <v>553.34626642479373</v>
      </c>
      <c r="I467" s="1">
        <v>1897.0680690055699</v>
      </c>
      <c r="J467" s="1">
        <v>590.40039220541769</v>
      </c>
      <c r="K467" s="1">
        <v>689.0896202462294</v>
      </c>
      <c r="L467" s="1">
        <v>387.52148652100232</v>
      </c>
    </row>
    <row r="468" spans="1:12" x14ac:dyDescent="0.2">
      <c r="A468" s="2">
        <v>45230</v>
      </c>
      <c r="B468" s="1">
        <v>85000.091262205096</v>
      </c>
      <c r="C468" s="1">
        <v>15828.54277405231</v>
      </c>
      <c r="D468" s="1">
        <v>229815.59071858009</v>
      </c>
      <c r="E468" s="1">
        <v>913.34794359416946</v>
      </c>
      <c r="F468" s="1">
        <v>5673.2829199794014</v>
      </c>
      <c r="G468" s="1">
        <v>3445.60009465645</v>
      </c>
      <c r="H468" s="1">
        <v>559.06801006964588</v>
      </c>
      <c r="I468" s="1">
        <v>1897.0680690055699</v>
      </c>
      <c r="J468" s="1">
        <v>577.2740301571398</v>
      </c>
      <c r="K468" s="1">
        <v>684.95113953312102</v>
      </c>
      <c r="L468" s="1">
        <v>388.8084055910744</v>
      </c>
    </row>
    <row r="469" spans="1:12" x14ac:dyDescent="0.2">
      <c r="A469" s="2">
        <v>45260</v>
      </c>
      <c r="B469" s="1">
        <v>89415.561475561306</v>
      </c>
      <c r="C469" s="1">
        <v>16376.485614206889</v>
      </c>
      <c r="D469" s="1">
        <v>233050.6533851756</v>
      </c>
      <c r="E469" s="1">
        <v>956.39037646127008</v>
      </c>
      <c r="F469" s="1">
        <v>5219.9894886366001</v>
      </c>
      <c r="G469" s="1">
        <v>3445.60009465645</v>
      </c>
      <c r="H469" s="1">
        <v>546.73219434536315</v>
      </c>
      <c r="I469" s="1">
        <v>1897.0680690055699</v>
      </c>
      <c r="J469" s="1">
        <v>596.51190781544858</v>
      </c>
      <c r="K469" s="1">
        <v>707.39333907937794</v>
      </c>
      <c r="L469" s="1">
        <v>390.17656318074631</v>
      </c>
    </row>
    <row r="470" spans="1:12" x14ac:dyDescent="0.2">
      <c r="A470" s="2">
        <v>45289</v>
      </c>
      <c r="B470" s="1">
        <v>96066.703069224997</v>
      </c>
      <c r="C470" s="1">
        <v>16581.015953686569</v>
      </c>
      <c r="D470" s="1">
        <v>233658.10608714851</v>
      </c>
      <c r="E470" s="1">
        <v>1012.495226425403</v>
      </c>
      <c r="F470" s="1">
        <v>4904.4978313823995</v>
      </c>
      <c r="G470" s="1">
        <v>3455.9368949404179</v>
      </c>
      <c r="H470" s="1">
        <v>553.22993248452212</v>
      </c>
      <c r="I470" s="1">
        <v>2120.0187692963641</v>
      </c>
      <c r="J470" s="1">
        <v>614.78386355105135</v>
      </c>
      <c r="K470" s="1">
        <v>727.23894083498772</v>
      </c>
      <c r="L470" s="1">
        <v>391.61615429118308</v>
      </c>
    </row>
    <row r="471" spans="1:12" x14ac:dyDescent="0.2">
      <c r="A471" s="2">
        <v>45322</v>
      </c>
      <c r="B471" s="1">
        <v>97093.071829457898</v>
      </c>
      <c r="C471" s="1">
        <v>17425.10369559348</v>
      </c>
      <c r="D471" s="1">
        <v>232801.4739711204</v>
      </c>
      <c r="E471" s="1">
        <v>1009.563326548081</v>
      </c>
      <c r="F471" s="1">
        <v>5288.6423968592999</v>
      </c>
      <c r="G471" s="1">
        <v>3455.9368949404179</v>
      </c>
      <c r="H471" s="1">
        <v>577.09924506883738</v>
      </c>
      <c r="I471" s="1">
        <v>2120.0187692963641</v>
      </c>
      <c r="J471" s="1">
        <v>615.19999337602985</v>
      </c>
      <c r="K471" s="1">
        <v>720.34399129375765</v>
      </c>
      <c r="L471" s="1">
        <v>393.06290834326228</v>
      </c>
    </row>
    <row r="472" spans="1:12" x14ac:dyDescent="0.2">
      <c r="A472" s="2">
        <v>45351</v>
      </c>
      <c r="B472" s="1">
        <v>98227.833486614298</v>
      </c>
      <c r="C472" s="1">
        <v>18512.204717622189</v>
      </c>
      <c r="D472" s="1">
        <v>248426.73841013771</v>
      </c>
      <c r="E472" s="1">
        <v>1032.5256725520419</v>
      </c>
      <c r="F472" s="1">
        <v>5415.864056376</v>
      </c>
      <c r="G472" s="1">
        <v>3455.9368949404179</v>
      </c>
      <c r="H472" s="1">
        <v>593.84567809321527</v>
      </c>
      <c r="I472" s="1">
        <v>2120.0187692963641</v>
      </c>
      <c r="J472" s="1">
        <v>613.484391666742</v>
      </c>
      <c r="K472" s="1">
        <v>714.00392643096916</v>
      </c>
      <c r="L472" s="1">
        <v>394.41572418640118</v>
      </c>
    </row>
    <row r="473" spans="1:12" x14ac:dyDescent="0.2">
      <c r="A473" s="2">
        <v>45380</v>
      </c>
      <c r="B473" s="1">
        <v>101304.46382008299</v>
      </c>
      <c r="C473" s="1">
        <v>19113.77234327581</v>
      </c>
      <c r="D473" s="1">
        <v>255539.6519376745</v>
      </c>
      <c r="E473" s="1">
        <v>1060.6077131446491</v>
      </c>
      <c r="F473" s="1">
        <v>5661.1050891072</v>
      </c>
      <c r="G473" s="1">
        <v>3466.304705625239</v>
      </c>
      <c r="H473" s="1">
        <v>604.98865350553911</v>
      </c>
      <c r="I473" s="1">
        <v>2375.860439687277</v>
      </c>
      <c r="J473" s="1">
        <v>620.82370226255352</v>
      </c>
      <c r="K473" s="1">
        <v>720.90337453652444</v>
      </c>
      <c r="L473" s="1">
        <v>395.86690978063672</v>
      </c>
    </row>
    <row r="474" spans="1:12" x14ac:dyDescent="0.2">
      <c r="A474" s="2">
        <v>45412</v>
      </c>
      <c r="B474" s="1">
        <v>98571.464004127702</v>
      </c>
      <c r="C474" s="1">
        <v>18590.57554698582</v>
      </c>
      <c r="D474" s="1">
        <v>260396.0211271811</v>
      </c>
      <c r="E474" s="1">
        <v>1004.053729616654</v>
      </c>
      <c r="F474" s="1">
        <v>5753.6581242069997</v>
      </c>
      <c r="G474" s="1">
        <v>3466.304705625239</v>
      </c>
      <c r="H474" s="1">
        <v>616.44244254316618</v>
      </c>
      <c r="I474" s="1">
        <v>2375.860439687277</v>
      </c>
      <c r="J474" s="1">
        <v>607.15845108139479</v>
      </c>
      <c r="K474" s="1">
        <v>710.76212866751655</v>
      </c>
      <c r="L474" s="1">
        <v>397.26225227611508</v>
      </c>
    </row>
    <row r="475" spans="1:12" x14ac:dyDescent="0.2">
      <c r="A475" s="2">
        <v>45443</v>
      </c>
      <c r="B475" s="1">
        <v>99431.123715343507</v>
      </c>
      <c r="C475" s="1">
        <v>18902.025139031241</v>
      </c>
      <c r="D475" s="1">
        <v>255535.16707501831</v>
      </c>
      <c r="E475" s="1">
        <v>1015.527647998407</v>
      </c>
      <c r="F475" s="1">
        <v>5511.0069024080003</v>
      </c>
      <c r="G475" s="1">
        <v>3466.304705625239</v>
      </c>
      <c r="H475" s="1">
        <v>613.66789995542797</v>
      </c>
      <c r="I475" s="1">
        <v>2375.860439687277</v>
      </c>
      <c r="J475" s="1">
        <v>609.27322244812183</v>
      </c>
      <c r="K475" s="1">
        <v>708.51468562386253</v>
      </c>
      <c r="L475" s="1">
        <v>398.75218606792868</v>
      </c>
    </row>
    <row r="476" spans="1:12" x14ac:dyDescent="0.2">
      <c r="A476" s="2">
        <v>45471</v>
      </c>
      <c r="B476" s="1">
        <v>100125.06097329099</v>
      </c>
      <c r="C476" s="1">
        <v>19265.938925017501</v>
      </c>
      <c r="D476" s="1">
        <v>265463.82476063212</v>
      </c>
      <c r="E476" s="1">
        <v>1027.098366364768</v>
      </c>
      <c r="F476" s="1">
        <v>5566.2094128846002</v>
      </c>
      <c r="G476" s="1">
        <v>3476.7036197421148</v>
      </c>
      <c r="H476" s="1">
        <v>611.84871234166189</v>
      </c>
      <c r="I476" s="1">
        <v>2341.2815384600099</v>
      </c>
      <c r="J476" s="1">
        <v>614.619713358083</v>
      </c>
      <c r="K476" s="1">
        <v>716.56802870990259</v>
      </c>
      <c r="L476" s="1">
        <v>400.1484802600084</v>
      </c>
    </row>
    <row r="477" spans="1:12" x14ac:dyDescent="0.2">
      <c r="A477" s="2">
        <v>45504</v>
      </c>
      <c r="B477" s="1">
        <v>103970.654056247</v>
      </c>
      <c r="C477" s="1">
        <v>19954.09236472279</v>
      </c>
      <c r="D477" s="1">
        <v>273331.32298989501</v>
      </c>
      <c r="E477" s="1">
        <v>1110.5656988791629</v>
      </c>
      <c r="F477" s="1">
        <v>5492.2386529920004</v>
      </c>
      <c r="G477" s="1">
        <v>3476.7036197421148</v>
      </c>
      <c r="H477" s="1">
        <v>615.62907946297139</v>
      </c>
      <c r="I477" s="1">
        <v>2341.2815384600099</v>
      </c>
      <c r="J477" s="1">
        <v>624.91369218006434</v>
      </c>
      <c r="K477" s="1">
        <v>726.67470178896417</v>
      </c>
      <c r="L477" s="1">
        <v>401.64071301378931</v>
      </c>
    </row>
    <row r="478" spans="1:12" x14ac:dyDescent="0.2">
      <c r="A478" s="2">
        <v>45534</v>
      </c>
      <c r="B478" s="1">
        <v>104388.408760935</v>
      </c>
      <c r="C478" s="1">
        <v>19569.06345148613</v>
      </c>
      <c r="D478" s="1">
        <v>264205.05903132918</v>
      </c>
      <c r="E478" s="1">
        <v>1126.318139091986</v>
      </c>
      <c r="F478" s="1">
        <v>5194.7370905825992</v>
      </c>
      <c r="G478" s="1">
        <v>3476.7036197421148</v>
      </c>
      <c r="H478" s="1">
        <v>618.54959837629679</v>
      </c>
      <c r="I478" s="1">
        <v>2341.2815384600099</v>
      </c>
      <c r="J478" s="1">
        <v>632.24098877315964</v>
      </c>
      <c r="K478" s="1">
        <v>736.64973893722754</v>
      </c>
      <c r="L478" s="1">
        <v>403.15930648344522</v>
      </c>
    </row>
    <row r="479" spans="1:12" x14ac:dyDescent="0.2">
      <c r="A479" s="2">
        <v>45565</v>
      </c>
      <c r="B479" s="1">
        <v>107989.161300065</v>
      </c>
      <c r="C479" s="1">
        <v>19433.861702898081</v>
      </c>
      <c r="D479" s="1">
        <v>272864.6558827085</v>
      </c>
      <c r="E479" s="1">
        <v>1132.3849293675289</v>
      </c>
      <c r="F479" s="1">
        <v>5076.4250792780003</v>
      </c>
      <c r="G479" s="1">
        <v>3487.1337306013411</v>
      </c>
      <c r="H479" s="1">
        <v>612.42688613668577</v>
      </c>
      <c r="I479" s="1">
        <v>2607.581492407181</v>
      </c>
      <c r="J479" s="1">
        <v>634.51925056908897</v>
      </c>
      <c r="K479" s="1">
        <v>743.9898611116505</v>
      </c>
      <c r="L479" s="1">
        <v>404.60871372553129</v>
      </c>
    </row>
    <row r="480" spans="1:12" x14ac:dyDescent="0.2">
      <c r="A480" s="2">
        <v>45596</v>
      </c>
      <c r="B480" s="1">
        <v>106555.173450648</v>
      </c>
      <c r="C480" s="1">
        <v>20399.193763274481</v>
      </c>
      <c r="D480" s="1">
        <v>281066.07617910567</v>
      </c>
      <c r="E480" s="1">
        <v>1159.9347785873711</v>
      </c>
      <c r="F480" s="1">
        <v>5401.2120111949998</v>
      </c>
      <c r="G480" s="1">
        <v>3487.1337306013411</v>
      </c>
      <c r="H480" s="1">
        <v>628.04499108687992</v>
      </c>
      <c r="I480" s="1">
        <v>2607.581492407181</v>
      </c>
      <c r="J480" s="1">
        <v>622.11187224757475</v>
      </c>
      <c r="K480" s="1">
        <v>730.9946995725943</v>
      </c>
      <c r="L480" s="1">
        <v>406.11720486724357</v>
      </c>
    </row>
    <row r="481" spans="1:12" x14ac:dyDescent="0.2">
      <c r="A481" s="2">
        <v>45625</v>
      </c>
      <c r="B481" s="1">
        <v>110451.90757820199</v>
      </c>
      <c r="C481" s="1">
        <v>21518.69122433148</v>
      </c>
      <c r="D481" s="1">
        <v>274878.8299510958</v>
      </c>
      <c r="E481" s="1">
        <v>1201.5524867536849</v>
      </c>
      <c r="F481" s="1">
        <v>5433.9598952468996</v>
      </c>
      <c r="G481" s="1">
        <v>3487.1337306013411</v>
      </c>
      <c r="H481" s="1">
        <v>622.21877822933243</v>
      </c>
      <c r="I481" s="1">
        <v>2607.581492407181</v>
      </c>
      <c r="J481" s="1">
        <v>628.5042719876252</v>
      </c>
      <c r="K481" s="1">
        <v>736.65836559587467</v>
      </c>
      <c r="L481" s="1">
        <v>407.58714509926841</v>
      </c>
    </row>
    <row r="482" spans="1:12" x14ac:dyDescent="0.2">
      <c r="A482" s="2">
        <v>45657</v>
      </c>
      <c r="B482" s="1">
        <v>107060.39666683901</v>
      </c>
      <c r="C482" s="1">
        <v>22214.894485535478</v>
      </c>
      <c r="D482" s="1">
        <v>292783.68469298171</v>
      </c>
      <c r="E482" s="1">
        <v>1183.3873679059191</v>
      </c>
      <c r="F482" s="1">
        <v>5904.8501985899993</v>
      </c>
      <c r="G482" s="1">
        <v>3504.569399254347</v>
      </c>
      <c r="H482" s="1">
        <v>632.95946834458221</v>
      </c>
      <c r="I482" s="1">
        <v>2669.599420313054</v>
      </c>
      <c r="J482" s="1">
        <v>631.35913226781702</v>
      </c>
      <c r="K482" s="1">
        <v>732.88252209166342</v>
      </c>
      <c r="L482" s="1">
        <v>409.11549005565882</v>
      </c>
    </row>
    <row r="483" spans="1:12" x14ac:dyDescent="0.2">
      <c r="A483" s="2">
        <v>45688</v>
      </c>
      <c r="B483" s="1">
        <v>111754.47429728101</v>
      </c>
      <c r="C483" s="1">
        <v>22818.371156931989</v>
      </c>
      <c r="D483" s="1">
        <v>295327.99583857838</v>
      </c>
      <c r="E483" s="1">
        <v>1193.0997993869209</v>
      </c>
      <c r="F483" s="1">
        <v>6055.6745006527999</v>
      </c>
      <c r="G483" s="1">
        <v>3504.569399254347</v>
      </c>
      <c r="H483" s="1">
        <v>632.66296896251879</v>
      </c>
      <c r="I483" s="1">
        <v>2669.599420313054</v>
      </c>
      <c r="J483" s="1">
        <v>632.91094886861492</v>
      </c>
      <c r="K483" s="1">
        <v>731.61223337479998</v>
      </c>
      <c r="L483" s="1">
        <v>410.68134247802601</v>
      </c>
    </row>
    <row r="484" spans="1:12" x14ac:dyDescent="0.2">
      <c r="A484" s="2">
        <v>45716</v>
      </c>
      <c r="B484" s="1">
        <v>107328.713116563</v>
      </c>
      <c r="C484" s="1">
        <v>22675.917953328419</v>
      </c>
      <c r="D484" s="1">
        <v>298464.97006145288</v>
      </c>
      <c r="E484" s="1">
        <v>1224.212039714319</v>
      </c>
      <c r="F484" s="1">
        <v>5992.5317805887998</v>
      </c>
      <c r="G484" s="1">
        <v>3504.569399254347</v>
      </c>
      <c r="H484" s="1">
        <v>646.71703967232816</v>
      </c>
      <c r="I484" s="1">
        <v>2669.599420313054</v>
      </c>
      <c r="J484" s="1">
        <v>639.4744821201939</v>
      </c>
      <c r="K484" s="1">
        <v>740.15242696939856</v>
      </c>
      <c r="L484" s="1">
        <v>412.07173601712299</v>
      </c>
    </row>
    <row r="485" spans="1:12" x14ac:dyDescent="0.2">
      <c r="A485" s="2">
        <v>45747</v>
      </c>
      <c r="B485" s="1">
        <v>103533.278449402</v>
      </c>
      <c r="C485" s="1">
        <v>21505.885301208</v>
      </c>
      <c r="D485" s="1">
        <v>298844.16493873368</v>
      </c>
      <c r="E485" s="1">
        <v>1187.943022865318</v>
      </c>
      <c r="F485" s="1">
        <v>6153.7043347499994</v>
      </c>
      <c r="G485" s="1">
        <v>3522.0922462506178</v>
      </c>
      <c r="H485" s="1">
        <v>647.91786216968524</v>
      </c>
      <c r="I485" s="1">
        <v>2503.9738391995688</v>
      </c>
      <c r="J485" s="1">
        <v>640.34958161204906</v>
      </c>
      <c r="K485" s="1">
        <v>737.11596220524814</v>
      </c>
      <c r="L485" s="1">
        <v>413.5049781994814</v>
      </c>
    </row>
    <row r="486" spans="1:12" x14ac:dyDescent="0.2">
      <c r="A486" s="2">
        <v>45777</v>
      </c>
      <c r="B486" s="1">
        <v>107259.569108638</v>
      </c>
      <c r="C486" s="1">
        <v>20875.722967022459</v>
      </c>
      <c r="D486" s="1">
        <v>290510.15801201749</v>
      </c>
      <c r="E486" s="1">
        <v>1143.9757802910581</v>
      </c>
      <c r="F486" s="1">
        <v>5487.5955414793998</v>
      </c>
      <c r="G486" s="1">
        <v>3522.0922462506178</v>
      </c>
      <c r="H486" s="1">
        <v>645.77565413427658</v>
      </c>
      <c r="I486" s="1">
        <v>2503.9738391995688</v>
      </c>
      <c r="J486" s="1">
        <v>650.55174454487747</v>
      </c>
      <c r="K486" s="1">
        <v>743.74971716311427</v>
      </c>
      <c r="L486" s="1">
        <v>414.96511282504707</v>
      </c>
    </row>
    <row r="487" spans="1:12" x14ac:dyDescent="0.2">
      <c r="A487" s="2">
        <v>45807</v>
      </c>
      <c r="B487" s="1">
        <v>111763.240445895</v>
      </c>
      <c r="C487" s="1">
        <v>22000.310813446311</v>
      </c>
      <c r="D487" s="1">
        <v>297992.12344777433</v>
      </c>
      <c r="E487" s="1">
        <v>1167.489659601501</v>
      </c>
      <c r="F487" s="1">
        <v>5542.8155701832002</v>
      </c>
      <c r="G487" s="1">
        <v>3522.0922462506178</v>
      </c>
      <c r="H487" s="1">
        <v>674.56160198813222</v>
      </c>
      <c r="I487" s="1">
        <v>2503.9738391995688</v>
      </c>
      <c r="J487" s="1">
        <v>650.61472167712009</v>
      </c>
      <c r="K487" s="1">
        <v>739.93560939999577</v>
      </c>
      <c r="L487" s="1">
        <v>416.38191570929808</v>
      </c>
    </row>
    <row r="488" spans="1:12" x14ac:dyDescent="0.2">
      <c r="A488" s="2">
        <v>45838</v>
      </c>
      <c r="B488" s="1">
        <v>113372.488907495</v>
      </c>
      <c r="C488" s="1">
        <v>22426.83096132076</v>
      </c>
      <c r="D488" s="1">
        <v>307275.62847836391</v>
      </c>
      <c r="E488" s="1">
        <v>1147.7634580496861</v>
      </c>
      <c r="F488" s="1">
        <v>5686.8147176787998</v>
      </c>
      <c r="G488" s="1">
        <v>3543.224799728122</v>
      </c>
      <c r="H488" s="1">
        <v>685.81185932989513</v>
      </c>
      <c r="I488" s="1">
        <v>2675.3612210475521</v>
      </c>
      <c r="J488" s="1">
        <v>657.09946726816565</v>
      </c>
      <c r="K488" s="1">
        <v>744.89397992351439</v>
      </c>
      <c r="L488" s="1">
        <v>417.71040566998897</v>
      </c>
    </row>
    <row r="489" spans="1:12" x14ac:dyDescent="0.2">
      <c r="A489" s="2">
        <v>45869</v>
      </c>
      <c r="B489" s="1">
        <v>116308.161923611</v>
      </c>
      <c r="C489" s="1">
        <v>23294.73967309728</v>
      </c>
      <c r="D489" s="1">
        <v>323529.55919000268</v>
      </c>
      <c r="E489" s="1">
        <v>1169.168010279684</v>
      </c>
      <c r="F489" s="1">
        <v>5997.6559343096997</v>
      </c>
      <c r="G489" s="1">
        <v>3543.224799728122</v>
      </c>
      <c r="H489" s="1">
        <v>698.29091328254844</v>
      </c>
      <c r="I489" s="1">
        <v>2675.3612210475521</v>
      </c>
      <c r="J489" s="1">
        <v>655.8959311426654</v>
      </c>
      <c r="K489" s="1">
        <v>743.17513141914276</v>
      </c>
      <c r="L489" s="1">
        <v>418.96909015611772</v>
      </c>
    </row>
    <row r="490" spans="1:12" x14ac:dyDescent="0.2">
      <c r="A490" s="2">
        <v>45898</v>
      </c>
      <c r="B490" s="1">
        <v>119975.952314622</v>
      </c>
      <c r="C490" s="1">
        <v>23394.739751205201</v>
      </c>
      <c r="D490" s="1">
        <v>323218.54813278688</v>
      </c>
      <c r="E490" s="1">
        <v>1193.017812388792</v>
      </c>
      <c r="F490" s="1">
        <v>5888.0214642689998</v>
      </c>
      <c r="G490" s="1">
        <v>3543.224799728122</v>
      </c>
      <c r="H490" s="1">
        <v>701.05278287763622</v>
      </c>
      <c r="I490" s="1">
        <v>2675.3612210475521</v>
      </c>
      <c r="J490" s="1">
        <v>658.15954012504903</v>
      </c>
      <c r="K490" s="1">
        <v>745.863605770596</v>
      </c>
      <c r="L490" s="1">
        <v>420.3053498133313</v>
      </c>
    </row>
    <row r="491" spans="1:12" x14ac:dyDescent="0.2">
      <c r="A491" s="2">
        <v>45930</v>
      </c>
      <c r="B491" s="1">
        <v>119327.104125293</v>
      </c>
      <c r="C491" s="1">
        <v>23858.87813786291</v>
      </c>
      <c r="D491" s="1">
        <v>341793.89387277089</v>
      </c>
      <c r="E491" s="1">
        <v>1188.111112678454</v>
      </c>
      <c r="F491" s="1">
        <v>5852.4055765889998</v>
      </c>
      <c r="G491" s="1">
        <v>3616.3306890201129</v>
      </c>
      <c r="H491" s="1">
        <v>710.17302781680269</v>
      </c>
      <c r="I491" s="1">
        <v>2721.4887648742451</v>
      </c>
      <c r="J491" s="1">
        <v>658.72546590773459</v>
      </c>
      <c r="K491" s="1">
        <v>750.47250400140467</v>
      </c>
      <c r="L491" s="1">
        <v>421.544438365004</v>
      </c>
    </row>
    <row r="492" spans="1:12" x14ac:dyDescent="0.2">
      <c r="A492" s="2">
        <v>45961</v>
      </c>
      <c r="B492" s="1">
        <v>119907.884388462</v>
      </c>
      <c r="C492" s="1">
        <v>24779.613204310219</v>
      </c>
      <c r="D492" s="1">
        <v>362018.87899531139</v>
      </c>
      <c r="E492" s="1">
        <v>1195.3494846897149</v>
      </c>
      <c r="F492" s="1">
        <v>6004.8025792872004</v>
      </c>
      <c r="G492" s="1">
        <v>3616.3306890201129</v>
      </c>
      <c r="H492" s="1">
        <v>726.40649973658617</v>
      </c>
      <c r="I492" s="1">
        <v>2721.4887648742451</v>
      </c>
      <c r="J492" s="1">
        <v>661.49832336101258</v>
      </c>
      <c r="K492" s="1">
        <v>755.8204237333423</v>
      </c>
      <c r="L492" s="1">
        <v>422.78747330050362</v>
      </c>
    </row>
    <row r="493" spans="1:12" x14ac:dyDescent="0.2">
      <c r="A493" s="2">
        <v>45989</v>
      </c>
      <c r="B493" s="1">
        <v>116899.756788864</v>
      </c>
      <c r="C493" s="1">
        <v>24805.10472169576</v>
      </c>
      <c r="D493" s="1">
        <v>355636.54015612032</v>
      </c>
      <c r="E493" s="1">
        <v>1214.2674045538481</v>
      </c>
      <c r="F493" s="1">
        <v>5989.7802685997985</v>
      </c>
      <c r="G493" s="1">
        <v>3616.3306890201129</v>
      </c>
      <c r="H493" s="1">
        <v>725.76095614869928</v>
      </c>
      <c r="I493" s="1">
        <v>2721.4887648742451</v>
      </c>
      <c r="J493" s="1">
        <v>654.9600964596018</v>
      </c>
      <c r="K493" s="1">
        <v>753.69952265794188</v>
      </c>
      <c r="L493" s="1">
        <v>424.04455261552761</v>
      </c>
    </row>
    <row r="494" spans="1:12" x14ac:dyDescent="0.2">
      <c r="A494" s="2">
        <v>46022</v>
      </c>
      <c r="B494" s="1">
        <v>118368.124930668</v>
      </c>
      <c r="C494" s="1">
        <v>24531.441035672731</v>
      </c>
      <c r="D494" s="1">
        <v>358983.6860275548</v>
      </c>
      <c r="E494" s="1">
        <v>1177.623200716833</v>
      </c>
      <c r="F494" s="1">
        <v>5872.7138429062998</v>
      </c>
      <c r="G494" s="1">
        <v>3733.6367122308702</v>
      </c>
      <c r="H494" s="1">
        <v>720.82913785796109</v>
      </c>
      <c r="I494" s="1">
        <v>2681.3904905556078</v>
      </c>
      <c r="J494" s="1">
        <v>652.11738092434848</v>
      </c>
      <c r="K494" s="1">
        <v>751.77141152601928</v>
      </c>
      <c r="L494" s="1">
        <v>425.35784269132392</v>
      </c>
    </row>
    <row r="495" spans="1:12" x14ac:dyDescent="0.2">
      <c r="A495" s="2">
        <v>46052</v>
      </c>
      <c r="B495" s="1">
        <v>120285.104575661</v>
      </c>
      <c r="C495" s="1">
        <v>23753.597818777718</v>
      </c>
      <c r="D495" s="1">
        <v>371742.50553040311</v>
      </c>
      <c r="E495" s="1">
        <v>1146.5590426481499</v>
      </c>
      <c r="F495" s="1">
        <v>6139.625746527</v>
      </c>
      <c r="G495" s="1">
        <v>3733.6367122308702</v>
      </c>
      <c r="H495" s="1">
        <v>709.24973330507657</v>
      </c>
      <c r="I495" s="1">
        <v>2681.3904905556078</v>
      </c>
      <c r="J495" s="1">
        <v>652.63081899719418</v>
      </c>
      <c r="K495" s="1">
        <v>751.45566523467664</v>
      </c>
      <c r="L495" s="1">
        <v>426.6510840297712</v>
      </c>
    </row>
    <row r="496" spans="1:12" x14ac:dyDescent="0.2">
      <c r="A496" s="2">
        <v>46080</v>
      </c>
      <c r="B496" s="1">
        <v>124297.147029884</v>
      </c>
      <c r="C496" s="1">
        <v>23580.760131776438</v>
      </c>
      <c r="D496" s="1">
        <v>383584.64082915941</v>
      </c>
      <c r="E496" s="1">
        <v>1197.034274618175</v>
      </c>
      <c r="F496" s="1">
        <v>6178.7906124209994</v>
      </c>
      <c r="G496" s="1">
        <v>3733.6367122308702</v>
      </c>
      <c r="H496" s="1">
        <v>712.61945237503403</v>
      </c>
      <c r="I496" s="1">
        <v>2681.3904905556078</v>
      </c>
      <c r="J496" s="1">
        <v>658.36939681604974</v>
      </c>
      <c r="K496" s="1">
        <v>764.06395024176584</v>
      </c>
      <c r="L496" s="1">
        <v>427.86406004145601</v>
      </c>
    </row>
    <row r="497" spans="1:12" x14ac:dyDescent="0.2">
      <c r="A497" s="2">
        <v>46112</v>
      </c>
      <c r="B497" s="1">
        <v>115221.44355480799</v>
      </c>
      <c r="C497" s="1">
        <v>23155.727500254859</v>
      </c>
      <c r="D497" s="1">
        <v>357162.60129071429</v>
      </c>
      <c r="E497" s="1">
        <v>1160.273281769242</v>
      </c>
      <c r="F497" s="1">
        <v>8006.1675260927996</v>
      </c>
      <c r="G497" s="1">
        <v>3808.3094464754859</v>
      </c>
      <c r="H497" s="1">
        <v>698.14647316955234</v>
      </c>
      <c r="I497" s="1">
        <v>2235.8056813698831</v>
      </c>
      <c r="J497" s="1">
        <v>649.04409605923388</v>
      </c>
      <c r="K497" s="1">
        <v>746.80027301845996</v>
      </c>
      <c r="L497" s="1">
        <v>429.21616160371377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34"/>
  <sheetViews>
    <sheetView zoomScale="115" zoomScaleNormal="115" workbookViewId="0">
      <selection activeCell="A3" sqref="A3:E29"/>
    </sheetView>
  </sheetViews>
  <sheetFormatPr baseColWidth="10" defaultColWidth="9.1640625" defaultRowHeight="14" x14ac:dyDescent="0.2"/>
  <cols>
    <col min="1" max="1" width="38" style="8" customWidth="1"/>
    <col min="2" max="3" width="18.6640625" style="8" customWidth="1"/>
    <col min="4" max="4" width="22" style="39" customWidth="1"/>
    <col min="5" max="5" width="20.33203125" style="8" customWidth="1"/>
    <col min="6" max="6" width="9.1640625" style="8" customWidth="1"/>
    <col min="7" max="16384" width="9.1640625" style="8"/>
  </cols>
  <sheetData>
    <row r="1" spans="1:5" ht="18" customHeight="1" x14ac:dyDescent="0.2">
      <c r="A1" s="5" t="s">
        <v>629</v>
      </c>
      <c r="B1" s="6"/>
      <c r="C1" s="6"/>
      <c r="D1" s="7"/>
      <c r="E1" s="6"/>
    </row>
    <row r="2" spans="1:5" ht="1.5" customHeight="1" x14ac:dyDescent="0.2">
      <c r="A2" s="6"/>
      <c r="B2" s="6"/>
      <c r="C2" s="6"/>
      <c r="D2" s="9"/>
      <c r="E2" s="6"/>
    </row>
    <row r="3" spans="1:5" ht="21" customHeight="1" x14ac:dyDescent="0.2">
      <c r="A3" s="10"/>
      <c r="B3" s="405" t="s">
        <v>630</v>
      </c>
      <c r="C3" s="406"/>
      <c r="D3" s="11" t="s">
        <v>7</v>
      </c>
      <c r="E3" s="407" t="s">
        <v>631</v>
      </c>
    </row>
    <row r="4" spans="1:5" ht="15" customHeight="1" x14ac:dyDescent="0.2">
      <c r="A4" s="12"/>
      <c r="B4" s="13" t="s">
        <v>632</v>
      </c>
      <c r="C4" s="13" t="s">
        <v>633</v>
      </c>
      <c r="D4" s="14" t="s">
        <v>634</v>
      </c>
      <c r="E4" s="408"/>
    </row>
    <row r="5" spans="1:5" ht="19.5" customHeight="1" x14ac:dyDescent="0.2">
      <c r="A5" s="12" t="s">
        <v>635</v>
      </c>
      <c r="B5" s="6"/>
      <c r="C5" s="6"/>
      <c r="D5" s="7"/>
      <c r="E5" s="6"/>
    </row>
    <row r="6" spans="1:5" x14ac:dyDescent="0.2">
      <c r="A6" s="14" t="s">
        <v>636</v>
      </c>
      <c r="B6" s="15"/>
      <c r="C6" s="15"/>
      <c r="D6" s="16"/>
      <c r="E6" s="15"/>
    </row>
    <row r="7" spans="1:5" ht="13.5" customHeight="1" x14ac:dyDescent="0.2">
      <c r="A7" s="15" t="s">
        <v>637</v>
      </c>
      <c r="B7" s="17">
        <f>C7*$B$29</f>
        <v>1200</v>
      </c>
      <c r="C7" s="18">
        <v>0.4</v>
      </c>
      <c r="D7" s="19">
        <v>0.25</v>
      </c>
      <c r="E7" s="16" t="s">
        <v>638</v>
      </c>
    </row>
    <row r="8" spans="1:5" ht="13.5" customHeight="1" x14ac:dyDescent="0.2">
      <c r="A8" s="15" t="s">
        <v>639</v>
      </c>
      <c r="B8" s="17">
        <v>600</v>
      </c>
      <c r="C8" s="18">
        <v>0.2</v>
      </c>
      <c r="D8" s="19">
        <v>0.24</v>
      </c>
      <c r="E8" s="16" t="s">
        <v>638</v>
      </c>
    </row>
    <row r="9" spans="1:5" ht="13.5" customHeight="1" x14ac:dyDescent="0.2">
      <c r="A9" s="15" t="s">
        <v>640</v>
      </c>
      <c r="B9" s="20"/>
      <c r="C9" s="21"/>
      <c r="D9" s="21">
        <v>0.03</v>
      </c>
      <c r="E9" s="16" t="s">
        <v>638</v>
      </c>
    </row>
    <row r="10" spans="1:5" ht="13.5" customHeight="1" x14ac:dyDescent="0.2">
      <c r="A10" s="22" t="s">
        <v>641</v>
      </c>
      <c r="B10" s="23">
        <f>SUM(B7:B9)</f>
        <v>1800</v>
      </c>
      <c r="C10" s="24">
        <f>SUM(C7:C9)</f>
        <v>0.60000000000000009</v>
      </c>
      <c r="D10" s="24">
        <f>SUM(D7:D9)</f>
        <v>0.52</v>
      </c>
      <c r="E10" s="24"/>
    </row>
    <row r="11" spans="1:5" ht="5.25" customHeight="1" x14ac:dyDescent="0.2">
      <c r="A11" s="15"/>
      <c r="B11" s="17"/>
      <c r="C11" s="25"/>
      <c r="D11" s="19"/>
      <c r="E11" s="19"/>
    </row>
    <row r="12" spans="1:5" ht="14.25" customHeight="1" x14ac:dyDescent="0.2">
      <c r="A12" s="14" t="s">
        <v>642</v>
      </c>
      <c r="B12" s="17"/>
      <c r="C12" s="26"/>
      <c r="D12" s="19"/>
      <c r="E12" s="19"/>
    </row>
    <row r="13" spans="1:5" ht="13.5" customHeight="1" x14ac:dyDescent="0.2">
      <c r="A13" s="15" t="s">
        <v>637</v>
      </c>
      <c r="B13" s="17">
        <f>C13*$B$29</f>
        <v>450</v>
      </c>
      <c r="C13" s="18">
        <v>0.15</v>
      </c>
      <c r="D13" s="19">
        <v>0.14000000000000001</v>
      </c>
      <c r="E13" s="16" t="s">
        <v>638</v>
      </c>
    </row>
    <row r="14" spans="1:5" ht="13.5" customHeight="1" x14ac:dyDescent="0.2">
      <c r="A14" s="15" t="s">
        <v>639</v>
      </c>
      <c r="B14" s="17">
        <f>C14*$B$29</f>
        <v>240</v>
      </c>
      <c r="C14" s="18">
        <v>0.08</v>
      </c>
      <c r="D14" s="19">
        <v>0.11</v>
      </c>
      <c r="E14" s="16" t="s">
        <v>638</v>
      </c>
    </row>
    <row r="15" spans="1:5" ht="13.5" customHeight="1" x14ac:dyDescent="0.2">
      <c r="A15" s="15" t="s">
        <v>643</v>
      </c>
      <c r="B15" s="20">
        <f>C15*$B$29</f>
        <v>210.00000000000003</v>
      </c>
      <c r="C15" s="27">
        <v>7.0000000000000007E-2</v>
      </c>
      <c r="D15" s="21">
        <v>0.03</v>
      </c>
      <c r="E15" s="16" t="s">
        <v>638</v>
      </c>
    </row>
    <row r="16" spans="1:5" ht="13.5" customHeight="1" x14ac:dyDescent="0.2">
      <c r="A16" s="22" t="s">
        <v>644</v>
      </c>
      <c r="B16" s="23">
        <f>SUM(B13:B15)</f>
        <v>900</v>
      </c>
      <c r="C16" s="24">
        <f>SUM(C13:C15)</f>
        <v>0.3</v>
      </c>
      <c r="D16" s="24">
        <f>SUM(D13:D15)</f>
        <v>0.28000000000000003</v>
      </c>
      <c r="E16" s="24"/>
    </row>
    <row r="17" spans="1:5" ht="6" customHeight="1" x14ac:dyDescent="0.2">
      <c r="A17" s="28"/>
      <c r="B17" s="17"/>
      <c r="C17" s="26"/>
      <c r="D17" s="19"/>
      <c r="E17" s="19"/>
    </row>
    <row r="18" spans="1:5" ht="14.25" customHeight="1" x14ac:dyDescent="0.2">
      <c r="A18" s="14" t="s">
        <v>645</v>
      </c>
      <c r="B18" s="17"/>
      <c r="C18" s="26"/>
      <c r="D18" s="19"/>
      <c r="E18" s="19"/>
    </row>
    <row r="19" spans="1:5" ht="13.5" customHeight="1" x14ac:dyDescent="0.2">
      <c r="A19" s="15" t="s">
        <v>646</v>
      </c>
      <c r="B19" s="17">
        <f>C19*$B$29</f>
        <v>300</v>
      </c>
      <c r="C19" s="18">
        <v>0.1</v>
      </c>
      <c r="D19" s="19">
        <v>7.0000000000000007E-2</v>
      </c>
      <c r="E19" s="16" t="s">
        <v>638</v>
      </c>
    </row>
    <row r="20" spans="1:5" ht="13.5" customHeight="1" x14ac:dyDescent="0.2">
      <c r="A20" s="15" t="s">
        <v>647</v>
      </c>
      <c r="B20" s="20"/>
      <c r="C20" s="27"/>
      <c r="D20" s="21">
        <v>0.05</v>
      </c>
      <c r="E20" s="16" t="s">
        <v>648</v>
      </c>
    </row>
    <row r="21" spans="1:5" ht="13.5" customHeight="1" x14ac:dyDescent="0.2">
      <c r="A21" s="22" t="s">
        <v>649</v>
      </c>
      <c r="B21" s="23">
        <f>B19+B20</f>
        <v>300</v>
      </c>
      <c r="C21" s="24">
        <f>C19+C20</f>
        <v>0.1</v>
      </c>
      <c r="D21" s="24">
        <f>D19+D20</f>
        <v>0.12000000000000001</v>
      </c>
      <c r="E21" s="24"/>
    </row>
    <row r="22" spans="1:5" ht="6" customHeight="1" x14ac:dyDescent="0.2">
      <c r="A22" s="15"/>
      <c r="B22" s="29"/>
      <c r="C22" s="26"/>
      <c r="D22" s="19"/>
      <c r="E22" s="19"/>
    </row>
    <row r="23" spans="1:5" ht="14.25" customHeight="1" x14ac:dyDescent="0.2">
      <c r="A23" s="14" t="s">
        <v>650</v>
      </c>
      <c r="B23" s="29"/>
      <c r="C23" s="26"/>
      <c r="D23" s="26"/>
      <c r="E23" s="15"/>
    </row>
    <row r="24" spans="1:5" ht="13.5" customHeight="1" x14ac:dyDescent="0.2">
      <c r="A24" s="15" t="s">
        <v>651</v>
      </c>
      <c r="B24" s="29"/>
      <c r="C24" s="26"/>
      <c r="D24" s="19">
        <v>0.03</v>
      </c>
      <c r="E24" s="16" t="s">
        <v>648</v>
      </c>
    </row>
    <row r="25" spans="1:5" ht="13.5" customHeight="1" x14ac:dyDescent="0.2">
      <c r="A25" s="15" t="s">
        <v>652</v>
      </c>
      <c r="B25" s="29"/>
      <c r="C25" s="26"/>
      <c r="D25" s="19">
        <v>0.03</v>
      </c>
      <c r="E25" s="16" t="s">
        <v>648</v>
      </c>
    </row>
    <row r="26" spans="1:5" ht="13.5" customHeight="1" x14ac:dyDescent="0.2">
      <c r="A26" s="15" t="s">
        <v>653</v>
      </c>
      <c r="B26" s="30"/>
      <c r="C26" s="31"/>
      <c r="D26" s="21">
        <v>0.02</v>
      </c>
      <c r="E26" s="16" t="s">
        <v>638</v>
      </c>
    </row>
    <row r="27" spans="1:5" ht="13.5" customHeight="1" x14ac:dyDescent="0.2">
      <c r="A27" s="22" t="s">
        <v>654</v>
      </c>
      <c r="B27" s="32"/>
      <c r="C27" s="24"/>
      <c r="D27" s="24">
        <f>SUM(D24:D26)</f>
        <v>0.08</v>
      </c>
      <c r="E27" s="24"/>
    </row>
    <row r="28" spans="1:5" ht="4.5" customHeight="1" x14ac:dyDescent="0.2">
      <c r="A28" s="15"/>
      <c r="B28" s="33"/>
      <c r="C28" s="15"/>
      <c r="D28" s="19"/>
      <c r="E28" s="19"/>
    </row>
    <row r="29" spans="1:5" ht="14.25" customHeight="1" x14ac:dyDescent="0.2">
      <c r="A29" s="34" t="s">
        <v>655</v>
      </c>
      <c r="B29" s="35">
        <v>3000</v>
      </c>
      <c r="C29" s="36">
        <f>SUM(C10,C16,C21,C27)</f>
        <v>1.0000000000000002</v>
      </c>
      <c r="D29" s="36">
        <f>D10+D16+D21+D27</f>
        <v>1</v>
      </c>
      <c r="E29" s="36"/>
    </row>
    <row r="30" spans="1:5" x14ac:dyDescent="0.2">
      <c r="A30" s="37"/>
      <c r="B30" s="37"/>
      <c r="C30" s="37"/>
      <c r="D30" s="38"/>
      <c r="E30" s="37"/>
    </row>
    <row r="31" spans="1:5" x14ac:dyDescent="0.2">
      <c r="A31" s="37"/>
      <c r="B31" s="37"/>
      <c r="C31" s="37"/>
      <c r="D31" s="38"/>
      <c r="E31" s="37"/>
    </row>
    <row r="32" spans="1:5" x14ac:dyDescent="0.2">
      <c r="A32" s="37"/>
      <c r="B32" s="37"/>
      <c r="C32" s="37"/>
      <c r="D32" s="38"/>
      <c r="E32" s="37"/>
    </row>
    <row r="33" spans="1:5" x14ac:dyDescent="0.2">
      <c r="A33" s="37"/>
      <c r="B33" s="37"/>
      <c r="C33" s="37"/>
      <c r="D33" s="38"/>
      <c r="E33" s="37"/>
    </row>
    <row r="34" spans="1:5" x14ac:dyDescent="0.2">
      <c r="A34" s="37"/>
      <c r="B34" s="37"/>
      <c r="C34" s="37"/>
      <c r="D34" s="38"/>
      <c r="E34" s="37"/>
    </row>
    <row r="35" spans="1:5" x14ac:dyDescent="0.2">
      <c r="A35" s="37"/>
      <c r="B35" s="37"/>
      <c r="C35" s="37"/>
      <c r="D35" s="38"/>
      <c r="E35" s="37"/>
    </row>
    <row r="36" spans="1:5" x14ac:dyDescent="0.2">
      <c r="A36" s="37"/>
      <c r="B36" s="37"/>
      <c r="C36" s="37"/>
      <c r="D36" s="38"/>
      <c r="E36" s="37"/>
    </row>
    <row r="37" spans="1:5" x14ac:dyDescent="0.2">
      <c r="A37" s="37"/>
      <c r="B37" s="37"/>
      <c r="C37" s="37"/>
      <c r="D37" s="38"/>
      <c r="E37" s="37"/>
    </row>
    <row r="38" spans="1:5" x14ac:dyDescent="0.2">
      <c r="A38" s="37"/>
      <c r="B38" s="37"/>
      <c r="C38" s="37"/>
      <c r="D38" s="38"/>
      <c r="E38" s="37"/>
    </row>
    <row r="39" spans="1:5" x14ac:dyDescent="0.2">
      <c r="A39" s="37"/>
      <c r="B39" s="37"/>
      <c r="C39" s="37"/>
      <c r="D39" s="38"/>
      <c r="E39" s="37"/>
    </row>
    <row r="40" spans="1:5" x14ac:dyDescent="0.2">
      <c r="A40" s="37"/>
      <c r="B40" s="37"/>
      <c r="C40" s="37"/>
      <c r="D40" s="38"/>
      <c r="E40" s="37"/>
    </row>
    <row r="41" spans="1:5" x14ac:dyDescent="0.2">
      <c r="A41" s="37"/>
      <c r="B41" s="37"/>
      <c r="C41" s="37"/>
      <c r="D41" s="38"/>
      <c r="E41" s="37"/>
    </row>
    <row r="42" spans="1:5" x14ac:dyDescent="0.2">
      <c r="A42" s="37"/>
      <c r="B42" s="37"/>
      <c r="C42" s="37"/>
      <c r="D42" s="38"/>
      <c r="E42" s="37"/>
    </row>
    <row r="43" spans="1:5" x14ac:dyDescent="0.2">
      <c r="A43" s="37"/>
      <c r="B43" s="37"/>
      <c r="C43" s="37"/>
      <c r="D43" s="38"/>
      <c r="E43" s="37"/>
    </row>
    <row r="44" spans="1:5" x14ac:dyDescent="0.2">
      <c r="A44" s="37"/>
      <c r="B44" s="37"/>
      <c r="C44" s="37"/>
      <c r="D44" s="38"/>
      <c r="E44" s="37"/>
    </row>
    <row r="45" spans="1:5" x14ac:dyDescent="0.2">
      <c r="A45" s="37"/>
      <c r="B45" s="37"/>
      <c r="C45" s="37"/>
      <c r="D45" s="38"/>
      <c r="E45" s="37"/>
    </row>
    <row r="46" spans="1:5" x14ac:dyDescent="0.2">
      <c r="A46" s="37"/>
      <c r="B46" s="37"/>
      <c r="C46" s="37"/>
      <c r="D46" s="38"/>
      <c r="E46" s="37"/>
    </row>
    <row r="47" spans="1:5" x14ac:dyDescent="0.2">
      <c r="A47" s="37"/>
      <c r="B47" s="37"/>
      <c r="C47" s="37"/>
      <c r="D47" s="38"/>
      <c r="E47" s="37"/>
    </row>
    <row r="48" spans="1:5" x14ac:dyDescent="0.2">
      <c r="A48" s="37"/>
      <c r="B48" s="37"/>
      <c r="C48" s="37"/>
      <c r="D48" s="38"/>
      <c r="E48" s="37"/>
    </row>
    <row r="49" spans="1:5" x14ac:dyDescent="0.2">
      <c r="A49" s="37"/>
      <c r="B49" s="37"/>
      <c r="C49" s="37"/>
      <c r="D49" s="38"/>
      <c r="E49" s="37"/>
    </row>
    <row r="50" spans="1:5" x14ac:dyDescent="0.2">
      <c r="A50" s="37"/>
      <c r="B50" s="37"/>
      <c r="C50" s="37"/>
      <c r="D50" s="38"/>
      <c r="E50" s="37"/>
    </row>
    <row r="51" spans="1:5" x14ac:dyDescent="0.2">
      <c r="A51" s="37"/>
      <c r="B51" s="37"/>
      <c r="C51" s="37"/>
      <c r="D51" s="38"/>
      <c r="E51" s="37"/>
    </row>
    <row r="52" spans="1:5" x14ac:dyDescent="0.2">
      <c r="A52" s="37"/>
      <c r="B52" s="37"/>
      <c r="C52" s="37"/>
      <c r="D52" s="38"/>
      <c r="E52" s="37"/>
    </row>
    <row r="53" spans="1:5" x14ac:dyDescent="0.2">
      <c r="A53" s="37"/>
      <c r="B53" s="37"/>
      <c r="C53" s="37"/>
      <c r="D53" s="38"/>
      <c r="E53" s="37"/>
    </row>
    <row r="54" spans="1:5" x14ac:dyDescent="0.2">
      <c r="A54" s="37"/>
      <c r="B54" s="37"/>
      <c r="C54" s="37"/>
      <c r="D54" s="38"/>
      <c r="E54" s="37"/>
    </row>
    <row r="55" spans="1:5" x14ac:dyDescent="0.2">
      <c r="A55" s="37"/>
      <c r="B55" s="37"/>
      <c r="C55" s="37"/>
      <c r="D55" s="38"/>
      <c r="E55" s="37"/>
    </row>
    <row r="56" spans="1:5" x14ac:dyDescent="0.2">
      <c r="A56" s="37"/>
      <c r="B56" s="37"/>
      <c r="C56" s="37"/>
      <c r="D56" s="38"/>
      <c r="E56" s="37"/>
    </row>
    <row r="57" spans="1:5" x14ac:dyDescent="0.2">
      <c r="A57" s="37"/>
      <c r="B57" s="37"/>
      <c r="C57" s="37"/>
      <c r="D57" s="38"/>
      <c r="E57" s="37"/>
    </row>
    <row r="58" spans="1:5" x14ac:dyDescent="0.2">
      <c r="A58" s="37"/>
      <c r="B58" s="37"/>
      <c r="C58" s="37"/>
      <c r="D58" s="38"/>
      <c r="E58" s="37"/>
    </row>
    <row r="59" spans="1:5" x14ac:dyDescent="0.2">
      <c r="A59" s="37"/>
      <c r="B59" s="37"/>
      <c r="C59" s="37"/>
      <c r="D59" s="38"/>
      <c r="E59" s="37"/>
    </row>
    <row r="60" spans="1:5" x14ac:dyDescent="0.2">
      <c r="A60" s="37"/>
      <c r="B60" s="37"/>
      <c r="C60" s="37"/>
      <c r="D60" s="38"/>
      <c r="E60" s="37"/>
    </row>
    <row r="61" spans="1:5" x14ac:dyDescent="0.2">
      <c r="A61" s="37"/>
      <c r="B61" s="37"/>
      <c r="C61" s="37"/>
      <c r="D61" s="38"/>
      <c r="E61" s="37"/>
    </row>
    <row r="62" spans="1:5" x14ac:dyDescent="0.2">
      <c r="A62" s="37"/>
      <c r="B62" s="37"/>
      <c r="C62" s="37"/>
      <c r="D62" s="38"/>
      <c r="E62" s="37"/>
    </row>
    <row r="63" spans="1:5" x14ac:dyDescent="0.2">
      <c r="A63" s="37"/>
      <c r="B63" s="37"/>
      <c r="C63" s="37"/>
      <c r="D63" s="38"/>
      <c r="E63" s="37"/>
    </row>
    <row r="64" spans="1:5" x14ac:dyDescent="0.2">
      <c r="A64" s="37"/>
      <c r="B64" s="37"/>
      <c r="C64" s="37"/>
      <c r="D64" s="38"/>
      <c r="E64" s="37"/>
    </row>
    <row r="65" spans="1:5" x14ac:dyDescent="0.2">
      <c r="A65" s="37"/>
      <c r="B65" s="37"/>
      <c r="C65" s="37"/>
      <c r="D65" s="38"/>
      <c r="E65" s="37"/>
    </row>
    <row r="66" spans="1:5" x14ac:dyDescent="0.2">
      <c r="A66" s="37"/>
      <c r="B66" s="37"/>
      <c r="C66" s="37"/>
      <c r="D66" s="38"/>
      <c r="E66" s="37"/>
    </row>
    <row r="67" spans="1:5" x14ac:dyDescent="0.2">
      <c r="A67" s="37"/>
      <c r="B67" s="37"/>
      <c r="C67" s="37"/>
      <c r="D67" s="38"/>
      <c r="E67" s="37"/>
    </row>
    <row r="68" spans="1:5" x14ac:dyDescent="0.2">
      <c r="A68" s="37"/>
      <c r="B68" s="37"/>
      <c r="C68" s="37"/>
      <c r="D68" s="38"/>
      <c r="E68" s="37"/>
    </row>
    <row r="69" spans="1:5" x14ac:dyDescent="0.2">
      <c r="A69" s="37"/>
      <c r="B69" s="37"/>
      <c r="C69" s="37"/>
      <c r="D69" s="38"/>
      <c r="E69" s="37"/>
    </row>
    <row r="70" spans="1:5" x14ac:dyDescent="0.2">
      <c r="A70" s="37"/>
      <c r="B70" s="37"/>
      <c r="C70" s="37"/>
      <c r="D70" s="38"/>
      <c r="E70" s="37"/>
    </row>
    <row r="71" spans="1:5" x14ac:dyDescent="0.2">
      <c r="A71" s="37"/>
      <c r="B71" s="37"/>
      <c r="C71" s="37"/>
      <c r="D71" s="38"/>
      <c r="E71" s="37"/>
    </row>
    <row r="72" spans="1:5" x14ac:dyDescent="0.2">
      <c r="A72" s="37"/>
      <c r="B72" s="37"/>
      <c r="C72" s="37"/>
      <c r="D72" s="38"/>
      <c r="E72" s="37"/>
    </row>
    <row r="73" spans="1:5" x14ac:dyDescent="0.2">
      <c r="A73" s="37"/>
      <c r="B73" s="37"/>
      <c r="C73" s="37"/>
      <c r="D73" s="38"/>
      <c r="E73" s="37"/>
    </row>
    <row r="74" spans="1:5" x14ac:dyDescent="0.2">
      <c r="A74" s="37"/>
      <c r="B74" s="37"/>
      <c r="C74" s="37"/>
      <c r="D74" s="38"/>
      <c r="E74" s="37"/>
    </row>
    <row r="75" spans="1:5" x14ac:dyDescent="0.2">
      <c r="A75" s="37"/>
      <c r="B75" s="37"/>
      <c r="C75" s="37"/>
      <c r="D75" s="38"/>
      <c r="E75" s="37"/>
    </row>
    <row r="76" spans="1:5" x14ac:dyDescent="0.2">
      <c r="A76" s="37"/>
      <c r="B76" s="37"/>
      <c r="C76" s="37"/>
      <c r="D76" s="38"/>
      <c r="E76" s="37"/>
    </row>
    <row r="77" spans="1:5" x14ac:dyDescent="0.2">
      <c r="A77" s="37"/>
      <c r="B77" s="37"/>
      <c r="C77" s="37"/>
      <c r="D77" s="38"/>
      <c r="E77" s="37"/>
    </row>
    <row r="78" spans="1:5" x14ac:dyDescent="0.2">
      <c r="A78" s="37"/>
      <c r="B78" s="37"/>
      <c r="C78" s="37"/>
      <c r="D78" s="38"/>
      <c r="E78" s="37"/>
    </row>
    <row r="79" spans="1:5" x14ac:dyDescent="0.2">
      <c r="A79" s="37"/>
      <c r="B79" s="37"/>
      <c r="C79" s="37"/>
      <c r="D79" s="38"/>
      <c r="E79" s="37"/>
    </row>
    <row r="80" spans="1:5" x14ac:dyDescent="0.2">
      <c r="A80" s="37"/>
      <c r="B80" s="37"/>
      <c r="C80" s="37"/>
      <c r="D80" s="38"/>
      <c r="E80" s="37"/>
    </row>
    <row r="81" spans="1:5" x14ac:dyDescent="0.2">
      <c r="A81" s="37"/>
      <c r="B81" s="37"/>
      <c r="C81" s="37"/>
      <c r="D81" s="38"/>
      <c r="E81" s="37"/>
    </row>
    <row r="82" spans="1:5" x14ac:dyDescent="0.2">
      <c r="A82" s="37"/>
      <c r="B82" s="37"/>
      <c r="C82" s="37"/>
      <c r="D82" s="38"/>
      <c r="E82" s="37"/>
    </row>
    <row r="83" spans="1:5" x14ac:dyDescent="0.2">
      <c r="A83" s="37"/>
      <c r="B83" s="37"/>
      <c r="C83" s="37"/>
      <c r="D83" s="38"/>
      <c r="E83" s="37"/>
    </row>
    <row r="84" spans="1:5" x14ac:dyDescent="0.2">
      <c r="A84" s="37"/>
      <c r="B84" s="37"/>
      <c r="C84" s="37"/>
      <c r="D84" s="38"/>
      <c r="E84" s="37"/>
    </row>
    <row r="85" spans="1:5" x14ac:dyDescent="0.2">
      <c r="A85" s="37"/>
      <c r="B85" s="37"/>
      <c r="C85" s="37"/>
      <c r="D85" s="38"/>
      <c r="E85" s="37"/>
    </row>
    <row r="86" spans="1:5" x14ac:dyDescent="0.2">
      <c r="A86" s="37"/>
      <c r="B86" s="37"/>
      <c r="C86" s="37"/>
      <c r="D86" s="38"/>
      <c r="E86" s="37"/>
    </row>
    <row r="87" spans="1:5" x14ac:dyDescent="0.2">
      <c r="A87" s="37"/>
      <c r="B87" s="37"/>
      <c r="C87" s="37"/>
      <c r="D87" s="38"/>
      <c r="E87" s="37"/>
    </row>
    <row r="88" spans="1:5" x14ac:dyDescent="0.2">
      <c r="A88" s="37"/>
      <c r="B88" s="37"/>
      <c r="C88" s="37"/>
      <c r="D88" s="38"/>
      <c r="E88" s="37"/>
    </row>
    <row r="89" spans="1:5" x14ac:dyDescent="0.2">
      <c r="A89" s="37"/>
      <c r="B89" s="37"/>
      <c r="C89" s="37"/>
      <c r="D89" s="38"/>
      <c r="E89" s="37"/>
    </row>
    <row r="90" spans="1:5" x14ac:dyDescent="0.2">
      <c r="A90" s="37"/>
      <c r="B90" s="37"/>
      <c r="C90" s="37"/>
      <c r="D90" s="38"/>
      <c r="E90" s="37"/>
    </row>
    <row r="91" spans="1:5" x14ac:dyDescent="0.2">
      <c r="A91" s="37"/>
      <c r="B91" s="37"/>
      <c r="C91" s="37"/>
      <c r="D91" s="38"/>
      <c r="E91" s="37"/>
    </row>
    <row r="92" spans="1:5" x14ac:dyDescent="0.2">
      <c r="A92" s="37"/>
      <c r="B92" s="37"/>
      <c r="C92" s="37"/>
      <c r="D92" s="38"/>
      <c r="E92" s="37"/>
    </row>
    <row r="93" spans="1:5" x14ac:dyDescent="0.2">
      <c r="A93" s="37"/>
      <c r="B93" s="37"/>
      <c r="C93" s="37"/>
      <c r="D93" s="38"/>
      <c r="E93" s="37"/>
    </row>
    <row r="94" spans="1:5" x14ac:dyDescent="0.2">
      <c r="A94" s="37"/>
      <c r="B94" s="37"/>
      <c r="C94" s="37"/>
      <c r="D94" s="38"/>
      <c r="E94" s="37"/>
    </row>
    <row r="95" spans="1:5" x14ac:dyDescent="0.2">
      <c r="A95" s="37"/>
      <c r="B95" s="37"/>
      <c r="C95" s="37"/>
      <c r="D95" s="38"/>
      <c r="E95" s="37"/>
    </row>
    <row r="96" spans="1:5" x14ac:dyDescent="0.2">
      <c r="A96" s="37"/>
      <c r="B96" s="37"/>
      <c r="C96" s="37"/>
      <c r="D96" s="38"/>
      <c r="E96" s="37"/>
    </row>
    <row r="97" spans="1:5" x14ac:dyDescent="0.2">
      <c r="A97" s="37"/>
      <c r="B97" s="37"/>
      <c r="C97" s="37"/>
      <c r="D97" s="38"/>
      <c r="E97" s="37"/>
    </row>
    <row r="98" spans="1:5" x14ac:dyDescent="0.2">
      <c r="A98" s="37"/>
      <c r="B98" s="37"/>
      <c r="C98" s="37"/>
      <c r="D98" s="38"/>
      <c r="E98" s="37"/>
    </row>
    <row r="99" spans="1:5" x14ac:dyDescent="0.2">
      <c r="A99" s="37"/>
      <c r="B99" s="37"/>
      <c r="C99" s="37"/>
      <c r="D99" s="38"/>
      <c r="E99" s="37"/>
    </row>
    <row r="100" spans="1:5" x14ac:dyDescent="0.2">
      <c r="A100" s="37"/>
      <c r="B100" s="37"/>
      <c r="C100" s="37"/>
      <c r="D100" s="38"/>
      <c r="E100" s="37"/>
    </row>
    <row r="101" spans="1:5" x14ac:dyDescent="0.2">
      <c r="A101" s="37"/>
      <c r="B101" s="37"/>
      <c r="C101" s="37"/>
      <c r="D101" s="38"/>
      <c r="E101" s="37"/>
    </row>
    <row r="102" spans="1:5" x14ac:dyDescent="0.2">
      <c r="A102" s="37"/>
      <c r="B102" s="37"/>
      <c r="C102" s="37"/>
      <c r="D102" s="38"/>
      <c r="E102" s="37"/>
    </row>
    <row r="103" spans="1:5" x14ac:dyDescent="0.2">
      <c r="A103" s="37"/>
      <c r="B103" s="37"/>
      <c r="C103" s="37"/>
      <c r="D103" s="38"/>
      <c r="E103" s="37"/>
    </row>
    <row r="104" spans="1:5" x14ac:dyDescent="0.2">
      <c r="A104" s="37"/>
      <c r="B104" s="37"/>
      <c r="C104" s="37"/>
      <c r="D104" s="38"/>
      <c r="E104" s="37"/>
    </row>
    <row r="105" spans="1:5" x14ac:dyDescent="0.2">
      <c r="A105" s="37"/>
      <c r="B105" s="37"/>
      <c r="C105" s="37"/>
      <c r="D105" s="38"/>
      <c r="E105" s="37"/>
    </row>
    <row r="106" spans="1:5" x14ac:dyDescent="0.2">
      <c r="A106" s="37"/>
      <c r="B106" s="37"/>
      <c r="C106" s="37"/>
      <c r="D106" s="38"/>
      <c r="E106" s="37"/>
    </row>
    <row r="107" spans="1:5" x14ac:dyDescent="0.2">
      <c r="A107" s="37"/>
      <c r="B107" s="37"/>
      <c r="C107" s="37"/>
      <c r="D107" s="38"/>
      <c r="E107" s="37"/>
    </row>
    <row r="108" spans="1:5" x14ac:dyDescent="0.2">
      <c r="A108" s="37"/>
      <c r="B108" s="37"/>
      <c r="C108" s="37"/>
      <c r="D108" s="38"/>
      <c r="E108" s="37"/>
    </row>
    <row r="109" spans="1:5" x14ac:dyDescent="0.2">
      <c r="A109" s="37"/>
      <c r="B109" s="37"/>
      <c r="C109" s="37"/>
      <c r="D109" s="38"/>
      <c r="E109" s="37"/>
    </row>
    <row r="110" spans="1:5" x14ac:dyDescent="0.2">
      <c r="A110" s="37"/>
      <c r="B110" s="37"/>
      <c r="C110" s="37"/>
      <c r="D110" s="38"/>
      <c r="E110" s="37"/>
    </row>
    <row r="111" spans="1:5" x14ac:dyDescent="0.2">
      <c r="A111" s="37"/>
      <c r="B111" s="37"/>
      <c r="C111" s="37"/>
      <c r="D111" s="38"/>
      <c r="E111" s="37"/>
    </row>
    <row r="112" spans="1:5" x14ac:dyDescent="0.2">
      <c r="A112" s="37"/>
      <c r="B112" s="37"/>
      <c r="C112" s="37"/>
      <c r="D112" s="38"/>
      <c r="E112" s="37"/>
    </row>
    <row r="113" spans="1:5" x14ac:dyDescent="0.2">
      <c r="A113" s="37"/>
      <c r="B113" s="37"/>
      <c r="C113" s="37"/>
      <c r="D113" s="38"/>
      <c r="E113" s="37"/>
    </row>
    <row r="114" spans="1:5" x14ac:dyDescent="0.2">
      <c r="A114" s="37"/>
      <c r="B114" s="37"/>
      <c r="C114" s="37"/>
      <c r="D114" s="38"/>
      <c r="E114" s="37"/>
    </row>
    <row r="115" spans="1:5" x14ac:dyDescent="0.2">
      <c r="A115" s="37"/>
      <c r="B115" s="37"/>
      <c r="C115" s="37"/>
      <c r="D115" s="38"/>
      <c r="E115" s="37"/>
    </row>
    <row r="116" spans="1:5" x14ac:dyDescent="0.2">
      <c r="A116" s="37"/>
      <c r="B116" s="37"/>
      <c r="C116" s="37"/>
      <c r="D116" s="38"/>
      <c r="E116" s="37"/>
    </row>
    <row r="117" spans="1:5" x14ac:dyDescent="0.2">
      <c r="A117" s="37"/>
      <c r="B117" s="37"/>
      <c r="C117" s="37"/>
      <c r="D117" s="38"/>
      <c r="E117" s="37"/>
    </row>
    <row r="118" spans="1:5" x14ac:dyDescent="0.2">
      <c r="A118" s="37"/>
      <c r="B118" s="37"/>
      <c r="C118" s="37"/>
      <c r="D118" s="38"/>
      <c r="E118" s="37"/>
    </row>
    <row r="119" spans="1:5" x14ac:dyDescent="0.2">
      <c r="A119" s="37"/>
      <c r="B119" s="37"/>
      <c r="C119" s="37"/>
      <c r="D119" s="38"/>
      <c r="E119" s="37"/>
    </row>
    <row r="120" spans="1:5" x14ac:dyDescent="0.2">
      <c r="A120" s="37"/>
      <c r="B120" s="37"/>
      <c r="C120" s="37"/>
      <c r="D120" s="38"/>
      <c r="E120" s="37"/>
    </row>
    <row r="121" spans="1:5" x14ac:dyDescent="0.2">
      <c r="A121" s="37"/>
      <c r="B121" s="37"/>
      <c r="C121" s="37"/>
      <c r="D121" s="38"/>
      <c r="E121" s="37"/>
    </row>
    <row r="122" spans="1:5" x14ac:dyDescent="0.2">
      <c r="A122" s="37"/>
      <c r="B122" s="37"/>
      <c r="C122" s="37"/>
      <c r="D122" s="38"/>
      <c r="E122" s="37"/>
    </row>
    <row r="123" spans="1:5" x14ac:dyDescent="0.2">
      <c r="A123" s="37"/>
      <c r="B123" s="37"/>
      <c r="C123" s="37"/>
      <c r="D123" s="38"/>
      <c r="E123" s="37"/>
    </row>
    <row r="124" spans="1:5" x14ac:dyDescent="0.2">
      <c r="A124" s="37"/>
      <c r="B124" s="37"/>
      <c r="C124" s="37"/>
      <c r="D124" s="38"/>
      <c r="E124" s="37"/>
    </row>
    <row r="125" spans="1:5" x14ac:dyDescent="0.2">
      <c r="A125" s="37"/>
      <c r="B125" s="37"/>
      <c r="C125" s="37"/>
      <c r="D125" s="38"/>
      <c r="E125" s="37"/>
    </row>
    <row r="126" spans="1:5" x14ac:dyDescent="0.2">
      <c r="A126" s="37"/>
      <c r="B126" s="37"/>
      <c r="C126" s="37"/>
      <c r="D126" s="38"/>
      <c r="E126" s="37"/>
    </row>
    <row r="127" spans="1:5" x14ac:dyDescent="0.2">
      <c r="A127" s="37"/>
      <c r="B127" s="37"/>
      <c r="C127" s="37"/>
      <c r="D127" s="38"/>
      <c r="E127" s="37"/>
    </row>
    <row r="128" spans="1:5" x14ac:dyDescent="0.2">
      <c r="A128" s="37"/>
      <c r="B128" s="37"/>
      <c r="C128" s="37"/>
      <c r="D128" s="38"/>
      <c r="E128" s="37"/>
    </row>
    <row r="129" spans="1:5" x14ac:dyDescent="0.2">
      <c r="A129" s="37"/>
      <c r="B129" s="37"/>
      <c r="C129" s="37"/>
      <c r="D129" s="38"/>
      <c r="E129" s="37"/>
    </row>
    <row r="130" spans="1:5" x14ac:dyDescent="0.2">
      <c r="A130" s="37"/>
      <c r="B130" s="37"/>
      <c r="C130" s="37"/>
      <c r="D130" s="38"/>
      <c r="E130" s="37"/>
    </row>
    <row r="131" spans="1:5" x14ac:dyDescent="0.2">
      <c r="A131" s="37"/>
      <c r="B131" s="37"/>
      <c r="C131" s="37"/>
      <c r="D131" s="38"/>
      <c r="E131" s="37"/>
    </row>
    <row r="132" spans="1:5" x14ac:dyDescent="0.2">
      <c r="A132" s="37"/>
      <c r="B132" s="37"/>
      <c r="C132" s="37"/>
      <c r="D132" s="38"/>
      <c r="E132" s="37"/>
    </row>
    <row r="133" spans="1:5" x14ac:dyDescent="0.2">
      <c r="A133" s="37"/>
      <c r="B133" s="37"/>
      <c r="C133" s="37"/>
      <c r="D133" s="38"/>
      <c r="E133" s="37"/>
    </row>
    <row r="134" spans="1:5" x14ac:dyDescent="0.2">
      <c r="A134" s="37"/>
      <c r="B134" s="37"/>
      <c r="C134" s="37"/>
      <c r="D134" s="38"/>
      <c r="E134" s="37"/>
    </row>
  </sheetData>
  <mergeCells count="2">
    <mergeCell ref="B3:C3"/>
    <mergeCell ref="E3:E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19"/>
  <sheetViews>
    <sheetView zoomScale="145" zoomScaleNormal="145" workbookViewId="0">
      <selection activeCell="A4" sqref="A4:D19"/>
    </sheetView>
  </sheetViews>
  <sheetFormatPr baseColWidth="10" defaultColWidth="8.83203125" defaultRowHeight="15" x14ac:dyDescent="0.2"/>
  <cols>
    <col min="1" max="1" width="43.1640625" customWidth="1"/>
    <col min="2" max="2" width="37.6640625" bestFit="1" customWidth="1"/>
  </cols>
  <sheetData>
    <row r="1" spans="1:3" ht="17" customHeight="1" x14ac:dyDescent="0.2">
      <c r="A1" s="40" t="s">
        <v>656</v>
      </c>
      <c r="B1" s="41"/>
    </row>
    <row r="2" spans="1:3" x14ac:dyDescent="0.2">
      <c r="A2" s="41"/>
      <c r="B2" s="41"/>
    </row>
    <row r="3" spans="1:3" x14ac:dyDescent="0.2">
      <c r="A3" s="42"/>
      <c r="B3" s="42"/>
    </row>
    <row r="4" spans="1:3" x14ac:dyDescent="0.2">
      <c r="A4" s="43" t="s">
        <v>657</v>
      </c>
      <c r="B4" s="44" t="s">
        <v>658</v>
      </c>
    </row>
    <row r="5" spans="1:3" x14ac:dyDescent="0.2">
      <c r="A5" s="45" t="s">
        <v>34</v>
      </c>
      <c r="B5" s="46">
        <v>0</v>
      </c>
    </row>
    <row r="6" spans="1:3" x14ac:dyDescent="0.2">
      <c r="A6" s="45" t="s">
        <v>14</v>
      </c>
      <c r="B6" s="46">
        <v>1E-3</v>
      </c>
    </row>
    <row r="7" spans="1:3" x14ac:dyDescent="0.2">
      <c r="A7" s="45" t="s">
        <v>16</v>
      </c>
      <c r="B7" s="46">
        <v>1.5E-3</v>
      </c>
    </row>
    <row r="8" spans="1:3" x14ac:dyDescent="0.2">
      <c r="A8" s="45" t="s">
        <v>18</v>
      </c>
      <c r="B8" s="46">
        <v>2E-3</v>
      </c>
    </row>
    <row r="9" spans="1:3" x14ac:dyDescent="0.2">
      <c r="A9" s="45" t="s">
        <v>20</v>
      </c>
      <c r="B9" s="46">
        <v>1.5E-3</v>
      </c>
    </row>
    <row r="10" spans="1:3" x14ac:dyDescent="0.2">
      <c r="A10" s="45" t="s">
        <v>30</v>
      </c>
      <c r="B10" s="46">
        <v>1E-3</v>
      </c>
    </row>
    <row r="11" spans="1:3" x14ac:dyDescent="0.2">
      <c r="A11" s="45" t="s">
        <v>32</v>
      </c>
      <c r="B11" s="46">
        <v>1.5E-3</v>
      </c>
    </row>
    <row r="12" spans="1:3" x14ac:dyDescent="0.2">
      <c r="A12" s="45"/>
      <c r="B12" s="47"/>
    </row>
    <row r="13" spans="1:3" x14ac:dyDescent="0.2">
      <c r="A13" s="48" t="s">
        <v>659</v>
      </c>
      <c r="B13" s="49"/>
    </row>
    <row r="14" spans="1:3" x14ac:dyDescent="0.2">
      <c r="A14" s="45" t="s">
        <v>24</v>
      </c>
      <c r="B14" s="47">
        <v>1.2E-2</v>
      </c>
    </row>
    <row r="15" spans="1:3" x14ac:dyDescent="0.2">
      <c r="A15" s="45" t="s">
        <v>26</v>
      </c>
      <c r="B15" s="47">
        <v>2.5000000000000001E-2</v>
      </c>
      <c r="C15" s="50" t="s">
        <v>660</v>
      </c>
    </row>
    <row r="16" spans="1:3" x14ac:dyDescent="0.2">
      <c r="A16" s="45" t="s">
        <v>28</v>
      </c>
      <c r="B16" s="47">
        <v>0.03</v>
      </c>
      <c r="C16" s="50" t="s">
        <v>660</v>
      </c>
    </row>
    <row r="17" spans="1:2" x14ac:dyDescent="0.2">
      <c r="A17" s="51" t="s">
        <v>661</v>
      </c>
      <c r="B17" s="52">
        <v>2.5000000000000001E-3</v>
      </c>
    </row>
    <row r="19" spans="1:2" x14ac:dyDescent="0.2">
      <c r="A19" s="43" t="s">
        <v>662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196"/>
  <sheetViews>
    <sheetView workbookViewId="0">
      <selection activeCell="A2" sqref="A2"/>
    </sheetView>
  </sheetViews>
  <sheetFormatPr baseColWidth="10" defaultColWidth="8.83203125" defaultRowHeight="15" x14ac:dyDescent="0.2"/>
  <cols>
    <col min="1" max="1" width="16.33203125" bestFit="1" customWidth="1"/>
    <col min="2" max="2" width="42.1640625" bestFit="1" customWidth="1"/>
    <col min="4" max="4" width="16.33203125" bestFit="1" customWidth="1"/>
    <col min="5" max="5" width="78.5" style="1" bestFit="1" customWidth="1"/>
    <col min="7" max="7" width="16.33203125" style="2" bestFit="1" customWidth="1"/>
    <col min="8" max="8" width="40.5" bestFit="1" customWidth="1"/>
    <col min="9" max="9" width="30.1640625" bestFit="1" customWidth="1"/>
  </cols>
  <sheetData>
    <row r="1" spans="1:9" x14ac:dyDescent="0.2">
      <c r="A1" t="s">
        <v>663</v>
      </c>
      <c r="B1" t="s">
        <v>664</v>
      </c>
      <c r="D1" t="s">
        <v>663</v>
      </c>
      <c r="E1" s="1" t="s">
        <v>665</v>
      </c>
      <c r="G1" s="2" t="s">
        <v>663</v>
      </c>
      <c r="H1" t="s">
        <v>666</v>
      </c>
      <c r="I1" t="s">
        <v>667</v>
      </c>
    </row>
    <row r="2" spans="1:9" x14ac:dyDescent="0.2">
      <c r="A2" s="2">
        <v>16803</v>
      </c>
      <c r="B2">
        <v>1.17</v>
      </c>
      <c r="D2" s="2">
        <v>24838</v>
      </c>
      <c r="E2" s="1">
        <v>5.0999999999999996</v>
      </c>
      <c r="G2" s="2">
        <v>9709</v>
      </c>
      <c r="H2">
        <v>2.8899999999999999E-2</v>
      </c>
      <c r="I2">
        <v>2.2000000000000001E-3</v>
      </c>
    </row>
    <row r="3" spans="1:9" x14ac:dyDescent="0.2">
      <c r="A3" s="2">
        <v>16834</v>
      </c>
      <c r="B3">
        <v>1.17</v>
      </c>
      <c r="D3" s="2">
        <v>24869</v>
      </c>
      <c r="E3" s="1">
        <v>5.15</v>
      </c>
      <c r="G3" s="2">
        <v>9740</v>
      </c>
      <c r="H3">
        <v>2.64E-2</v>
      </c>
      <c r="I3">
        <v>2.5000000000000001E-3</v>
      </c>
    </row>
    <row r="4" spans="1:9" x14ac:dyDescent="0.2">
      <c r="A4" s="2">
        <v>16862</v>
      </c>
      <c r="B4">
        <v>1.17</v>
      </c>
      <c r="D4" s="2">
        <v>24898</v>
      </c>
      <c r="E4" s="1">
        <v>5.15</v>
      </c>
      <c r="G4" s="2">
        <v>9770</v>
      </c>
      <c r="H4">
        <v>3.8E-3</v>
      </c>
      <c r="I4">
        <v>2.3E-3</v>
      </c>
    </row>
    <row r="5" spans="1:9" x14ac:dyDescent="0.2">
      <c r="A5" s="2">
        <v>16893</v>
      </c>
      <c r="B5">
        <v>1.27</v>
      </c>
      <c r="D5" s="2">
        <v>24929</v>
      </c>
      <c r="E5" s="1">
        <v>5.15</v>
      </c>
      <c r="G5" s="2">
        <v>9800</v>
      </c>
      <c r="H5">
        <v>-3.27E-2</v>
      </c>
      <c r="I5">
        <v>3.2000000000000002E-3</v>
      </c>
    </row>
    <row r="6" spans="1:9" x14ac:dyDescent="0.2">
      <c r="A6" s="2">
        <v>16923</v>
      </c>
      <c r="B6">
        <v>1.27</v>
      </c>
      <c r="D6" s="2">
        <v>24959</v>
      </c>
      <c r="E6" s="1">
        <v>5.3</v>
      </c>
      <c r="G6" s="2">
        <v>9831</v>
      </c>
      <c r="H6">
        <v>2.5399999999999999E-2</v>
      </c>
      <c r="I6">
        <v>3.0999999999999999E-3</v>
      </c>
    </row>
    <row r="7" spans="1:9" x14ac:dyDescent="0.2">
      <c r="A7" s="2">
        <v>16954</v>
      </c>
      <c r="B7">
        <v>1.27</v>
      </c>
      <c r="D7" s="2">
        <v>24990</v>
      </c>
      <c r="E7" s="1">
        <v>5.5</v>
      </c>
      <c r="G7" s="2">
        <v>9862</v>
      </c>
      <c r="H7">
        <v>2.6200000000000001E-2</v>
      </c>
      <c r="I7">
        <v>2.8E-3</v>
      </c>
    </row>
    <row r="8" spans="1:9" x14ac:dyDescent="0.2">
      <c r="A8" s="2">
        <v>16984</v>
      </c>
      <c r="B8">
        <v>1.27</v>
      </c>
      <c r="D8" s="2">
        <v>25020</v>
      </c>
      <c r="E8" s="1">
        <v>5.0999999999999996</v>
      </c>
      <c r="G8" s="2">
        <v>9893</v>
      </c>
      <c r="H8">
        <v>-5.0000000000000001E-4</v>
      </c>
      <c r="I8">
        <v>2.5000000000000001E-3</v>
      </c>
    </row>
    <row r="9" spans="1:9" x14ac:dyDescent="0.2">
      <c r="A9" s="2">
        <v>17015</v>
      </c>
      <c r="B9">
        <v>1.52</v>
      </c>
      <c r="D9" s="2">
        <v>25051</v>
      </c>
      <c r="E9" s="1">
        <v>5.0999999999999996</v>
      </c>
      <c r="G9" s="2">
        <v>9921</v>
      </c>
      <c r="H9">
        <v>4.1700000000000001E-2</v>
      </c>
      <c r="I9">
        <v>2.5999999999999999E-3</v>
      </c>
    </row>
    <row r="10" spans="1:9" x14ac:dyDescent="0.2">
      <c r="A10" s="2">
        <v>17046</v>
      </c>
      <c r="B10">
        <v>1.52</v>
      </c>
      <c r="D10" s="2">
        <v>25082</v>
      </c>
      <c r="E10" s="1">
        <v>5.05</v>
      </c>
      <c r="G10" s="2">
        <v>9952</v>
      </c>
      <c r="H10">
        <v>1.4E-3</v>
      </c>
      <c r="I10">
        <v>3.0000000000000001E-3</v>
      </c>
    </row>
    <row r="11" spans="1:9" x14ac:dyDescent="0.2">
      <c r="A11" s="2">
        <v>17076</v>
      </c>
      <c r="B11">
        <v>1.52</v>
      </c>
      <c r="D11" s="2">
        <v>25112</v>
      </c>
      <c r="E11" s="1">
        <v>5</v>
      </c>
      <c r="G11" s="2">
        <v>9982</v>
      </c>
      <c r="H11">
        <v>4.7000000000000002E-3</v>
      </c>
      <c r="I11">
        <v>2.5000000000000001E-3</v>
      </c>
    </row>
    <row r="12" spans="1:9" x14ac:dyDescent="0.2">
      <c r="A12" s="2">
        <v>17107</v>
      </c>
      <c r="B12">
        <v>1.52</v>
      </c>
      <c r="D12" s="2">
        <v>25143</v>
      </c>
      <c r="E12" s="1">
        <v>4.9000000000000004</v>
      </c>
      <c r="G12" s="2">
        <v>10013</v>
      </c>
      <c r="H12">
        <v>5.45E-2</v>
      </c>
      <c r="I12">
        <v>3.0000000000000001E-3</v>
      </c>
    </row>
    <row r="13" spans="1:9" x14ac:dyDescent="0.2">
      <c r="A13" s="2">
        <v>17137</v>
      </c>
      <c r="B13">
        <v>1.62</v>
      </c>
      <c r="D13" s="2">
        <v>25173</v>
      </c>
      <c r="E13" s="1">
        <v>4.9000000000000004</v>
      </c>
      <c r="G13" s="2">
        <v>10043</v>
      </c>
      <c r="H13">
        <v>-2.3800000000000002E-2</v>
      </c>
      <c r="I13">
        <v>2.5999999999999999E-3</v>
      </c>
    </row>
    <row r="14" spans="1:9" x14ac:dyDescent="0.2">
      <c r="A14" s="2">
        <v>17168</v>
      </c>
      <c r="B14">
        <v>1.62</v>
      </c>
      <c r="D14" s="2">
        <v>25204</v>
      </c>
      <c r="E14" s="1">
        <v>5.0999999999999996</v>
      </c>
      <c r="G14" s="2">
        <v>10073</v>
      </c>
      <c r="H14">
        <v>7.2599999999999998E-2</v>
      </c>
      <c r="I14">
        <v>3.0000000000000001E-3</v>
      </c>
    </row>
    <row r="15" spans="1:9" x14ac:dyDescent="0.2">
      <c r="A15" s="2">
        <v>17199</v>
      </c>
      <c r="B15">
        <v>1.62</v>
      </c>
      <c r="D15" s="2">
        <v>25235</v>
      </c>
      <c r="E15" s="1">
        <v>5.0999999999999996</v>
      </c>
      <c r="G15" s="2">
        <v>10105</v>
      </c>
      <c r="H15">
        <v>1.9900000000000001E-2</v>
      </c>
      <c r="I15">
        <v>2.8E-3</v>
      </c>
    </row>
    <row r="16" spans="1:9" x14ac:dyDescent="0.2">
      <c r="A16" s="2">
        <v>17227</v>
      </c>
      <c r="B16">
        <v>1.62</v>
      </c>
      <c r="D16" s="2">
        <v>25263</v>
      </c>
      <c r="E16" s="1">
        <v>5.15</v>
      </c>
      <c r="G16" s="2">
        <v>10135</v>
      </c>
      <c r="H16">
        <v>4.7699999999999999E-2</v>
      </c>
      <c r="I16">
        <v>2.0999999999999999E-3</v>
      </c>
    </row>
    <row r="17" spans="1:9" x14ac:dyDescent="0.2">
      <c r="A17" s="2">
        <v>17258</v>
      </c>
      <c r="B17">
        <v>1.87</v>
      </c>
      <c r="D17" s="2">
        <v>25294</v>
      </c>
      <c r="E17" s="1">
        <v>5.4</v>
      </c>
      <c r="G17" s="2">
        <v>10166</v>
      </c>
      <c r="H17">
        <v>-4.2900000000000001E-2</v>
      </c>
      <c r="I17">
        <v>2.5000000000000001E-3</v>
      </c>
    </row>
    <row r="18" spans="1:9" x14ac:dyDescent="0.2">
      <c r="A18" s="2">
        <v>17288</v>
      </c>
      <c r="B18">
        <v>1.87</v>
      </c>
      <c r="D18" s="2">
        <v>25324</v>
      </c>
      <c r="E18" s="1">
        <v>5.5</v>
      </c>
      <c r="G18" s="2">
        <v>10196</v>
      </c>
      <c r="H18">
        <v>6.5199999999999994E-2</v>
      </c>
      <c r="I18">
        <v>2.0999999999999999E-3</v>
      </c>
    </row>
    <row r="19" spans="1:9" x14ac:dyDescent="0.2">
      <c r="A19" s="2">
        <v>17319</v>
      </c>
      <c r="B19">
        <v>1.87</v>
      </c>
      <c r="D19" s="2">
        <v>25355</v>
      </c>
      <c r="E19" s="1">
        <v>5.9</v>
      </c>
      <c r="G19" s="2">
        <v>10227</v>
      </c>
      <c r="H19">
        <v>2.0899999999999998E-2</v>
      </c>
      <c r="I19">
        <v>2.2000000000000001E-3</v>
      </c>
    </row>
    <row r="20" spans="1:9" x14ac:dyDescent="0.2">
      <c r="A20" s="2">
        <v>17349</v>
      </c>
      <c r="B20">
        <v>1.87</v>
      </c>
      <c r="D20" s="2">
        <v>25385</v>
      </c>
      <c r="E20" s="1">
        <v>5.8</v>
      </c>
      <c r="G20" s="2">
        <v>10258</v>
      </c>
      <c r="H20">
        <v>-5.7000000000000002E-3</v>
      </c>
      <c r="I20">
        <v>2.5000000000000001E-3</v>
      </c>
    </row>
    <row r="21" spans="1:9" x14ac:dyDescent="0.2">
      <c r="A21" s="2">
        <v>17380</v>
      </c>
      <c r="B21">
        <v>1.87</v>
      </c>
      <c r="D21" s="2">
        <v>25416</v>
      </c>
      <c r="E21" s="1">
        <v>6.1</v>
      </c>
      <c r="G21" s="2">
        <v>10287</v>
      </c>
      <c r="H21">
        <v>-1.6899999999999998E-2</v>
      </c>
      <c r="I21">
        <v>3.3E-3</v>
      </c>
    </row>
    <row r="22" spans="1:9" x14ac:dyDescent="0.2">
      <c r="A22" s="2">
        <v>17411</v>
      </c>
      <c r="B22">
        <v>1.87</v>
      </c>
      <c r="D22" s="2">
        <v>25447</v>
      </c>
      <c r="E22" s="1">
        <v>5.8</v>
      </c>
      <c r="G22" s="2">
        <v>10318</v>
      </c>
      <c r="H22">
        <v>8.7900000000000006E-2</v>
      </c>
      <c r="I22">
        <v>2.8999999999999998E-3</v>
      </c>
    </row>
    <row r="23" spans="1:9" x14ac:dyDescent="0.2">
      <c r="A23" s="2">
        <v>17441</v>
      </c>
      <c r="B23">
        <v>1.87</v>
      </c>
      <c r="D23" s="2">
        <v>25477</v>
      </c>
      <c r="E23" s="1">
        <v>5.6</v>
      </c>
      <c r="G23" s="2">
        <v>10348</v>
      </c>
      <c r="H23">
        <v>4.2500000000000003E-2</v>
      </c>
      <c r="I23">
        <v>2.2000000000000001E-3</v>
      </c>
    </row>
    <row r="24" spans="1:9" x14ac:dyDescent="0.2">
      <c r="A24" s="2">
        <v>17472</v>
      </c>
      <c r="B24">
        <v>2.0699999999999998</v>
      </c>
      <c r="D24" s="2">
        <v>25508</v>
      </c>
      <c r="E24" s="1">
        <v>0</v>
      </c>
      <c r="G24" s="2">
        <v>10379</v>
      </c>
      <c r="H24">
        <v>1.52E-2</v>
      </c>
      <c r="I24">
        <v>3.2000000000000002E-3</v>
      </c>
    </row>
    <row r="25" spans="1:9" x14ac:dyDescent="0.2">
      <c r="A25" s="2">
        <v>17502</v>
      </c>
      <c r="B25">
        <v>2.0699999999999998</v>
      </c>
      <c r="D25" s="2">
        <v>25538</v>
      </c>
      <c r="E25" s="1">
        <v>5.65</v>
      </c>
      <c r="G25" s="2">
        <v>10409</v>
      </c>
      <c r="H25">
        <v>-4.9000000000000002E-2</v>
      </c>
      <c r="I25">
        <v>3.0999999999999999E-3</v>
      </c>
    </row>
    <row r="26" spans="1:9" x14ac:dyDescent="0.2">
      <c r="A26" s="2">
        <v>17533</v>
      </c>
      <c r="B26">
        <v>2.57</v>
      </c>
      <c r="D26" s="2">
        <v>25569</v>
      </c>
      <c r="E26" s="1">
        <v>5.8</v>
      </c>
      <c r="G26" s="2">
        <v>10440</v>
      </c>
      <c r="H26">
        <v>6.3E-3</v>
      </c>
      <c r="I26">
        <v>3.2000000000000002E-3</v>
      </c>
    </row>
    <row r="27" spans="1:9" x14ac:dyDescent="0.2">
      <c r="A27" s="2">
        <v>17564</v>
      </c>
      <c r="B27">
        <v>2.57</v>
      </c>
      <c r="D27" s="2">
        <v>25600</v>
      </c>
      <c r="E27" s="1">
        <v>6.3</v>
      </c>
      <c r="G27" s="2">
        <v>10471</v>
      </c>
      <c r="H27">
        <v>6.6900000000000001E-2</v>
      </c>
      <c r="I27">
        <v>3.2000000000000002E-3</v>
      </c>
    </row>
    <row r="28" spans="1:9" x14ac:dyDescent="0.2">
      <c r="A28" s="2">
        <v>17593</v>
      </c>
      <c r="B28">
        <v>2.57</v>
      </c>
      <c r="D28" s="2">
        <v>25628</v>
      </c>
      <c r="E28" s="1">
        <v>7.15</v>
      </c>
      <c r="G28" s="2">
        <v>10500</v>
      </c>
      <c r="H28">
        <v>2.87E-2</v>
      </c>
      <c r="I28">
        <v>2.7000000000000001E-3</v>
      </c>
    </row>
    <row r="29" spans="1:9" x14ac:dyDescent="0.2">
      <c r="A29" s="2">
        <v>17624</v>
      </c>
      <c r="B29">
        <v>2.57</v>
      </c>
      <c r="D29" s="2">
        <v>25659</v>
      </c>
      <c r="E29" s="1">
        <v>8.6</v>
      </c>
      <c r="G29" s="2">
        <v>10532</v>
      </c>
      <c r="H29">
        <v>1.3100000000000001E-2</v>
      </c>
      <c r="I29">
        <v>4.1000000000000003E-3</v>
      </c>
    </row>
    <row r="30" spans="1:9" x14ac:dyDescent="0.2">
      <c r="A30" s="2">
        <v>17654</v>
      </c>
      <c r="B30">
        <v>2.57</v>
      </c>
      <c r="D30" s="2">
        <v>25689</v>
      </c>
      <c r="E30" s="1">
        <v>9.1</v>
      </c>
      <c r="G30" s="2">
        <v>10562</v>
      </c>
      <c r="H30">
        <v>0.1182</v>
      </c>
      <c r="I30">
        <v>3.8E-3</v>
      </c>
    </row>
    <row r="31" spans="1:9" x14ac:dyDescent="0.2">
      <c r="A31" s="2">
        <v>17685</v>
      </c>
      <c r="B31">
        <v>2.57</v>
      </c>
      <c r="D31" s="2">
        <v>25720</v>
      </c>
      <c r="E31" s="1">
        <v>8.6999999999999993</v>
      </c>
      <c r="G31" s="2">
        <v>10593</v>
      </c>
      <c r="H31">
        <v>4.0000000000000001E-3</v>
      </c>
      <c r="I31">
        <v>5.9999999999999995E-4</v>
      </c>
    </row>
    <row r="32" spans="1:9" x14ac:dyDescent="0.2">
      <c r="A32" s="2">
        <v>17715</v>
      </c>
      <c r="B32">
        <v>2.57</v>
      </c>
      <c r="D32" s="2">
        <v>25750</v>
      </c>
      <c r="E32" s="1">
        <v>7.4</v>
      </c>
      <c r="G32" s="2">
        <v>10624</v>
      </c>
      <c r="H32">
        <v>4.6600000000000003E-2</v>
      </c>
      <c r="I32">
        <v>3.3999999999999998E-3</v>
      </c>
    </row>
    <row r="33" spans="1:9" x14ac:dyDescent="0.2">
      <c r="A33" s="2">
        <v>17746</v>
      </c>
      <c r="B33">
        <v>2.57</v>
      </c>
      <c r="D33" s="2">
        <v>25781</v>
      </c>
      <c r="E33" s="1">
        <v>6.8</v>
      </c>
      <c r="G33" s="2">
        <v>10652</v>
      </c>
      <c r="H33">
        <v>-3.3999999999999998E-3</v>
      </c>
      <c r="I33">
        <v>3.5999999999999999E-3</v>
      </c>
    </row>
    <row r="34" spans="1:9" x14ac:dyDescent="0.2">
      <c r="A34" s="2">
        <v>17777</v>
      </c>
      <c r="B34">
        <v>2.57</v>
      </c>
      <c r="D34" s="2">
        <v>25812</v>
      </c>
      <c r="E34" s="1">
        <v>6.35</v>
      </c>
      <c r="G34" s="2">
        <v>10680</v>
      </c>
      <c r="H34">
        <v>-8.5000000000000006E-3</v>
      </c>
      <c r="I34">
        <v>3.3999999999999998E-3</v>
      </c>
    </row>
    <row r="35" spans="1:9" x14ac:dyDescent="0.2">
      <c r="A35" s="2">
        <v>17807</v>
      </c>
      <c r="B35">
        <v>2.57</v>
      </c>
      <c r="D35" s="2">
        <v>25842</v>
      </c>
      <c r="E35" s="1">
        <v>6.4</v>
      </c>
      <c r="G35" s="2">
        <v>10713</v>
      </c>
      <c r="H35">
        <v>1.47E-2</v>
      </c>
      <c r="I35">
        <v>3.5999999999999999E-3</v>
      </c>
    </row>
    <row r="36" spans="1:9" x14ac:dyDescent="0.2">
      <c r="A36" s="2">
        <v>17838</v>
      </c>
      <c r="B36">
        <v>2.57</v>
      </c>
      <c r="D36" s="2">
        <v>25873</v>
      </c>
      <c r="E36" s="1">
        <v>6.2</v>
      </c>
      <c r="G36" s="2">
        <v>10744</v>
      </c>
      <c r="H36">
        <v>-6.3799999999999996E-2</v>
      </c>
      <c r="I36">
        <v>4.4000000000000003E-3</v>
      </c>
    </row>
    <row r="37" spans="1:9" x14ac:dyDescent="0.2">
      <c r="A37" s="2">
        <v>17868</v>
      </c>
      <c r="B37">
        <v>2.57</v>
      </c>
      <c r="D37" s="2">
        <v>25903</v>
      </c>
      <c r="E37" s="1">
        <v>6.5</v>
      </c>
      <c r="G37" s="2">
        <v>10773</v>
      </c>
      <c r="H37">
        <v>9.7000000000000003E-2</v>
      </c>
      <c r="I37">
        <v>5.1999999999999998E-3</v>
      </c>
    </row>
    <row r="38" spans="1:9" x14ac:dyDescent="0.2">
      <c r="A38" s="2">
        <v>17899</v>
      </c>
      <c r="B38">
        <v>2.57</v>
      </c>
      <c r="D38" s="2">
        <v>25934</v>
      </c>
      <c r="E38" s="1">
        <v>6.6</v>
      </c>
      <c r="G38" s="2">
        <v>10805</v>
      </c>
      <c r="H38">
        <v>4.48E-2</v>
      </c>
      <c r="I38">
        <v>3.3E-3</v>
      </c>
    </row>
    <row r="39" spans="1:9" x14ac:dyDescent="0.2">
      <c r="A39" s="2">
        <v>17930</v>
      </c>
      <c r="B39">
        <v>2.57</v>
      </c>
      <c r="D39" s="2">
        <v>25965</v>
      </c>
      <c r="E39" s="1">
        <v>7.6</v>
      </c>
      <c r="G39" s="2">
        <v>10835</v>
      </c>
      <c r="H39">
        <v>8.14E-2</v>
      </c>
      <c r="I39">
        <v>4.0000000000000001E-3</v>
      </c>
    </row>
    <row r="40" spans="1:9" x14ac:dyDescent="0.2">
      <c r="A40" s="2">
        <v>17958</v>
      </c>
      <c r="B40">
        <v>2.57</v>
      </c>
      <c r="D40" s="2">
        <v>25993</v>
      </c>
      <c r="E40" s="1">
        <v>8</v>
      </c>
      <c r="G40" s="2">
        <v>10866</v>
      </c>
      <c r="H40">
        <v>-5.45E-2</v>
      </c>
      <c r="I40">
        <v>3.5000000000000001E-3</v>
      </c>
    </row>
    <row r="41" spans="1:9" x14ac:dyDescent="0.2">
      <c r="A41" s="2">
        <v>17989</v>
      </c>
      <c r="B41">
        <v>2.57</v>
      </c>
      <c r="D41" s="2">
        <v>26024</v>
      </c>
      <c r="E41" s="1">
        <v>7.8</v>
      </c>
      <c r="G41" s="2">
        <v>10897</v>
      </c>
      <c r="H41">
        <v>-0.20069999999999999</v>
      </c>
      <c r="I41">
        <v>4.5999999999999999E-3</v>
      </c>
    </row>
    <row r="42" spans="1:9" x14ac:dyDescent="0.2">
      <c r="A42" s="2">
        <v>18019</v>
      </c>
      <c r="B42">
        <v>2.57</v>
      </c>
      <c r="D42" s="2">
        <v>26054</v>
      </c>
      <c r="E42" s="1">
        <v>7.8</v>
      </c>
      <c r="G42" s="2">
        <v>10924</v>
      </c>
      <c r="H42">
        <v>-0.12870000000000001</v>
      </c>
      <c r="I42">
        <v>3.7000000000000002E-3</v>
      </c>
    </row>
    <row r="43" spans="1:9" x14ac:dyDescent="0.2">
      <c r="A43" s="2">
        <v>18050</v>
      </c>
      <c r="B43">
        <v>2.57</v>
      </c>
      <c r="D43" s="2">
        <v>26085</v>
      </c>
      <c r="E43" s="1">
        <v>8.15</v>
      </c>
      <c r="G43" s="2">
        <v>10958</v>
      </c>
      <c r="H43">
        <v>1.2800000000000001E-2</v>
      </c>
      <c r="I43">
        <v>3.7000000000000002E-3</v>
      </c>
    </row>
    <row r="44" spans="1:9" x14ac:dyDescent="0.2">
      <c r="A44" s="2">
        <v>18080</v>
      </c>
      <c r="B44">
        <v>2.57</v>
      </c>
      <c r="D44" s="2">
        <v>26115</v>
      </c>
      <c r="E44" s="1">
        <v>6.8</v>
      </c>
      <c r="G44" s="2">
        <v>10989</v>
      </c>
      <c r="H44">
        <v>5.6099999999999997E-2</v>
      </c>
      <c r="I44">
        <v>1.4E-3</v>
      </c>
    </row>
    <row r="45" spans="1:9" x14ac:dyDescent="0.2">
      <c r="A45" s="2">
        <v>18111</v>
      </c>
      <c r="B45">
        <v>2.57</v>
      </c>
      <c r="D45" s="2">
        <v>26146</v>
      </c>
      <c r="E45" s="1">
        <v>6.7</v>
      </c>
      <c r="G45" s="2">
        <v>11017</v>
      </c>
      <c r="H45">
        <v>2.5000000000000001E-2</v>
      </c>
      <c r="I45">
        <v>3.0000000000000001E-3</v>
      </c>
    </row>
    <row r="46" spans="1:9" x14ac:dyDescent="0.2">
      <c r="A46" s="2">
        <v>18142</v>
      </c>
      <c r="B46">
        <v>2.57</v>
      </c>
      <c r="D46" s="2">
        <v>26177</v>
      </c>
      <c r="E46" s="1">
        <v>6.45</v>
      </c>
      <c r="G46" s="2">
        <v>11048</v>
      </c>
      <c r="H46">
        <v>7.0900000000000005E-2</v>
      </c>
      <c r="I46">
        <v>3.5000000000000001E-3</v>
      </c>
    </row>
    <row r="47" spans="1:9" x14ac:dyDescent="0.2">
      <c r="A47" s="2">
        <v>18172</v>
      </c>
      <c r="B47">
        <v>2.57</v>
      </c>
      <c r="D47" s="2">
        <v>26207</v>
      </c>
      <c r="E47" s="1">
        <v>6.3</v>
      </c>
      <c r="G47" s="2">
        <v>11078</v>
      </c>
      <c r="H47">
        <v>-2.0500000000000001E-2</v>
      </c>
      <c r="I47">
        <v>2.0999999999999999E-3</v>
      </c>
    </row>
    <row r="48" spans="1:9" x14ac:dyDescent="0.2">
      <c r="A48" s="2">
        <v>18203</v>
      </c>
      <c r="B48">
        <v>2.57</v>
      </c>
      <c r="D48" s="2">
        <v>26238</v>
      </c>
      <c r="E48" s="1">
        <v>6</v>
      </c>
      <c r="G48" s="2">
        <v>11107</v>
      </c>
      <c r="H48">
        <v>-1.66E-2</v>
      </c>
      <c r="I48">
        <v>2.5999999999999999E-3</v>
      </c>
    </row>
    <row r="49" spans="1:9" x14ac:dyDescent="0.2">
      <c r="A49" s="2">
        <v>18233</v>
      </c>
      <c r="B49">
        <v>2.57</v>
      </c>
      <c r="D49" s="2">
        <v>26268</v>
      </c>
      <c r="E49" s="1">
        <v>5.9</v>
      </c>
      <c r="G49" s="2">
        <v>11139</v>
      </c>
      <c r="H49">
        <v>-0.1608</v>
      </c>
      <c r="I49">
        <v>2.7000000000000001E-3</v>
      </c>
    </row>
    <row r="50" spans="1:9" x14ac:dyDescent="0.2">
      <c r="A50" s="2">
        <v>18264</v>
      </c>
      <c r="B50">
        <v>2.57</v>
      </c>
      <c r="D50" s="2">
        <v>26299</v>
      </c>
      <c r="E50" s="1">
        <v>5.6</v>
      </c>
      <c r="G50" s="2">
        <v>11170</v>
      </c>
      <c r="H50">
        <v>4.1200000000000001E-2</v>
      </c>
      <c r="I50">
        <v>2E-3</v>
      </c>
    </row>
    <row r="51" spans="1:9" x14ac:dyDescent="0.2">
      <c r="A51" s="2">
        <v>18295</v>
      </c>
      <c r="B51">
        <v>2.57</v>
      </c>
      <c r="D51" s="2">
        <v>26330</v>
      </c>
      <c r="E51" s="1">
        <v>5.5</v>
      </c>
      <c r="G51" s="2">
        <v>11199</v>
      </c>
      <c r="H51">
        <v>3.0000000000000001E-3</v>
      </c>
      <c r="I51">
        <v>8.9999999999999998E-4</v>
      </c>
    </row>
    <row r="52" spans="1:9" x14ac:dyDescent="0.2">
      <c r="A52" s="2">
        <v>18323</v>
      </c>
      <c r="B52">
        <v>2.57</v>
      </c>
      <c r="D52" s="2">
        <v>26359</v>
      </c>
      <c r="E52" s="1">
        <v>5.5</v>
      </c>
      <c r="G52" s="2">
        <v>11231</v>
      </c>
      <c r="H52">
        <v>-0.12809999999999999</v>
      </c>
      <c r="I52">
        <v>2.2000000000000001E-3</v>
      </c>
    </row>
    <row r="53" spans="1:9" x14ac:dyDescent="0.2">
      <c r="A53" s="2">
        <v>18354</v>
      </c>
      <c r="B53">
        <v>2.57</v>
      </c>
      <c r="D53" s="2">
        <v>26390</v>
      </c>
      <c r="E53" s="1">
        <v>5.5</v>
      </c>
      <c r="G53" s="2">
        <v>11262</v>
      </c>
      <c r="H53">
        <v>-8.7800000000000003E-2</v>
      </c>
      <c r="I53">
        <v>8.9999999999999998E-4</v>
      </c>
    </row>
    <row r="54" spans="1:9" x14ac:dyDescent="0.2">
      <c r="A54" s="2">
        <v>18384</v>
      </c>
      <c r="B54">
        <v>2.57</v>
      </c>
      <c r="D54" s="2">
        <v>26420</v>
      </c>
      <c r="E54" s="1">
        <v>5.6</v>
      </c>
      <c r="G54" s="2">
        <v>11291</v>
      </c>
      <c r="H54">
        <v>-3.04E-2</v>
      </c>
      <c r="I54">
        <v>1.2999999999999999E-3</v>
      </c>
    </row>
    <row r="55" spans="1:9" x14ac:dyDescent="0.2">
      <c r="A55" s="2">
        <v>18415</v>
      </c>
      <c r="B55">
        <v>2.57</v>
      </c>
      <c r="D55" s="2">
        <v>26451</v>
      </c>
      <c r="E55" s="1">
        <v>5.75</v>
      </c>
      <c r="G55" s="2">
        <v>11323</v>
      </c>
      <c r="H55">
        <v>-7.8600000000000003E-2</v>
      </c>
      <c r="I55">
        <v>1.4E-3</v>
      </c>
    </row>
    <row r="56" spans="1:9" x14ac:dyDescent="0.2">
      <c r="A56" s="2">
        <v>18445</v>
      </c>
      <c r="B56">
        <v>2.57</v>
      </c>
      <c r="D56" s="2">
        <v>26481</v>
      </c>
      <c r="E56" s="1">
        <v>4.5999999999999996</v>
      </c>
      <c r="G56" s="2">
        <v>11354</v>
      </c>
      <c r="H56">
        <v>6.25E-2</v>
      </c>
      <c r="I56">
        <v>1.5E-3</v>
      </c>
    </row>
    <row r="57" spans="1:9" x14ac:dyDescent="0.2">
      <c r="A57" s="2">
        <v>18476</v>
      </c>
      <c r="B57">
        <v>2.57</v>
      </c>
      <c r="D57" s="2">
        <v>26512</v>
      </c>
      <c r="E57" s="1">
        <v>4.5999999999999996</v>
      </c>
      <c r="G57" s="2">
        <v>11382</v>
      </c>
      <c r="H57">
        <v>0.10879999999999999</v>
      </c>
      <c r="I57">
        <v>4.0000000000000002E-4</v>
      </c>
    </row>
    <row r="58" spans="1:9" x14ac:dyDescent="0.2">
      <c r="A58" s="2">
        <v>18507</v>
      </c>
      <c r="B58">
        <v>2.57</v>
      </c>
      <c r="D58" s="2">
        <v>26543</v>
      </c>
      <c r="E58" s="1">
        <v>4.5</v>
      </c>
      <c r="G58" s="2">
        <v>11413</v>
      </c>
      <c r="H58">
        <v>-6.3500000000000001E-2</v>
      </c>
      <c r="I58">
        <v>1.2999999999999999E-3</v>
      </c>
    </row>
    <row r="59" spans="1:9" x14ac:dyDescent="0.2">
      <c r="A59" s="2">
        <v>18537</v>
      </c>
      <c r="B59">
        <v>2.57</v>
      </c>
      <c r="D59" s="2">
        <v>26573</v>
      </c>
      <c r="E59" s="1">
        <v>4.3</v>
      </c>
      <c r="G59" s="2">
        <v>11443</v>
      </c>
      <c r="H59">
        <v>-0.1</v>
      </c>
      <c r="I59">
        <v>8.0000000000000004E-4</v>
      </c>
    </row>
    <row r="60" spans="1:9" x14ac:dyDescent="0.2">
      <c r="A60" s="2">
        <v>18568</v>
      </c>
      <c r="B60">
        <v>2.57</v>
      </c>
      <c r="D60" s="2">
        <v>26604</v>
      </c>
      <c r="E60" s="1">
        <v>5.0999999999999996</v>
      </c>
      <c r="G60" s="2">
        <v>11472</v>
      </c>
      <c r="H60">
        <v>-0.13289999999999999</v>
      </c>
      <c r="I60">
        <v>8.9999999999999998E-4</v>
      </c>
    </row>
    <row r="61" spans="1:9" x14ac:dyDescent="0.2">
      <c r="A61" s="2">
        <v>18598</v>
      </c>
      <c r="B61">
        <v>2.57</v>
      </c>
      <c r="D61" s="2">
        <v>26634</v>
      </c>
      <c r="E61" s="1">
        <v>4.45</v>
      </c>
      <c r="G61" s="2">
        <v>11504</v>
      </c>
      <c r="H61">
        <v>0.13930000000000001</v>
      </c>
      <c r="I61">
        <v>8.0000000000000004E-4</v>
      </c>
    </row>
    <row r="62" spans="1:9" x14ac:dyDescent="0.2">
      <c r="A62" s="2">
        <v>18629</v>
      </c>
      <c r="B62">
        <v>2.57</v>
      </c>
      <c r="D62" s="2">
        <v>26665</v>
      </c>
      <c r="E62" s="1">
        <v>4.7</v>
      </c>
      <c r="G62" s="2">
        <v>11535</v>
      </c>
      <c r="H62">
        <v>-6.6299999999999998E-2</v>
      </c>
      <c r="I62">
        <v>5.9999999999999995E-4</v>
      </c>
    </row>
    <row r="63" spans="1:9" x14ac:dyDescent="0.2">
      <c r="A63" s="2">
        <v>18660</v>
      </c>
      <c r="B63">
        <v>2.57</v>
      </c>
      <c r="D63" s="2">
        <v>26696</v>
      </c>
      <c r="E63" s="1">
        <v>4.8</v>
      </c>
      <c r="G63" s="2">
        <v>11566</v>
      </c>
      <c r="H63">
        <v>4.0000000000000001E-3</v>
      </c>
      <c r="I63">
        <v>2.9999999999999997E-4</v>
      </c>
    </row>
    <row r="64" spans="1:9" x14ac:dyDescent="0.2">
      <c r="A64" s="2">
        <v>18688</v>
      </c>
      <c r="B64">
        <v>2.57</v>
      </c>
      <c r="D64" s="2">
        <v>26724</v>
      </c>
      <c r="E64" s="1">
        <v>5.45</v>
      </c>
      <c r="G64" s="2">
        <v>11596</v>
      </c>
      <c r="H64">
        <v>-0.28739999999999999</v>
      </c>
      <c r="I64">
        <v>2.9999999999999997E-4</v>
      </c>
    </row>
    <row r="65" spans="1:9" x14ac:dyDescent="0.2">
      <c r="A65" s="2">
        <v>18719</v>
      </c>
      <c r="B65">
        <v>2.57</v>
      </c>
      <c r="D65" s="2">
        <v>26755</v>
      </c>
      <c r="E65" s="1">
        <v>5.8</v>
      </c>
      <c r="G65" s="2">
        <v>11627</v>
      </c>
      <c r="H65">
        <v>7.9899999999999999E-2</v>
      </c>
      <c r="I65">
        <v>1E-3</v>
      </c>
    </row>
    <row r="66" spans="1:9" x14ac:dyDescent="0.2">
      <c r="A66" s="2">
        <v>18749</v>
      </c>
      <c r="B66">
        <v>2.57</v>
      </c>
      <c r="D66" s="2">
        <v>26785</v>
      </c>
      <c r="E66" s="1">
        <v>6.4</v>
      </c>
      <c r="G66" s="2">
        <v>11657</v>
      </c>
      <c r="H66">
        <v>-9.1399999999999995E-2</v>
      </c>
      <c r="I66">
        <v>1.6999999999999999E-3</v>
      </c>
    </row>
    <row r="67" spans="1:9" x14ac:dyDescent="0.2">
      <c r="A67" s="2">
        <v>18780</v>
      </c>
      <c r="B67">
        <v>2.57</v>
      </c>
      <c r="D67" s="2">
        <v>26816</v>
      </c>
      <c r="E67" s="1">
        <v>6.4</v>
      </c>
      <c r="G67" s="2">
        <v>11688</v>
      </c>
      <c r="H67">
        <v>-0.13519999999999999</v>
      </c>
      <c r="I67">
        <v>1.1999999999999999E-3</v>
      </c>
    </row>
    <row r="68" spans="1:9" x14ac:dyDescent="0.2">
      <c r="A68" s="2">
        <v>18810</v>
      </c>
      <c r="B68">
        <v>2.57</v>
      </c>
      <c r="D68" s="2">
        <v>26846</v>
      </c>
      <c r="E68" s="1">
        <v>6.5</v>
      </c>
      <c r="G68" s="2">
        <v>11718</v>
      </c>
      <c r="H68">
        <v>-1.5699999999999999E-2</v>
      </c>
      <c r="I68">
        <v>2.3E-3</v>
      </c>
    </row>
    <row r="69" spans="1:9" x14ac:dyDescent="0.2">
      <c r="A69" s="2">
        <v>18841</v>
      </c>
      <c r="B69">
        <v>2.57</v>
      </c>
      <c r="D69" s="2">
        <v>26877</v>
      </c>
      <c r="E69" s="1">
        <v>6.4</v>
      </c>
      <c r="G69" s="2">
        <v>11748</v>
      </c>
      <c r="H69">
        <v>5.45E-2</v>
      </c>
      <c r="I69">
        <v>2.3E-3</v>
      </c>
    </row>
    <row r="70" spans="1:9" x14ac:dyDescent="0.2">
      <c r="A70" s="2">
        <v>18872</v>
      </c>
      <c r="B70">
        <v>2.57</v>
      </c>
      <c r="D70" s="2">
        <v>26908</v>
      </c>
      <c r="E70" s="1">
        <v>9.25</v>
      </c>
      <c r="G70" s="2">
        <v>11779</v>
      </c>
      <c r="H70">
        <v>-0.113</v>
      </c>
      <c r="I70">
        <v>1.6000000000000001E-3</v>
      </c>
    </row>
    <row r="71" spans="1:9" x14ac:dyDescent="0.2">
      <c r="A71" s="2">
        <v>18902</v>
      </c>
      <c r="B71">
        <v>2.57</v>
      </c>
      <c r="D71" s="2">
        <v>26938</v>
      </c>
      <c r="E71" s="1">
        <v>9.65</v>
      </c>
      <c r="G71" s="2">
        <v>11809</v>
      </c>
      <c r="H71">
        <v>-0.1794</v>
      </c>
      <c r="I71">
        <v>1.1000000000000001E-3</v>
      </c>
    </row>
    <row r="72" spans="1:9" x14ac:dyDescent="0.2">
      <c r="A72" s="2">
        <v>18933</v>
      </c>
      <c r="B72">
        <v>2.57</v>
      </c>
      <c r="D72" s="2">
        <v>26969</v>
      </c>
      <c r="E72" s="1">
        <v>9.1999999999999993</v>
      </c>
      <c r="G72" s="2">
        <v>11840</v>
      </c>
      <c r="H72">
        <v>-0.2051</v>
      </c>
      <c r="I72">
        <v>5.9999999999999995E-4</v>
      </c>
    </row>
    <row r="73" spans="1:9" x14ac:dyDescent="0.2">
      <c r="A73" s="2">
        <v>18963</v>
      </c>
      <c r="B73">
        <v>2.57</v>
      </c>
      <c r="D73" s="2">
        <v>26999</v>
      </c>
      <c r="E73" s="1">
        <v>9.25</v>
      </c>
      <c r="G73" s="2">
        <v>11870</v>
      </c>
      <c r="H73">
        <v>-7.7000000000000002E-3</v>
      </c>
      <c r="I73">
        <v>2.0000000000000001E-4</v>
      </c>
    </row>
    <row r="74" spans="1:9" x14ac:dyDescent="0.2">
      <c r="A74" s="2">
        <v>18994</v>
      </c>
      <c r="B74">
        <v>2.57</v>
      </c>
      <c r="D74" s="2">
        <v>27030</v>
      </c>
      <c r="E74" s="1">
        <v>9.25</v>
      </c>
      <c r="G74" s="2">
        <v>11900</v>
      </c>
      <c r="H74">
        <v>0.33610000000000001</v>
      </c>
      <c r="I74">
        <v>2.0000000000000001E-4</v>
      </c>
    </row>
    <row r="75" spans="1:9" x14ac:dyDescent="0.2">
      <c r="A75" s="2">
        <v>19025</v>
      </c>
      <c r="B75">
        <v>2.57</v>
      </c>
      <c r="D75" s="2">
        <v>27061</v>
      </c>
      <c r="E75" s="1">
        <v>9.5</v>
      </c>
      <c r="G75" s="2">
        <v>11932</v>
      </c>
      <c r="H75">
        <v>0.37119999999999997</v>
      </c>
      <c r="I75">
        <v>2.9999999999999997E-4</v>
      </c>
    </row>
    <row r="76" spans="1:9" x14ac:dyDescent="0.2">
      <c r="A76" s="2">
        <v>19054</v>
      </c>
      <c r="B76">
        <v>2.57</v>
      </c>
      <c r="D76" s="2">
        <v>27089</v>
      </c>
      <c r="E76" s="1">
        <v>10.1</v>
      </c>
      <c r="G76" s="2">
        <v>11962</v>
      </c>
      <c r="H76">
        <v>-2.9399999999999999E-2</v>
      </c>
      <c r="I76">
        <v>2.9999999999999997E-4</v>
      </c>
    </row>
    <row r="77" spans="1:9" x14ac:dyDescent="0.2">
      <c r="A77" s="2">
        <v>19085</v>
      </c>
      <c r="B77">
        <v>2.57</v>
      </c>
      <c r="D77" s="2">
        <v>27120</v>
      </c>
      <c r="E77" s="1">
        <v>16.25</v>
      </c>
      <c r="G77" s="2">
        <v>11993</v>
      </c>
      <c r="H77">
        <v>-0.13150000000000001</v>
      </c>
      <c r="I77">
        <v>2.0000000000000001E-4</v>
      </c>
    </row>
    <row r="78" spans="1:9" x14ac:dyDescent="0.2">
      <c r="A78" s="2">
        <v>19115</v>
      </c>
      <c r="B78">
        <v>2.57</v>
      </c>
      <c r="D78" s="2">
        <v>27150</v>
      </c>
      <c r="E78" s="1">
        <v>21.75</v>
      </c>
      <c r="G78" s="2">
        <v>12023</v>
      </c>
      <c r="H78">
        <v>-5.8799999999999998E-2</v>
      </c>
      <c r="I78">
        <v>2.0000000000000001E-4</v>
      </c>
    </row>
    <row r="79" spans="1:9" x14ac:dyDescent="0.2">
      <c r="A79" s="2">
        <v>19146</v>
      </c>
      <c r="B79">
        <v>2.57</v>
      </c>
      <c r="D79" s="2">
        <v>27181</v>
      </c>
      <c r="E79" s="1">
        <v>18.8</v>
      </c>
      <c r="G79" s="2">
        <v>12054</v>
      </c>
      <c r="H79">
        <v>4.4200000000000003E-2</v>
      </c>
      <c r="I79">
        <v>1E-4</v>
      </c>
    </row>
    <row r="80" spans="1:9" x14ac:dyDescent="0.2">
      <c r="A80" s="2">
        <v>19176</v>
      </c>
      <c r="B80">
        <v>2.57</v>
      </c>
      <c r="D80" s="2">
        <v>27211</v>
      </c>
      <c r="E80" s="1">
        <v>15</v>
      </c>
      <c r="G80" s="2">
        <v>12085</v>
      </c>
      <c r="H80">
        <v>1.24E-2</v>
      </c>
      <c r="I80">
        <v>1E-4</v>
      </c>
    </row>
    <row r="81" spans="1:9" x14ac:dyDescent="0.2">
      <c r="A81" s="2">
        <v>19207</v>
      </c>
      <c r="B81">
        <v>2.57</v>
      </c>
      <c r="D81" s="2">
        <v>27242</v>
      </c>
      <c r="E81" s="1">
        <v>14.2</v>
      </c>
      <c r="G81" s="2">
        <v>12113</v>
      </c>
      <c r="H81">
        <v>-0.15290000000000001</v>
      </c>
      <c r="I81">
        <v>-2.9999999999999997E-4</v>
      </c>
    </row>
    <row r="82" spans="1:9" x14ac:dyDescent="0.2">
      <c r="A82" s="2">
        <v>19238</v>
      </c>
      <c r="B82">
        <v>2.57</v>
      </c>
      <c r="D82" s="2">
        <v>27273</v>
      </c>
      <c r="E82" s="1">
        <v>12.6</v>
      </c>
      <c r="G82" s="2">
        <v>12144</v>
      </c>
      <c r="H82">
        <v>3.0599999999999999E-2</v>
      </c>
      <c r="I82">
        <v>4.0000000000000002E-4</v>
      </c>
    </row>
    <row r="83" spans="1:9" x14ac:dyDescent="0.2">
      <c r="A83" s="2">
        <v>19268</v>
      </c>
      <c r="B83">
        <v>2.57</v>
      </c>
      <c r="D83" s="2">
        <v>27303</v>
      </c>
      <c r="E83" s="1">
        <v>10.4</v>
      </c>
      <c r="G83" s="2">
        <v>12173</v>
      </c>
      <c r="H83">
        <v>0.3881</v>
      </c>
      <c r="I83">
        <v>1E-3</v>
      </c>
    </row>
    <row r="84" spans="1:9" x14ac:dyDescent="0.2">
      <c r="A84" s="2">
        <v>19299</v>
      </c>
      <c r="B84">
        <v>2.57</v>
      </c>
      <c r="D84" s="2">
        <v>27334</v>
      </c>
      <c r="E84" s="1">
        <v>10.3</v>
      </c>
      <c r="G84" s="2">
        <v>12205</v>
      </c>
      <c r="H84">
        <v>0.21429999999999999</v>
      </c>
      <c r="I84">
        <v>4.0000000000000002E-4</v>
      </c>
    </row>
    <row r="85" spans="1:9" x14ac:dyDescent="0.2">
      <c r="A85" s="2">
        <v>19329</v>
      </c>
      <c r="B85">
        <v>2.57</v>
      </c>
      <c r="D85" s="2">
        <v>27364</v>
      </c>
      <c r="E85" s="1">
        <v>9.75</v>
      </c>
      <c r="G85" s="2">
        <v>12235</v>
      </c>
      <c r="H85">
        <v>0.13100000000000001</v>
      </c>
      <c r="I85">
        <v>2.0000000000000001E-4</v>
      </c>
    </row>
    <row r="86" spans="1:9" x14ac:dyDescent="0.2">
      <c r="A86" s="2">
        <v>19360</v>
      </c>
      <c r="B86">
        <v>2.57</v>
      </c>
      <c r="D86" s="2">
        <v>27395</v>
      </c>
      <c r="E86" s="1">
        <v>8.9499999999999993</v>
      </c>
      <c r="G86" s="2">
        <v>12266</v>
      </c>
      <c r="H86">
        <v>-9.64E-2</v>
      </c>
      <c r="I86">
        <v>2.0000000000000001E-4</v>
      </c>
    </row>
    <row r="87" spans="1:9" x14ac:dyDescent="0.2">
      <c r="A87" s="2">
        <v>19391</v>
      </c>
      <c r="B87">
        <v>2.57</v>
      </c>
      <c r="D87" s="2">
        <v>27426</v>
      </c>
      <c r="E87" s="1">
        <v>9</v>
      </c>
      <c r="G87" s="2">
        <v>12297</v>
      </c>
      <c r="H87">
        <v>0.12039999999999999</v>
      </c>
      <c r="I87">
        <v>2.9999999999999997E-4</v>
      </c>
    </row>
    <row r="88" spans="1:9" x14ac:dyDescent="0.2">
      <c r="A88" s="2">
        <v>19419</v>
      </c>
      <c r="B88">
        <v>2.57</v>
      </c>
      <c r="D88" s="2">
        <v>27454</v>
      </c>
      <c r="E88" s="1">
        <v>8.75</v>
      </c>
      <c r="G88" s="2">
        <v>12327</v>
      </c>
      <c r="H88">
        <v>-0.1065</v>
      </c>
      <c r="I88">
        <v>2.0000000000000001E-4</v>
      </c>
    </row>
    <row r="89" spans="1:9" x14ac:dyDescent="0.2">
      <c r="A89" s="2">
        <v>19450</v>
      </c>
      <c r="B89">
        <v>2.57</v>
      </c>
      <c r="D89" s="2">
        <v>27485</v>
      </c>
      <c r="E89" s="1">
        <v>9.8000000000000007</v>
      </c>
      <c r="G89" s="2">
        <v>12358</v>
      </c>
      <c r="H89">
        <v>-8.3599999999999994E-2</v>
      </c>
      <c r="I89">
        <v>1E-4</v>
      </c>
    </row>
    <row r="90" spans="1:9" x14ac:dyDescent="0.2">
      <c r="A90" s="2">
        <v>19480</v>
      </c>
      <c r="B90">
        <v>2.57</v>
      </c>
      <c r="D90" s="2">
        <v>27515</v>
      </c>
      <c r="E90" s="1">
        <v>8.9</v>
      </c>
      <c r="G90" s="2">
        <v>12387</v>
      </c>
      <c r="H90">
        <v>9.9699999999999997E-2</v>
      </c>
      <c r="I90">
        <v>2.0000000000000001E-4</v>
      </c>
    </row>
    <row r="91" spans="1:9" x14ac:dyDescent="0.2">
      <c r="A91" s="2">
        <v>19511</v>
      </c>
      <c r="B91">
        <v>2.82</v>
      </c>
      <c r="D91" s="2">
        <v>27546</v>
      </c>
      <c r="E91" s="1">
        <v>8.8000000000000007</v>
      </c>
      <c r="G91" s="2">
        <v>12418</v>
      </c>
      <c r="H91">
        <v>1.8200000000000001E-2</v>
      </c>
      <c r="I91">
        <v>2.0000000000000001E-4</v>
      </c>
    </row>
    <row r="92" spans="1:9" x14ac:dyDescent="0.2">
      <c r="A92" s="2">
        <v>19541</v>
      </c>
      <c r="B92">
        <v>2.82</v>
      </c>
      <c r="D92" s="2">
        <v>27576</v>
      </c>
      <c r="E92" s="1">
        <v>8.15</v>
      </c>
      <c r="G92" s="2">
        <v>12450</v>
      </c>
      <c r="H92">
        <v>0.126</v>
      </c>
      <c r="I92">
        <v>5.0000000000000001E-4</v>
      </c>
    </row>
    <row r="93" spans="1:9" x14ac:dyDescent="0.2">
      <c r="A93" s="2">
        <v>19572</v>
      </c>
      <c r="B93">
        <v>2.82</v>
      </c>
      <c r="D93" s="2">
        <v>27607</v>
      </c>
      <c r="E93" s="1">
        <v>8.15</v>
      </c>
      <c r="G93" s="2">
        <v>12478</v>
      </c>
      <c r="H93">
        <v>-2.5100000000000001E-2</v>
      </c>
      <c r="I93">
        <v>2.0000000000000001E-4</v>
      </c>
    </row>
    <row r="94" spans="1:9" x14ac:dyDescent="0.2">
      <c r="A94" s="2">
        <v>19603</v>
      </c>
      <c r="B94">
        <v>2.82</v>
      </c>
      <c r="D94" s="2">
        <v>27638</v>
      </c>
      <c r="E94" s="1">
        <v>8.1</v>
      </c>
      <c r="G94" s="2">
        <v>12509</v>
      </c>
      <c r="H94">
        <v>8.9999999999999998E-4</v>
      </c>
      <c r="I94">
        <v>2.0000000000000001E-4</v>
      </c>
    </row>
    <row r="95" spans="1:9" x14ac:dyDescent="0.2">
      <c r="A95" s="2">
        <v>19633</v>
      </c>
      <c r="B95">
        <v>2.82</v>
      </c>
      <c r="D95" s="2">
        <v>27668</v>
      </c>
      <c r="E95" s="1">
        <v>7.95</v>
      </c>
      <c r="G95" s="2">
        <v>12539</v>
      </c>
      <c r="H95">
        <v>-1.7899999999999999E-2</v>
      </c>
      <c r="I95">
        <v>1E-4</v>
      </c>
    </row>
    <row r="96" spans="1:9" x14ac:dyDescent="0.2">
      <c r="A96" s="2">
        <v>19664</v>
      </c>
      <c r="B96">
        <v>2.82</v>
      </c>
      <c r="D96" s="2">
        <v>27699</v>
      </c>
      <c r="E96" s="1">
        <v>8.0500000000000007</v>
      </c>
      <c r="G96" s="2">
        <v>12570</v>
      </c>
      <c r="H96">
        <v>-7.2599999999999998E-2</v>
      </c>
      <c r="I96">
        <v>1E-4</v>
      </c>
    </row>
    <row r="97" spans="1:9" x14ac:dyDescent="0.2">
      <c r="A97" s="2">
        <v>19694</v>
      </c>
      <c r="B97">
        <v>2.82</v>
      </c>
      <c r="D97" s="2">
        <v>27729</v>
      </c>
      <c r="E97" s="1">
        <v>7.7</v>
      </c>
      <c r="G97" s="2">
        <v>12600</v>
      </c>
      <c r="H97">
        <v>2.7099999999999999E-2</v>
      </c>
      <c r="I97">
        <v>1E-4</v>
      </c>
    </row>
    <row r="98" spans="1:9" x14ac:dyDescent="0.2">
      <c r="A98" s="2">
        <v>19725</v>
      </c>
      <c r="B98">
        <v>2.82</v>
      </c>
      <c r="D98" s="2">
        <v>27760</v>
      </c>
      <c r="E98" s="1">
        <v>7.65</v>
      </c>
      <c r="G98" s="2">
        <v>12631</v>
      </c>
      <c r="H98">
        <v>-0.1094</v>
      </c>
      <c r="I98">
        <v>1E-4</v>
      </c>
    </row>
    <row r="99" spans="1:9" x14ac:dyDescent="0.2">
      <c r="A99" s="2">
        <v>19756</v>
      </c>
      <c r="B99">
        <v>2.82</v>
      </c>
      <c r="D99" s="2">
        <v>27791</v>
      </c>
      <c r="E99" s="1">
        <v>8.35</v>
      </c>
      <c r="G99" s="2">
        <v>12662</v>
      </c>
      <c r="H99">
        <v>5.5800000000000002E-2</v>
      </c>
      <c r="I99">
        <v>1E-4</v>
      </c>
    </row>
    <row r="100" spans="1:9" x14ac:dyDescent="0.2">
      <c r="A100" s="2">
        <v>19784</v>
      </c>
      <c r="B100">
        <v>2.82</v>
      </c>
      <c r="D100" s="2">
        <v>27820</v>
      </c>
      <c r="E100" s="1">
        <v>8.4</v>
      </c>
      <c r="G100" s="2">
        <v>12691</v>
      </c>
      <c r="H100">
        <v>-2.3999999999999998E-3</v>
      </c>
      <c r="I100">
        <v>1E-4</v>
      </c>
    </row>
    <row r="101" spans="1:9" x14ac:dyDescent="0.2">
      <c r="A101" s="2">
        <v>19815</v>
      </c>
      <c r="B101">
        <v>2.82</v>
      </c>
      <c r="D101" s="2">
        <v>27851</v>
      </c>
      <c r="E101" s="1">
        <v>9.61</v>
      </c>
      <c r="G101" s="2">
        <v>12723</v>
      </c>
      <c r="H101">
        <v>-1.66E-2</v>
      </c>
      <c r="I101">
        <v>1E-4</v>
      </c>
    </row>
    <row r="102" spans="1:9" x14ac:dyDescent="0.2">
      <c r="A102" s="2">
        <v>19845</v>
      </c>
      <c r="B102">
        <v>2.82</v>
      </c>
      <c r="D102" s="2">
        <v>27881</v>
      </c>
      <c r="E102" s="1">
        <v>10.24</v>
      </c>
      <c r="G102" s="2">
        <v>12753</v>
      </c>
      <c r="H102">
        <v>8.3299999999999999E-2</v>
      </c>
      <c r="I102">
        <v>1E-4</v>
      </c>
    </row>
    <row r="103" spans="1:9" x14ac:dyDescent="0.2">
      <c r="A103" s="2">
        <v>19876</v>
      </c>
      <c r="B103">
        <v>2.82</v>
      </c>
      <c r="D103" s="2">
        <v>27912</v>
      </c>
      <c r="E103" s="1">
        <v>10.27</v>
      </c>
      <c r="G103" s="2">
        <v>12784</v>
      </c>
      <c r="H103">
        <v>3.5999999999999999E-3</v>
      </c>
      <c r="I103">
        <v>1E-4</v>
      </c>
    </row>
    <row r="104" spans="1:9" x14ac:dyDescent="0.2">
      <c r="A104" s="2">
        <v>19906</v>
      </c>
      <c r="B104">
        <v>2.82</v>
      </c>
      <c r="D104" s="2">
        <v>27942</v>
      </c>
      <c r="E104" s="1">
        <v>9.67</v>
      </c>
      <c r="G104" s="2">
        <v>12815</v>
      </c>
      <c r="H104">
        <v>-3.4599999999999999E-2</v>
      </c>
      <c r="I104">
        <v>1E-4</v>
      </c>
    </row>
    <row r="105" spans="1:9" x14ac:dyDescent="0.2">
      <c r="A105" s="2">
        <v>19937</v>
      </c>
      <c r="B105">
        <v>2.82</v>
      </c>
      <c r="D105" s="2">
        <v>27973</v>
      </c>
      <c r="E105" s="1">
        <v>9.36</v>
      </c>
      <c r="G105" s="2">
        <v>12843</v>
      </c>
      <c r="H105">
        <v>-1.9599999999999999E-2</v>
      </c>
      <c r="I105">
        <v>2.0000000000000001E-4</v>
      </c>
    </row>
    <row r="106" spans="1:9" x14ac:dyDescent="0.2">
      <c r="A106" s="2">
        <v>19968</v>
      </c>
      <c r="B106">
        <v>2.82</v>
      </c>
      <c r="D106" s="2">
        <v>28004</v>
      </c>
      <c r="E106" s="1">
        <v>9.31</v>
      </c>
      <c r="G106" s="2">
        <v>12873</v>
      </c>
      <c r="H106">
        <v>-3.7100000000000001E-2</v>
      </c>
      <c r="I106">
        <v>1E-4</v>
      </c>
    </row>
    <row r="107" spans="1:9" x14ac:dyDescent="0.2">
      <c r="A107" s="2">
        <v>19998</v>
      </c>
      <c r="B107">
        <v>2.82</v>
      </c>
      <c r="D107" s="2">
        <v>28034</v>
      </c>
      <c r="E107" s="1">
        <v>9.06</v>
      </c>
      <c r="G107" s="2">
        <v>12904</v>
      </c>
      <c r="H107">
        <v>9.06E-2</v>
      </c>
      <c r="I107">
        <v>1E-4</v>
      </c>
    </row>
    <row r="108" spans="1:9" x14ac:dyDescent="0.2">
      <c r="A108" s="2">
        <v>20029</v>
      </c>
      <c r="B108">
        <v>2.82</v>
      </c>
      <c r="D108" s="2">
        <v>28065</v>
      </c>
      <c r="E108" s="1">
        <v>9.52</v>
      </c>
      <c r="G108" s="2">
        <v>12935</v>
      </c>
      <c r="H108">
        <v>3.4599999999999999E-2</v>
      </c>
      <c r="I108">
        <v>1E-4</v>
      </c>
    </row>
    <row r="109" spans="1:9" x14ac:dyDescent="0.2">
      <c r="A109" s="2">
        <v>20059</v>
      </c>
      <c r="B109">
        <v>2.82</v>
      </c>
      <c r="D109" s="2">
        <v>28095</v>
      </c>
      <c r="E109" s="1">
        <v>9.44</v>
      </c>
      <c r="G109" s="2">
        <v>12964</v>
      </c>
      <c r="H109">
        <v>5.9299999999999999E-2</v>
      </c>
      <c r="I109">
        <v>1E-4</v>
      </c>
    </row>
    <row r="110" spans="1:9" x14ac:dyDescent="0.2">
      <c r="A110" s="2">
        <v>20090</v>
      </c>
      <c r="B110">
        <v>2.82</v>
      </c>
      <c r="D110" s="2">
        <v>28126</v>
      </c>
      <c r="E110" s="1">
        <v>8.93</v>
      </c>
      <c r="G110" s="2">
        <v>12996</v>
      </c>
      <c r="H110">
        <v>7.5399999999999995E-2</v>
      </c>
      <c r="I110">
        <v>1E-4</v>
      </c>
    </row>
    <row r="111" spans="1:9" x14ac:dyDescent="0.2">
      <c r="A111" s="2">
        <v>20121</v>
      </c>
      <c r="B111">
        <v>2.82</v>
      </c>
      <c r="D111" s="2">
        <v>28157</v>
      </c>
      <c r="E111" s="1">
        <v>9.31</v>
      </c>
      <c r="G111" s="2">
        <v>13027</v>
      </c>
      <c r="H111">
        <v>2.6499999999999999E-2</v>
      </c>
      <c r="I111">
        <v>1E-4</v>
      </c>
    </row>
    <row r="112" spans="1:9" x14ac:dyDescent="0.2">
      <c r="A112" s="2">
        <v>20149</v>
      </c>
      <c r="B112">
        <v>2.82</v>
      </c>
      <c r="D112" s="2">
        <v>28185</v>
      </c>
      <c r="E112" s="1">
        <v>9.73</v>
      </c>
      <c r="G112" s="2">
        <v>13057</v>
      </c>
      <c r="H112">
        <v>2.6200000000000001E-2</v>
      </c>
      <c r="I112">
        <v>1E-4</v>
      </c>
    </row>
    <row r="113" spans="1:9" x14ac:dyDescent="0.2">
      <c r="A113" s="2">
        <v>20180</v>
      </c>
      <c r="B113">
        <v>2.82</v>
      </c>
      <c r="D113" s="2">
        <v>28216</v>
      </c>
      <c r="E113" s="1">
        <v>10.86</v>
      </c>
      <c r="G113" s="2">
        <v>13088</v>
      </c>
      <c r="H113">
        <v>7.0300000000000001E-2</v>
      </c>
      <c r="I113">
        <v>1E-4</v>
      </c>
    </row>
    <row r="114" spans="1:9" x14ac:dyDescent="0.2">
      <c r="A114" s="2">
        <v>20210</v>
      </c>
      <c r="B114">
        <v>2.82</v>
      </c>
      <c r="D114" s="2">
        <v>28246</v>
      </c>
      <c r="E114" s="1">
        <v>10.94</v>
      </c>
      <c r="G114" s="2">
        <v>13118</v>
      </c>
      <c r="H114">
        <v>4.87E-2</v>
      </c>
      <c r="I114">
        <v>2.0000000000000001E-4</v>
      </c>
    </row>
    <row r="115" spans="1:9" x14ac:dyDescent="0.2">
      <c r="A115" s="2">
        <v>20241</v>
      </c>
      <c r="B115">
        <v>2.82</v>
      </c>
      <c r="D115" s="2">
        <v>28277</v>
      </c>
      <c r="E115" s="1">
        <v>10.95</v>
      </c>
      <c r="G115" s="2">
        <v>13149</v>
      </c>
      <c r="H115">
        <v>4.5499999999999999E-2</v>
      </c>
      <c r="I115">
        <v>1E-4</v>
      </c>
    </row>
    <row r="116" spans="1:9" x14ac:dyDescent="0.2">
      <c r="A116" s="2">
        <v>20271</v>
      </c>
      <c r="B116">
        <v>2.82</v>
      </c>
      <c r="D116" s="2">
        <v>28307</v>
      </c>
      <c r="E116" s="1">
        <v>10.72</v>
      </c>
      <c r="G116" s="2">
        <v>13180</v>
      </c>
      <c r="H116">
        <v>6.8900000000000003E-2</v>
      </c>
      <c r="I116">
        <v>1E-4</v>
      </c>
    </row>
    <row r="117" spans="1:9" x14ac:dyDescent="0.2">
      <c r="A117" s="2">
        <v>20302</v>
      </c>
      <c r="B117">
        <v>2.82</v>
      </c>
      <c r="D117" s="2">
        <v>28338</v>
      </c>
      <c r="E117" s="1">
        <v>10.9</v>
      </c>
      <c r="G117" s="2">
        <v>13209</v>
      </c>
      <c r="H117">
        <v>2.4899999999999999E-2</v>
      </c>
      <c r="I117">
        <v>1E-4</v>
      </c>
    </row>
    <row r="118" spans="1:9" x14ac:dyDescent="0.2">
      <c r="A118" s="2">
        <v>20333</v>
      </c>
      <c r="B118">
        <v>2.82</v>
      </c>
      <c r="D118" s="2">
        <v>28369</v>
      </c>
      <c r="E118" s="1">
        <v>10.43</v>
      </c>
      <c r="G118" s="2">
        <v>13240</v>
      </c>
      <c r="H118">
        <v>9.5999999999999992E-3</v>
      </c>
      <c r="I118">
        <v>2.0000000000000001E-4</v>
      </c>
    </row>
    <row r="119" spans="1:9" x14ac:dyDescent="0.2">
      <c r="A119" s="2">
        <v>20363</v>
      </c>
      <c r="B119">
        <v>2.82</v>
      </c>
      <c r="D119" s="2">
        <v>28399</v>
      </c>
      <c r="E119" s="1">
        <v>10.02</v>
      </c>
      <c r="G119" s="2">
        <v>13270</v>
      </c>
      <c r="H119">
        <v>-8.14E-2</v>
      </c>
      <c r="I119">
        <v>2.0000000000000001E-4</v>
      </c>
    </row>
    <row r="120" spans="1:9" x14ac:dyDescent="0.2">
      <c r="A120" s="2">
        <v>20394</v>
      </c>
      <c r="B120">
        <v>2.82</v>
      </c>
      <c r="D120" s="2">
        <v>28430</v>
      </c>
      <c r="E120" s="1">
        <v>10.01</v>
      </c>
      <c r="G120" s="2">
        <v>13299</v>
      </c>
      <c r="H120">
        <v>5.1900000000000002E-2</v>
      </c>
      <c r="I120">
        <v>2.0000000000000001E-4</v>
      </c>
    </row>
    <row r="121" spans="1:9" x14ac:dyDescent="0.2">
      <c r="A121" s="2">
        <v>20424</v>
      </c>
      <c r="B121">
        <v>2.82</v>
      </c>
      <c r="D121" s="2">
        <v>28460</v>
      </c>
      <c r="E121" s="1">
        <v>9.75</v>
      </c>
      <c r="G121" s="2">
        <v>13331</v>
      </c>
      <c r="H121">
        <v>2.4E-2</v>
      </c>
      <c r="I121">
        <v>2.9999999999999997E-4</v>
      </c>
    </row>
    <row r="122" spans="1:9" x14ac:dyDescent="0.2">
      <c r="A122" s="2">
        <v>20455</v>
      </c>
      <c r="B122">
        <v>2.82</v>
      </c>
      <c r="D122" s="2">
        <v>28491</v>
      </c>
      <c r="E122" s="1">
        <v>9.49</v>
      </c>
      <c r="G122" s="2">
        <v>13362</v>
      </c>
      <c r="H122">
        <v>6.6799999999999998E-2</v>
      </c>
      <c r="I122">
        <v>1E-4</v>
      </c>
    </row>
    <row r="123" spans="1:9" x14ac:dyDescent="0.2">
      <c r="A123" s="2">
        <v>20486</v>
      </c>
      <c r="B123">
        <v>2.82</v>
      </c>
      <c r="D123" s="2">
        <v>28522</v>
      </c>
      <c r="E123" s="1">
        <v>9.5500000000000007</v>
      </c>
      <c r="G123" s="2">
        <v>13393</v>
      </c>
      <c r="H123">
        <v>9.9000000000000008E-3</v>
      </c>
      <c r="I123">
        <v>2.0000000000000001E-4</v>
      </c>
    </row>
    <row r="124" spans="1:9" x14ac:dyDescent="0.2">
      <c r="A124" s="2">
        <v>20515</v>
      </c>
      <c r="B124">
        <v>2.82</v>
      </c>
      <c r="D124" s="2">
        <v>28550</v>
      </c>
      <c r="E124" s="1">
        <v>10.039999999999999</v>
      </c>
      <c r="G124" s="2">
        <v>13423</v>
      </c>
      <c r="H124">
        <v>9.7000000000000003E-3</v>
      </c>
      <c r="I124">
        <v>1E-4</v>
      </c>
    </row>
    <row r="125" spans="1:9" x14ac:dyDescent="0.2">
      <c r="A125" s="2">
        <v>20546</v>
      </c>
      <c r="B125">
        <v>2.82</v>
      </c>
      <c r="D125" s="2">
        <v>28581</v>
      </c>
      <c r="E125" s="1">
        <v>10.86</v>
      </c>
      <c r="G125" s="2">
        <v>13454</v>
      </c>
      <c r="H125">
        <v>7.0999999999999994E-2</v>
      </c>
      <c r="I125">
        <v>2.0000000000000001E-4</v>
      </c>
    </row>
    <row r="126" spans="1:9" x14ac:dyDescent="0.2">
      <c r="A126" s="2">
        <v>20576</v>
      </c>
      <c r="B126">
        <v>2.82</v>
      </c>
      <c r="D126" s="2">
        <v>28611</v>
      </c>
      <c r="E126" s="1">
        <v>10.6</v>
      </c>
      <c r="G126" s="2">
        <v>13484</v>
      </c>
      <c r="H126">
        <v>3.2599999999999997E-2</v>
      </c>
      <c r="I126">
        <v>1E-4</v>
      </c>
    </row>
    <row r="127" spans="1:9" x14ac:dyDescent="0.2">
      <c r="A127" s="2">
        <v>20607</v>
      </c>
      <c r="B127">
        <v>2.82</v>
      </c>
      <c r="D127" s="2">
        <v>28642</v>
      </c>
      <c r="E127" s="1">
        <v>10.63</v>
      </c>
      <c r="G127" s="2">
        <v>13515</v>
      </c>
      <c r="H127">
        <v>2E-3</v>
      </c>
      <c r="I127">
        <v>0</v>
      </c>
    </row>
    <row r="128" spans="1:9" x14ac:dyDescent="0.2">
      <c r="A128" s="2">
        <v>20637</v>
      </c>
      <c r="B128">
        <v>2.82</v>
      </c>
      <c r="D128" s="2">
        <v>28672</v>
      </c>
      <c r="E128" s="1">
        <v>9.84</v>
      </c>
      <c r="G128" s="2">
        <v>13545</v>
      </c>
      <c r="H128">
        <v>3.3500000000000002E-2</v>
      </c>
      <c r="I128">
        <v>1E-4</v>
      </c>
    </row>
    <row r="129" spans="1:9" x14ac:dyDescent="0.2">
      <c r="A129" s="2">
        <v>20668</v>
      </c>
      <c r="B129">
        <v>2.82</v>
      </c>
      <c r="D129" s="2">
        <v>28703</v>
      </c>
      <c r="E129" s="1">
        <v>9.6999999999999993</v>
      </c>
      <c r="G129" s="2">
        <v>13573</v>
      </c>
      <c r="H129">
        <v>1.0800000000000001E-2</v>
      </c>
      <c r="I129">
        <v>2.0000000000000001E-4</v>
      </c>
    </row>
    <row r="130" spans="1:9" x14ac:dyDescent="0.2">
      <c r="A130" s="2">
        <v>20699</v>
      </c>
      <c r="B130">
        <v>2.82</v>
      </c>
      <c r="D130" s="2">
        <v>28734</v>
      </c>
      <c r="E130" s="1">
        <v>9.7200000000000006</v>
      </c>
      <c r="G130" s="2">
        <v>13605</v>
      </c>
      <c r="H130">
        <v>-2.5999999999999999E-3</v>
      </c>
      <c r="I130">
        <v>1E-4</v>
      </c>
    </row>
    <row r="131" spans="1:9" x14ac:dyDescent="0.2">
      <c r="A131" s="2">
        <v>20729</v>
      </c>
      <c r="B131">
        <v>2.82</v>
      </c>
      <c r="D131" s="2">
        <v>28764</v>
      </c>
      <c r="E131" s="1">
        <v>9.74</v>
      </c>
      <c r="G131" s="2">
        <v>13635</v>
      </c>
      <c r="H131">
        <v>-7.3599999999999999E-2</v>
      </c>
      <c r="I131">
        <v>2.9999999999999997E-4</v>
      </c>
    </row>
    <row r="132" spans="1:9" x14ac:dyDescent="0.2">
      <c r="A132" s="2">
        <v>20760</v>
      </c>
      <c r="B132">
        <v>2.82</v>
      </c>
      <c r="D132" s="2">
        <v>28795</v>
      </c>
      <c r="E132" s="1">
        <v>9.19</v>
      </c>
      <c r="G132" s="2">
        <v>13663</v>
      </c>
      <c r="H132">
        <v>-8.3000000000000001E-3</v>
      </c>
      <c r="I132">
        <v>5.9999999999999995E-4</v>
      </c>
    </row>
    <row r="133" spans="1:9" x14ac:dyDescent="0.2">
      <c r="A133" s="2">
        <v>20790</v>
      </c>
      <c r="B133">
        <v>2.82</v>
      </c>
      <c r="D133" s="2">
        <v>28825</v>
      </c>
      <c r="E133" s="1">
        <v>8.76</v>
      </c>
      <c r="G133" s="2">
        <v>13696</v>
      </c>
      <c r="H133">
        <v>-4.2299999999999997E-2</v>
      </c>
      <c r="I133">
        <v>2.9999999999999997E-4</v>
      </c>
    </row>
    <row r="134" spans="1:9" x14ac:dyDescent="0.2">
      <c r="A134" s="2">
        <v>20821</v>
      </c>
      <c r="B134">
        <v>2.82</v>
      </c>
      <c r="D134" s="2">
        <v>28856</v>
      </c>
      <c r="E134" s="1">
        <v>8.51</v>
      </c>
      <c r="G134" s="2">
        <v>13727</v>
      </c>
      <c r="H134">
        <v>8.9099999999999999E-2</v>
      </c>
      <c r="I134">
        <v>2.9999999999999997E-4</v>
      </c>
    </row>
    <row r="135" spans="1:9" x14ac:dyDescent="0.2">
      <c r="A135" s="2">
        <v>20852</v>
      </c>
      <c r="B135">
        <v>3.07</v>
      </c>
      <c r="D135" s="2">
        <v>28887</v>
      </c>
      <c r="E135" s="1">
        <v>8.6</v>
      </c>
      <c r="G135" s="2">
        <v>13758</v>
      </c>
      <c r="H135">
        <v>-4.8800000000000003E-2</v>
      </c>
      <c r="I135">
        <v>2.0000000000000001E-4</v>
      </c>
    </row>
    <row r="136" spans="1:9" x14ac:dyDescent="0.2">
      <c r="A136" s="2">
        <v>20880</v>
      </c>
      <c r="B136">
        <v>3.07</v>
      </c>
      <c r="D136" s="2">
        <v>28915</v>
      </c>
      <c r="E136" s="1">
        <v>9.16</v>
      </c>
      <c r="G136" s="2">
        <v>13788</v>
      </c>
      <c r="H136">
        <v>-0.13619999999999999</v>
      </c>
      <c r="I136">
        <v>4.0000000000000002E-4</v>
      </c>
    </row>
    <row r="137" spans="1:9" x14ac:dyDescent="0.2">
      <c r="A137" s="2">
        <v>20911</v>
      </c>
      <c r="B137">
        <v>3.07</v>
      </c>
      <c r="D137" s="2">
        <v>28946</v>
      </c>
      <c r="E137" s="1">
        <v>10.42</v>
      </c>
      <c r="G137" s="2">
        <v>13818</v>
      </c>
      <c r="H137">
        <v>-9.5899999999999999E-2</v>
      </c>
      <c r="I137">
        <v>2.0000000000000001E-4</v>
      </c>
    </row>
    <row r="138" spans="1:9" x14ac:dyDescent="0.2">
      <c r="A138" s="2">
        <v>20941</v>
      </c>
      <c r="B138">
        <v>3.07</v>
      </c>
      <c r="D138" s="2">
        <v>28976</v>
      </c>
      <c r="E138" s="1">
        <v>10.54</v>
      </c>
      <c r="G138" s="2">
        <v>13849</v>
      </c>
      <c r="H138">
        <v>-8.3299999999999999E-2</v>
      </c>
      <c r="I138">
        <v>2.0000000000000001E-4</v>
      </c>
    </row>
    <row r="139" spans="1:9" x14ac:dyDescent="0.2">
      <c r="A139" s="2">
        <v>20972</v>
      </c>
      <c r="B139">
        <v>3.07</v>
      </c>
      <c r="D139" s="2">
        <v>29007</v>
      </c>
      <c r="E139" s="1">
        <v>10.26</v>
      </c>
      <c r="G139" s="2">
        <v>13880</v>
      </c>
      <c r="H139">
        <v>-4.2900000000000001E-2</v>
      </c>
      <c r="I139">
        <v>0</v>
      </c>
    </row>
    <row r="140" spans="1:9" x14ac:dyDescent="0.2">
      <c r="A140" s="2">
        <v>21002</v>
      </c>
      <c r="B140">
        <v>3.07</v>
      </c>
      <c r="D140" s="2">
        <v>29037</v>
      </c>
      <c r="E140" s="1">
        <v>9.86</v>
      </c>
      <c r="G140" s="2">
        <v>13911</v>
      </c>
      <c r="H140">
        <v>4.7999999999999996E-3</v>
      </c>
      <c r="I140">
        <v>0</v>
      </c>
    </row>
    <row r="141" spans="1:9" x14ac:dyDescent="0.2">
      <c r="A141" s="2">
        <v>21033</v>
      </c>
      <c r="B141">
        <v>3.07</v>
      </c>
      <c r="D141" s="2">
        <v>29068</v>
      </c>
      <c r="E141" s="1">
        <v>9.7799999999999994</v>
      </c>
      <c r="G141" s="2">
        <v>13939</v>
      </c>
      <c r="H141">
        <v>5.8500000000000003E-2</v>
      </c>
      <c r="I141">
        <v>0</v>
      </c>
    </row>
    <row r="142" spans="1:9" x14ac:dyDescent="0.2">
      <c r="A142" s="2">
        <v>21064</v>
      </c>
      <c r="B142">
        <v>3.07</v>
      </c>
      <c r="D142" s="2">
        <v>29099</v>
      </c>
      <c r="E142" s="1">
        <v>9.8699999999999992</v>
      </c>
      <c r="G142" s="2">
        <v>13970</v>
      </c>
      <c r="H142">
        <v>-0.23910000000000001</v>
      </c>
      <c r="I142">
        <v>-1E-4</v>
      </c>
    </row>
    <row r="143" spans="1:9" x14ac:dyDescent="0.2">
      <c r="A143" s="2">
        <v>21094</v>
      </c>
      <c r="B143">
        <v>3.07</v>
      </c>
      <c r="D143" s="2">
        <v>29129</v>
      </c>
      <c r="E143" s="1">
        <v>10.039999999999999</v>
      </c>
      <c r="G143" s="2">
        <v>14000</v>
      </c>
      <c r="H143">
        <v>0.14480000000000001</v>
      </c>
      <c r="I143">
        <v>1E-4</v>
      </c>
    </row>
    <row r="144" spans="1:9" x14ac:dyDescent="0.2">
      <c r="A144" s="2">
        <v>21125</v>
      </c>
      <c r="B144">
        <v>3.07</v>
      </c>
      <c r="D144" s="2">
        <v>29160</v>
      </c>
      <c r="E144" s="1">
        <v>10.119999999999999</v>
      </c>
      <c r="G144" s="2">
        <v>14031</v>
      </c>
      <c r="H144">
        <v>-3.8600000000000002E-2</v>
      </c>
      <c r="I144">
        <v>0</v>
      </c>
    </row>
    <row r="145" spans="1:9" x14ac:dyDescent="0.2">
      <c r="A145" s="2">
        <v>21155</v>
      </c>
      <c r="B145">
        <v>3</v>
      </c>
      <c r="D145" s="2">
        <v>29190</v>
      </c>
      <c r="E145" s="1">
        <v>10.119999999999999</v>
      </c>
      <c r="G145" s="2">
        <v>14061</v>
      </c>
      <c r="H145">
        <v>0.2389</v>
      </c>
      <c r="I145">
        <v>0</v>
      </c>
    </row>
    <row r="146" spans="1:9" x14ac:dyDescent="0.2">
      <c r="A146" s="2">
        <v>21186</v>
      </c>
      <c r="B146">
        <v>3.07</v>
      </c>
      <c r="D146" s="2">
        <v>29221</v>
      </c>
      <c r="E146" s="1">
        <v>10.029999999999999</v>
      </c>
      <c r="G146" s="2">
        <v>14091</v>
      </c>
      <c r="H146">
        <v>7.3300000000000004E-2</v>
      </c>
      <c r="I146">
        <v>-1E-4</v>
      </c>
    </row>
    <row r="147" spans="1:9" x14ac:dyDescent="0.2">
      <c r="A147" s="2">
        <v>21217</v>
      </c>
      <c r="B147">
        <v>3.07</v>
      </c>
      <c r="D147" s="2">
        <v>29252</v>
      </c>
      <c r="E147" s="1">
        <v>10.06</v>
      </c>
      <c r="G147" s="2">
        <v>14123</v>
      </c>
      <c r="H147">
        <v>-2.6800000000000001E-2</v>
      </c>
      <c r="I147">
        <v>0</v>
      </c>
    </row>
    <row r="148" spans="1:9" x14ac:dyDescent="0.2">
      <c r="A148" s="2">
        <v>21245</v>
      </c>
      <c r="B148">
        <v>3.07</v>
      </c>
      <c r="D148" s="2">
        <v>29281</v>
      </c>
      <c r="E148" s="1">
        <v>11.47</v>
      </c>
      <c r="G148" s="2">
        <v>14153</v>
      </c>
      <c r="H148">
        <v>8.3000000000000001E-3</v>
      </c>
      <c r="I148">
        <v>2.0000000000000001E-4</v>
      </c>
    </row>
    <row r="149" spans="1:9" x14ac:dyDescent="0.2">
      <c r="A149" s="2">
        <v>21276</v>
      </c>
      <c r="B149">
        <v>3.07</v>
      </c>
      <c r="D149" s="2">
        <v>29312</v>
      </c>
      <c r="E149" s="1">
        <v>13.28</v>
      </c>
      <c r="G149" s="2">
        <v>14184</v>
      </c>
      <c r="H149">
        <v>7.8E-2</v>
      </c>
      <c r="I149">
        <v>1E-4</v>
      </c>
    </row>
    <row r="150" spans="1:9" x14ac:dyDescent="0.2">
      <c r="A150" s="2">
        <v>21306</v>
      </c>
      <c r="B150">
        <v>3.07</v>
      </c>
      <c r="D150" s="2">
        <v>29342</v>
      </c>
      <c r="E150" s="1">
        <v>13.83</v>
      </c>
      <c r="G150" s="2">
        <v>14214</v>
      </c>
      <c r="H150">
        <v>-1.7399999999999999E-2</v>
      </c>
      <c r="I150">
        <v>-5.9999999999999995E-4</v>
      </c>
    </row>
    <row r="151" spans="1:9" x14ac:dyDescent="0.2">
      <c r="A151" s="2">
        <v>21337</v>
      </c>
      <c r="B151">
        <v>3.07</v>
      </c>
      <c r="D151" s="2">
        <v>29373</v>
      </c>
      <c r="E151" s="1">
        <v>13.83</v>
      </c>
      <c r="G151" s="2">
        <v>14245</v>
      </c>
      <c r="H151">
        <v>4.1599999999999998E-2</v>
      </c>
      <c r="I151">
        <v>0</v>
      </c>
    </row>
    <row r="152" spans="1:9" x14ac:dyDescent="0.2">
      <c r="A152" s="2">
        <v>21367</v>
      </c>
      <c r="B152">
        <v>3.07</v>
      </c>
      <c r="D152" s="2">
        <v>29403</v>
      </c>
      <c r="E152" s="1">
        <v>12.87</v>
      </c>
      <c r="G152" s="2">
        <v>14276</v>
      </c>
      <c r="H152">
        <v>-5.9700000000000003E-2</v>
      </c>
      <c r="I152">
        <v>-1E-4</v>
      </c>
    </row>
    <row r="153" spans="1:9" x14ac:dyDescent="0.2">
      <c r="A153" s="2">
        <v>21398</v>
      </c>
      <c r="B153">
        <v>3.07</v>
      </c>
      <c r="D153" s="2">
        <v>29434</v>
      </c>
      <c r="E153" s="1">
        <v>12.33</v>
      </c>
      <c r="G153" s="2">
        <v>14304</v>
      </c>
      <c r="H153">
        <v>3.5099999999999999E-2</v>
      </c>
      <c r="I153">
        <v>1E-4</v>
      </c>
    </row>
    <row r="154" spans="1:9" x14ac:dyDescent="0.2">
      <c r="A154" s="2">
        <v>21429</v>
      </c>
      <c r="B154">
        <v>3.07</v>
      </c>
      <c r="D154" s="2">
        <v>29465</v>
      </c>
      <c r="E154" s="1">
        <v>11.69</v>
      </c>
      <c r="G154" s="2">
        <v>14335</v>
      </c>
      <c r="H154">
        <v>-0.1203</v>
      </c>
      <c r="I154">
        <v>-1E-4</v>
      </c>
    </row>
    <row r="155" spans="1:9" x14ac:dyDescent="0.2">
      <c r="A155" s="2">
        <v>21459</v>
      </c>
      <c r="B155">
        <v>3.07</v>
      </c>
      <c r="D155" s="2">
        <v>29495</v>
      </c>
      <c r="E155" s="1">
        <v>11.22</v>
      </c>
      <c r="G155" s="2">
        <v>14364</v>
      </c>
      <c r="H155">
        <v>-1.8E-3</v>
      </c>
      <c r="I155">
        <v>0</v>
      </c>
    </row>
    <row r="156" spans="1:9" x14ac:dyDescent="0.2">
      <c r="A156" s="2">
        <v>21490</v>
      </c>
      <c r="B156">
        <v>3</v>
      </c>
      <c r="D156" s="2">
        <v>29526</v>
      </c>
      <c r="E156" s="1">
        <v>11.27</v>
      </c>
      <c r="G156" s="2">
        <v>14396</v>
      </c>
      <c r="H156">
        <v>6.8099999999999994E-2</v>
      </c>
      <c r="I156">
        <v>1E-4</v>
      </c>
    </row>
    <row r="157" spans="1:9" x14ac:dyDescent="0.2">
      <c r="A157" s="2">
        <v>21520</v>
      </c>
      <c r="B157">
        <v>3</v>
      </c>
      <c r="D157" s="2">
        <v>29556</v>
      </c>
      <c r="E157" s="1">
        <v>12.45</v>
      </c>
      <c r="G157" s="2">
        <v>14426</v>
      </c>
      <c r="H157">
        <v>-5.33E-2</v>
      </c>
      <c r="I157">
        <v>1E-4</v>
      </c>
    </row>
    <row r="158" spans="1:9" x14ac:dyDescent="0.2">
      <c r="A158" s="2">
        <v>21551</v>
      </c>
      <c r="B158">
        <v>3</v>
      </c>
      <c r="D158" s="2">
        <v>29587</v>
      </c>
      <c r="E158" s="1">
        <v>12.61</v>
      </c>
      <c r="G158" s="2">
        <v>14457</v>
      </c>
      <c r="H158">
        <v>0.1022</v>
      </c>
      <c r="I158">
        <v>0</v>
      </c>
    </row>
    <row r="159" spans="1:9" x14ac:dyDescent="0.2">
      <c r="A159" s="2">
        <v>21582</v>
      </c>
      <c r="B159">
        <v>3</v>
      </c>
      <c r="D159" s="2">
        <v>29618</v>
      </c>
      <c r="E159" s="1">
        <v>13.36</v>
      </c>
      <c r="G159" s="2">
        <v>14488</v>
      </c>
      <c r="H159">
        <v>-6.6799999999999998E-2</v>
      </c>
      <c r="I159">
        <v>-1E-4</v>
      </c>
    </row>
    <row r="160" spans="1:9" x14ac:dyDescent="0.2">
      <c r="A160" s="2">
        <v>21610</v>
      </c>
      <c r="B160">
        <v>2.97</v>
      </c>
      <c r="D160" s="2">
        <v>29646</v>
      </c>
      <c r="E160" s="1">
        <v>14.63</v>
      </c>
      <c r="G160" s="2">
        <v>14518</v>
      </c>
      <c r="H160">
        <v>0.16889999999999999</v>
      </c>
      <c r="I160">
        <v>1E-4</v>
      </c>
    </row>
    <row r="161" spans="1:9" x14ac:dyDescent="0.2">
      <c r="A161" s="2">
        <v>21641</v>
      </c>
      <c r="B161">
        <v>2.97</v>
      </c>
      <c r="D161" s="2">
        <v>29677</v>
      </c>
      <c r="E161" s="1">
        <v>16.690000000000001</v>
      </c>
      <c r="G161" s="2">
        <v>14549</v>
      </c>
      <c r="H161">
        <v>-5.3E-3</v>
      </c>
      <c r="I161">
        <v>0</v>
      </c>
    </row>
    <row r="162" spans="1:9" x14ac:dyDescent="0.2">
      <c r="A162" s="2">
        <v>21671</v>
      </c>
      <c r="B162">
        <v>2.97</v>
      </c>
      <c r="D162" s="2">
        <v>29707</v>
      </c>
      <c r="E162" s="1">
        <v>16.28</v>
      </c>
      <c r="G162" s="2">
        <v>14579</v>
      </c>
      <c r="H162">
        <v>-3.6499999999999998E-2</v>
      </c>
      <c r="I162">
        <v>0</v>
      </c>
    </row>
    <row r="163" spans="1:9" x14ac:dyDescent="0.2">
      <c r="A163" s="2">
        <v>21702</v>
      </c>
      <c r="B163">
        <v>2.97</v>
      </c>
      <c r="D163" s="2">
        <v>29738</v>
      </c>
      <c r="E163" s="1">
        <v>15.58</v>
      </c>
      <c r="G163" s="2">
        <v>14609</v>
      </c>
      <c r="H163">
        <v>2.93E-2</v>
      </c>
      <c r="I163">
        <v>0</v>
      </c>
    </row>
    <row r="164" spans="1:9" x14ac:dyDescent="0.2">
      <c r="A164" s="2">
        <v>21732</v>
      </c>
      <c r="B164">
        <v>2.97</v>
      </c>
      <c r="D164" s="2">
        <v>29768</v>
      </c>
      <c r="E164" s="1">
        <v>15.39</v>
      </c>
      <c r="G164" s="2">
        <v>14641</v>
      </c>
      <c r="H164">
        <v>-2.41E-2</v>
      </c>
      <c r="I164">
        <v>0</v>
      </c>
    </row>
    <row r="165" spans="1:9" x14ac:dyDescent="0.2">
      <c r="A165" s="2">
        <v>21763</v>
      </c>
      <c r="B165">
        <v>2.97</v>
      </c>
      <c r="D165" s="2">
        <v>29799</v>
      </c>
      <c r="E165" s="1">
        <v>15.72</v>
      </c>
      <c r="G165" s="2">
        <v>14670</v>
      </c>
      <c r="H165">
        <v>1.44E-2</v>
      </c>
      <c r="I165">
        <v>0</v>
      </c>
    </row>
    <row r="166" spans="1:9" x14ac:dyDescent="0.2">
      <c r="A166" s="2">
        <v>21794</v>
      </c>
      <c r="B166">
        <v>2.97</v>
      </c>
      <c r="D166" s="2">
        <v>29830</v>
      </c>
      <c r="E166" s="1">
        <v>15.35</v>
      </c>
      <c r="G166" s="2">
        <v>14700</v>
      </c>
      <c r="H166">
        <v>2.0500000000000001E-2</v>
      </c>
      <c r="I166">
        <v>0</v>
      </c>
    </row>
    <row r="167" spans="1:9" x14ac:dyDescent="0.2">
      <c r="A167" s="2">
        <v>21824</v>
      </c>
      <c r="B167">
        <v>2.97</v>
      </c>
      <c r="D167" s="2">
        <v>29860</v>
      </c>
      <c r="E167" s="1">
        <v>14.69</v>
      </c>
      <c r="G167" s="2">
        <v>14731</v>
      </c>
      <c r="H167">
        <v>2.2000000000000001E-3</v>
      </c>
      <c r="I167">
        <v>0</v>
      </c>
    </row>
    <row r="168" spans="1:9" x14ac:dyDescent="0.2">
      <c r="A168" s="2">
        <v>21855</v>
      </c>
      <c r="B168">
        <v>2.97</v>
      </c>
      <c r="D168" s="2">
        <v>29891</v>
      </c>
      <c r="E168" s="1">
        <v>14.62</v>
      </c>
      <c r="G168" s="2">
        <v>14762</v>
      </c>
      <c r="H168">
        <v>-0.22</v>
      </c>
      <c r="I168">
        <v>-2.0000000000000001E-4</v>
      </c>
    </row>
    <row r="169" spans="1:9" x14ac:dyDescent="0.2">
      <c r="A169" s="2">
        <v>21885</v>
      </c>
      <c r="B169">
        <v>2.97</v>
      </c>
      <c r="D169" s="2">
        <v>29921</v>
      </c>
      <c r="E169" s="1">
        <v>15.54</v>
      </c>
      <c r="G169" s="2">
        <v>14791</v>
      </c>
      <c r="H169">
        <v>6.6900000000000001E-2</v>
      </c>
      <c r="I169">
        <v>0</v>
      </c>
    </row>
    <row r="170" spans="1:9" x14ac:dyDescent="0.2">
      <c r="A170" s="2">
        <v>21916</v>
      </c>
      <c r="B170">
        <v>2.97</v>
      </c>
      <c r="D170" s="2">
        <v>29952</v>
      </c>
      <c r="E170" s="1">
        <v>16.21</v>
      </c>
      <c r="G170" s="2">
        <v>14823</v>
      </c>
      <c r="H170">
        <v>3.1699999999999999E-2</v>
      </c>
      <c r="I170">
        <v>1E-4</v>
      </c>
    </row>
    <row r="171" spans="1:9" x14ac:dyDescent="0.2">
      <c r="A171" s="2">
        <v>21947</v>
      </c>
      <c r="B171">
        <v>2.97</v>
      </c>
      <c r="D171" s="2">
        <v>29983</v>
      </c>
      <c r="E171" s="1">
        <v>17.12</v>
      </c>
      <c r="G171" s="2">
        <v>14854</v>
      </c>
      <c r="H171">
        <v>2.2100000000000002E-2</v>
      </c>
      <c r="I171">
        <v>-1E-4</v>
      </c>
    </row>
    <row r="172" spans="1:9" x14ac:dyDescent="0.2">
      <c r="A172" s="2">
        <v>21976</v>
      </c>
      <c r="B172">
        <v>2.97</v>
      </c>
      <c r="D172" s="2">
        <v>30011</v>
      </c>
      <c r="E172" s="1">
        <v>18.89</v>
      </c>
      <c r="G172" s="2">
        <v>14884</v>
      </c>
      <c r="H172">
        <v>2.3900000000000001E-2</v>
      </c>
      <c r="I172">
        <v>0</v>
      </c>
    </row>
    <row r="173" spans="1:9" x14ac:dyDescent="0.2">
      <c r="A173" s="2">
        <v>22007</v>
      </c>
      <c r="B173">
        <v>2.97</v>
      </c>
      <c r="D173" s="2">
        <v>30042</v>
      </c>
      <c r="E173" s="1">
        <v>21.39</v>
      </c>
      <c r="G173" s="2">
        <v>14915</v>
      </c>
      <c r="H173">
        <v>3.0300000000000001E-2</v>
      </c>
      <c r="I173">
        <v>0</v>
      </c>
    </row>
    <row r="174" spans="1:9" x14ac:dyDescent="0.2">
      <c r="A174" s="2">
        <v>22037</v>
      </c>
      <c r="B174">
        <v>2.97</v>
      </c>
      <c r="D174" s="2">
        <v>30072</v>
      </c>
      <c r="E174" s="1">
        <v>18.45</v>
      </c>
      <c r="G174" s="2">
        <v>14945</v>
      </c>
      <c r="H174">
        <v>-1.6500000000000001E-2</v>
      </c>
      <c r="I174">
        <v>0</v>
      </c>
    </row>
    <row r="175" spans="1:9" x14ac:dyDescent="0.2">
      <c r="A175" s="2">
        <v>22068</v>
      </c>
      <c r="B175">
        <v>2.97</v>
      </c>
      <c r="D175" s="2">
        <v>30103</v>
      </c>
      <c r="E175" s="1">
        <v>18.57</v>
      </c>
      <c r="G175" s="2">
        <v>14976</v>
      </c>
      <c r="H175">
        <v>6.8999999999999999E-3</v>
      </c>
      <c r="I175">
        <v>0</v>
      </c>
    </row>
    <row r="176" spans="1:9" x14ac:dyDescent="0.2">
      <c r="A176" s="2">
        <v>22098</v>
      </c>
      <c r="B176">
        <v>2.97</v>
      </c>
      <c r="D176" s="2">
        <v>30133</v>
      </c>
      <c r="E176" s="1">
        <v>17.29</v>
      </c>
      <c r="G176" s="2">
        <v>15007</v>
      </c>
      <c r="H176">
        <v>-4.1799999999999997E-2</v>
      </c>
      <c r="I176">
        <v>-1E-4</v>
      </c>
    </row>
    <row r="177" spans="1:9" x14ac:dyDescent="0.2">
      <c r="A177" s="2">
        <v>22129</v>
      </c>
      <c r="B177">
        <v>2.97</v>
      </c>
      <c r="D177" s="2">
        <v>30164</v>
      </c>
      <c r="E177" s="1">
        <v>17.170000000000002</v>
      </c>
      <c r="G177" s="2">
        <v>15035</v>
      </c>
      <c r="H177">
        <v>-1.43E-2</v>
      </c>
      <c r="I177">
        <v>-1E-4</v>
      </c>
    </row>
    <row r="178" spans="1:9" x14ac:dyDescent="0.2">
      <c r="A178" s="2">
        <v>22160</v>
      </c>
      <c r="B178">
        <v>2.97</v>
      </c>
      <c r="D178" s="2">
        <v>30195</v>
      </c>
      <c r="E178" s="1">
        <v>15.46</v>
      </c>
      <c r="G178" s="2">
        <v>15066</v>
      </c>
      <c r="H178">
        <v>8.3999999999999995E-3</v>
      </c>
      <c r="I178">
        <v>1E-4</v>
      </c>
    </row>
    <row r="179" spans="1:9" x14ac:dyDescent="0.2">
      <c r="A179" s="2">
        <v>22190</v>
      </c>
      <c r="B179">
        <v>2.97</v>
      </c>
      <c r="D179" s="2">
        <v>30225</v>
      </c>
      <c r="E179" s="1">
        <v>14.57</v>
      </c>
      <c r="G179" s="2">
        <v>15096</v>
      </c>
      <c r="H179">
        <v>-5.4600000000000003E-2</v>
      </c>
      <c r="I179">
        <v>-1E-4</v>
      </c>
    </row>
    <row r="180" spans="1:9" x14ac:dyDescent="0.2">
      <c r="A180" s="2">
        <v>22221</v>
      </c>
      <c r="B180">
        <v>2.97</v>
      </c>
      <c r="D180" s="2">
        <v>30256</v>
      </c>
      <c r="E180" s="1">
        <v>14.76</v>
      </c>
      <c r="G180" s="2">
        <v>15127</v>
      </c>
      <c r="H180">
        <v>1.37E-2</v>
      </c>
      <c r="I180">
        <v>0</v>
      </c>
    </row>
    <row r="181" spans="1:9" x14ac:dyDescent="0.2">
      <c r="A181" s="2">
        <v>22251</v>
      </c>
      <c r="B181">
        <v>2.97</v>
      </c>
      <c r="D181" s="2">
        <v>30286</v>
      </c>
      <c r="E181" s="1">
        <v>12.13</v>
      </c>
      <c r="G181" s="2">
        <v>15157</v>
      </c>
      <c r="H181">
        <v>5.8299999999999998E-2</v>
      </c>
      <c r="I181">
        <v>0</v>
      </c>
    </row>
    <row r="182" spans="1:9" x14ac:dyDescent="0.2">
      <c r="A182" s="2">
        <v>22282</v>
      </c>
      <c r="B182">
        <v>2.97</v>
      </c>
      <c r="D182" s="2">
        <v>30317</v>
      </c>
      <c r="E182" s="1">
        <v>10.65</v>
      </c>
      <c r="G182" s="2">
        <v>15188</v>
      </c>
      <c r="H182">
        <v>5.8700000000000002E-2</v>
      </c>
      <c r="I182">
        <v>2.9999999999999997E-4</v>
      </c>
    </row>
    <row r="183" spans="1:9" x14ac:dyDescent="0.2">
      <c r="A183" s="2">
        <v>22313</v>
      </c>
      <c r="B183">
        <v>2.97</v>
      </c>
      <c r="D183" s="2">
        <v>30348</v>
      </c>
      <c r="E183" s="1">
        <v>13.77</v>
      </c>
      <c r="G183" s="2">
        <v>15218</v>
      </c>
      <c r="H183">
        <v>-1.6999999999999999E-3</v>
      </c>
      <c r="I183">
        <v>1E-4</v>
      </c>
    </row>
    <row r="184" spans="1:9" x14ac:dyDescent="0.2">
      <c r="A184" s="2">
        <v>22341</v>
      </c>
      <c r="B184">
        <v>2.97</v>
      </c>
      <c r="D184" s="2">
        <v>30376</v>
      </c>
      <c r="E184" s="1">
        <v>15.26</v>
      </c>
      <c r="G184" s="2">
        <v>15249</v>
      </c>
      <c r="H184">
        <v>-8.8000000000000005E-3</v>
      </c>
      <c r="I184">
        <v>1E-4</v>
      </c>
    </row>
    <row r="185" spans="1:9" x14ac:dyDescent="0.2">
      <c r="A185" s="2">
        <v>22372</v>
      </c>
      <c r="B185">
        <v>2.97</v>
      </c>
      <c r="D185" s="2">
        <v>30407</v>
      </c>
      <c r="E185" s="1">
        <v>13.92</v>
      </c>
      <c r="G185" s="2">
        <v>15280</v>
      </c>
      <c r="H185">
        <v>-5.2600000000000001E-2</v>
      </c>
      <c r="I185">
        <v>0</v>
      </c>
    </row>
    <row r="186" spans="1:9" x14ac:dyDescent="0.2">
      <c r="A186" s="2">
        <v>22402</v>
      </c>
      <c r="B186">
        <v>2.97</v>
      </c>
      <c r="D186" s="2">
        <v>30437</v>
      </c>
      <c r="E186" s="1">
        <v>12.15</v>
      </c>
      <c r="G186" s="2">
        <v>15309</v>
      </c>
      <c r="H186">
        <v>-1.95E-2</v>
      </c>
      <c r="I186">
        <v>0</v>
      </c>
    </row>
    <row r="187" spans="1:9" x14ac:dyDescent="0.2">
      <c r="A187" s="2">
        <v>22433</v>
      </c>
      <c r="B187">
        <v>2.97</v>
      </c>
      <c r="D187" s="2">
        <v>30468</v>
      </c>
      <c r="E187" s="1">
        <v>14.24</v>
      </c>
      <c r="G187" s="2">
        <v>15341</v>
      </c>
      <c r="H187">
        <v>-4.8800000000000003E-2</v>
      </c>
      <c r="I187">
        <v>1E-4</v>
      </c>
    </row>
    <row r="188" spans="1:9" x14ac:dyDescent="0.2">
      <c r="A188" s="2">
        <v>22463</v>
      </c>
      <c r="B188">
        <v>2.97</v>
      </c>
      <c r="D188" s="2">
        <v>30498</v>
      </c>
      <c r="E188" s="1">
        <v>12.8</v>
      </c>
      <c r="G188" s="2">
        <v>15372</v>
      </c>
      <c r="H188">
        <v>7.9000000000000008E-3</v>
      </c>
      <c r="I188">
        <v>2.0000000000000001E-4</v>
      </c>
    </row>
    <row r="189" spans="1:9" x14ac:dyDescent="0.2">
      <c r="A189" s="2">
        <v>22494</v>
      </c>
      <c r="B189">
        <v>2.97</v>
      </c>
      <c r="D189" s="2">
        <v>30529</v>
      </c>
      <c r="E189" s="1">
        <v>12.16</v>
      </c>
      <c r="G189" s="2">
        <v>15400</v>
      </c>
      <c r="H189">
        <v>-2.46E-2</v>
      </c>
      <c r="I189">
        <v>1E-4</v>
      </c>
    </row>
    <row r="190" spans="1:9" x14ac:dyDescent="0.2">
      <c r="A190" s="2">
        <v>22525</v>
      </c>
      <c r="B190">
        <v>2.97</v>
      </c>
      <c r="D190" s="2">
        <v>30560</v>
      </c>
      <c r="E190" s="1">
        <v>11.06</v>
      </c>
      <c r="G190" s="2">
        <v>15431</v>
      </c>
      <c r="H190">
        <v>-6.6000000000000003E-2</v>
      </c>
      <c r="I190">
        <v>1E-4</v>
      </c>
    </row>
    <row r="191" spans="1:9" x14ac:dyDescent="0.2">
      <c r="A191" s="2">
        <v>22555</v>
      </c>
      <c r="B191">
        <v>2.97</v>
      </c>
      <c r="D191" s="2">
        <v>30590</v>
      </c>
      <c r="E191" s="1">
        <v>10.94</v>
      </c>
      <c r="G191" s="2">
        <v>15461</v>
      </c>
      <c r="H191">
        <v>-4.3700000000000003E-2</v>
      </c>
      <c r="I191">
        <v>1E-4</v>
      </c>
    </row>
    <row r="192" spans="1:9" x14ac:dyDescent="0.2">
      <c r="A192" s="2">
        <v>22586</v>
      </c>
      <c r="B192">
        <v>2.97</v>
      </c>
      <c r="D192" s="2">
        <v>30621</v>
      </c>
      <c r="E192" s="1">
        <v>10.55</v>
      </c>
      <c r="G192" s="2">
        <v>15490</v>
      </c>
      <c r="H192">
        <v>5.96E-2</v>
      </c>
      <c r="I192">
        <v>2.9999999999999997E-4</v>
      </c>
    </row>
    <row r="193" spans="1:9" x14ac:dyDescent="0.2">
      <c r="A193" s="2">
        <v>22616</v>
      </c>
      <c r="B193">
        <v>2.97</v>
      </c>
      <c r="D193" s="2">
        <v>30651</v>
      </c>
      <c r="E193" s="1">
        <v>8.89</v>
      </c>
      <c r="G193" s="2">
        <v>15522</v>
      </c>
      <c r="H193">
        <v>2.6800000000000001E-2</v>
      </c>
      <c r="I193">
        <v>2.0000000000000001E-4</v>
      </c>
    </row>
    <row r="194" spans="1:9" x14ac:dyDescent="0.2">
      <c r="A194" s="2">
        <v>22647</v>
      </c>
      <c r="B194">
        <v>2.97</v>
      </c>
      <c r="D194" s="2">
        <v>30682</v>
      </c>
      <c r="E194" s="1">
        <v>9.76</v>
      </c>
      <c r="G194" s="2">
        <v>15553</v>
      </c>
      <c r="H194">
        <v>3.5099999999999999E-2</v>
      </c>
      <c r="I194">
        <v>2.9999999999999997E-4</v>
      </c>
    </row>
    <row r="195" spans="1:9" x14ac:dyDescent="0.2">
      <c r="A195" s="2">
        <v>22678</v>
      </c>
      <c r="B195">
        <v>2.97</v>
      </c>
      <c r="D195" s="2">
        <v>30713</v>
      </c>
      <c r="E195" s="1">
        <v>12.04</v>
      </c>
      <c r="G195" s="2">
        <v>15584</v>
      </c>
      <c r="H195">
        <v>1.7999999999999999E-2</v>
      </c>
      <c r="I195">
        <v>2.9999999999999997E-4</v>
      </c>
    </row>
    <row r="196" spans="1:9" x14ac:dyDescent="0.2">
      <c r="A196" s="2">
        <v>22706</v>
      </c>
      <c r="B196">
        <v>2.97</v>
      </c>
      <c r="D196" s="2">
        <v>30742</v>
      </c>
      <c r="E196" s="1">
        <v>13.77</v>
      </c>
      <c r="G196" s="2">
        <v>15614</v>
      </c>
      <c r="H196">
        <v>2.6200000000000001E-2</v>
      </c>
      <c r="I196">
        <v>2.9999999999999997E-4</v>
      </c>
    </row>
    <row r="197" spans="1:9" x14ac:dyDescent="0.2">
      <c r="A197" s="2">
        <v>22737</v>
      </c>
      <c r="B197">
        <v>2.97</v>
      </c>
      <c r="D197" s="2">
        <v>30773</v>
      </c>
      <c r="E197" s="1">
        <v>13.88</v>
      </c>
      <c r="G197" s="2">
        <v>15645</v>
      </c>
      <c r="H197">
        <v>6.8199999999999997E-2</v>
      </c>
      <c r="I197">
        <v>2.9999999999999997E-4</v>
      </c>
    </row>
    <row r="198" spans="1:9" x14ac:dyDescent="0.2">
      <c r="A198" s="2">
        <v>22767</v>
      </c>
      <c r="B198">
        <v>2.97</v>
      </c>
      <c r="D198" s="2">
        <v>30803</v>
      </c>
      <c r="E198" s="1">
        <v>13.78</v>
      </c>
      <c r="G198" s="2">
        <v>15675</v>
      </c>
      <c r="H198">
        <v>1.2999999999999999E-3</v>
      </c>
      <c r="I198">
        <v>2.9999999999999997E-4</v>
      </c>
    </row>
    <row r="199" spans="1:9" x14ac:dyDescent="0.2">
      <c r="A199" s="2">
        <v>22798</v>
      </c>
      <c r="B199">
        <v>2.97</v>
      </c>
      <c r="D199" s="2">
        <v>30834</v>
      </c>
      <c r="E199" s="1">
        <v>12.81</v>
      </c>
      <c r="G199" s="2">
        <v>15706</v>
      </c>
      <c r="H199">
        <v>5.1400000000000001E-2</v>
      </c>
      <c r="I199">
        <v>2.9999999999999997E-4</v>
      </c>
    </row>
    <row r="200" spans="1:9" x14ac:dyDescent="0.2">
      <c r="A200" s="2">
        <v>22828</v>
      </c>
      <c r="B200">
        <v>2.97</v>
      </c>
      <c r="D200" s="2">
        <v>30864</v>
      </c>
      <c r="E200" s="1">
        <v>12.3</v>
      </c>
      <c r="G200" s="2">
        <v>15736</v>
      </c>
      <c r="H200">
        <v>7.1300000000000002E-2</v>
      </c>
      <c r="I200">
        <v>2.9999999999999997E-4</v>
      </c>
    </row>
    <row r="201" spans="1:9" x14ac:dyDescent="0.2">
      <c r="A201" s="2">
        <v>22859</v>
      </c>
      <c r="B201">
        <v>2.97</v>
      </c>
      <c r="D201" s="2">
        <v>30895</v>
      </c>
      <c r="E201" s="1">
        <v>11.56</v>
      </c>
      <c r="G201" s="2">
        <v>15764</v>
      </c>
      <c r="H201">
        <v>6.1600000000000002E-2</v>
      </c>
      <c r="I201">
        <v>2.9999999999999997E-4</v>
      </c>
    </row>
    <row r="202" spans="1:9" x14ac:dyDescent="0.2">
      <c r="A202" s="2">
        <v>22890</v>
      </c>
      <c r="B202">
        <v>2.97</v>
      </c>
      <c r="D202" s="2">
        <v>30926</v>
      </c>
      <c r="E202" s="1">
        <v>10.53</v>
      </c>
      <c r="G202" s="2">
        <v>15796</v>
      </c>
      <c r="H202">
        <v>6.0299999999999999E-2</v>
      </c>
      <c r="I202">
        <v>2.9999999999999997E-4</v>
      </c>
    </row>
    <row r="203" spans="1:9" x14ac:dyDescent="0.2">
      <c r="A203" s="2">
        <v>22920</v>
      </c>
      <c r="B203">
        <v>2.97</v>
      </c>
      <c r="D203" s="2">
        <v>30956</v>
      </c>
      <c r="E203" s="1">
        <v>11.17</v>
      </c>
      <c r="G203" s="2">
        <v>15826</v>
      </c>
      <c r="H203">
        <v>8.0999999999999996E-3</v>
      </c>
      <c r="I203">
        <v>2.9999999999999997E-4</v>
      </c>
    </row>
    <row r="204" spans="1:9" x14ac:dyDescent="0.2">
      <c r="A204" s="2">
        <v>22951</v>
      </c>
      <c r="B204">
        <v>2.97</v>
      </c>
      <c r="D204" s="2">
        <v>30987</v>
      </c>
      <c r="E204" s="1">
        <v>11.26</v>
      </c>
      <c r="G204" s="2">
        <v>15855</v>
      </c>
      <c r="H204">
        <v>5.7500000000000002E-2</v>
      </c>
      <c r="I204">
        <v>2.0000000000000001E-4</v>
      </c>
    </row>
    <row r="205" spans="1:9" x14ac:dyDescent="0.2">
      <c r="A205" s="2">
        <v>22981</v>
      </c>
      <c r="B205">
        <v>2.97</v>
      </c>
      <c r="D205" s="2">
        <v>31017</v>
      </c>
      <c r="E205" s="1">
        <v>12.34</v>
      </c>
      <c r="G205" s="2">
        <v>15887</v>
      </c>
      <c r="H205">
        <v>1.8200000000000001E-2</v>
      </c>
      <c r="I205">
        <v>2.9999999999999997E-4</v>
      </c>
    </row>
    <row r="206" spans="1:9" x14ac:dyDescent="0.2">
      <c r="A206" s="2">
        <v>23012</v>
      </c>
      <c r="B206">
        <v>2.97</v>
      </c>
      <c r="D206" s="2">
        <v>31048</v>
      </c>
      <c r="E206" s="1">
        <v>13.35</v>
      </c>
      <c r="G206" s="2">
        <v>15918</v>
      </c>
      <c r="H206">
        <v>-4.7800000000000002E-2</v>
      </c>
      <c r="I206">
        <v>2.9999999999999997E-4</v>
      </c>
    </row>
    <row r="207" spans="1:9" x14ac:dyDescent="0.2">
      <c r="A207" s="2">
        <v>23043</v>
      </c>
      <c r="B207">
        <v>2.97</v>
      </c>
      <c r="D207" s="2">
        <v>31079</v>
      </c>
      <c r="E207" s="1">
        <v>13.81</v>
      </c>
      <c r="G207" s="2">
        <v>15949</v>
      </c>
      <c r="H207">
        <v>1.2999999999999999E-2</v>
      </c>
      <c r="I207">
        <v>2.9999999999999997E-4</v>
      </c>
    </row>
    <row r="208" spans="1:9" x14ac:dyDescent="0.2">
      <c r="A208" s="2">
        <v>23071</v>
      </c>
      <c r="B208">
        <v>2.97</v>
      </c>
      <c r="D208" s="2">
        <v>31107</v>
      </c>
      <c r="E208" s="1">
        <v>15.29</v>
      </c>
      <c r="G208" s="2">
        <v>15979</v>
      </c>
      <c r="H208">
        <v>2.4E-2</v>
      </c>
      <c r="I208">
        <v>2.9999999999999997E-4</v>
      </c>
    </row>
    <row r="209" spans="1:9" x14ac:dyDescent="0.2">
      <c r="A209" s="2">
        <v>23102</v>
      </c>
      <c r="B209">
        <v>2.97</v>
      </c>
      <c r="D209" s="2">
        <v>31138</v>
      </c>
      <c r="E209" s="1">
        <v>15.79</v>
      </c>
      <c r="G209" s="2">
        <v>16009</v>
      </c>
      <c r="H209">
        <v>-1.15E-2</v>
      </c>
      <c r="I209">
        <v>2.9999999999999997E-4</v>
      </c>
    </row>
    <row r="210" spans="1:9" x14ac:dyDescent="0.2">
      <c r="A210" s="2">
        <v>23132</v>
      </c>
      <c r="B210">
        <v>2.97</v>
      </c>
      <c r="D210" s="2">
        <v>31168</v>
      </c>
      <c r="E210" s="1">
        <v>15.53</v>
      </c>
      <c r="G210" s="2">
        <v>16040</v>
      </c>
      <c r="H210">
        <v>-5.9299999999999999E-2</v>
      </c>
      <c r="I210">
        <v>2.9999999999999997E-4</v>
      </c>
    </row>
    <row r="211" spans="1:9" x14ac:dyDescent="0.2">
      <c r="A211" s="2">
        <v>23163</v>
      </c>
      <c r="B211">
        <v>2.97</v>
      </c>
      <c r="D211" s="2">
        <v>31199</v>
      </c>
      <c r="E211" s="1">
        <v>15.75</v>
      </c>
      <c r="G211" s="2">
        <v>16071</v>
      </c>
      <c r="H211">
        <v>6.3700000000000007E-2</v>
      </c>
      <c r="I211">
        <v>2.9999999999999997E-4</v>
      </c>
    </row>
    <row r="212" spans="1:9" x14ac:dyDescent="0.2">
      <c r="A212" s="2">
        <v>23193</v>
      </c>
      <c r="B212">
        <v>2.97</v>
      </c>
      <c r="D212" s="2">
        <v>31229</v>
      </c>
      <c r="E212" s="1">
        <v>15.14</v>
      </c>
      <c r="G212" s="2">
        <v>16102</v>
      </c>
      <c r="H212">
        <v>1.7399999999999999E-2</v>
      </c>
      <c r="I212">
        <v>2.9999999999999997E-4</v>
      </c>
    </row>
    <row r="213" spans="1:9" x14ac:dyDescent="0.2">
      <c r="A213" s="2">
        <v>23224</v>
      </c>
      <c r="B213">
        <v>2.97</v>
      </c>
      <c r="D213" s="2">
        <v>31260</v>
      </c>
      <c r="E213" s="1">
        <v>16.25</v>
      </c>
      <c r="G213" s="2">
        <v>16131</v>
      </c>
      <c r="H213">
        <v>3.7000000000000002E-3</v>
      </c>
      <c r="I213">
        <v>2.9999999999999997E-4</v>
      </c>
    </row>
    <row r="214" spans="1:9" x14ac:dyDescent="0.2">
      <c r="A214" s="2">
        <v>23255</v>
      </c>
      <c r="B214">
        <v>2.97</v>
      </c>
      <c r="D214" s="2">
        <v>31291</v>
      </c>
      <c r="E214" s="1">
        <v>16.78</v>
      </c>
      <c r="G214" s="2">
        <v>16162</v>
      </c>
      <c r="H214">
        <v>2.46E-2</v>
      </c>
      <c r="I214">
        <v>2.0000000000000001E-4</v>
      </c>
    </row>
    <row r="215" spans="1:9" x14ac:dyDescent="0.2">
      <c r="A215" s="2">
        <v>23285</v>
      </c>
      <c r="B215">
        <v>2.97</v>
      </c>
      <c r="D215" s="2">
        <v>31321</v>
      </c>
      <c r="E215" s="1">
        <v>16.36</v>
      </c>
      <c r="G215" s="2">
        <v>16191</v>
      </c>
      <c r="H215">
        <v>-1.6899999999999998E-2</v>
      </c>
      <c r="I215">
        <v>2.9999999999999997E-4</v>
      </c>
    </row>
    <row r="216" spans="1:9" x14ac:dyDescent="0.2">
      <c r="A216" s="2">
        <v>23316</v>
      </c>
      <c r="B216">
        <v>2.97</v>
      </c>
      <c r="D216" s="2">
        <v>31352</v>
      </c>
      <c r="E216" s="1">
        <v>18.18</v>
      </c>
      <c r="G216" s="2">
        <v>16223</v>
      </c>
      <c r="H216">
        <v>5.0799999999999998E-2</v>
      </c>
      <c r="I216">
        <v>2.9999999999999997E-4</v>
      </c>
    </row>
    <row r="217" spans="1:9" x14ac:dyDescent="0.2">
      <c r="A217" s="2">
        <v>23346</v>
      </c>
      <c r="B217">
        <v>2.97</v>
      </c>
      <c r="D217" s="2">
        <v>31382</v>
      </c>
      <c r="E217" s="1">
        <v>19.559999999999999</v>
      </c>
      <c r="G217" s="2">
        <v>16253</v>
      </c>
      <c r="H217">
        <v>5.5100000000000003E-2</v>
      </c>
      <c r="I217">
        <v>2.9999999999999997E-4</v>
      </c>
    </row>
    <row r="218" spans="1:9" x14ac:dyDescent="0.2">
      <c r="A218" s="2">
        <v>23377</v>
      </c>
      <c r="B218">
        <v>2.97</v>
      </c>
      <c r="D218" s="2">
        <v>31413</v>
      </c>
      <c r="E218" s="1">
        <v>18.97</v>
      </c>
      <c r="G218" s="2">
        <v>16284</v>
      </c>
      <c r="H218">
        <v>-1.49E-2</v>
      </c>
      <c r="I218">
        <v>2.9999999999999997E-4</v>
      </c>
    </row>
    <row r="219" spans="1:9" x14ac:dyDescent="0.2">
      <c r="A219" s="2">
        <v>23408</v>
      </c>
      <c r="B219">
        <v>2.97</v>
      </c>
      <c r="D219" s="2">
        <v>31444</v>
      </c>
      <c r="E219" s="1">
        <v>18.29</v>
      </c>
      <c r="G219" s="2">
        <v>16315</v>
      </c>
      <c r="H219">
        <v>1.5599999999999999E-2</v>
      </c>
      <c r="I219">
        <v>2.9999999999999997E-4</v>
      </c>
    </row>
    <row r="220" spans="1:9" x14ac:dyDescent="0.2">
      <c r="A220" s="2">
        <v>23437</v>
      </c>
      <c r="B220">
        <v>2.97</v>
      </c>
      <c r="D220" s="2">
        <v>31472</v>
      </c>
      <c r="E220" s="1">
        <v>16.440000000000001</v>
      </c>
      <c r="G220" s="2">
        <v>16345</v>
      </c>
      <c r="H220">
        <v>2.0000000000000001E-4</v>
      </c>
      <c r="I220">
        <v>2.0000000000000001E-4</v>
      </c>
    </row>
    <row r="221" spans="1:9" x14ac:dyDescent="0.2">
      <c r="A221" s="2">
        <v>23468</v>
      </c>
      <c r="B221">
        <v>2.97</v>
      </c>
      <c r="D221" s="2">
        <v>31503</v>
      </c>
      <c r="E221" s="1">
        <v>15.76</v>
      </c>
      <c r="G221" s="2">
        <v>16376</v>
      </c>
      <c r="H221">
        <v>1.6000000000000001E-3</v>
      </c>
      <c r="I221">
        <v>2.9999999999999997E-4</v>
      </c>
    </row>
    <row r="222" spans="1:9" x14ac:dyDescent="0.2">
      <c r="A222" s="2">
        <v>23498</v>
      </c>
      <c r="B222">
        <v>2.97</v>
      </c>
      <c r="D222" s="2">
        <v>31533</v>
      </c>
      <c r="E222" s="1">
        <v>14.73</v>
      </c>
      <c r="G222" s="2">
        <v>16406</v>
      </c>
      <c r="H222">
        <v>1.7100000000000001E-2</v>
      </c>
      <c r="I222">
        <v>2.9999999999999997E-4</v>
      </c>
    </row>
    <row r="223" spans="1:9" x14ac:dyDescent="0.2">
      <c r="A223" s="2">
        <v>23529</v>
      </c>
      <c r="B223">
        <v>2.97</v>
      </c>
      <c r="D223" s="2">
        <v>31564</v>
      </c>
      <c r="E223" s="1">
        <v>14.68</v>
      </c>
      <c r="G223" s="2">
        <v>16436</v>
      </c>
      <c r="H223">
        <v>4.0399999999999998E-2</v>
      </c>
      <c r="I223">
        <v>2.0000000000000001E-4</v>
      </c>
    </row>
    <row r="224" spans="1:9" x14ac:dyDescent="0.2">
      <c r="A224" s="2">
        <v>23559</v>
      </c>
      <c r="B224">
        <v>2.92</v>
      </c>
      <c r="D224" s="2">
        <v>31594</v>
      </c>
      <c r="E224" s="1">
        <v>14.85</v>
      </c>
      <c r="G224" s="2">
        <v>16468</v>
      </c>
      <c r="H224">
        <v>2.01E-2</v>
      </c>
      <c r="I224">
        <v>2.9999999999999997E-4</v>
      </c>
    </row>
    <row r="225" spans="1:9" x14ac:dyDescent="0.2">
      <c r="A225" s="2">
        <v>23590</v>
      </c>
      <c r="B225">
        <v>2.92</v>
      </c>
      <c r="D225" s="2">
        <v>31625</v>
      </c>
      <c r="E225" s="1">
        <v>17.37</v>
      </c>
      <c r="G225" s="2">
        <v>16496</v>
      </c>
      <c r="H225">
        <v>6.2300000000000001E-2</v>
      </c>
      <c r="I225">
        <v>2.0000000000000001E-4</v>
      </c>
    </row>
    <row r="226" spans="1:9" x14ac:dyDescent="0.2">
      <c r="A226" s="2">
        <v>23621</v>
      </c>
      <c r="B226">
        <v>2.92</v>
      </c>
      <c r="D226" s="2">
        <v>31656</v>
      </c>
      <c r="E226" s="1">
        <v>18.079999999999998</v>
      </c>
      <c r="G226" s="2">
        <v>16527</v>
      </c>
      <c r="H226">
        <v>-3.9100000000000003E-2</v>
      </c>
      <c r="I226">
        <v>2.0000000000000001E-4</v>
      </c>
    </row>
    <row r="227" spans="1:9" x14ac:dyDescent="0.2">
      <c r="A227" s="2">
        <v>23651</v>
      </c>
      <c r="B227">
        <v>2.92</v>
      </c>
      <c r="D227" s="2">
        <v>31686</v>
      </c>
      <c r="E227" s="1">
        <v>16.82</v>
      </c>
      <c r="G227" s="2">
        <v>16557</v>
      </c>
      <c r="H227">
        <v>7.8E-2</v>
      </c>
      <c r="I227">
        <v>2.9999999999999997E-4</v>
      </c>
    </row>
    <row r="228" spans="1:9" x14ac:dyDescent="0.2">
      <c r="A228" s="2">
        <v>23682</v>
      </c>
      <c r="B228">
        <v>2.92</v>
      </c>
      <c r="D228" s="2">
        <v>31717</v>
      </c>
      <c r="E228" s="1">
        <v>15.9</v>
      </c>
      <c r="G228" s="2">
        <v>16588</v>
      </c>
      <c r="H228">
        <v>1.7399999999999999E-2</v>
      </c>
      <c r="I228">
        <v>2.9999999999999997E-4</v>
      </c>
    </row>
    <row r="229" spans="1:9" x14ac:dyDescent="0.2">
      <c r="A229" s="2">
        <v>23712</v>
      </c>
      <c r="B229">
        <v>2.92</v>
      </c>
      <c r="D229" s="2">
        <v>31747</v>
      </c>
      <c r="E229" s="1">
        <v>15.53</v>
      </c>
      <c r="G229" s="2">
        <v>16618</v>
      </c>
      <c r="H229">
        <v>3.8999999999999998E-3</v>
      </c>
      <c r="I229">
        <v>2.0000000000000001E-4</v>
      </c>
    </row>
    <row r="230" spans="1:9" x14ac:dyDescent="0.2">
      <c r="A230" s="2">
        <v>23743</v>
      </c>
      <c r="B230">
        <v>2.92</v>
      </c>
      <c r="D230" s="2">
        <v>31778</v>
      </c>
      <c r="E230" s="1">
        <v>15.86</v>
      </c>
      <c r="G230" s="2">
        <v>16649</v>
      </c>
      <c r="H230">
        <v>-2.1700000000000001E-2</v>
      </c>
      <c r="I230">
        <v>2.9999999999999997E-4</v>
      </c>
    </row>
    <row r="231" spans="1:9" x14ac:dyDescent="0.2">
      <c r="A231" s="2">
        <v>23774</v>
      </c>
      <c r="B231">
        <v>2.92</v>
      </c>
      <c r="D231" s="2">
        <v>31809</v>
      </c>
      <c r="E231" s="1">
        <v>16.7</v>
      </c>
      <c r="G231" s="2">
        <v>16680</v>
      </c>
      <c r="H231">
        <v>6.2199999999999998E-2</v>
      </c>
      <c r="I231">
        <v>2.9999999999999997E-4</v>
      </c>
    </row>
    <row r="232" spans="1:9" x14ac:dyDescent="0.2">
      <c r="A232" s="2">
        <v>23802</v>
      </c>
      <c r="B232">
        <v>2.92</v>
      </c>
      <c r="D232" s="2">
        <v>31837</v>
      </c>
      <c r="E232" s="1">
        <v>16.41</v>
      </c>
      <c r="G232" s="2">
        <v>16709</v>
      </c>
      <c r="H232">
        <v>4.7699999999999999E-2</v>
      </c>
      <c r="I232">
        <v>2.9999999999999997E-4</v>
      </c>
    </row>
    <row r="233" spans="1:9" x14ac:dyDescent="0.2">
      <c r="A233" s="2">
        <v>23833</v>
      </c>
      <c r="B233">
        <v>2.92</v>
      </c>
      <c r="D233" s="2">
        <v>31868</v>
      </c>
      <c r="E233" s="1">
        <v>15.08</v>
      </c>
      <c r="G233" s="2">
        <v>16741</v>
      </c>
      <c r="H233">
        <v>3.8899999999999997E-2</v>
      </c>
      <c r="I233">
        <v>2.9999999999999997E-4</v>
      </c>
    </row>
    <row r="234" spans="1:9" x14ac:dyDescent="0.2">
      <c r="A234" s="2">
        <v>23863</v>
      </c>
      <c r="B234">
        <v>2.92</v>
      </c>
      <c r="D234" s="2">
        <v>31898</v>
      </c>
      <c r="E234" s="1">
        <v>14.14</v>
      </c>
      <c r="G234" s="2">
        <v>16771</v>
      </c>
      <c r="H234">
        <v>5.3999999999999999E-2</v>
      </c>
      <c r="I234">
        <v>2.0000000000000001E-4</v>
      </c>
    </row>
    <row r="235" spans="1:9" x14ac:dyDescent="0.2">
      <c r="A235" s="2">
        <v>23894</v>
      </c>
      <c r="B235">
        <v>2.92</v>
      </c>
      <c r="D235" s="2">
        <v>31929</v>
      </c>
      <c r="E235" s="1">
        <v>13.68</v>
      </c>
      <c r="G235" s="2">
        <v>16802</v>
      </c>
      <c r="H235">
        <v>1.1900000000000001E-2</v>
      </c>
      <c r="I235">
        <v>2.9999999999999997E-4</v>
      </c>
    </row>
    <row r="236" spans="1:9" x14ac:dyDescent="0.2">
      <c r="A236" s="2">
        <v>23924</v>
      </c>
      <c r="B236">
        <v>2.92</v>
      </c>
      <c r="D236" s="2">
        <v>31959</v>
      </c>
      <c r="E236" s="1">
        <v>12.99</v>
      </c>
      <c r="G236" s="2">
        <v>16833</v>
      </c>
      <c r="H236">
        <v>6.2399999999999997E-2</v>
      </c>
      <c r="I236">
        <v>2.9999999999999997E-4</v>
      </c>
    </row>
    <row r="237" spans="1:9" x14ac:dyDescent="0.2">
      <c r="A237" s="2">
        <v>23955</v>
      </c>
      <c r="B237">
        <v>2.92</v>
      </c>
      <c r="D237" s="2">
        <v>31990</v>
      </c>
      <c r="E237" s="1">
        <v>12.54</v>
      </c>
      <c r="G237" s="2">
        <v>16861</v>
      </c>
      <c r="H237">
        <v>-5.8400000000000001E-2</v>
      </c>
      <c r="I237">
        <v>2.9999999999999997E-4</v>
      </c>
    </row>
    <row r="238" spans="1:9" x14ac:dyDescent="0.2">
      <c r="A238" s="2">
        <v>23986</v>
      </c>
      <c r="B238">
        <v>2.92</v>
      </c>
      <c r="D238" s="2">
        <v>32021</v>
      </c>
      <c r="E238" s="1">
        <v>11.7</v>
      </c>
      <c r="G238" s="2">
        <v>16891</v>
      </c>
      <c r="H238">
        <v>5.8799999999999998E-2</v>
      </c>
      <c r="I238">
        <v>2.9999999999999997E-4</v>
      </c>
    </row>
    <row r="239" spans="1:9" x14ac:dyDescent="0.2">
      <c r="A239" s="2">
        <v>24016</v>
      </c>
      <c r="B239">
        <v>2.92</v>
      </c>
      <c r="D239" s="2">
        <v>32051</v>
      </c>
      <c r="E239" s="1">
        <v>11.99</v>
      </c>
      <c r="G239" s="2">
        <v>16922</v>
      </c>
      <c r="H239">
        <v>4.2299999999999997E-2</v>
      </c>
      <c r="I239">
        <v>2.9999999999999997E-4</v>
      </c>
    </row>
    <row r="240" spans="1:9" x14ac:dyDescent="0.2">
      <c r="A240" s="2">
        <v>24047</v>
      </c>
      <c r="B240">
        <v>2.92</v>
      </c>
      <c r="D240" s="2">
        <v>32082</v>
      </c>
      <c r="E240" s="1">
        <v>12.45</v>
      </c>
      <c r="G240" s="2">
        <v>16953</v>
      </c>
      <c r="H240">
        <v>3.9399999999999998E-2</v>
      </c>
      <c r="I240">
        <v>2.9999999999999997E-4</v>
      </c>
    </row>
    <row r="241" spans="1:9" x14ac:dyDescent="0.2">
      <c r="A241" s="2">
        <v>24077</v>
      </c>
      <c r="B241">
        <v>2.92</v>
      </c>
      <c r="D241" s="2">
        <v>32112</v>
      </c>
      <c r="E241" s="1">
        <v>11.46</v>
      </c>
      <c r="G241" s="2">
        <v>16981</v>
      </c>
      <c r="H241">
        <v>-3.8899999999999997E-2</v>
      </c>
      <c r="I241">
        <v>2.9999999999999997E-4</v>
      </c>
    </row>
    <row r="242" spans="1:9" x14ac:dyDescent="0.2">
      <c r="A242" s="2">
        <v>24108</v>
      </c>
      <c r="B242">
        <v>2.92</v>
      </c>
      <c r="D242" s="2">
        <v>32143</v>
      </c>
      <c r="E242" s="1">
        <v>11.05</v>
      </c>
      <c r="G242" s="2">
        <v>17014</v>
      </c>
      <c r="H242">
        <v>-2.69E-2</v>
      </c>
      <c r="I242">
        <v>2.9999999999999997E-4</v>
      </c>
    </row>
    <row r="243" spans="1:9" x14ac:dyDescent="0.2">
      <c r="A243" s="2">
        <v>24139</v>
      </c>
      <c r="B243">
        <v>2.92</v>
      </c>
      <c r="D243" s="2">
        <v>32174</v>
      </c>
      <c r="E243" s="1">
        <v>10.95</v>
      </c>
      <c r="G243" s="2">
        <v>17044</v>
      </c>
      <c r="H243">
        <v>-6.4600000000000005E-2</v>
      </c>
      <c r="I243">
        <v>2.9999999999999997E-4</v>
      </c>
    </row>
    <row r="244" spans="1:9" x14ac:dyDescent="0.2">
      <c r="A244" s="2">
        <v>24167</v>
      </c>
      <c r="B244">
        <v>2.92</v>
      </c>
      <c r="D244" s="2">
        <v>32203</v>
      </c>
      <c r="E244" s="1">
        <v>10.95</v>
      </c>
      <c r="G244" s="2">
        <v>17075</v>
      </c>
      <c r="H244">
        <v>-0.1018</v>
      </c>
      <c r="I244">
        <v>2.9999999999999997E-4</v>
      </c>
    </row>
    <row r="245" spans="1:9" x14ac:dyDescent="0.2">
      <c r="A245" s="2">
        <v>24198</v>
      </c>
      <c r="B245">
        <v>2.92</v>
      </c>
      <c r="D245" s="2">
        <v>32234</v>
      </c>
      <c r="E245" s="1">
        <v>11.39</v>
      </c>
      <c r="G245" s="2">
        <v>17106</v>
      </c>
      <c r="H245">
        <v>-1.44E-2</v>
      </c>
      <c r="I245">
        <v>2.9999999999999997E-4</v>
      </c>
    </row>
    <row r="246" spans="1:9" x14ac:dyDescent="0.2">
      <c r="A246" s="2">
        <v>24228</v>
      </c>
      <c r="B246">
        <v>2.92</v>
      </c>
      <c r="D246" s="2">
        <v>32264</v>
      </c>
      <c r="E246" s="1">
        <v>12.28</v>
      </c>
      <c r="G246" s="2">
        <v>17136</v>
      </c>
      <c r="H246">
        <v>-2.0000000000000001E-4</v>
      </c>
      <c r="I246">
        <v>2.9999999999999997E-4</v>
      </c>
    </row>
    <row r="247" spans="1:9" x14ac:dyDescent="0.2">
      <c r="A247" s="2">
        <v>24259</v>
      </c>
      <c r="B247">
        <v>2.92</v>
      </c>
      <c r="D247" s="2">
        <v>32295</v>
      </c>
      <c r="E247" s="1">
        <v>13.1</v>
      </c>
      <c r="G247" s="2">
        <v>17167</v>
      </c>
      <c r="H247">
        <v>4.9700000000000001E-2</v>
      </c>
      <c r="I247">
        <v>2.9999999999999997E-4</v>
      </c>
    </row>
    <row r="248" spans="1:9" x14ac:dyDescent="0.2">
      <c r="A248" s="2">
        <v>24289</v>
      </c>
      <c r="B248">
        <v>2.92</v>
      </c>
      <c r="D248" s="2">
        <v>32325</v>
      </c>
      <c r="E248" s="1">
        <v>13.08</v>
      </c>
      <c r="G248" s="2">
        <v>17198</v>
      </c>
      <c r="H248">
        <v>1.2500000000000001E-2</v>
      </c>
      <c r="I248">
        <v>2.9999999999999997E-4</v>
      </c>
    </row>
    <row r="249" spans="1:9" x14ac:dyDescent="0.2">
      <c r="A249" s="2">
        <v>24320</v>
      </c>
      <c r="B249">
        <v>2.92</v>
      </c>
      <c r="D249" s="2">
        <v>32356</v>
      </c>
      <c r="E249" s="1">
        <v>13.32</v>
      </c>
      <c r="G249" s="2">
        <v>17226</v>
      </c>
      <c r="H249">
        <v>-1.09E-2</v>
      </c>
      <c r="I249">
        <v>2.9999999999999997E-4</v>
      </c>
    </row>
    <row r="250" spans="1:9" x14ac:dyDescent="0.2">
      <c r="A250" s="2">
        <v>24351</v>
      </c>
      <c r="B250">
        <v>2.97</v>
      </c>
      <c r="D250" s="2">
        <v>32387</v>
      </c>
      <c r="E250" s="1">
        <v>13.64</v>
      </c>
      <c r="G250" s="2">
        <v>17257</v>
      </c>
      <c r="H250">
        <v>-1.6799999999999999E-2</v>
      </c>
      <c r="I250">
        <v>2.9999999999999997E-4</v>
      </c>
    </row>
    <row r="251" spans="1:9" x14ac:dyDescent="0.2">
      <c r="A251" s="2">
        <v>24381</v>
      </c>
      <c r="B251">
        <v>2.97</v>
      </c>
      <c r="D251" s="2">
        <v>32417</v>
      </c>
      <c r="E251" s="1">
        <v>14</v>
      </c>
      <c r="G251" s="2">
        <v>17287</v>
      </c>
      <c r="H251">
        <v>-4.8000000000000001E-2</v>
      </c>
      <c r="I251">
        <v>2.9999999999999997E-4</v>
      </c>
    </row>
    <row r="252" spans="1:9" x14ac:dyDescent="0.2">
      <c r="A252" s="2">
        <v>24412</v>
      </c>
      <c r="B252">
        <v>2.97</v>
      </c>
      <c r="D252" s="2">
        <v>32448</v>
      </c>
      <c r="E252" s="1">
        <v>14.73</v>
      </c>
      <c r="G252" s="2">
        <v>17316</v>
      </c>
      <c r="H252">
        <v>-9.5999999999999992E-3</v>
      </c>
      <c r="I252">
        <v>2.9999999999999997E-4</v>
      </c>
    </row>
    <row r="253" spans="1:9" x14ac:dyDescent="0.2">
      <c r="A253" s="2">
        <v>24442</v>
      </c>
      <c r="B253">
        <v>2.97</v>
      </c>
      <c r="D253" s="2">
        <v>32478</v>
      </c>
      <c r="E253" s="1">
        <v>15.11</v>
      </c>
      <c r="G253" s="2">
        <v>17348</v>
      </c>
      <c r="H253">
        <v>5.2999999999999999E-2</v>
      </c>
      <c r="I253">
        <v>2.9999999999999997E-4</v>
      </c>
    </row>
    <row r="254" spans="1:9" x14ac:dyDescent="0.2">
      <c r="A254" s="2">
        <v>24473</v>
      </c>
      <c r="B254">
        <v>2.97</v>
      </c>
      <c r="D254" s="2">
        <v>32509</v>
      </c>
      <c r="E254" s="1">
        <v>15.56</v>
      </c>
      <c r="G254" s="2">
        <v>17379</v>
      </c>
      <c r="H254">
        <v>4.1300000000000003E-2</v>
      </c>
      <c r="I254">
        <v>2.9999999999999997E-4</v>
      </c>
    </row>
    <row r="255" spans="1:9" x14ac:dyDescent="0.2">
      <c r="A255" s="2">
        <v>24504</v>
      </c>
      <c r="B255">
        <v>3</v>
      </c>
      <c r="D255" s="2">
        <v>32540</v>
      </c>
      <c r="E255" s="1">
        <v>16.54</v>
      </c>
      <c r="G255" s="2">
        <v>17408</v>
      </c>
      <c r="H255">
        <v>-1.7399999999999999E-2</v>
      </c>
      <c r="I255">
        <v>2.9999999999999997E-4</v>
      </c>
    </row>
    <row r="256" spans="1:9" x14ac:dyDescent="0.2">
      <c r="A256" s="2">
        <v>24532</v>
      </c>
      <c r="B256">
        <v>3</v>
      </c>
      <c r="D256" s="2">
        <v>32568</v>
      </c>
      <c r="E256" s="1">
        <v>17.25</v>
      </c>
      <c r="G256" s="2">
        <v>17440</v>
      </c>
      <c r="H256">
        <v>-5.4000000000000003E-3</v>
      </c>
      <c r="I256">
        <v>5.9999999999999995E-4</v>
      </c>
    </row>
    <row r="257" spans="1:9" x14ac:dyDescent="0.2">
      <c r="A257" s="2">
        <v>24563</v>
      </c>
      <c r="B257">
        <v>3</v>
      </c>
      <c r="D257" s="2">
        <v>32599</v>
      </c>
      <c r="E257" s="1">
        <v>17.46</v>
      </c>
      <c r="G257" s="2">
        <v>17471</v>
      </c>
      <c r="H257">
        <v>2.47E-2</v>
      </c>
      <c r="I257">
        <v>5.9999999999999995E-4</v>
      </c>
    </row>
    <row r="258" spans="1:9" x14ac:dyDescent="0.2">
      <c r="A258" s="2">
        <v>24593</v>
      </c>
      <c r="B258">
        <v>3</v>
      </c>
      <c r="D258" s="2">
        <v>32629</v>
      </c>
      <c r="E258" s="1">
        <v>17.52</v>
      </c>
      <c r="G258" s="2">
        <v>17500</v>
      </c>
      <c r="H258">
        <v>-1.9900000000000001E-2</v>
      </c>
      <c r="I258">
        <v>5.9999999999999995E-4</v>
      </c>
    </row>
    <row r="259" spans="1:9" x14ac:dyDescent="0.2">
      <c r="A259" s="2">
        <v>24624</v>
      </c>
      <c r="B259">
        <v>3</v>
      </c>
      <c r="D259" s="2">
        <v>32660</v>
      </c>
      <c r="E259" s="1">
        <v>18.37</v>
      </c>
      <c r="G259" s="2">
        <v>17532</v>
      </c>
      <c r="H259">
        <v>3.0099999999999998E-2</v>
      </c>
      <c r="I259">
        <v>8.0000000000000004E-4</v>
      </c>
    </row>
    <row r="260" spans="1:9" x14ac:dyDescent="0.2">
      <c r="A260" s="2">
        <v>24654</v>
      </c>
      <c r="B260">
        <v>3</v>
      </c>
      <c r="D260" s="2">
        <v>32690</v>
      </c>
      <c r="E260" s="1">
        <v>18.059999999999999</v>
      </c>
      <c r="G260" s="2">
        <v>17563</v>
      </c>
      <c r="H260">
        <v>-3.9300000000000002E-2</v>
      </c>
      <c r="I260">
        <v>6.9999999999999999E-4</v>
      </c>
    </row>
    <row r="261" spans="1:9" x14ac:dyDescent="0.2">
      <c r="A261" s="2">
        <v>24685</v>
      </c>
      <c r="B261">
        <v>3.07</v>
      </c>
      <c r="D261" s="2">
        <v>32721</v>
      </c>
      <c r="E261" s="1">
        <v>17.96</v>
      </c>
      <c r="G261" s="2">
        <v>17591</v>
      </c>
      <c r="H261">
        <v>-4.3799999999999999E-2</v>
      </c>
      <c r="I261">
        <v>6.9999999999999999E-4</v>
      </c>
    </row>
    <row r="262" spans="1:9" x14ac:dyDescent="0.2">
      <c r="A262" s="2">
        <v>24716</v>
      </c>
      <c r="B262">
        <v>3.07</v>
      </c>
      <c r="D262" s="2">
        <v>32752</v>
      </c>
      <c r="E262" s="1">
        <v>18.12</v>
      </c>
      <c r="G262" s="2">
        <v>17623</v>
      </c>
      <c r="H262">
        <v>8.1100000000000005E-2</v>
      </c>
      <c r="I262">
        <v>8.9999999999999998E-4</v>
      </c>
    </row>
    <row r="263" spans="1:9" x14ac:dyDescent="0.2">
      <c r="A263" s="2">
        <v>24746</v>
      </c>
      <c r="B263">
        <v>3.07</v>
      </c>
      <c r="D263" s="2">
        <v>32782</v>
      </c>
      <c r="E263" s="1">
        <v>18.36</v>
      </c>
      <c r="G263" s="2">
        <v>17653</v>
      </c>
      <c r="H263">
        <v>3.6499999999999998E-2</v>
      </c>
      <c r="I263">
        <v>8.0000000000000004E-4</v>
      </c>
    </row>
    <row r="264" spans="1:9" x14ac:dyDescent="0.2">
      <c r="A264" s="2">
        <v>24777</v>
      </c>
      <c r="B264">
        <v>3.07</v>
      </c>
      <c r="D264" s="2">
        <v>32813</v>
      </c>
      <c r="E264" s="1">
        <v>18.25</v>
      </c>
      <c r="G264" s="2">
        <v>17681</v>
      </c>
      <c r="H264">
        <v>7.3200000000000001E-2</v>
      </c>
      <c r="I264">
        <v>8.0000000000000004E-4</v>
      </c>
    </row>
    <row r="265" spans="1:9" x14ac:dyDescent="0.2">
      <c r="A265" s="2">
        <v>24807</v>
      </c>
      <c r="B265">
        <v>3.07</v>
      </c>
      <c r="D265" s="2">
        <v>32843</v>
      </c>
      <c r="E265" s="1">
        <v>17.89</v>
      </c>
      <c r="G265" s="2">
        <v>17714</v>
      </c>
      <c r="H265">
        <v>-1.1000000000000001E-3</v>
      </c>
      <c r="I265">
        <v>8.9999999999999998E-4</v>
      </c>
    </row>
    <row r="266" spans="1:9" x14ac:dyDescent="0.2">
      <c r="A266" s="2">
        <v>24838</v>
      </c>
      <c r="B266">
        <v>3.07</v>
      </c>
      <c r="D266" s="2">
        <v>32874</v>
      </c>
      <c r="E266" s="1">
        <v>17.329999999999998</v>
      </c>
      <c r="G266" s="2">
        <v>17744</v>
      </c>
      <c r="H266">
        <v>-5.0799999999999998E-2</v>
      </c>
      <c r="I266">
        <v>8.0000000000000004E-4</v>
      </c>
    </row>
    <row r="267" spans="1:9" x14ac:dyDescent="0.2">
      <c r="A267" s="2">
        <v>24869</v>
      </c>
      <c r="B267">
        <v>3.07</v>
      </c>
      <c r="D267" s="2">
        <v>32905</v>
      </c>
      <c r="E267" s="1">
        <v>16.2</v>
      </c>
      <c r="G267" s="2">
        <v>17776</v>
      </c>
      <c r="H267">
        <v>2.3999999999999998E-3</v>
      </c>
      <c r="I267">
        <v>8.9999999999999998E-4</v>
      </c>
    </row>
    <row r="268" spans="1:9" x14ac:dyDescent="0.2">
      <c r="A268" s="2">
        <v>24898</v>
      </c>
      <c r="B268">
        <v>3.07</v>
      </c>
      <c r="D268" s="2">
        <v>32933</v>
      </c>
      <c r="E268" s="1">
        <v>15.84</v>
      </c>
      <c r="G268" s="2">
        <v>17806</v>
      </c>
      <c r="H268">
        <v>-2.9899999999999999E-2</v>
      </c>
      <c r="I268">
        <v>4.0000000000000002E-4</v>
      </c>
    </row>
    <row r="269" spans="1:9" x14ac:dyDescent="0.2">
      <c r="A269" s="2">
        <v>24929</v>
      </c>
      <c r="B269">
        <v>3.07</v>
      </c>
      <c r="D269" s="2">
        <v>32964</v>
      </c>
      <c r="E269" s="1">
        <v>15.14</v>
      </c>
      <c r="G269" s="2">
        <v>17836</v>
      </c>
      <c r="H269">
        <v>5.96E-2</v>
      </c>
      <c r="I269">
        <v>4.0000000000000002E-4</v>
      </c>
    </row>
    <row r="270" spans="1:9" x14ac:dyDescent="0.2">
      <c r="A270" s="2">
        <v>24959</v>
      </c>
      <c r="B270">
        <v>3.07</v>
      </c>
      <c r="D270" s="2">
        <v>32994</v>
      </c>
      <c r="E270" s="1">
        <v>15.05</v>
      </c>
      <c r="G270" s="2">
        <v>17867</v>
      </c>
      <c r="H270">
        <v>-9.3399999999999997E-2</v>
      </c>
      <c r="I270">
        <v>4.0000000000000002E-4</v>
      </c>
    </row>
    <row r="271" spans="1:9" x14ac:dyDescent="0.2">
      <c r="A271" s="2">
        <v>24990</v>
      </c>
      <c r="B271">
        <v>3.07</v>
      </c>
      <c r="D271" s="2">
        <v>33025</v>
      </c>
      <c r="E271" s="1">
        <v>15.02</v>
      </c>
      <c r="G271" s="2">
        <v>17898</v>
      </c>
      <c r="H271">
        <v>3.2599999999999997E-2</v>
      </c>
      <c r="I271">
        <v>4.0000000000000002E-4</v>
      </c>
    </row>
    <row r="272" spans="1:9" x14ac:dyDescent="0.2">
      <c r="A272" s="2">
        <v>25020</v>
      </c>
      <c r="B272">
        <v>3.07</v>
      </c>
      <c r="D272" s="2">
        <v>33055</v>
      </c>
      <c r="E272" s="1">
        <v>14.83</v>
      </c>
      <c r="G272" s="2">
        <v>17929</v>
      </c>
      <c r="H272">
        <v>2.3E-3</v>
      </c>
      <c r="I272">
        <v>1E-3</v>
      </c>
    </row>
    <row r="273" spans="1:9" x14ac:dyDescent="0.2">
      <c r="A273" s="2">
        <v>25051</v>
      </c>
      <c r="B273">
        <v>3.07</v>
      </c>
      <c r="D273" s="2">
        <v>33086</v>
      </c>
      <c r="E273" s="1">
        <v>13.92</v>
      </c>
      <c r="G273" s="2">
        <v>17957</v>
      </c>
      <c r="H273">
        <v>-2.93E-2</v>
      </c>
      <c r="I273">
        <v>8.9999999999999998E-4</v>
      </c>
    </row>
    <row r="274" spans="1:9" x14ac:dyDescent="0.2">
      <c r="A274" s="2">
        <v>25082</v>
      </c>
      <c r="B274">
        <v>3.07</v>
      </c>
      <c r="D274" s="2">
        <v>33117</v>
      </c>
      <c r="E274" s="1">
        <v>13.52</v>
      </c>
      <c r="G274" s="2">
        <v>17988</v>
      </c>
      <c r="H274">
        <v>4.0500000000000001E-2</v>
      </c>
      <c r="I274">
        <v>1E-3</v>
      </c>
    </row>
    <row r="275" spans="1:9" x14ac:dyDescent="0.2">
      <c r="A275" s="2">
        <v>25112</v>
      </c>
      <c r="B275">
        <v>3.07</v>
      </c>
      <c r="D275" s="2">
        <v>33147</v>
      </c>
      <c r="E275" s="1">
        <v>13.07</v>
      </c>
      <c r="G275" s="2">
        <v>18018</v>
      </c>
      <c r="H275">
        <v>-1.8700000000000001E-2</v>
      </c>
      <c r="I275">
        <v>8.9999999999999998E-4</v>
      </c>
    </row>
    <row r="276" spans="1:9" x14ac:dyDescent="0.2">
      <c r="A276" s="2">
        <v>25143</v>
      </c>
      <c r="B276">
        <v>3.07</v>
      </c>
      <c r="D276" s="2">
        <v>33178</v>
      </c>
      <c r="E276" s="1">
        <v>12.41</v>
      </c>
      <c r="G276" s="2">
        <v>18049</v>
      </c>
      <c r="H276">
        <v>-2.98E-2</v>
      </c>
      <c r="I276">
        <v>1E-3</v>
      </c>
    </row>
    <row r="277" spans="1:9" x14ac:dyDescent="0.2">
      <c r="A277" s="2">
        <v>25173</v>
      </c>
      <c r="B277">
        <v>3.07</v>
      </c>
      <c r="D277" s="2">
        <v>33208</v>
      </c>
      <c r="E277" s="1">
        <v>12.19</v>
      </c>
      <c r="G277" s="2">
        <v>18079</v>
      </c>
      <c r="H277">
        <v>1E-3</v>
      </c>
      <c r="I277">
        <v>1E-3</v>
      </c>
    </row>
    <row r="278" spans="1:9" x14ac:dyDescent="0.2">
      <c r="A278" s="2">
        <v>25204</v>
      </c>
      <c r="B278">
        <v>3.07</v>
      </c>
      <c r="D278" s="2">
        <v>33239</v>
      </c>
      <c r="E278" s="1">
        <v>11.93</v>
      </c>
      <c r="G278" s="2">
        <v>18108</v>
      </c>
      <c r="H278">
        <v>5.5399999999999998E-2</v>
      </c>
      <c r="I278">
        <v>8.9999999999999998E-4</v>
      </c>
    </row>
    <row r="279" spans="1:9" x14ac:dyDescent="0.2">
      <c r="A279" s="2">
        <v>25235</v>
      </c>
      <c r="B279">
        <v>3.07</v>
      </c>
      <c r="D279" s="2">
        <v>33270</v>
      </c>
      <c r="E279" s="1">
        <v>11.62</v>
      </c>
      <c r="G279" s="2">
        <v>18141</v>
      </c>
      <c r="H279">
        <v>2.5899999999999999E-2</v>
      </c>
      <c r="I279">
        <v>8.9999999999999998E-4</v>
      </c>
    </row>
    <row r="280" spans="1:9" x14ac:dyDescent="0.2">
      <c r="A280" s="2">
        <v>25263</v>
      </c>
      <c r="B280">
        <v>3.25</v>
      </c>
      <c r="D280" s="2">
        <v>33298</v>
      </c>
      <c r="E280" s="1">
        <v>11.49</v>
      </c>
      <c r="G280" s="2">
        <v>18171</v>
      </c>
      <c r="H280">
        <v>3.09E-2</v>
      </c>
      <c r="I280">
        <v>8.9999999999999998E-4</v>
      </c>
    </row>
    <row r="281" spans="1:9" x14ac:dyDescent="0.2">
      <c r="A281" s="2">
        <v>25294</v>
      </c>
      <c r="B281">
        <v>3.35</v>
      </c>
      <c r="D281" s="2">
        <v>33329</v>
      </c>
      <c r="E281" s="1">
        <v>11.36</v>
      </c>
      <c r="G281" s="2">
        <v>18202</v>
      </c>
      <c r="H281">
        <v>3.1399999999999997E-2</v>
      </c>
      <c r="I281">
        <v>8.9999999999999998E-4</v>
      </c>
    </row>
    <row r="282" spans="1:9" x14ac:dyDescent="0.2">
      <c r="A282" s="2">
        <v>25324</v>
      </c>
      <c r="B282">
        <v>3.35</v>
      </c>
      <c r="D282" s="2">
        <v>33359</v>
      </c>
      <c r="E282" s="1">
        <v>10.72</v>
      </c>
      <c r="G282" s="2">
        <v>18232</v>
      </c>
      <c r="H282">
        <v>1.8100000000000002E-2</v>
      </c>
      <c r="I282">
        <v>8.0000000000000004E-4</v>
      </c>
    </row>
    <row r="283" spans="1:9" x14ac:dyDescent="0.2">
      <c r="A283" s="2">
        <v>25355</v>
      </c>
      <c r="B283">
        <v>3.35</v>
      </c>
      <c r="D283" s="2">
        <v>33390</v>
      </c>
      <c r="E283" s="1">
        <v>10.39</v>
      </c>
      <c r="G283" s="2">
        <v>18263</v>
      </c>
      <c r="H283">
        <v>5.1400000000000001E-2</v>
      </c>
      <c r="I283">
        <v>8.9999999999999998E-4</v>
      </c>
    </row>
    <row r="284" spans="1:9" x14ac:dyDescent="0.2">
      <c r="A284" s="2">
        <v>25385</v>
      </c>
      <c r="B284">
        <v>3.35</v>
      </c>
      <c r="D284" s="2">
        <v>33420</v>
      </c>
      <c r="E284" s="1">
        <v>10.34</v>
      </c>
      <c r="G284" s="2">
        <v>18294</v>
      </c>
      <c r="H284">
        <v>1.7000000000000001E-2</v>
      </c>
      <c r="I284">
        <v>8.9999999999999998E-4</v>
      </c>
    </row>
    <row r="285" spans="1:9" x14ac:dyDescent="0.2">
      <c r="A285" s="2">
        <v>25416</v>
      </c>
      <c r="B285">
        <v>3.35</v>
      </c>
      <c r="D285" s="2">
        <v>33451</v>
      </c>
      <c r="E285" s="1">
        <v>10.130000000000001</v>
      </c>
      <c r="G285" s="2">
        <v>18322</v>
      </c>
      <c r="H285">
        <v>1.4800000000000001E-2</v>
      </c>
      <c r="I285">
        <v>8.9999999999999998E-4</v>
      </c>
    </row>
    <row r="286" spans="1:9" x14ac:dyDescent="0.2">
      <c r="A286" s="2">
        <v>25447</v>
      </c>
      <c r="B286">
        <v>3.35</v>
      </c>
      <c r="D286" s="2">
        <v>33482</v>
      </c>
      <c r="E286" s="1">
        <v>9.58</v>
      </c>
      <c r="G286" s="2">
        <v>18353</v>
      </c>
      <c r="H286">
        <v>1.26E-2</v>
      </c>
      <c r="I286">
        <v>1E-3</v>
      </c>
    </row>
    <row r="287" spans="1:9" x14ac:dyDescent="0.2">
      <c r="A287" s="2">
        <v>25477</v>
      </c>
      <c r="B287">
        <v>3.35</v>
      </c>
      <c r="D287" s="2">
        <v>33512</v>
      </c>
      <c r="E287" s="1">
        <v>8.9700000000000006</v>
      </c>
      <c r="G287" s="2">
        <v>18382</v>
      </c>
      <c r="H287">
        <v>3.9399999999999998E-2</v>
      </c>
      <c r="I287">
        <v>8.9999999999999998E-4</v>
      </c>
    </row>
    <row r="288" spans="1:9" x14ac:dyDescent="0.2">
      <c r="A288" s="2">
        <v>25508</v>
      </c>
      <c r="B288">
        <v>3.35</v>
      </c>
      <c r="D288" s="2">
        <v>33543</v>
      </c>
      <c r="E288" s="1">
        <v>8.34</v>
      </c>
      <c r="G288" s="2">
        <v>18414</v>
      </c>
      <c r="H288">
        <v>4.3200000000000002E-2</v>
      </c>
      <c r="I288">
        <v>1E-3</v>
      </c>
    </row>
    <row r="289" spans="1:9" x14ac:dyDescent="0.2">
      <c r="A289" s="2">
        <v>25538</v>
      </c>
      <c r="B289">
        <v>3.35</v>
      </c>
      <c r="D289" s="2">
        <v>33573</v>
      </c>
      <c r="E289" s="1">
        <v>7.84</v>
      </c>
      <c r="G289" s="2">
        <v>18444</v>
      </c>
      <c r="H289">
        <v>-5.96E-2</v>
      </c>
      <c r="I289">
        <v>1E-3</v>
      </c>
    </row>
    <row r="290" spans="1:9" x14ac:dyDescent="0.2">
      <c r="A290" s="2">
        <v>25569</v>
      </c>
      <c r="B290">
        <v>3.35</v>
      </c>
      <c r="D290" s="2">
        <v>33604</v>
      </c>
      <c r="E290" s="1">
        <v>7.45</v>
      </c>
      <c r="G290" s="2">
        <v>18475</v>
      </c>
      <c r="H290">
        <v>1.37E-2</v>
      </c>
      <c r="I290">
        <v>1E-3</v>
      </c>
    </row>
    <row r="291" spans="1:9" x14ac:dyDescent="0.2">
      <c r="A291" s="2">
        <v>25600</v>
      </c>
      <c r="B291">
        <v>3.35</v>
      </c>
      <c r="D291" s="2">
        <v>33635</v>
      </c>
      <c r="E291" s="1">
        <v>7.52</v>
      </c>
      <c r="G291" s="2">
        <v>18506</v>
      </c>
      <c r="H291">
        <v>4.8599999999999997E-2</v>
      </c>
      <c r="I291">
        <v>1E-3</v>
      </c>
    </row>
    <row r="292" spans="1:9" x14ac:dyDescent="0.2">
      <c r="A292" s="2">
        <v>25628</v>
      </c>
      <c r="B292">
        <v>3.35</v>
      </c>
      <c r="D292" s="2">
        <v>33664</v>
      </c>
      <c r="E292" s="1">
        <v>7.51</v>
      </c>
      <c r="G292" s="2">
        <v>18535</v>
      </c>
      <c r="H292">
        <v>4.82E-2</v>
      </c>
      <c r="I292">
        <v>1E-3</v>
      </c>
    </row>
    <row r="293" spans="1:9" x14ac:dyDescent="0.2">
      <c r="A293" s="2">
        <v>25659</v>
      </c>
      <c r="B293">
        <v>3.35</v>
      </c>
      <c r="D293" s="2">
        <v>33695</v>
      </c>
      <c r="E293" s="1">
        <v>7.18</v>
      </c>
      <c r="G293" s="2">
        <v>18567</v>
      </c>
      <c r="H293">
        <v>-1.9E-3</v>
      </c>
      <c r="I293">
        <v>1.1999999999999999E-3</v>
      </c>
    </row>
    <row r="294" spans="1:9" x14ac:dyDescent="0.2">
      <c r="A294" s="2">
        <v>25689</v>
      </c>
      <c r="B294">
        <v>3.35</v>
      </c>
      <c r="D294" s="2">
        <v>33725</v>
      </c>
      <c r="E294" s="1">
        <v>6.56</v>
      </c>
      <c r="G294" s="2">
        <v>18597</v>
      </c>
      <c r="H294">
        <v>2.7400000000000001E-2</v>
      </c>
      <c r="I294">
        <v>1.1000000000000001E-3</v>
      </c>
    </row>
    <row r="295" spans="1:9" x14ac:dyDescent="0.2">
      <c r="A295" s="2">
        <v>25720</v>
      </c>
      <c r="B295">
        <v>3.35</v>
      </c>
      <c r="D295" s="2">
        <v>33756</v>
      </c>
      <c r="E295" s="1">
        <v>6.42</v>
      </c>
      <c r="G295" s="2">
        <v>18627</v>
      </c>
      <c r="H295">
        <v>5.57E-2</v>
      </c>
      <c r="I295">
        <v>1.1000000000000001E-3</v>
      </c>
    </row>
    <row r="296" spans="1:9" x14ac:dyDescent="0.2">
      <c r="A296" s="2">
        <v>25750</v>
      </c>
      <c r="B296">
        <v>3.31</v>
      </c>
      <c r="D296" s="2">
        <v>33786</v>
      </c>
      <c r="E296" s="1">
        <v>5.64</v>
      </c>
      <c r="G296" s="2">
        <v>18659</v>
      </c>
      <c r="H296">
        <v>5.7000000000000002E-2</v>
      </c>
      <c r="I296">
        <v>1.2999999999999999E-3</v>
      </c>
    </row>
    <row r="297" spans="1:9" x14ac:dyDescent="0.2">
      <c r="A297" s="2">
        <v>25781</v>
      </c>
      <c r="B297">
        <v>3.31</v>
      </c>
      <c r="D297" s="2">
        <v>33817</v>
      </c>
      <c r="E297" s="1">
        <v>5.73</v>
      </c>
      <c r="G297" s="2">
        <v>18687</v>
      </c>
      <c r="H297">
        <v>1.4E-2</v>
      </c>
      <c r="I297">
        <v>1E-3</v>
      </c>
    </row>
    <row r="298" spans="1:9" x14ac:dyDescent="0.2">
      <c r="A298" s="2">
        <v>25812</v>
      </c>
      <c r="B298">
        <v>3.31</v>
      </c>
      <c r="D298" s="2">
        <v>33848</v>
      </c>
      <c r="E298" s="1">
        <v>5.94</v>
      </c>
      <c r="G298" s="2">
        <v>18718</v>
      </c>
      <c r="H298">
        <v>-2.1600000000000001E-2</v>
      </c>
      <c r="I298">
        <v>1.1000000000000001E-3</v>
      </c>
    </row>
    <row r="299" spans="1:9" x14ac:dyDescent="0.2">
      <c r="A299" s="2">
        <v>25842</v>
      </c>
      <c r="B299">
        <v>3.31</v>
      </c>
      <c r="D299" s="2">
        <v>33878</v>
      </c>
      <c r="E299" s="1">
        <v>5.86</v>
      </c>
      <c r="G299" s="2">
        <v>18748</v>
      </c>
      <c r="H299">
        <v>4.8599999999999997E-2</v>
      </c>
      <c r="I299">
        <v>1.2999999999999999E-3</v>
      </c>
    </row>
    <row r="300" spans="1:9" x14ac:dyDescent="0.2">
      <c r="A300" s="2">
        <v>25873</v>
      </c>
      <c r="B300">
        <v>3.31</v>
      </c>
      <c r="D300" s="2">
        <v>33909</v>
      </c>
      <c r="E300" s="1">
        <v>5.88</v>
      </c>
      <c r="G300" s="2">
        <v>18779</v>
      </c>
      <c r="H300">
        <v>-2.3599999999999999E-2</v>
      </c>
      <c r="I300">
        <v>1.1999999999999999E-3</v>
      </c>
    </row>
    <row r="301" spans="1:9" x14ac:dyDescent="0.2">
      <c r="A301" s="2">
        <v>25903</v>
      </c>
      <c r="B301">
        <v>3.56</v>
      </c>
      <c r="D301" s="2">
        <v>33939</v>
      </c>
      <c r="E301" s="1">
        <v>5.9</v>
      </c>
      <c r="G301" s="2">
        <v>18808</v>
      </c>
      <c r="H301">
        <v>-2.63E-2</v>
      </c>
      <c r="I301">
        <v>1.1999999999999999E-3</v>
      </c>
    </row>
    <row r="302" spans="1:9" x14ac:dyDescent="0.2">
      <c r="A302" s="2">
        <v>25934</v>
      </c>
      <c r="B302">
        <v>3.56</v>
      </c>
      <c r="D302" s="2">
        <v>33970</v>
      </c>
      <c r="E302" s="1">
        <v>5.88</v>
      </c>
      <c r="G302" s="2">
        <v>18840</v>
      </c>
      <c r="H302">
        <v>6.9500000000000006E-2</v>
      </c>
      <c r="I302">
        <v>1.2999999999999999E-3</v>
      </c>
    </row>
    <row r="303" spans="1:9" x14ac:dyDescent="0.2">
      <c r="A303" s="2">
        <v>25965</v>
      </c>
      <c r="B303">
        <v>3.56</v>
      </c>
      <c r="D303" s="2">
        <v>34001</v>
      </c>
      <c r="E303" s="1">
        <v>5.82</v>
      </c>
      <c r="G303" s="2">
        <v>18871</v>
      </c>
      <c r="H303">
        <v>4.2900000000000001E-2</v>
      </c>
      <c r="I303">
        <v>1.2999999999999999E-3</v>
      </c>
    </row>
    <row r="304" spans="1:9" x14ac:dyDescent="0.2">
      <c r="A304" s="2">
        <v>25993</v>
      </c>
      <c r="B304">
        <v>3.56</v>
      </c>
      <c r="D304" s="2">
        <v>34029</v>
      </c>
      <c r="E304" s="1">
        <v>5.38</v>
      </c>
      <c r="G304" s="2">
        <v>18899</v>
      </c>
      <c r="H304">
        <v>7.0000000000000001E-3</v>
      </c>
      <c r="I304">
        <v>1.1999999999999999E-3</v>
      </c>
    </row>
    <row r="305" spans="1:9" x14ac:dyDescent="0.2">
      <c r="A305" s="2">
        <v>26024</v>
      </c>
      <c r="B305">
        <v>3.56</v>
      </c>
      <c r="D305" s="2">
        <v>34060</v>
      </c>
      <c r="E305" s="1">
        <v>5.27</v>
      </c>
      <c r="G305" s="2">
        <v>18932</v>
      </c>
      <c r="H305">
        <v>-2.53E-2</v>
      </c>
      <c r="I305">
        <v>1.6000000000000001E-3</v>
      </c>
    </row>
    <row r="306" spans="1:9" x14ac:dyDescent="0.2">
      <c r="A306" s="2">
        <v>26054</v>
      </c>
      <c r="B306">
        <v>3.56</v>
      </c>
      <c r="D306" s="2">
        <v>34090</v>
      </c>
      <c r="E306" s="1">
        <v>5.15</v>
      </c>
      <c r="G306" s="2">
        <v>18962</v>
      </c>
      <c r="H306">
        <v>5.7999999999999996E-3</v>
      </c>
      <c r="I306">
        <v>1.1000000000000001E-3</v>
      </c>
    </row>
    <row r="307" spans="1:9" x14ac:dyDescent="0.2">
      <c r="A307" s="2">
        <v>26085</v>
      </c>
      <c r="B307">
        <v>3.56</v>
      </c>
      <c r="D307" s="2">
        <v>34121</v>
      </c>
      <c r="E307" s="1">
        <v>5.22</v>
      </c>
      <c r="G307" s="2">
        <v>18993</v>
      </c>
      <c r="H307">
        <v>3.3300000000000003E-2</v>
      </c>
      <c r="I307">
        <v>1.1999999999999999E-3</v>
      </c>
    </row>
    <row r="308" spans="1:9" x14ac:dyDescent="0.2">
      <c r="A308" s="2">
        <v>26115</v>
      </c>
      <c r="B308">
        <v>3.56</v>
      </c>
      <c r="D308" s="2">
        <v>34151</v>
      </c>
      <c r="E308" s="1">
        <v>5.05</v>
      </c>
      <c r="G308" s="2">
        <v>19024</v>
      </c>
      <c r="H308">
        <v>1.4500000000000001E-2</v>
      </c>
      <c r="I308">
        <v>1.5E-3</v>
      </c>
    </row>
    <row r="309" spans="1:9" x14ac:dyDescent="0.2">
      <c r="A309" s="2">
        <v>26146</v>
      </c>
      <c r="B309">
        <v>3.56</v>
      </c>
      <c r="D309" s="2">
        <v>34182</v>
      </c>
      <c r="E309" s="1">
        <v>4.78</v>
      </c>
      <c r="G309" s="2">
        <v>19053</v>
      </c>
      <c r="H309">
        <v>-2.64E-2</v>
      </c>
      <c r="I309">
        <v>1.1999999999999999E-3</v>
      </c>
    </row>
    <row r="310" spans="1:9" x14ac:dyDescent="0.2">
      <c r="A310" s="2">
        <v>26177</v>
      </c>
      <c r="B310">
        <v>3.56</v>
      </c>
      <c r="D310" s="2">
        <v>34213</v>
      </c>
      <c r="E310" s="1">
        <v>4.8600000000000003</v>
      </c>
      <c r="G310" s="2">
        <v>19084</v>
      </c>
      <c r="H310">
        <v>4.4400000000000002E-2</v>
      </c>
      <c r="I310">
        <v>1.1000000000000001E-3</v>
      </c>
    </row>
    <row r="311" spans="1:9" x14ac:dyDescent="0.2">
      <c r="A311" s="2">
        <v>26207</v>
      </c>
      <c r="B311">
        <v>3.56</v>
      </c>
      <c r="D311" s="2">
        <v>34243</v>
      </c>
      <c r="E311" s="1">
        <v>4.8099999999999996</v>
      </c>
      <c r="G311" s="2">
        <v>19114</v>
      </c>
      <c r="H311">
        <v>-4.9700000000000001E-2</v>
      </c>
      <c r="I311">
        <v>1.1999999999999999E-3</v>
      </c>
    </row>
    <row r="312" spans="1:9" x14ac:dyDescent="0.2">
      <c r="A312" s="2">
        <v>26238</v>
      </c>
      <c r="B312">
        <v>3.56</v>
      </c>
      <c r="D312" s="2">
        <v>34274</v>
      </c>
      <c r="E312" s="1">
        <v>4.78</v>
      </c>
      <c r="G312" s="2">
        <v>19143</v>
      </c>
      <c r="H312">
        <v>3.2000000000000001E-2</v>
      </c>
      <c r="I312">
        <v>1.2999999999999999E-3</v>
      </c>
    </row>
    <row r="313" spans="1:9" x14ac:dyDescent="0.2">
      <c r="A313" s="2">
        <v>26268</v>
      </c>
      <c r="B313">
        <v>3.56</v>
      </c>
      <c r="D313" s="2">
        <v>34304</v>
      </c>
      <c r="E313" s="1">
        <v>4.82</v>
      </c>
      <c r="G313" s="2">
        <v>19175</v>
      </c>
      <c r="H313">
        <v>3.8399999999999997E-2</v>
      </c>
      <c r="I313">
        <v>1.5E-3</v>
      </c>
    </row>
    <row r="314" spans="1:9" x14ac:dyDescent="0.2">
      <c r="A314" s="2">
        <v>26299</v>
      </c>
      <c r="B314">
        <v>3.56</v>
      </c>
      <c r="D314" s="2">
        <v>34335</v>
      </c>
      <c r="E314" s="1">
        <v>4.8099999999999996</v>
      </c>
      <c r="G314" s="2">
        <v>19206</v>
      </c>
      <c r="H314">
        <v>9.1000000000000004E-3</v>
      </c>
      <c r="I314">
        <v>1.5E-3</v>
      </c>
    </row>
    <row r="315" spans="1:9" x14ac:dyDescent="0.2">
      <c r="A315" s="2">
        <v>26330</v>
      </c>
      <c r="B315">
        <v>3.56</v>
      </c>
      <c r="D315" s="2">
        <v>34366</v>
      </c>
      <c r="E315" s="1">
        <v>4.8</v>
      </c>
      <c r="G315" s="2">
        <v>19235</v>
      </c>
      <c r="H315">
        <v>-7.7000000000000002E-3</v>
      </c>
      <c r="I315">
        <v>1.5E-3</v>
      </c>
    </row>
    <row r="316" spans="1:9" x14ac:dyDescent="0.2">
      <c r="A316" s="2">
        <v>26359</v>
      </c>
      <c r="B316">
        <v>3.56</v>
      </c>
      <c r="D316" s="2">
        <v>34394</v>
      </c>
      <c r="E316" s="1">
        <v>4.88</v>
      </c>
      <c r="G316" s="2">
        <v>19267</v>
      </c>
      <c r="H316">
        <v>-2.0400000000000001E-2</v>
      </c>
      <c r="I316">
        <v>1.6000000000000001E-3</v>
      </c>
    </row>
    <row r="317" spans="1:9" x14ac:dyDescent="0.2">
      <c r="A317" s="2">
        <v>26390</v>
      </c>
      <c r="B317">
        <v>3.56</v>
      </c>
      <c r="D317" s="2">
        <v>34425</v>
      </c>
      <c r="E317" s="1">
        <v>4.92</v>
      </c>
      <c r="G317" s="2">
        <v>19298</v>
      </c>
      <c r="H317">
        <v>-6.6E-3</v>
      </c>
      <c r="I317">
        <v>1.4E-3</v>
      </c>
    </row>
    <row r="318" spans="1:9" x14ac:dyDescent="0.2">
      <c r="A318" s="2">
        <v>26420</v>
      </c>
      <c r="B318">
        <v>3.56</v>
      </c>
      <c r="D318" s="2">
        <v>34455</v>
      </c>
      <c r="E318" s="1">
        <v>4.8499999999999996</v>
      </c>
      <c r="G318" s="2">
        <v>19326</v>
      </c>
      <c r="H318">
        <v>5.96E-2</v>
      </c>
      <c r="I318">
        <v>1E-3</v>
      </c>
    </row>
    <row r="319" spans="1:9" x14ac:dyDescent="0.2">
      <c r="A319" s="2">
        <v>26451</v>
      </c>
      <c r="B319">
        <v>3.56</v>
      </c>
      <c r="D319" s="2">
        <v>34486</v>
      </c>
      <c r="E319" s="1">
        <v>5.12</v>
      </c>
      <c r="G319" s="2">
        <v>19359</v>
      </c>
      <c r="H319">
        <v>2.93E-2</v>
      </c>
      <c r="I319">
        <v>1.6000000000000001E-3</v>
      </c>
    </row>
    <row r="320" spans="1:9" x14ac:dyDescent="0.2">
      <c r="A320" s="2">
        <v>26481</v>
      </c>
      <c r="B320">
        <v>3.56</v>
      </c>
      <c r="D320" s="2">
        <v>34516</v>
      </c>
      <c r="E320" s="1">
        <v>5.41</v>
      </c>
      <c r="G320" s="2">
        <v>19389</v>
      </c>
      <c r="H320">
        <v>-3.3999999999999998E-3</v>
      </c>
      <c r="I320">
        <v>1.6000000000000001E-3</v>
      </c>
    </row>
    <row r="321" spans="1:9" x14ac:dyDescent="0.2">
      <c r="A321" s="2">
        <v>26512</v>
      </c>
      <c r="B321">
        <v>3.56</v>
      </c>
      <c r="D321" s="2">
        <v>34547</v>
      </c>
      <c r="E321" s="1">
        <v>5.6</v>
      </c>
      <c r="G321" s="2">
        <v>19417</v>
      </c>
      <c r="H321">
        <v>-2.7000000000000001E-3</v>
      </c>
      <c r="I321">
        <v>1.4E-3</v>
      </c>
    </row>
    <row r="322" spans="1:9" x14ac:dyDescent="0.2">
      <c r="A322" s="2">
        <v>26543</v>
      </c>
      <c r="B322">
        <v>3.56</v>
      </c>
      <c r="D322" s="2">
        <v>34578</v>
      </c>
      <c r="E322" s="1">
        <v>5.93</v>
      </c>
      <c r="G322" s="2">
        <v>19449</v>
      </c>
      <c r="H322">
        <v>-1.44E-2</v>
      </c>
      <c r="I322">
        <v>1.8E-3</v>
      </c>
    </row>
    <row r="323" spans="1:9" x14ac:dyDescent="0.2">
      <c r="A323" s="2">
        <v>26573</v>
      </c>
      <c r="B323">
        <v>3.56</v>
      </c>
      <c r="D323" s="2">
        <v>34608</v>
      </c>
      <c r="E323" s="1">
        <v>6.45</v>
      </c>
      <c r="G323" s="2">
        <v>19479</v>
      </c>
      <c r="H323">
        <v>-2.8299999999999999E-2</v>
      </c>
      <c r="I323">
        <v>1.6000000000000001E-3</v>
      </c>
    </row>
    <row r="324" spans="1:9" x14ac:dyDescent="0.2">
      <c r="A324" s="2">
        <v>26604</v>
      </c>
      <c r="B324">
        <v>3.56</v>
      </c>
      <c r="D324" s="2">
        <v>34639</v>
      </c>
      <c r="E324" s="1">
        <v>7.16</v>
      </c>
      <c r="G324" s="2">
        <v>19508</v>
      </c>
      <c r="H324">
        <v>5.1000000000000004E-3</v>
      </c>
      <c r="I324">
        <v>1.6999999999999999E-3</v>
      </c>
    </row>
    <row r="325" spans="1:9" x14ac:dyDescent="0.2">
      <c r="A325" s="2">
        <v>26634</v>
      </c>
      <c r="B325">
        <v>3.56</v>
      </c>
      <c r="D325" s="2">
        <v>34669</v>
      </c>
      <c r="E325" s="1">
        <v>7.95</v>
      </c>
      <c r="G325" s="2">
        <v>19540</v>
      </c>
      <c r="H325">
        <v>-1.89E-2</v>
      </c>
      <c r="I325">
        <v>1.8E-3</v>
      </c>
    </row>
    <row r="326" spans="1:9" x14ac:dyDescent="0.2">
      <c r="A326" s="2">
        <v>26665</v>
      </c>
      <c r="B326">
        <v>3.56</v>
      </c>
      <c r="D326" s="2">
        <v>34700</v>
      </c>
      <c r="E326" s="1">
        <v>8.3699999999999992</v>
      </c>
      <c r="G326" s="2">
        <v>19571</v>
      </c>
      <c r="H326">
        <v>2.4E-2</v>
      </c>
      <c r="I326">
        <v>1.5E-3</v>
      </c>
    </row>
    <row r="327" spans="1:9" x14ac:dyDescent="0.2">
      <c r="A327" s="2">
        <v>26696</v>
      </c>
      <c r="B327">
        <v>3.56</v>
      </c>
      <c r="D327" s="2">
        <v>34731</v>
      </c>
      <c r="E327" s="1">
        <v>8.08</v>
      </c>
      <c r="G327" s="2">
        <v>19602</v>
      </c>
      <c r="H327">
        <v>-4.5600000000000002E-2</v>
      </c>
      <c r="I327">
        <v>1.6999999999999999E-3</v>
      </c>
    </row>
    <row r="328" spans="1:9" x14ac:dyDescent="0.2">
      <c r="A328" s="2">
        <v>26724</v>
      </c>
      <c r="B328">
        <v>3.56</v>
      </c>
      <c r="D328" s="2">
        <v>34759</v>
      </c>
      <c r="E328" s="1">
        <v>8.1300000000000008</v>
      </c>
      <c r="G328" s="2">
        <v>19632</v>
      </c>
      <c r="H328">
        <v>2.0999999999999999E-3</v>
      </c>
      <c r="I328">
        <v>1.6000000000000001E-3</v>
      </c>
    </row>
    <row r="329" spans="1:9" x14ac:dyDescent="0.2">
      <c r="A329" s="2">
        <v>26755</v>
      </c>
      <c r="B329">
        <v>3.56</v>
      </c>
      <c r="D329" s="2">
        <v>34790</v>
      </c>
      <c r="E329" s="1">
        <v>7.89</v>
      </c>
      <c r="G329" s="2">
        <v>19662</v>
      </c>
      <c r="H329">
        <v>4.5999999999999999E-2</v>
      </c>
      <c r="I329">
        <v>1.2999999999999999E-3</v>
      </c>
    </row>
    <row r="330" spans="1:9" x14ac:dyDescent="0.2">
      <c r="A330" s="2">
        <v>26785</v>
      </c>
      <c r="B330">
        <v>3.56</v>
      </c>
      <c r="D330" s="2">
        <v>34820</v>
      </c>
      <c r="E330" s="1">
        <v>7.7</v>
      </c>
      <c r="G330" s="2">
        <v>19693</v>
      </c>
      <c r="H330">
        <v>2.8400000000000002E-2</v>
      </c>
      <c r="I330">
        <v>8.0000000000000004E-4</v>
      </c>
    </row>
    <row r="331" spans="1:9" x14ac:dyDescent="0.2">
      <c r="A331" s="2">
        <v>26816</v>
      </c>
      <c r="B331">
        <v>3.56</v>
      </c>
      <c r="D331" s="2">
        <v>34851</v>
      </c>
      <c r="E331" s="1">
        <v>7.55</v>
      </c>
      <c r="G331" s="2">
        <v>19724</v>
      </c>
      <c r="H331">
        <v>2.0000000000000001E-4</v>
      </c>
      <c r="I331">
        <v>1.2999999999999999E-3</v>
      </c>
    </row>
    <row r="332" spans="1:9" x14ac:dyDescent="0.2">
      <c r="A332" s="2">
        <v>26846</v>
      </c>
      <c r="B332">
        <v>3.56</v>
      </c>
      <c r="D332" s="2">
        <v>34881</v>
      </c>
      <c r="E332" s="1">
        <v>7.56</v>
      </c>
      <c r="G332" s="2">
        <v>19753</v>
      </c>
      <c r="H332">
        <v>5.1299999999999998E-2</v>
      </c>
      <c r="I332">
        <v>1.1000000000000001E-3</v>
      </c>
    </row>
    <row r="333" spans="1:9" x14ac:dyDescent="0.2">
      <c r="A333" s="2">
        <v>26877</v>
      </c>
      <c r="B333">
        <v>4.3099999999999996</v>
      </c>
      <c r="D333" s="2">
        <v>34912</v>
      </c>
      <c r="E333" s="1">
        <v>7.58</v>
      </c>
      <c r="G333" s="2">
        <v>19781</v>
      </c>
      <c r="H333">
        <v>1.67E-2</v>
      </c>
      <c r="I333">
        <v>6.9999999999999999E-4</v>
      </c>
    </row>
    <row r="334" spans="1:9" x14ac:dyDescent="0.2">
      <c r="A334" s="2">
        <v>26908</v>
      </c>
      <c r="B334">
        <v>4.3099999999999996</v>
      </c>
      <c r="D334" s="2">
        <v>34943</v>
      </c>
      <c r="E334" s="1">
        <v>7.49</v>
      </c>
      <c r="G334" s="2">
        <v>19814</v>
      </c>
      <c r="H334">
        <v>3.6600000000000001E-2</v>
      </c>
      <c r="I334">
        <v>8.0000000000000004E-4</v>
      </c>
    </row>
    <row r="335" spans="1:9" x14ac:dyDescent="0.2">
      <c r="A335" s="2">
        <v>26938</v>
      </c>
      <c r="B335">
        <v>4.3099999999999996</v>
      </c>
      <c r="D335" s="2">
        <v>34973</v>
      </c>
      <c r="E335" s="1">
        <v>7.47</v>
      </c>
      <c r="G335" s="2">
        <v>19844</v>
      </c>
      <c r="H335">
        <v>4.2700000000000002E-2</v>
      </c>
      <c r="I335">
        <v>8.9999999999999998E-4</v>
      </c>
    </row>
    <row r="336" spans="1:9" x14ac:dyDescent="0.2">
      <c r="A336" s="2">
        <v>26969</v>
      </c>
      <c r="B336">
        <v>4.3099999999999996</v>
      </c>
      <c r="D336" s="2">
        <v>35004</v>
      </c>
      <c r="E336" s="1">
        <v>7.46</v>
      </c>
      <c r="G336" s="2">
        <v>19872</v>
      </c>
      <c r="H336">
        <v>3.1E-2</v>
      </c>
      <c r="I336">
        <v>5.0000000000000001E-4</v>
      </c>
    </row>
    <row r="337" spans="1:9" x14ac:dyDescent="0.2">
      <c r="A337" s="2">
        <v>26999</v>
      </c>
      <c r="B337">
        <v>4.3099999999999996</v>
      </c>
      <c r="D337" s="2">
        <v>35034</v>
      </c>
      <c r="E337" s="1">
        <v>7.43</v>
      </c>
      <c r="G337" s="2">
        <v>19905</v>
      </c>
      <c r="H337">
        <v>1.0800000000000001E-2</v>
      </c>
      <c r="I337">
        <v>5.9999999999999995E-4</v>
      </c>
    </row>
    <row r="338" spans="1:9" x14ac:dyDescent="0.2">
      <c r="A338" s="2">
        <v>27030</v>
      </c>
      <c r="B338">
        <v>10.11</v>
      </c>
      <c r="D338" s="2">
        <v>35065</v>
      </c>
      <c r="E338" s="1">
        <v>7.46</v>
      </c>
      <c r="G338" s="2">
        <v>19935</v>
      </c>
      <c r="H338">
        <v>0.05</v>
      </c>
      <c r="I338">
        <v>5.0000000000000001E-4</v>
      </c>
    </row>
    <row r="339" spans="1:9" x14ac:dyDescent="0.2">
      <c r="A339" s="2">
        <v>27061</v>
      </c>
      <c r="B339">
        <v>10.11</v>
      </c>
      <c r="D339" s="2">
        <v>35096</v>
      </c>
      <c r="E339" s="1">
        <v>7.47</v>
      </c>
      <c r="G339" s="2">
        <v>19967</v>
      </c>
      <c r="H339">
        <v>-2.35E-2</v>
      </c>
      <c r="I339">
        <v>5.0000000000000001E-4</v>
      </c>
    </row>
    <row r="340" spans="1:9" x14ac:dyDescent="0.2">
      <c r="A340" s="2">
        <v>27089</v>
      </c>
      <c r="B340">
        <v>10.11</v>
      </c>
      <c r="D340" s="2">
        <v>35125</v>
      </c>
      <c r="E340" s="1">
        <v>7.53</v>
      </c>
      <c r="G340" s="2">
        <v>19997</v>
      </c>
      <c r="H340">
        <v>6.4000000000000001E-2</v>
      </c>
      <c r="I340">
        <v>8.9999999999999998E-4</v>
      </c>
    </row>
    <row r="341" spans="1:9" x14ac:dyDescent="0.2">
      <c r="A341" s="2">
        <v>27120</v>
      </c>
      <c r="B341">
        <v>10.11</v>
      </c>
      <c r="D341" s="2">
        <v>35156</v>
      </c>
      <c r="E341" s="1">
        <v>7.57</v>
      </c>
      <c r="G341" s="2">
        <v>20026</v>
      </c>
      <c r="H341">
        <v>-1.67E-2</v>
      </c>
      <c r="I341">
        <v>6.9999999999999999E-4</v>
      </c>
    </row>
    <row r="342" spans="1:9" x14ac:dyDescent="0.2">
      <c r="A342" s="2">
        <v>27150</v>
      </c>
      <c r="B342">
        <v>10.11</v>
      </c>
      <c r="D342" s="2">
        <v>35186</v>
      </c>
      <c r="E342" s="1">
        <v>7.55</v>
      </c>
      <c r="G342" s="2">
        <v>20058</v>
      </c>
      <c r="H342">
        <v>9.4100000000000003E-2</v>
      </c>
      <c r="I342">
        <v>5.9999999999999995E-4</v>
      </c>
    </row>
    <row r="343" spans="1:9" x14ac:dyDescent="0.2">
      <c r="A343" s="2">
        <v>27181</v>
      </c>
      <c r="B343">
        <v>10.11</v>
      </c>
      <c r="D343" s="2">
        <v>35217</v>
      </c>
      <c r="E343" s="1">
        <v>7.57</v>
      </c>
      <c r="G343" s="2">
        <v>20089</v>
      </c>
      <c r="H343">
        <v>5.4899999999999997E-2</v>
      </c>
      <c r="I343">
        <v>8.0000000000000004E-4</v>
      </c>
    </row>
    <row r="344" spans="1:9" x14ac:dyDescent="0.2">
      <c r="A344" s="2">
        <v>27211</v>
      </c>
      <c r="B344">
        <v>10.11</v>
      </c>
      <c r="D344" s="2">
        <v>35247</v>
      </c>
      <c r="E344" s="1">
        <v>7.56</v>
      </c>
      <c r="G344" s="2">
        <v>20120</v>
      </c>
      <c r="H344">
        <v>6.0000000000000001E-3</v>
      </c>
      <c r="I344">
        <v>8.0000000000000004E-4</v>
      </c>
    </row>
    <row r="345" spans="1:9" x14ac:dyDescent="0.2">
      <c r="A345" s="2">
        <v>27242</v>
      </c>
      <c r="B345">
        <v>10.11</v>
      </c>
      <c r="D345" s="2">
        <v>35278</v>
      </c>
      <c r="E345" s="1">
        <v>6.92</v>
      </c>
      <c r="G345" s="2">
        <v>20148</v>
      </c>
      <c r="H345">
        <v>3.0200000000000001E-2</v>
      </c>
      <c r="I345">
        <v>8.9999999999999998E-4</v>
      </c>
    </row>
    <row r="346" spans="1:9" x14ac:dyDescent="0.2">
      <c r="A346" s="2">
        <v>27273</v>
      </c>
      <c r="B346">
        <v>10.11</v>
      </c>
      <c r="D346" s="2">
        <v>35309</v>
      </c>
      <c r="E346" s="1">
        <v>6.91</v>
      </c>
      <c r="G346" s="2">
        <v>20179</v>
      </c>
      <c r="H346">
        <v>-1.5E-3</v>
      </c>
      <c r="I346">
        <v>1E-3</v>
      </c>
    </row>
    <row r="347" spans="1:9" x14ac:dyDescent="0.2">
      <c r="A347" s="2">
        <v>27303</v>
      </c>
      <c r="B347">
        <v>11.16</v>
      </c>
      <c r="D347" s="2">
        <v>35339</v>
      </c>
      <c r="E347" s="1">
        <v>6.7</v>
      </c>
      <c r="G347" s="2">
        <v>20208</v>
      </c>
      <c r="H347">
        <v>3.1099999999999999E-2</v>
      </c>
      <c r="I347">
        <v>1E-3</v>
      </c>
    </row>
    <row r="348" spans="1:9" x14ac:dyDescent="0.2">
      <c r="A348" s="2">
        <v>27334</v>
      </c>
      <c r="B348">
        <v>11.16</v>
      </c>
      <c r="D348" s="2">
        <v>35370</v>
      </c>
      <c r="E348" s="1">
        <v>6.45</v>
      </c>
      <c r="G348" s="2">
        <v>20240</v>
      </c>
      <c r="H348">
        <v>9.4000000000000004E-3</v>
      </c>
      <c r="I348">
        <v>1.4E-3</v>
      </c>
    </row>
    <row r="349" spans="1:9" x14ac:dyDescent="0.2">
      <c r="A349" s="2">
        <v>27364</v>
      </c>
      <c r="B349">
        <v>11.16</v>
      </c>
      <c r="D349" s="2">
        <v>35400</v>
      </c>
      <c r="E349" s="1">
        <v>6.13</v>
      </c>
      <c r="G349" s="2">
        <v>20270</v>
      </c>
      <c r="H349">
        <v>6.5500000000000003E-2</v>
      </c>
      <c r="I349">
        <v>1E-3</v>
      </c>
    </row>
    <row r="350" spans="1:9" x14ac:dyDescent="0.2">
      <c r="A350" s="2">
        <v>27395</v>
      </c>
      <c r="B350">
        <v>11.16</v>
      </c>
      <c r="D350" s="2">
        <v>35431</v>
      </c>
      <c r="E350" s="1">
        <v>5.82</v>
      </c>
      <c r="G350" s="2">
        <v>20299</v>
      </c>
      <c r="H350">
        <v>1.89E-2</v>
      </c>
      <c r="I350">
        <v>1E-3</v>
      </c>
    </row>
    <row r="351" spans="1:9" x14ac:dyDescent="0.2">
      <c r="A351" s="2">
        <v>27426</v>
      </c>
      <c r="B351">
        <v>11.16</v>
      </c>
      <c r="D351" s="2">
        <v>35462</v>
      </c>
      <c r="E351" s="1">
        <v>5.91</v>
      </c>
      <c r="G351" s="2">
        <v>20332</v>
      </c>
      <c r="H351">
        <v>2.2000000000000001E-3</v>
      </c>
      <c r="I351">
        <v>1.6000000000000001E-3</v>
      </c>
    </row>
    <row r="352" spans="1:9" x14ac:dyDescent="0.2">
      <c r="A352" s="2">
        <v>27454</v>
      </c>
      <c r="B352">
        <v>11.16</v>
      </c>
      <c r="D352" s="2">
        <v>35490</v>
      </c>
      <c r="E352" s="1">
        <v>6.05</v>
      </c>
      <c r="G352" s="2">
        <v>20362</v>
      </c>
      <c r="H352">
        <v>-3.7000000000000002E-3</v>
      </c>
      <c r="I352">
        <v>1.6000000000000001E-3</v>
      </c>
    </row>
    <row r="353" spans="1:9" x14ac:dyDescent="0.2">
      <c r="A353" s="2">
        <v>27485</v>
      </c>
      <c r="B353">
        <v>11.16</v>
      </c>
      <c r="D353" s="2">
        <v>35521</v>
      </c>
      <c r="E353" s="1">
        <v>6.04</v>
      </c>
      <c r="G353" s="2">
        <v>20393</v>
      </c>
      <c r="H353">
        <v>-2.6700000000000002E-2</v>
      </c>
      <c r="I353">
        <v>1.8E-3</v>
      </c>
    </row>
    <row r="354" spans="1:9" x14ac:dyDescent="0.2">
      <c r="A354" s="2">
        <v>27515</v>
      </c>
      <c r="B354">
        <v>11.16</v>
      </c>
      <c r="D354" s="2">
        <v>35551</v>
      </c>
      <c r="E354" s="1">
        <v>5.87</v>
      </c>
      <c r="G354" s="2">
        <v>20423</v>
      </c>
      <c r="H354">
        <v>7.0400000000000004E-2</v>
      </c>
      <c r="I354">
        <v>1.6999999999999999E-3</v>
      </c>
    </row>
    <row r="355" spans="1:9" x14ac:dyDescent="0.2">
      <c r="A355" s="2">
        <v>27546</v>
      </c>
      <c r="B355">
        <v>11.16</v>
      </c>
      <c r="D355" s="2">
        <v>35582</v>
      </c>
      <c r="E355" s="1">
        <v>5.35</v>
      </c>
      <c r="G355" s="2">
        <v>20453</v>
      </c>
      <c r="H355">
        <v>1.49E-2</v>
      </c>
      <c r="I355">
        <v>1.8E-3</v>
      </c>
    </row>
    <row r="356" spans="1:9" x14ac:dyDescent="0.2">
      <c r="A356" s="2">
        <v>27576</v>
      </c>
      <c r="B356">
        <v>11.16</v>
      </c>
      <c r="D356" s="2">
        <v>35612</v>
      </c>
      <c r="E356" s="1">
        <v>5.19</v>
      </c>
      <c r="G356" s="2">
        <v>20485</v>
      </c>
      <c r="H356">
        <v>-3.0300000000000001E-2</v>
      </c>
      <c r="I356">
        <v>2.2000000000000001E-3</v>
      </c>
    </row>
    <row r="357" spans="1:9" x14ac:dyDescent="0.2">
      <c r="A357" s="2">
        <v>27607</v>
      </c>
      <c r="B357">
        <v>11.16</v>
      </c>
      <c r="D357" s="2">
        <v>35643</v>
      </c>
      <c r="E357" s="1">
        <v>4.9000000000000004</v>
      </c>
      <c r="G357" s="2">
        <v>20514</v>
      </c>
      <c r="H357">
        <v>3.78E-2</v>
      </c>
      <c r="I357">
        <v>1.9E-3</v>
      </c>
    </row>
    <row r="358" spans="1:9" x14ac:dyDescent="0.2">
      <c r="A358" s="2">
        <v>27638</v>
      </c>
      <c r="B358">
        <v>11.16</v>
      </c>
      <c r="D358" s="2">
        <v>35674</v>
      </c>
      <c r="E358" s="1">
        <v>4.7699999999999996</v>
      </c>
      <c r="G358" s="2">
        <v>20543</v>
      </c>
      <c r="H358">
        <v>6.6400000000000001E-2</v>
      </c>
      <c r="I358">
        <v>1.5E-3</v>
      </c>
    </row>
    <row r="359" spans="1:9" x14ac:dyDescent="0.2">
      <c r="A359" s="2">
        <v>27668</v>
      </c>
      <c r="B359">
        <v>11.16</v>
      </c>
      <c r="D359" s="2">
        <v>35704</v>
      </c>
      <c r="E359" s="1">
        <v>4.83</v>
      </c>
      <c r="G359" s="2">
        <v>20575</v>
      </c>
      <c r="H359">
        <v>2.8E-3</v>
      </c>
      <c r="I359">
        <v>1.9E-3</v>
      </c>
    </row>
    <row r="360" spans="1:9" x14ac:dyDescent="0.2">
      <c r="A360" s="2">
        <v>27699</v>
      </c>
      <c r="B360">
        <v>11.16</v>
      </c>
      <c r="D360" s="2">
        <v>35735</v>
      </c>
      <c r="E360" s="1">
        <v>4.95</v>
      </c>
      <c r="G360" s="2">
        <v>20606</v>
      </c>
      <c r="H360">
        <v>-5.2200000000000003E-2</v>
      </c>
      <c r="I360">
        <v>2.3E-3</v>
      </c>
    </row>
    <row r="361" spans="1:9" x14ac:dyDescent="0.2">
      <c r="A361" s="2">
        <v>27729</v>
      </c>
      <c r="B361">
        <v>11.16</v>
      </c>
      <c r="D361" s="2">
        <v>35765</v>
      </c>
      <c r="E361" s="1">
        <v>5.07</v>
      </c>
      <c r="G361" s="2">
        <v>20635</v>
      </c>
      <c r="H361">
        <v>3.4700000000000002E-2</v>
      </c>
      <c r="I361">
        <v>2E-3</v>
      </c>
    </row>
    <row r="362" spans="1:9" x14ac:dyDescent="0.2">
      <c r="A362" s="2">
        <v>27760</v>
      </c>
      <c r="B362">
        <v>11.16</v>
      </c>
      <c r="D362" s="2">
        <v>35796</v>
      </c>
      <c r="E362" s="1">
        <v>4.99</v>
      </c>
      <c r="G362" s="2">
        <v>20667</v>
      </c>
      <c r="H362">
        <v>4.8399999999999999E-2</v>
      </c>
      <c r="I362">
        <v>2.2000000000000001E-3</v>
      </c>
    </row>
    <row r="363" spans="1:9" x14ac:dyDescent="0.2">
      <c r="A363" s="2">
        <v>27791</v>
      </c>
      <c r="B363">
        <v>12.03</v>
      </c>
      <c r="D363" s="2">
        <v>35827</v>
      </c>
      <c r="E363" s="1">
        <v>4.97</v>
      </c>
      <c r="G363" s="2">
        <v>20698</v>
      </c>
      <c r="H363">
        <v>-3.1899999999999998E-2</v>
      </c>
      <c r="I363">
        <v>1.6999999999999999E-3</v>
      </c>
    </row>
    <row r="364" spans="1:9" x14ac:dyDescent="0.2">
      <c r="A364" s="2">
        <v>27820</v>
      </c>
      <c r="B364">
        <v>12.1</v>
      </c>
      <c r="D364" s="2">
        <v>35855</v>
      </c>
      <c r="E364" s="1">
        <v>4.96</v>
      </c>
      <c r="G364" s="2">
        <v>20726</v>
      </c>
      <c r="H364">
        <v>-5.1400000000000001E-2</v>
      </c>
      <c r="I364">
        <v>1.8E-3</v>
      </c>
    </row>
    <row r="365" spans="1:9" x14ac:dyDescent="0.2">
      <c r="A365" s="2">
        <v>27851</v>
      </c>
      <c r="B365">
        <v>12.17</v>
      </c>
      <c r="D365" s="2">
        <v>35886</v>
      </c>
      <c r="E365" s="1">
        <v>4.92</v>
      </c>
      <c r="G365" s="2">
        <v>20759</v>
      </c>
      <c r="H365">
        <v>5.1999999999999998E-3</v>
      </c>
      <c r="I365">
        <v>2.5000000000000001E-3</v>
      </c>
    </row>
    <row r="366" spans="1:9" x14ac:dyDescent="0.2">
      <c r="A366" s="2">
        <v>27881</v>
      </c>
      <c r="B366">
        <v>12.17</v>
      </c>
      <c r="D366" s="2">
        <v>35916</v>
      </c>
      <c r="E366" s="1">
        <v>4.96</v>
      </c>
      <c r="G366" s="2">
        <v>20789</v>
      </c>
      <c r="H366">
        <v>3.5000000000000001E-3</v>
      </c>
      <c r="I366">
        <v>2E-3</v>
      </c>
    </row>
    <row r="367" spans="1:9" x14ac:dyDescent="0.2">
      <c r="A367" s="2">
        <v>27912</v>
      </c>
      <c r="B367">
        <v>12.17</v>
      </c>
      <c r="D367" s="2">
        <v>35947</v>
      </c>
      <c r="E367" s="1">
        <v>5.32</v>
      </c>
      <c r="G367" s="2">
        <v>20820</v>
      </c>
      <c r="H367">
        <v>3.1600000000000003E-2</v>
      </c>
      <c r="I367">
        <v>2.3999999999999998E-3</v>
      </c>
    </row>
    <row r="368" spans="1:9" x14ac:dyDescent="0.2">
      <c r="A368" s="2">
        <v>27942</v>
      </c>
      <c r="B368">
        <v>12.17</v>
      </c>
      <c r="D368" s="2">
        <v>35977</v>
      </c>
      <c r="E368" s="1">
        <v>5.17</v>
      </c>
      <c r="G368" s="2">
        <v>20851</v>
      </c>
      <c r="H368">
        <v>-3.5700000000000003E-2</v>
      </c>
      <c r="I368">
        <v>2.7000000000000001E-3</v>
      </c>
    </row>
    <row r="369" spans="1:9" x14ac:dyDescent="0.2">
      <c r="A369" s="2">
        <v>27973</v>
      </c>
      <c r="B369">
        <v>12.17</v>
      </c>
      <c r="D369" s="2">
        <v>36008</v>
      </c>
      <c r="E369" s="1">
        <v>5.19</v>
      </c>
      <c r="G369" s="2">
        <v>20879</v>
      </c>
      <c r="H369">
        <v>-2.07E-2</v>
      </c>
      <c r="I369">
        <v>2.3999999999999998E-3</v>
      </c>
    </row>
    <row r="370" spans="1:9" x14ac:dyDescent="0.2">
      <c r="A370" s="2">
        <v>28004</v>
      </c>
      <c r="B370">
        <v>13.9</v>
      </c>
      <c r="D370" s="2">
        <v>36039</v>
      </c>
      <c r="E370" s="1">
        <v>5.03</v>
      </c>
      <c r="G370" s="2">
        <v>20908</v>
      </c>
      <c r="H370">
        <v>2.1299999999999999E-2</v>
      </c>
      <c r="I370">
        <v>2.3E-3</v>
      </c>
    </row>
    <row r="371" spans="1:9" x14ac:dyDescent="0.2">
      <c r="A371" s="2">
        <v>28034</v>
      </c>
      <c r="B371">
        <v>13.9</v>
      </c>
      <c r="D371" s="2">
        <v>36069</v>
      </c>
      <c r="E371" s="1">
        <v>4.83</v>
      </c>
      <c r="G371" s="2">
        <v>20940</v>
      </c>
      <c r="H371">
        <v>4.2599999999999999E-2</v>
      </c>
      <c r="I371">
        <v>2.5000000000000001E-3</v>
      </c>
    </row>
    <row r="372" spans="1:9" x14ac:dyDescent="0.2">
      <c r="A372" s="2">
        <v>28065</v>
      </c>
      <c r="B372">
        <v>13.9</v>
      </c>
      <c r="D372" s="2">
        <v>36100</v>
      </c>
      <c r="E372" s="1">
        <v>4.88</v>
      </c>
      <c r="G372" s="2">
        <v>20971</v>
      </c>
      <c r="H372">
        <v>3.4599999999999999E-2</v>
      </c>
      <c r="I372">
        <v>2.5999999999999999E-3</v>
      </c>
    </row>
    <row r="373" spans="1:9" x14ac:dyDescent="0.2">
      <c r="A373" s="2">
        <v>28095</v>
      </c>
      <c r="B373">
        <v>13.9</v>
      </c>
      <c r="D373" s="2">
        <v>36130</v>
      </c>
      <c r="E373" s="1">
        <v>4.8</v>
      </c>
      <c r="G373" s="2">
        <v>20999</v>
      </c>
      <c r="H373">
        <v>-7.4999999999999997E-3</v>
      </c>
      <c r="I373">
        <v>2.3999999999999998E-3</v>
      </c>
    </row>
    <row r="374" spans="1:9" x14ac:dyDescent="0.2">
      <c r="A374" s="2">
        <v>28126</v>
      </c>
      <c r="B374">
        <v>13.9</v>
      </c>
      <c r="D374" s="2">
        <v>36161</v>
      </c>
      <c r="E374" s="1">
        <v>4.79</v>
      </c>
      <c r="G374" s="2">
        <v>21032</v>
      </c>
      <c r="H374">
        <v>6.6E-3</v>
      </c>
      <c r="I374">
        <v>3.0000000000000001E-3</v>
      </c>
    </row>
    <row r="375" spans="1:9" x14ac:dyDescent="0.2">
      <c r="A375" s="2">
        <v>28157</v>
      </c>
      <c r="B375">
        <v>13.9</v>
      </c>
      <c r="D375" s="2">
        <v>36192</v>
      </c>
      <c r="E375" s="1">
        <v>4.7699999999999996</v>
      </c>
      <c r="G375" s="2">
        <v>21062</v>
      </c>
      <c r="H375">
        <v>-5.1200000000000002E-2</v>
      </c>
      <c r="I375">
        <v>2.5000000000000001E-3</v>
      </c>
    </row>
    <row r="376" spans="1:9" x14ac:dyDescent="0.2">
      <c r="A376" s="2">
        <v>28185</v>
      </c>
      <c r="B376">
        <v>13.9</v>
      </c>
      <c r="D376" s="2">
        <v>36220</v>
      </c>
      <c r="E376" s="1">
        <v>4.8099999999999996</v>
      </c>
      <c r="G376" s="2">
        <v>21093</v>
      </c>
      <c r="H376">
        <v>-5.9900000000000002E-2</v>
      </c>
      <c r="I376">
        <v>2.5999999999999999E-3</v>
      </c>
    </row>
    <row r="377" spans="1:9" x14ac:dyDescent="0.2">
      <c r="A377" s="2">
        <v>28216</v>
      </c>
      <c r="B377">
        <v>13.9</v>
      </c>
      <c r="D377" s="2">
        <v>36251</v>
      </c>
      <c r="E377" s="1">
        <v>4.76</v>
      </c>
      <c r="G377" s="2">
        <v>21124</v>
      </c>
      <c r="H377">
        <v>-4.3200000000000002E-2</v>
      </c>
      <c r="I377">
        <v>2.8999999999999998E-3</v>
      </c>
    </row>
    <row r="378" spans="1:9" x14ac:dyDescent="0.2">
      <c r="A378" s="2">
        <v>28246</v>
      </c>
      <c r="B378">
        <v>13.9</v>
      </c>
      <c r="D378" s="2">
        <v>36281</v>
      </c>
      <c r="E378" s="1">
        <v>4.8600000000000003</v>
      </c>
      <c r="G378" s="2">
        <v>21153</v>
      </c>
      <c r="H378">
        <v>2.3099999999999999E-2</v>
      </c>
      <c r="I378">
        <v>2.8E-3</v>
      </c>
    </row>
    <row r="379" spans="1:9" x14ac:dyDescent="0.2">
      <c r="A379" s="2">
        <v>28277</v>
      </c>
      <c r="B379">
        <v>13.9</v>
      </c>
      <c r="D379" s="2">
        <v>36312</v>
      </c>
      <c r="E379" s="1">
        <v>4.93</v>
      </c>
      <c r="G379" s="2">
        <v>21185</v>
      </c>
      <c r="H379">
        <v>-3.9E-2</v>
      </c>
      <c r="I379">
        <v>2.3999999999999998E-3</v>
      </c>
    </row>
    <row r="380" spans="1:9" x14ac:dyDescent="0.2">
      <c r="A380" s="2">
        <v>28307</v>
      </c>
      <c r="B380">
        <v>13.9</v>
      </c>
      <c r="D380" s="2">
        <v>36342</v>
      </c>
      <c r="E380" s="1">
        <v>4.8899999999999997</v>
      </c>
      <c r="G380" s="2">
        <v>21216</v>
      </c>
      <c r="H380">
        <v>4.65E-2</v>
      </c>
      <c r="I380">
        <v>2.8E-3</v>
      </c>
    </row>
    <row r="381" spans="1:9" x14ac:dyDescent="0.2">
      <c r="A381" s="2">
        <v>28338</v>
      </c>
      <c r="B381">
        <v>14.85</v>
      </c>
      <c r="D381" s="2">
        <v>36373</v>
      </c>
      <c r="E381" s="1">
        <v>4.92</v>
      </c>
      <c r="G381" s="2">
        <v>21244</v>
      </c>
      <c r="H381">
        <v>-1.5299999999999999E-2</v>
      </c>
      <c r="I381">
        <v>1.1999999999999999E-3</v>
      </c>
    </row>
    <row r="382" spans="1:9" x14ac:dyDescent="0.2">
      <c r="A382" s="2">
        <v>28369</v>
      </c>
      <c r="B382">
        <v>14.85</v>
      </c>
      <c r="D382" s="2">
        <v>36404</v>
      </c>
      <c r="E382" s="1">
        <v>5.01</v>
      </c>
      <c r="G382" s="2">
        <v>21275</v>
      </c>
      <c r="H382">
        <v>3.27E-2</v>
      </c>
      <c r="I382">
        <v>8.9999999999999998E-4</v>
      </c>
    </row>
    <row r="383" spans="1:9" x14ac:dyDescent="0.2">
      <c r="A383" s="2">
        <v>28399</v>
      </c>
      <c r="B383">
        <v>14.85</v>
      </c>
      <c r="D383" s="2">
        <v>36434</v>
      </c>
      <c r="E383" s="1">
        <v>5.31</v>
      </c>
      <c r="G383" s="2">
        <v>21305</v>
      </c>
      <c r="H383">
        <v>3.09E-2</v>
      </c>
      <c r="I383">
        <v>8.0000000000000004E-4</v>
      </c>
    </row>
    <row r="384" spans="1:9" x14ac:dyDescent="0.2">
      <c r="A384" s="2">
        <v>28430</v>
      </c>
      <c r="B384">
        <v>14.85</v>
      </c>
      <c r="D384" s="2">
        <v>36465</v>
      </c>
      <c r="E384" s="1">
        <v>5.44</v>
      </c>
      <c r="G384" s="2">
        <v>21334</v>
      </c>
      <c r="H384">
        <v>2.3199999999999998E-2</v>
      </c>
      <c r="I384">
        <v>1.1000000000000001E-3</v>
      </c>
    </row>
    <row r="385" spans="1:9" x14ac:dyDescent="0.2">
      <c r="A385" s="2">
        <v>28460</v>
      </c>
      <c r="B385">
        <v>14.85</v>
      </c>
      <c r="D385" s="2">
        <v>36495</v>
      </c>
      <c r="E385" s="1">
        <v>5.65</v>
      </c>
      <c r="G385" s="2">
        <v>21366</v>
      </c>
      <c r="H385">
        <v>2.93E-2</v>
      </c>
      <c r="I385">
        <v>2.9999999999999997E-4</v>
      </c>
    </row>
    <row r="386" spans="1:9" x14ac:dyDescent="0.2">
      <c r="A386" s="2">
        <v>28491</v>
      </c>
      <c r="B386">
        <v>14.85</v>
      </c>
      <c r="D386" s="2">
        <v>36526</v>
      </c>
      <c r="E386" s="1">
        <v>5.66</v>
      </c>
      <c r="G386" s="2">
        <v>21397</v>
      </c>
      <c r="H386">
        <v>4.3900000000000002E-2</v>
      </c>
      <c r="I386">
        <v>6.9999999999999999E-4</v>
      </c>
    </row>
    <row r="387" spans="1:9" x14ac:dyDescent="0.2">
      <c r="A387" s="2">
        <v>28522</v>
      </c>
      <c r="B387">
        <v>14.85</v>
      </c>
      <c r="D387" s="2">
        <v>36557</v>
      </c>
      <c r="E387" s="1">
        <v>5.8</v>
      </c>
      <c r="G387" s="2">
        <v>21426</v>
      </c>
      <c r="H387">
        <v>1.9E-2</v>
      </c>
      <c r="I387">
        <v>4.0000000000000002E-4</v>
      </c>
    </row>
    <row r="388" spans="1:9" x14ac:dyDescent="0.2">
      <c r="A388" s="2">
        <v>28550</v>
      </c>
      <c r="B388">
        <v>14.85</v>
      </c>
      <c r="D388" s="2">
        <v>36586</v>
      </c>
      <c r="E388" s="1">
        <v>5.89</v>
      </c>
      <c r="G388" s="2">
        <v>21458</v>
      </c>
      <c r="H388">
        <v>4.6600000000000003E-2</v>
      </c>
      <c r="I388">
        <v>1.9E-3</v>
      </c>
    </row>
    <row r="389" spans="1:9" x14ac:dyDescent="0.2">
      <c r="A389" s="2">
        <v>28581</v>
      </c>
      <c r="B389">
        <v>14.85</v>
      </c>
      <c r="D389" s="2">
        <v>36617</v>
      </c>
      <c r="E389" s="1">
        <v>6.04</v>
      </c>
      <c r="G389" s="2">
        <v>21489</v>
      </c>
      <c r="H389">
        <v>2.53E-2</v>
      </c>
      <c r="I389">
        <v>1.8E-3</v>
      </c>
    </row>
    <row r="390" spans="1:9" x14ac:dyDescent="0.2">
      <c r="A390" s="2">
        <v>28611</v>
      </c>
      <c r="B390">
        <v>14.85</v>
      </c>
      <c r="D390" s="2">
        <v>36647</v>
      </c>
      <c r="E390" s="1">
        <v>6.31</v>
      </c>
      <c r="G390" s="2">
        <v>21517</v>
      </c>
      <c r="H390">
        <v>3.0099999999999998E-2</v>
      </c>
      <c r="I390">
        <v>1.1000000000000001E-3</v>
      </c>
    </row>
    <row r="391" spans="1:9" x14ac:dyDescent="0.2">
      <c r="A391" s="2">
        <v>28642</v>
      </c>
      <c r="B391">
        <v>14.85</v>
      </c>
      <c r="D391" s="2">
        <v>36678</v>
      </c>
      <c r="E391" s="1">
        <v>6.23</v>
      </c>
      <c r="G391" s="2">
        <v>21550</v>
      </c>
      <c r="H391">
        <v>5.16E-2</v>
      </c>
      <c r="I391">
        <v>2.2000000000000001E-3</v>
      </c>
    </row>
    <row r="392" spans="1:9" x14ac:dyDescent="0.2">
      <c r="A392" s="2">
        <v>28672</v>
      </c>
      <c r="B392">
        <v>14.85</v>
      </c>
      <c r="D392" s="2">
        <v>36708</v>
      </c>
      <c r="E392" s="1">
        <v>6.2</v>
      </c>
      <c r="G392" s="2">
        <v>21580</v>
      </c>
      <c r="H392">
        <v>7.1000000000000004E-3</v>
      </c>
      <c r="I392">
        <v>2.0999999999999999E-3</v>
      </c>
    </row>
    <row r="393" spans="1:9" x14ac:dyDescent="0.2">
      <c r="A393" s="2">
        <v>28703</v>
      </c>
      <c r="B393">
        <v>14.85</v>
      </c>
      <c r="D393" s="2">
        <v>36739</v>
      </c>
      <c r="E393" s="1">
        <v>6.49</v>
      </c>
      <c r="G393" s="2">
        <v>21608</v>
      </c>
      <c r="H393">
        <v>9.4999999999999998E-3</v>
      </c>
      <c r="I393">
        <v>1.9E-3</v>
      </c>
    </row>
    <row r="394" spans="1:9" x14ac:dyDescent="0.2">
      <c r="A394" s="2">
        <v>28734</v>
      </c>
      <c r="B394">
        <v>14.85</v>
      </c>
      <c r="D394" s="2">
        <v>36770</v>
      </c>
      <c r="E394" s="1">
        <v>6.57</v>
      </c>
      <c r="G394" s="2">
        <v>21640</v>
      </c>
      <c r="H394">
        <v>2.8E-3</v>
      </c>
      <c r="I394">
        <v>2.2000000000000001E-3</v>
      </c>
    </row>
    <row r="395" spans="1:9" x14ac:dyDescent="0.2">
      <c r="A395" s="2">
        <v>28764</v>
      </c>
      <c r="B395">
        <v>14.85</v>
      </c>
      <c r="D395" s="2">
        <v>36800</v>
      </c>
      <c r="E395" s="1">
        <v>6.41</v>
      </c>
      <c r="G395" s="2">
        <v>21670</v>
      </c>
      <c r="H395">
        <v>3.6600000000000001E-2</v>
      </c>
      <c r="I395">
        <v>2E-3</v>
      </c>
    </row>
    <row r="396" spans="1:9" x14ac:dyDescent="0.2">
      <c r="A396" s="2">
        <v>28795</v>
      </c>
      <c r="B396">
        <v>14.85</v>
      </c>
      <c r="D396" s="2">
        <v>36831</v>
      </c>
      <c r="E396" s="1">
        <v>6.33</v>
      </c>
      <c r="G396" s="2">
        <v>21699</v>
      </c>
      <c r="H396">
        <v>1.7299999999999999E-2</v>
      </c>
      <c r="I396">
        <v>2.2000000000000001E-3</v>
      </c>
    </row>
    <row r="397" spans="1:9" x14ac:dyDescent="0.2">
      <c r="A397" s="2">
        <v>28825</v>
      </c>
      <c r="B397">
        <v>14.85</v>
      </c>
      <c r="D397" s="2">
        <v>36861</v>
      </c>
      <c r="E397" s="1">
        <v>6.2</v>
      </c>
      <c r="G397" s="2">
        <v>21731</v>
      </c>
      <c r="H397">
        <v>-2.3999999999999998E-3</v>
      </c>
      <c r="I397">
        <v>2.3999999999999998E-3</v>
      </c>
    </row>
    <row r="398" spans="1:9" x14ac:dyDescent="0.2">
      <c r="A398" s="2">
        <v>28856</v>
      </c>
      <c r="B398">
        <v>14.85</v>
      </c>
      <c r="D398" s="2">
        <v>36892</v>
      </c>
      <c r="E398" s="1">
        <v>5.91</v>
      </c>
      <c r="G398" s="2">
        <v>21762</v>
      </c>
      <c r="H398">
        <v>3.1800000000000002E-2</v>
      </c>
      <c r="I398">
        <v>2.5000000000000001E-3</v>
      </c>
    </row>
    <row r="399" spans="1:9" x14ac:dyDescent="0.2">
      <c r="A399" s="2">
        <v>28887</v>
      </c>
      <c r="B399">
        <v>15.85</v>
      </c>
      <c r="D399" s="2">
        <v>36923</v>
      </c>
      <c r="E399" s="1">
        <v>5.59</v>
      </c>
      <c r="G399" s="2">
        <v>21793</v>
      </c>
      <c r="H399">
        <v>-1.38E-2</v>
      </c>
      <c r="I399">
        <v>1.9E-3</v>
      </c>
    </row>
    <row r="400" spans="1:9" x14ac:dyDescent="0.2">
      <c r="A400" s="2">
        <v>28915</v>
      </c>
      <c r="B400">
        <v>15.85</v>
      </c>
      <c r="D400" s="2">
        <v>36951</v>
      </c>
      <c r="E400" s="1">
        <v>5.14</v>
      </c>
      <c r="G400" s="2">
        <v>21823</v>
      </c>
      <c r="H400">
        <v>-4.8099999999999997E-2</v>
      </c>
      <c r="I400">
        <v>3.0999999999999999E-3</v>
      </c>
    </row>
    <row r="401" spans="1:9" x14ac:dyDescent="0.2">
      <c r="A401" s="2">
        <v>28946</v>
      </c>
      <c r="B401">
        <v>15.85</v>
      </c>
      <c r="D401" s="2">
        <v>36982</v>
      </c>
      <c r="E401" s="1">
        <v>4.8600000000000003</v>
      </c>
      <c r="G401" s="2">
        <v>21853</v>
      </c>
      <c r="H401">
        <v>1.2800000000000001E-2</v>
      </c>
      <c r="I401">
        <v>3.0000000000000001E-3</v>
      </c>
    </row>
    <row r="402" spans="1:9" x14ac:dyDescent="0.2">
      <c r="A402" s="2">
        <v>28976</v>
      </c>
      <c r="B402">
        <v>18.100000000000001</v>
      </c>
      <c r="D402" s="2">
        <v>37012</v>
      </c>
      <c r="E402" s="1">
        <v>4.8899999999999997</v>
      </c>
      <c r="G402" s="2">
        <v>21884</v>
      </c>
      <c r="H402">
        <v>1.6E-2</v>
      </c>
      <c r="I402">
        <v>2.5999999999999999E-3</v>
      </c>
    </row>
    <row r="403" spans="1:9" x14ac:dyDescent="0.2">
      <c r="A403" s="2">
        <v>29007</v>
      </c>
      <c r="B403">
        <v>19.100000000000001</v>
      </c>
      <c r="D403" s="2">
        <v>37043</v>
      </c>
      <c r="E403" s="1">
        <v>4.97</v>
      </c>
      <c r="G403" s="2">
        <v>21915</v>
      </c>
      <c r="H403">
        <v>2.46E-2</v>
      </c>
      <c r="I403">
        <v>3.3999999999999998E-3</v>
      </c>
    </row>
    <row r="404" spans="1:9" x14ac:dyDescent="0.2">
      <c r="A404" s="2">
        <v>29037</v>
      </c>
      <c r="B404">
        <v>21.75</v>
      </c>
      <c r="D404" s="2">
        <v>37073</v>
      </c>
      <c r="E404" s="1">
        <v>5.04</v>
      </c>
      <c r="G404" s="2">
        <v>21944</v>
      </c>
      <c r="H404">
        <v>-6.9800000000000001E-2</v>
      </c>
      <c r="I404">
        <v>3.3E-3</v>
      </c>
    </row>
    <row r="405" spans="1:9" x14ac:dyDescent="0.2">
      <c r="A405" s="2">
        <v>29068</v>
      </c>
      <c r="B405">
        <v>26.5</v>
      </c>
      <c r="D405" s="2">
        <v>37104</v>
      </c>
      <c r="E405" s="1">
        <v>4.95</v>
      </c>
      <c r="G405" s="2">
        <v>21975</v>
      </c>
      <c r="H405">
        <v>1.1599999999999999E-2</v>
      </c>
      <c r="I405">
        <v>2.8999999999999998E-3</v>
      </c>
    </row>
    <row r="406" spans="1:9" x14ac:dyDescent="0.2">
      <c r="A406" s="2">
        <v>29099</v>
      </c>
      <c r="B406">
        <v>28.5</v>
      </c>
      <c r="D406" s="2">
        <v>37135</v>
      </c>
      <c r="E406" s="1">
        <v>4.55</v>
      </c>
      <c r="G406" s="2">
        <v>22006</v>
      </c>
      <c r="H406">
        <v>-1.6299999999999999E-2</v>
      </c>
      <c r="I406">
        <v>3.5000000000000001E-3</v>
      </c>
    </row>
    <row r="407" spans="1:9" x14ac:dyDescent="0.2">
      <c r="A407" s="2">
        <v>29129</v>
      </c>
      <c r="B407">
        <v>29</v>
      </c>
      <c r="D407" s="2">
        <v>37165</v>
      </c>
      <c r="E407" s="1">
        <v>4.3600000000000003</v>
      </c>
      <c r="G407" s="2">
        <v>22035</v>
      </c>
      <c r="H407">
        <v>-1.7100000000000001E-2</v>
      </c>
      <c r="I407">
        <v>1.9E-3</v>
      </c>
    </row>
    <row r="408" spans="1:9" x14ac:dyDescent="0.2">
      <c r="A408" s="2">
        <v>29160</v>
      </c>
      <c r="B408">
        <v>31</v>
      </c>
      <c r="D408" s="2">
        <v>37196</v>
      </c>
      <c r="E408" s="1">
        <v>4.28</v>
      </c>
      <c r="G408" s="2">
        <v>22067</v>
      </c>
      <c r="H408">
        <v>3.1199999999999999E-2</v>
      </c>
      <c r="I408">
        <v>2.7000000000000001E-3</v>
      </c>
    </row>
    <row r="409" spans="1:9" x14ac:dyDescent="0.2">
      <c r="A409" s="2">
        <v>29190</v>
      </c>
      <c r="B409">
        <v>32.5</v>
      </c>
      <c r="D409" s="2">
        <v>37226</v>
      </c>
      <c r="E409" s="1">
        <v>4.25</v>
      </c>
      <c r="G409" s="2">
        <v>22097</v>
      </c>
      <c r="H409">
        <v>2.0799999999999999E-2</v>
      </c>
      <c r="I409">
        <v>2.3999999999999998E-3</v>
      </c>
    </row>
    <row r="410" spans="1:9" x14ac:dyDescent="0.2">
      <c r="A410" s="2">
        <v>29221</v>
      </c>
      <c r="B410">
        <v>32.5</v>
      </c>
      <c r="D410" s="2">
        <v>37257</v>
      </c>
      <c r="E410" s="1">
        <v>4.26</v>
      </c>
      <c r="G410" s="2">
        <v>22126</v>
      </c>
      <c r="H410">
        <v>-2.3699999999999999E-2</v>
      </c>
      <c r="I410">
        <v>1.2999999999999999E-3</v>
      </c>
    </row>
    <row r="411" spans="1:9" x14ac:dyDescent="0.2">
      <c r="A411" s="2">
        <v>29252</v>
      </c>
      <c r="B411">
        <v>37</v>
      </c>
      <c r="D411" s="2">
        <v>37288</v>
      </c>
      <c r="E411" s="1">
        <v>4.3099999999999996</v>
      </c>
      <c r="G411" s="2">
        <v>22159</v>
      </c>
      <c r="H411">
        <v>0.03</v>
      </c>
      <c r="I411">
        <v>1.6999999999999999E-3</v>
      </c>
    </row>
    <row r="412" spans="1:9" x14ac:dyDescent="0.2">
      <c r="A412" s="2">
        <v>29281</v>
      </c>
      <c r="B412">
        <v>38</v>
      </c>
      <c r="D412" s="2">
        <v>37316</v>
      </c>
      <c r="E412" s="1">
        <v>4.46</v>
      </c>
      <c r="G412" s="2">
        <v>22189</v>
      </c>
      <c r="H412">
        <v>-0.06</v>
      </c>
      <c r="I412">
        <v>1.6000000000000001E-3</v>
      </c>
    </row>
    <row r="413" spans="1:9" x14ac:dyDescent="0.2">
      <c r="A413" s="2">
        <v>29312</v>
      </c>
      <c r="B413">
        <v>39.5</v>
      </c>
      <c r="D413" s="2">
        <v>37347</v>
      </c>
      <c r="E413" s="1">
        <v>4.59</v>
      </c>
      <c r="G413" s="2">
        <v>22220</v>
      </c>
      <c r="H413">
        <v>-7.1000000000000004E-3</v>
      </c>
      <c r="I413">
        <v>2.2000000000000001E-3</v>
      </c>
    </row>
    <row r="414" spans="1:9" x14ac:dyDescent="0.2">
      <c r="A414" s="2">
        <v>29342</v>
      </c>
      <c r="B414">
        <v>39.5</v>
      </c>
      <c r="D414" s="2">
        <v>37377</v>
      </c>
      <c r="E414" s="1">
        <v>4.84</v>
      </c>
      <c r="G414" s="2">
        <v>22250</v>
      </c>
      <c r="H414">
        <v>4.6899999999999997E-2</v>
      </c>
      <c r="I414">
        <v>1.2999999999999999E-3</v>
      </c>
    </row>
    <row r="415" spans="1:9" x14ac:dyDescent="0.2">
      <c r="A415" s="2">
        <v>29373</v>
      </c>
      <c r="B415">
        <v>39.5</v>
      </c>
      <c r="D415" s="2">
        <v>37408</v>
      </c>
      <c r="E415" s="1">
        <v>5.07</v>
      </c>
      <c r="G415" s="2">
        <v>22280</v>
      </c>
      <c r="H415">
        <v>4.7300000000000002E-2</v>
      </c>
      <c r="I415">
        <v>1.6000000000000001E-3</v>
      </c>
    </row>
    <row r="416" spans="1:9" x14ac:dyDescent="0.2">
      <c r="A416" s="2">
        <v>29403</v>
      </c>
      <c r="B416">
        <v>39.5</v>
      </c>
      <c r="D416" s="2">
        <v>37438</v>
      </c>
      <c r="E416" s="1">
        <v>4.9800000000000004</v>
      </c>
      <c r="G416" s="2">
        <v>22312</v>
      </c>
      <c r="H416">
        <v>6.2E-2</v>
      </c>
      <c r="I416">
        <v>1.9E-3</v>
      </c>
    </row>
    <row r="417" spans="1:9" x14ac:dyDescent="0.2">
      <c r="A417" s="2">
        <v>29434</v>
      </c>
      <c r="B417">
        <v>38</v>
      </c>
      <c r="D417" s="2">
        <v>37469</v>
      </c>
      <c r="E417" s="1">
        <v>4.96</v>
      </c>
      <c r="G417" s="2">
        <v>22340</v>
      </c>
      <c r="H417">
        <v>3.5700000000000003E-2</v>
      </c>
      <c r="I417">
        <v>1.4E-3</v>
      </c>
    </row>
    <row r="418" spans="1:9" x14ac:dyDescent="0.2">
      <c r="A418" s="2">
        <v>29465</v>
      </c>
      <c r="B418">
        <v>36</v>
      </c>
      <c r="D418" s="2">
        <v>37500</v>
      </c>
      <c r="E418" s="1">
        <v>4.92</v>
      </c>
      <c r="G418" s="2">
        <v>22370</v>
      </c>
      <c r="H418">
        <v>2.8899999999999999E-2</v>
      </c>
      <c r="I418">
        <v>2E-3</v>
      </c>
    </row>
    <row r="419" spans="1:9" x14ac:dyDescent="0.2">
      <c r="A419" s="2">
        <v>29495</v>
      </c>
      <c r="B419">
        <v>36</v>
      </c>
      <c r="D419" s="2">
        <v>37530</v>
      </c>
      <c r="E419" s="1">
        <v>4.9000000000000004</v>
      </c>
      <c r="G419" s="2">
        <v>22399</v>
      </c>
      <c r="H419">
        <v>2.8999999999999998E-3</v>
      </c>
      <c r="I419">
        <v>1.6999999999999999E-3</v>
      </c>
    </row>
    <row r="420" spans="1:9" x14ac:dyDescent="0.2">
      <c r="A420" s="2">
        <v>29526</v>
      </c>
      <c r="B420">
        <v>36</v>
      </c>
      <c r="D420" s="2">
        <v>37561</v>
      </c>
      <c r="E420" s="1">
        <v>4.84</v>
      </c>
      <c r="G420" s="2">
        <v>22432</v>
      </c>
      <c r="H420">
        <v>2.4E-2</v>
      </c>
      <c r="I420">
        <v>1.8E-3</v>
      </c>
    </row>
    <row r="421" spans="1:9" x14ac:dyDescent="0.2">
      <c r="A421" s="2">
        <v>29556</v>
      </c>
      <c r="B421">
        <v>37</v>
      </c>
      <c r="D421" s="2">
        <v>37591</v>
      </c>
      <c r="E421" s="1">
        <v>4.83</v>
      </c>
      <c r="G421" s="2">
        <v>22462</v>
      </c>
      <c r="H421">
        <v>-3.0800000000000001E-2</v>
      </c>
      <c r="I421">
        <v>2E-3</v>
      </c>
    </row>
    <row r="422" spans="1:9" x14ac:dyDescent="0.2">
      <c r="A422" s="2">
        <v>29587</v>
      </c>
      <c r="B422">
        <v>38</v>
      </c>
      <c r="D422" s="2">
        <v>37622</v>
      </c>
      <c r="E422" s="1">
        <v>4.8</v>
      </c>
      <c r="G422" s="2">
        <v>22493</v>
      </c>
      <c r="H422">
        <v>2.8299999999999999E-2</v>
      </c>
      <c r="I422">
        <v>1.8E-3</v>
      </c>
    </row>
    <row r="423" spans="1:9" x14ac:dyDescent="0.2">
      <c r="A423" s="2">
        <v>29618</v>
      </c>
      <c r="B423">
        <v>38</v>
      </c>
      <c r="D423" s="2">
        <v>37653</v>
      </c>
      <c r="E423" s="1">
        <v>4.75</v>
      </c>
      <c r="G423" s="2">
        <v>22524</v>
      </c>
      <c r="H423">
        <v>2.5700000000000001E-2</v>
      </c>
      <c r="I423">
        <v>1.4E-3</v>
      </c>
    </row>
    <row r="424" spans="1:9" x14ac:dyDescent="0.2">
      <c r="A424" s="2">
        <v>29646</v>
      </c>
      <c r="B424">
        <v>38</v>
      </c>
      <c r="D424" s="2">
        <v>37681</v>
      </c>
      <c r="E424" s="1">
        <v>4.76</v>
      </c>
      <c r="G424" s="2">
        <v>22553</v>
      </c>
      <c r="H424">
        <v>-2.1499999999999998E-2</v>
      </c>
      <c r="I424">
        <v>1.6999999999999999E-3</v>
      </c>
    </row>
    <row r="425" spans="1:9" x14ac:dyDescent="0.2">
      <c r="A425" s="2">
        <v>29677</v>
      </c>
      <c r="B425">
        <v>38</v>
      </c>
      <c r="D425" s="2">
        <v>37712</v>
      </c>
      <c r="E425" s="1">
        <v>4.79</v>
      </c>
      <c r="G425" s="2">
        <v>22585</v>
      </c>
      <c r="H425">
        <v>2.58E-2</v>
      </c>
      <c r="I425">
        <v>1.9E-3</v>
      </c>
    </row>
    <row r="426" spans="1:9" x14ac:dyDescent="0.2">
      <c r="A426" s="2">
        <v>29707</v>
      </c>
      <c r="B426">
        <v>38</v>
      </c>
      <c r="D426" s="2">
        <v>37742</v>
      </c>
      <c r="E426" s="1">
        <v>4.78</v>
      </c>
      <c r="G426" s="2">
        <v>22615</v>
      </c>
      <c r="H426">
        <v>4.4499999999999998E-2</v>
      </c>
      <c r="I426">
        <v>1.5E-3</v>
      </c>
    </row>
    <row r="427" spans="1:9" x14ac:dyDescent="0.2">
      <c r="A427" s="2">
        <v>29738</v>
      </c>
      <c r="B427">
        <v>36</v>
      </c>
      <c r="D427" s="2">
        <v>37773</v>
      </c>
      <c r="E427" s="1">
        <v>4.67</v>
      </c>
      <c r="G427" s="2">
        <v>22644</v>
      </c>
      <c r="H427">
        <v>-1.6999999999999999E-3</v>
      </c>
      <c r="I427">
        <v>1.9E-3</v>
      </c>
    </row>
    <row r="428" spans="1:9" x14ac:dyDescent="0.2">
      <c r="A428" s="2">
        <v>29768</v>
      </c>
      <c r="B428">
        <v>36</v>
      </c>
      <c r="D428" s="2">
        <v>37803</v>
      </c>
      <c r="E428" s="1">
        <v>4.72</v>
      </c>
      <c r="G428" s="2">
        <v>22677</v>
      </c>
      <c r="H428">
        <v>-3.8699999999999998E-2</v>
      </c>
      <c r="I428">
        <v>2.3999999999999998E-3</v>
      </c>
    </row>
    <row r="429" spans="1:9" x14ac:dyDescent="0.2">
      <c r="A429" s="2">
        <v>29799</v>
      </c>
      <c r="B429">
        <v>36</v>
      </c>
      <c r="D429" s="2">
        <v>37834</v>
      </c>
      <c r="E429" s="1">
        <v>4.82</v>
      </c>
      <c r="G429" s="2">
        <v>22705</v>
      </c>
      <c r="H429">
        <v>1.8100000000000002E-2</v>
      </c>
      <c r="I429">
        <v>2E-3</v>
      </c>
    </row>
    <row r="430" spans="1:9" x14ac:dyDescent="0.2">
      <c r="A430" s="2">
        <v>29830</v>
      </c>
      <c r="B430">
        <v>36</v>
      </c>
      <c r="D430" s="2">
        <v>37865</v>
      </c>
      <c r="E430" s="1">
        <v>4.91</v>
      </c>
      <c r="G430" s="2">
        <v>22735</v>
      </c>
      <c r="H430">
        <v>-6.7999999999999996E-3</v>
      </c>
      <c r="I430">
        <v>2E-3</v>
      </c>
    </row>
    <row r="431" spans="1:9" x14ac:dyDescent="0.2">
      <c r="A431" s="2">
        <v>29860</v>
      </c>
      <c r="B431">
        <v>35</v>
      </c>
      <c r="D431" s="2">
        <v>37895</v>
      </c>
      <c r="E431" s="1">
        <v>4.97</v>
      </c>
      <c r="G431" s="2">
        <v>22766</v>
      </c>
      <c r="H431">
        <v>-6.59E-2</v>
      </c>
      <c r="I431">
        <v>2.2000000000000001E-3</v>
      </c>
    </row>
    <row r="432" spans="1:9" x14ac:dyDescent="0.2">
      <c r="A432" s="2">
        <v>29891</v>
      </c>
      <c r="B432">
        <v>36</v>
      </c>
      <c r="D432" s="2">
        <v>37926</v>
      </c>
      <c r="E432" s="1">
        <v>5.31</v>
      </c>
      <c r="G432" s="2">
        <v>22797</v>
      </c>
      <c r="H432">
        <v>-8.6599999999999996E-2</v>
      </c>
      <c r="I432">
        <v>2.3999999999999998E-3</v>
      </c>
    </row>
    <row r="433" spans="1:9" x14ac:dyDescent="0.2">
      <c r="A433" s="2">
        <v>29921</v>
      </c>
      <c r="B433">
        <v>35</v>
      </c>
      <c r="D433" s="2">
        <v>37956</v>
      </c>
      <c r="E433" s="1">
        <v>5.47</v>
      </c>
      <c r="G433" s="2">
        <v>22826</v>
      </c>
      <c r="H433">
        <v>-8.5000000000000006E-2</v>
      </c>
      <c r="I433">
        <v>2E-3</v>
      </c>
    </row>
    <row r="434" spans="1:9" x14ac:dyDescent="0.2">
      <c r="A434" s="2">
        <v>29952</v>
      </c>
      <c r="B434">
        <v>33.85</v>
      </c>
      <c r="D434" s="2">
        <v>37987</v>
      </c>
      <c r="E434" s="1">
        <v>5.55</v>
      </c>
      <c r="G434" s="2">
        <v>22858</v>
      </c>
      <c r="H434">
        <v>6.2700000000000006E-2</v>
      </c>
      <c r="I434">
        <v>2.7000000000000001E-3</v>
      </c>
    </row>
    <row r="435" spans="1:9" x14ac:dyDescent="0.2">
      <c r="A435" s="2">
        <v>29983</v>
      </c>
      <c r="B435">
        <v>31.56</v>
      </c>
      <c r="D435" s="2">
        <v>38018</v>
      </c>
      <c r="E435" s="1">
        <v>5.57</v>
      </c>
      <c r="G435" s="2">
        <v>22889</v>
      </c>
      <c r="H435">
        <v>2.1299999999999999E-2</v>
      </c>
      <c r="I435">
        <v>2.3E-3</v>
      </c>
    </row>
    <row r="436" spans="1:9" x14ac:dyDescent="0.2">
      <c r="A436" s="2">
        <v>30011</v>
      </c>
      <c r="B436">
        <v>28.48</v>
      </c>
      <c r="D436" s="2">
        <v>38047</v>
      </c>
      <c r="E436" s="1">
        <v>5.51</v>
      </c>
      <c r="G436" s="2">
        <v>22917</v>
      </c>
      <c r="H436">
        <v>-5.2200000000000003E-2</v>
      </c>
      <c r="I436">
        <v>2.0999999999999999E-3</v>
      </c>
    </row>
    <row r="437" spans="1:9" x14ac:dyDescent="0.2">
      <c r="A437" s="2">
        <v>30042</v>
      </c>
      <c r="B437">
        <v>33.450000000000003</v>
      </c>
      <c r="D437" s="2">
        <v>38078</v>
      </c>
      <c r="E437" s="1">
        <v>5.54</v>
      </c>
      <c r="G437" s="2">
        <v>22950</v>
      </c>
      <c r="H437">
        <v>-5.0000000000000001E-4</v>
      </c>
      <c r="I437">
        <v>2.5999999999999999E-3</v>
      </c>
    </row>
    <row r="438" spans="1:9" x14ac:dyDescent="0.2">
      <c r="A438" s="2">
        <v>30072</v>
      </c>
      <c r="B438">
        <v>35.93</v>
      </c>
      <c r="D438" s="2">
        <v>38108</v>
      </c>
      <c r="E438" s="1">
        <v>5.51</v>
      </c>
      <c r="G438" s="2">
        <v>22980</v>
      </c>
      <c r="H438">
        <v>0.1089</v>
      </c>
      <c r="I438">
        <v>2E-3</v>
      </c>
    </row>
    <row r="439" spans="1:9" x14ac:dyDescent="0.2">
      <c r="A439" s="2">
        <v>30103</v>
      </c>
      <c r="B439">
        <v>35.07</v>
      </c>
      <c r="D439" s="2">
        <v>38139</v>
      </c>
      <c r="E439" s="1">
        <v>5.49</v>
      </c>
      <c r="G439" s="2">
        <v>23011</v>
      </c>
      <c r="H439">
        <v>1.01E-2</v>
      </c>
      <c r="I439">
        <v>2.3E-3</v>
      </c>
    </row>
    <row r="440" spans="1:9" x14ac:dyDescent="0.2">
      <c r="A440" s="2">
        <v>30133</v>
      </c>
      <c r="B440">
        <v>34.159999999999997</v>
      </c>
      <c r="D440" s="2">
        <v>38169</v>
      </c>
      <c r="E440" s="1">
        <v>5.46</v>
      </c>
      <c r="G440" s="2">
        <v>23042</v>
      </c>
      <c r="H440">
        <v>4.9399999999999999E-2</v>
      </c>
      <c r="I440">
        <v>2.5000000000000001E-3</v>
      </c>
    </row>
    <row r="441" spans="1:9" x14ac:dyDescent="0.2">
      <c r="A441" s="2">
        <v>30164</v>
      </c>
      <c r="B441">
        <v>33.950000000000003</v>
      </c>
      <c r="D441" s="2">
        <v>38200</v>
      </c>
      <c r="E441" s="1">
        <v>5.44</v>
      </c>
      <c r="G441" s="2">
        <v>23070</v>
      </c>
      <c r="H441">
        <v>-2.4E-2</v>
      </c>
      <c r="I441">
        <v>2.3E-3</v>
      </c>
    </row>
    <row r="442" spans="1:9" x14ac:dyDescent="0.2">
      <c r="A442" s="2">
        <v>30195</v>
      </c>
      <c r="B442">
        <v>35.630000000000003</v>
      </c>
      <c r="D442" s="2">
        <v>38231</v>
      </c>
      <c r="E442" s="1">
        <v>5.42</v>
      </c>
      <c r="G442" s="2">
        <v>23099</v>
      </c>
      <c r="H442">
        <v>3.0800000000000001E-2</v>
      </c>
      <c r="I442">
        <v>2.3E-3</v>
      </c>
    </row>
    <row r="443" spans="1:9" x14ac:dyDescent="0.2">
      <c r="A443" s="2">
        <v>30225</v>
      </c>
      <c r="B443">
        <v>35.68</v>
      </c>
      <c r="D443" s="2">
        <v>38261</v>
      </c>
      <c r="E443" s="1">
        <v>5.41</v>
      </c>
      <c r="G443" s="2">
        <v>23131</v>
      </c>
      <c r="H443">
        <v>4.5100000000000001E-2</v>
      </c>
      <c r="I443">
        <v>2.5000000000000001E-3</v>
      </c>
    </row>
    <row r="444" spans="1:9" x14ac:dyDescent="0.2">
      <c r="A444" s="2">
        <v>30256</v>
      </c>
      <c r="B444">
        <v>34.15</v>
      </c>
      <c r="D444" s="2">
        <v>38292</v>
      </c>
      <c r="E444" s="1">
        <v>5.43</v>
      </c>
      <c r="G444" s="2">
        <v>23162</v>
      </c>
      <c r="H444">
        <v>1.7600000000000001E-2</v>
      </c>
      <c r="I444">
        <v>2.3999999999999998E-3</v>
      </c>
    </row>
    <row r="445" spans="1:9" x14ac:dyDescent="0.2">
      <c r="A445" s="2">
        <v>30286</v>
      </c>
      <c r="B445">
        <v>31.72</v>
      </c>
      <c r="D445" s="2">
        <v>38322</v>
      </c>
      <c r="E445" s="1">
        <v>5.41</v>
      </c>
      <c r="G445" s="2">
        <v>23190</v>
      </c>
      <c r="H445">
        <v>-0.02</v>
      </c>
      <c r="I445">
        <v>2.3E-3</v>
      </c>
    </row>
    <row r="446" spans="1:9" x14ac:dyDescent="0.2">
      <c r="A446" s="2">
        <v>30317</v>
      </c>
      <c r="B446">
        <v>31.19</v>
      </c>
      <c r="D446" s="2">
        <v>38353</v>
      </c>
      <c r="E446" s="1">
        <v>5.42</v>
      </c>
      <c r="G446" s="2">
        <v>23223</v>
      </c>
      <c r="H446">
        <v>-3.8999999999999998E-3</v>
      </c>
      <c r="I446">
        <v>2.7000000000000001E-3</v>
      </c>
    </row>
    <row r="447" spans="1:9" x14ac:dyDescent="0.2">
      <c r="A447" s="2">
        <v>30348</v>
      </c>
      <c r="B447">
        <v>28.95</v>
      </c>
      <c r="D447" s="2">
        <v>38384</v>
      </c>
      <c r="E447" s="1">
        <v>5.63</v>
      </c>
      <c r="G447" s="2">
        <v>23253</v>
      </c>
      <c r="H447">
        <v>5.0799999999999998E-2</v>
      </c>
      <c r="I447">
        <v>2.5000000000000001E-3</v>
      </c>
    </row>
    <row r="448" spans="1:9" x14ac:dyDescent="0.2">
      <c r="A448" s="2">
        <v>30376</v>
      </c>
      <c r="B448">
        <v>28.82</v>
      </c>
      <c r="D448" s="2">
        <v>38412</v>
      </c>
      <c r="E448" s="1">
        <v>5.81</v>
      </c>
      <c r="G448" s="2">
        <v>23284</v>
      </c>
      <c r="H448">
        <v>-1.5699999999999999E-2</v>
      </c>
      <c r="I448">
        <v>2.7000000000000001E-3</v>
      </c>
    </row>
    <row r="449" spans="1:9" x14ac:dyDescent="0.2">
      <c r="A449" s="2">
        <v>30407</v>
      </c>
      <c r="B449">
        <v>30.61</v>
      </c>
      <c r="D449" s="2">
        <v>38443</v>
      </c>
      <c r="E449" s="1">
        <v>5.75</v>
      </c>
      <c r="G449" s="2">
        <v>23315</v>
      </c>
      <c r="H449">
        <v>2.5399999999999999E-2</v>
      </c>
      <c r="I449">
        <v>2.8999999999999998E-3</v>
      </c>
    </row>
    <row r="450" spans="1:9" x14ac:dyDescent="0.2">
      <c r="A450" s="2">
        <v>30437</v>
      </c>
      <c r="B450">
        <v>30</v>
      </c>
      <c r="D450" s="2">
        <v>38473</v>
      </c>
      <c r="E450" s="1">
        <v>5.68</v>
      </c>
      <c r="G450" s="2">
        <v>23344</v>
      </c>
      <c r="H450">
        <v>-8.6E-3</v>
      </c>
      <c r="I450">
        <v>2.7000000000000001E-3</v>
      </c>
    </row>
    <row r="451" spans="1:9" x14ac:dyDescent="0.2">
      <c r="A451" s="2">
        <v>30468</v>
      </c>
      <c r="B451">
        <v>31</v>
      </c>
      <c r="D451" s="2">
        <v>38504</v>
      </c>
      <c r="E451" s="1">
        <v>5.66</v>
      </c>
      <c r="G451" s="2">
        <v>23376</v>
      </c>
      <c r="H451">
        <v>1.83E-2</v>
      </c>
      <c r="I451">
        <v>2.8999999999999998E-3</v>
      </c>
    </row>
    <row r="452" spans="1:9" x14ac:dyDescent="0.2">
      <c r="A452" s="2">
        <v>30498</v>
      </c>
      <c r="B452">
        <v>31.66</v>
      </c>
      <c r="D452" s="2">
        <v>38534</v>
      </c>
      <c r="E452" s="1">
        <v>5.65</v>
      </c>
      <c r="G452" s="2">
        <v>23407</v>
      </c>
      <c r="H452">
        <v>2.24E-2</v>
      </c>
      <c r="I452">
        <v>3.0000000000000001E-3</v>
      </c>
    </row>
    <row r="453" spans="1:9" x14ac:dyDescent="0.2">
      <c r="A453" s="2">
        <v>30529</v>
      </c>
      <c r="B453">
        <v>31.91</v>
      </c>
      <c r="D453" s="2">
        <v>38565</v>
      </c>
      <c r="E453" s="1">
        <v>5.62</v>
      </c>
      <c r="G453" s="2">
        <v>23435</v>
      </c>
      <c r="H453">
        <v>1.55E-2</v>
      </c>
      <c r="I453">
        <v>2.5999999999999999E-3</v>
      </c>
    </row>
    <row r="454" spans="1:9" x14ac:dyDescent="0.2">
      <c r="A454" s="2">
        <v>30560</v>
      </c>
      <c r="B454">
        <v>31.11</v>
      </c>
      <c r="D454" s="2">
        <v>38596</v>
      </c>
      <c r="E454" s="1">
        <v>5.62</v>
      </c>
      <c r="G454" s="2">
        <v>23467</v>
      </c>
      <c r="H454">
        <v>1.41E-2</v>
      </c>
      <c r="I454">
        <v>3.0999999999999999E-3</v>
      </c>
    </row>
    <row r="455" spans="1:9" x14ac:dyDescent="0.2">
      <c r="A455" s="2">
        <v>30590</v>
      </c>
      <c r="B455">
        <v>30.41</v>
      </c>
      <c r="D455" s="2">
        <v>38626</v>
      </c>
      <c r="E455" s="1">
        <v>5.63</v>
      </c>
      <c r="G455" s="2">
        <v>23497</v>
      </c>
      <c r="H455">
        <v>1E-3</v>
      </c>
      <c r="I455">
        <v>2.8999999999999998E-3</v>
      </c>
    </row>
    <row r="456" spans="1:9" x14ac:dyDescent="0.2">
      <c r="A456" s="2">
        <v>30621</v>
      </c>
      <c r="B456">
        <v>29.84</v>
      </c>
      <c r="D456" s="2">
        <v>38657</v>
      </c>
      <c r="E456" s="1">
        <v>5.63</v>
      </c>
      <c r="G456" s="2">
        <v>23525</v>
      </c>
      <c r="H456">
        <v>1.41E-2</v>
      </c>
      <c r="I456">
        <v>2.5999999999999999E-3</v>
      </c>
    </row>
    <row r="457" spans="1:9" x14ac:dyDescent="0.2">
      <c r="A457" s="2">
        <v>30651</v>
      </c>
      <c r="B457">
        <v>29.24</v>
      </c>
      <c r="D457" s="2">
        <v>38687</v>
      </c>
      <c r="E457" s="1">
        <v>5.63</v>
      </c>
      <c r="G457" s="2">
        <v>23558</v>
      </c>
      <c r="H457">
        <v>1.2699999999999999E-2</v>
      </c>
      <c r="I457">
        <v>3.0000000000000001E-3</v>
      </c>
    </row>
    <row r="458" spans="1:9" x14ac:dyDescent="0.2">
      <c r="A458" s="2">
        <v>30682</v>
      </c>
      <c r="B458">
        <v>29.69</v>
      </c>
      <c r="D458" s="2">
        <v>38718</v>
      </c>
      <c r="E458" s="1">
        <v>5.63</v>
      </c>
      <c r="G458" s="2">
        <v>23589</v>
      </c>
      <c r="H458">
        <v>1.7399999999999999E-2</v>
      </c>
      <c r="I458">
        <v>3.0000000000000001E-3</v>
      </c>
    </row>
    <row r="459" spans="1:9" x14ac:dyDescent="0.2">
      <c r="A459" s="2">
        <v>30713</v>
      </c>
      <c r="B459">
        <v>30.145</v>
      </c>
      <c r="D459" s="2">
        <v>38749</v>
      </c>
      <c r="E459" s="1">
        <v>5.61</v>
      </c>
      <c r="G459" s="2">
        <v>23620</v>
      </c>
      <c r="H459">
        <v>-1.44E-2</v>
      </c>
      <c r="I459">
        <v>2.8E-3</v>
      </c>
    </row>
    <row r="460" spans="1:9" x14ac:dyDescent="0.2">
      <c r="A460" s="2">
        <v>30742</v>
      </c>
      <c r="B460">
        <v>30.760999999999999</v>
      </c>
      <c r="D460" s="2">
        <v>38777</v>
      </c>
      <c r="E460" s="1">
        <v>5.61</v>
      </c>
      <c r="G460" s="2">
        <v>23650</v>
      </c>
      <c r="H460">
        <v>2.69E-2</v>
      </c>
      <c r="I460">
        <v>2.8E-3</v>
      </c>
    </row>
    <row r="461" spans="1:9" x14ac:dyDescent="0.2">
      <c r="A461" s="2">
        <v>30773</v>
      </c>
      <c r="B461">
        <v>30.617999999999999</v>
      </c>
      <c r="D461" s="2">
        <v>38808</v>
      </c>
      <c r="E461" s="1">
        <v>5.69</v>
      </c>
      <c r="G461" s="2">
        <v>23680</v>
      </c>
      <c r="H461">
        <v>6.0000000000000001E-3</v>
      </c>
      <c r="I461">
        <v>2.8999999999999998E-3</v>
      </c>
    </row>
    <row r="462" spans="1:9" x14ac:dyDescent="0.2">
      <c r="A462" s="2">
        <v>30803</v>
      </c>
      <c r="B462">
        <v>30.52</v>
      </c>
      <c r="D462" s="2">
        <v>38838</v>
      </c>
      <c r="E462" s="1">
        <v>5.87</v>
      </c>
      <c r="G462" s="2">
        <v>23711</v>
      </c>
      <c r="H462">
        <v>-1E-4</v>
      </c>
      <c r="I462">
        <v>2.8999999999999998E-3</v>
      </c>
    </row>
    <row r="463" spans="1:9" x14ac:dyDescent="0.2">
      <c r="A463" s="2">
        <v>30834</v>
      </c>
      <c r="B463">
        <v>29.966999999999999</v>
      </c>
      <c r="D463" s="2">
        <v>38869</v>
      </c>
      <c r="E463" s="1">
        <v>5.96</v>
      </c>
      <c r="G463" s="2">
        <v>23742</v>
      </c>
      <c r="H463">
        <v>4.0000000000000002E-4</v>
      </c>
      <c r="I463">
        <v>3.0999999999999999E-3</v>
      </c>
    </row>
    <row r="464" spans="1:9" x14ac:dyDescent="0.2">
      <c r="A464" s="2">
        <v>30864</v>
      </c>
      <c r="B464">
        <v>28.751999999999999</v>
      </c>
      <c r="D464" s="2">
        <v>38899</v>
      </c>
      <c r="E464" s="1">
        <v>6.05</v>
      </c>
      <c r="G464" s="2">
        <v>23771</v>
      </c>
      <c r="H464">
        <v>3.5400000000000001E-2</v>
      </c>
      <c r="I464">
        <v>2.8E-3</v>
      </c>
    </row>
    <row r="465" spans="1:9" x14ac:dyDescent="0.2">
      <c r="A465" s="2">
        <v>30895</v>
      </c>
      <c r="B465">
        <v>29.25</v>
      </c>
      <c r="D465" s="2">
        <v>38930</v>
      </c>
      <c r="E465" s="1">
        <v>6.19</v>
      </c>
      <c r="G465" s="2">
        <v>23799</v>
      </c>
      <c r="H465">
        <v>4.4000000000000003E-3</v>
      </c>
      <c r="I465">
        <v>3.0000000000000001E-3</v>
      </c>
    </row>
    <row r="466" spans="1:9" x14ac:dyDescent="0.2">
      <c r="A466" s="2">
        <v>30926</v>
      </c>
      <c r="B466">
        <v>29.311</v>
      </c>
      <c r="D466" s="2">
        <v>38961</v>
      </c>
      <c r="E466" s="1">
        <v>6.21</v>
      </c>
      <c r="G466" s="2">
        <v>23832</v>
      </c>
      <c r="H466">
        <v>-1.34E-2</v>
      </c>
      <c r="I466">
        <v>3.5999999999999999E-3</v>
      </c>
    </row>
    <row r="467" spans="1:9" x14ac:dyDescent="0.2">
      <c r="A467" s="2">
        <v>30956</v>
      </c>
      <c r="B467">
        <v>28.765000000000001</v>
      </c>
      <c r="D467" s="2">
        <v>38991</v>
      </c>
      <c r="E467" s="1">
        <v>6.28</v>
      </c>
      <c r="G467" s="2">
        <v>23862</v>
      </c>
      <c r="H467">
        <v>3.1099999999999999E-2</v>
      </c>
      <c r="I467">
        <v>3.0999999999999999E-3</v>
      </c>
    </row>
    <row r="468" spans="1:9" x14ac:dyDescent="0.2">
      <c r="A468" s="2">
        <v>30987</v>
      </c>
      <c r="B468">
        <v>28.097999999999999</v>
      </c>
      <c r="D468" s="2">
        <v>39022</v>
      </c>
      <c r="E468" s="1">
        <v>6.37</v>
      </c>
      <c r="G468" s="2">
        <v>23890</v>
      </c>
      <c r="H468">
        <v>-7.7999999999999996E-3</v>
      </c>
      <c r="I468">
        <v>3.0999999999999999E-3</v>
      </c>
    </row>
    <row r="469" spans="1:9" x14ac:dyDescent="0.2">
      <c r="A469" s="2">
        <v>31017</v>
      </c>
      <c r="B469">
        <v>25.428999999999998</v>
      </c>
      <c r="D469" s="2">
        <v>39052</v>
      </c>
      <c r="E469" s="1">
        <v>6.39</v>
      </c>
      <c r="G469" s="2">
        <v>23923</v>
      </c>
      <c r="H469">
        <v>-5.5100000000000003E-2</v>
      </c>
      <c r="I469">
        <v>3.5000000000000001E-3</v>
      </c>
    </row>
    <row r="470" spans="1:9" x14ac:dyDescent="0.2">
      <c r="A470" s="2">
        <v>31048</v>
      </c>
      <c r="B470">
        <v>25.640999999999998</v>
      </c>
      <c r="D470" s="2">
        <v>39083</v>
      </c>
      <c r="E470" s="1">
        <v>6.43</v>
      </c>
      <c r="G470" s="2">
        <v>23953</v>
      </c>
      <c r="H470">
        <v>1.44E-2</v>
      </c>
      <c r="I470">
        <v>3.0999999999999999E-3</v>
      </c>
    </row>
    <row r="471" spans="1:9" x14ac:dyDescent="0.2">
      <c r="A471" s="2">
        <v>31079</v>
      </c>
      <c r="B471">
        <v>27.271000000000001</v>
      </c>
      <c r="D471" s="2">
        <v>39114</v>
      </c>
      <c r="E471" s="1">
        <v>6.37</v>
      </c>
      <c r="G471" s="2">
        <v>23985</v>
      </c>
      <c r="H471">
        <v>2.7300000000000001E-2</v>
      </c>
      <c r="I471">
        <v>3.3E-3</v>
      </c>
    </row>
    <row r="472" spans="1:9" x14ac:dyDescent="0.2">
      <c r="A472" s="2">
        <v>31107</v>
      </c>
      <c r="B472">
        <v>28.238</v>
      </c>
      <c r="D472" s="2">
        <v>39142</v>
      </c>
      <c r="E472" s="1">
        <v>6.43</v>
      </c>
      <c r="G472" s="2">
        <v>24015</v>
      </c>
      <c r="H472">
        <v>2.86E-2</v>
      </c>
      <c r="I472">
        <v>3.0999999999999999E-3</v>
      </c>
    </row>
    <row r="473" spans="1:9" x14ac:dyDescent="0.2">
      <c r="A473" s="2">
        <v>31138</v>
      </c>
      <c r="B473">
        <v>28.805</v>
      </c>
      <c r="D473" s="2">
        <v>39173</v>
      </c>
      <c r="E473" s="1">
        <v>6.48</v>
      </c>
      <c r="G473" s="2">
        <v>24044</v>
      </c>
      <c r="H473">
        <v>2.5999999999999999E-2</v>
      </c>
      <c r="I473">
        <v>3.0999999999999999E-3</v>
      </c>
    </row>
    <row r="474" spans="1:9" x14ac:dyDescent="0.2">
      <c r="A474" s="2">
        <v>31168</v>
      </c>
      <c r="B474">
        <v>27.623000000000001</v>
      </c>
      <c r="D474" s="2">
        <v>39203</v>
      </c>
      <c r="E474" s="1">
        <v>6.37</v>
      </c>
      <c r="G474" s="2">
        <v>24076</v>
      </c>
      <c r="H474">
        <v>-2.9999999999999997E-4</v>
      </c>
      <c r="I474">
        <v>3.5000000000000001E-3</v>
      </c>
    </row>
    <row r="475" spans="1:9" x14ac:dyDescent="0.2">
      <c r="A475" s="2">
        <v>31199</v>
      </c>
      <c r="B475">
        <v>27.143000000000001</v>
      </c>
      <c r="D475" s="2">
        <v>39234</v>
      </c>
      <c r="E475" s="1">
        <v>6.42</v>
      </c>
      <c r="G475" s="2">
        <v>24107</v>
      </c>
      <c r="H475">
        <v>1.01E-2</v>
      </c>
      <c r="I475">
        <v>3.3E-3</v>
      </c>
    </row>
    <row r="476" spans="1:9" x14ac:dyDescent="0.2">
      <c r="A476" s="2">
        <v>31229</v>
      </c>
      <c r="B476">
        <v>27.329000000000001</v>
      </c>
      <c r="D476" s="2">
        <v>39264</v>
      </c>
      <c r="E476" s="1">
        <v>6.47</v>
      </c>
      <c r="G476" s="2">
        <v>24138</v>
      </c>
      <c r="H476">
        <v>7.1999999999999998E-3</v>
      </c>
      <c r="I476">
        <v>3.8E-3</v>
      </c>
    </row>
    <row r="477" spans="1:9" x14ac:dyDescent="0.2">
      <c r="A477" s="2">
        <v>31260</v>
      </c>
      <c r="B477">
        <v>27.754999999999999</v>
      </c>
      <c r="D477" s="2">
        <v>39295</v>
      </c>
      <c r="E477" s="1">
        <v>6.75</v>
      </c>
      <c r="G477" s="2">
        <v>24166</v>
      </c>
      <c r="H477">
        <v>-1.21E-2</v>
      </c>
      <c r="I477">
        <v>3.5000000000000001E-3</v>
      </c>
    </row>
    <row r="478" spans="1:9" x14ac:dyDescent="0.2">
      <c r="A478" s="2">
        <v>31291</v>
      </c>
      <c r="B478">
        <v>28.289000000000001</v>
      </c>
      <c r="D478" s="2">
        <v>39326</v>
      </c>
      <c r="E478" s="1">
        <v>6.94</v>
      </c>
      <c r="G478" s="2">
        <v>24197</v>
      </c>
      <c r="H478">
        <v>-2.5100000000000001E-2</v>
      </c>
      <c r="I478">
        <v>3.8E-3</v>
      </c>
    </row>
    <row r="479" spans="1:9" x14ac:dyDescent="0.2">
      <c r="A479" s="2">
        <v>31321</v>
      </c>
      <c r="B479">
        <v>29.538</v>
      </c>
      <c r="D479" s="2">
        <v>39356</v>
      </c>
      <c r="E479" s="1">
        <v>6.91</v>
      </c>
      <c r="G479" s="2">
        <v>24226</v>
      </c>
      <c r="H479">
        <v>2.1299999999999999E-2</v>
      </c>
      <c r="I479">
        <v>3.3999999999999998E-3</v>
      </c>
    </row>
    <row r="480" spans="1:9" x14ac:dyDescent="0.2">
      <c r="A480" s="2">
        <v>31352</v>
      </c>
      <c r="B480">
        <v>30.812999999999999</v>
      </c>
      <c r="D480" s="2">
        <v>39387</v>
      </c>
      <c r="E480" s="1">
        <v>7.15</v>
      </c>
      <c r="G480" s="2">
        <v>24258</v>
      </c>
      <c r="H480">
        <v>-5.67E-2</v>
      </c>
      <c r="I480">
        <v>4.1000000000000003E-3</v>
      </c>
    </row>
    <row r="481" spans="1:9" x14ac:dyDescent="0.2">
      <c r="A481" s="2">
        <v>31382</v>
      </c>
      <c r="B481">
        <v>27.228000000000002</v>
      </c>
      <c r="D481" s="2">
        <v>39417</v>
      </c>
      <c r="E481" s="1">
        <v>7.29</v>
      </c>
      <c r="G481" s="2">
        <v>24288</v>
      </c>
      <c r="H481">
        <v>-1.44E-2</v>
      </c>
      <c r="I481">
        <v>3.8E-3</v>
      </c>
    </row>
    <row r="482" spans="1:9" x14ac:dyDescent="0.2">
      <c r="A482" s="2">
        <v>31413</v>
      </c>
      <c r="B482">
        <v>22.945</v>
      </c>
      <c r="D482" s="2">
        <v>39448</v>
      </c>
      <c r="E482" s="1">
        <v>7.18</v>
      </c>
      <c r="G482" s="2">
        <v>24317</v>
      </c>
      <c r="H482">
        <v>-1.6299999999999999E-2</v>
      </c>
      <c r="I482">
        <v>3.5000000000000001E-3</v>
      </c>
    </row>
    <row r="483" spans="1:9" x14ac:dyDescent="0.2">
      <c r="A483" s="2">
        <v>31444</v>
      </c>
      <c r="B483">
        <v>15.442</v>
      </c>
      <c r="D483" s="2">
        <v>39479</v>
      </c>
      <c r="E483" s="1">
        <v>7.69</v>
      </c>
      <c r="G483" s="2">
        <v>24350</v>
      </c>
      <c r="H483">
        <v>-7.9399999999999998E-2</v>
      </c>
      <c r="I483">
        <v>4.1000000000000003E-3</v>
      </c>
    </row>
    <row r="484" spans="1:9" x14ac:dyDescent="0.2">
      <c r="A484" s="2">
        <v>31472</v>
      </c>
      <c r="B484">
        <v>12.618</v>
      </c>
      <c r="D484" s="2">
        <v>39508</v>
      </c>
      <c r="E484" s="1">
        <v>7.9</v>
      </c>
      <c r="G484" s="2">
        <v>24380</v>
      </c>
      <c r="H484">
        <v>-1.06E-2</v>
      </c>
      <c r="I484">
        <v>4.0000000000000001E-3</v>
      </c>
    </row>
    <row r="485" spans="1:9" x14ac:dyDescent="0.2">
      <c r="A485" s="2">
        <v>31503</v>
      </c>
      <c r="B485">
        <v>12.847</v>
      </c>
      <c r="D485" s="2">
        <v>39539</v>
      </c>
      <c r="E485" s="1">
        <v>7.84</v>
      </c>
      <c r="G485" s="2">
        <v>24411</v>
      </c>
      <c r="H485">
        <v>3.8600000000000002E-2</v>
      </c>
      <c r="I485">
        <v>4.4999999999999997E-3</v>
      </c>
    </row>
    <row r="486" spans="1:9" x14ac:dyDescent="0.2">
      <c r="A486" s="2">
        <v>31533</v>
      </c>
      <c r="B486">
        <v>15.444000000000001</v>
      </c>
      <c r="D486" s="2">
        <v>39569</v>
      </c>
      <c r="E486" s="1">
        <v>7.75</v>
      </c>
      <c r="G486" s="2">
        <v>24441</v>
      </c>
      <c r="H486">
        <v>1.38E-2</v>
      </c>
      <c r="I486">
        <v>4.0000000000000001E-3</v>
      </c>
    </row>
    <row r="487" spans="1:9" x14ac:dyDescent="0.2">
      <c r="A487" s="2">
        <v>31564</v>
      </c>
      <c r="B487">
        <v>13.468999999999999</v>
      </c>
      <c r="D487" s="2">
        <v>39600</v>
      </c>
      <c r="E487" s="1">
        <v>7.81</v>
      </c>
      <c r="G487" s="2">
        <v>24471</v>
      </c>
      <c r="H487">
        <v>1.2999999999999999E-3</v>
      </c>
      <c r="I487">
        <v>4.0000000000000001E-3</v>
      </c>
    </row>
    <row r="488" spans="1:9" x14ac:dyDescent="0.2">
      <c r="A488" s="2">
        <v>31594</v>
      </c>
      <c r="B488">
        <v>11.574999999999999</v>
      </c>
      <c r="D488" s="2">
        <v>39630</v>
      </c>
      <c r="E488" s="1">
        <v>7.75</v>
      </c>
      <c r="G488" s="2">
        <v>24503</v>
      </c>
      <c r="H488">
        <v>8.1500000000000003E-2</v>
      </c>
      <c r="I488">
        <v>4.3E-3</v>
      </c>
    </row>
    <row r="489" spans="1:9" x14ac:dyDescent="0.2">
      <c r="A489" s="2">
        <v>31625</v>
      </c>
      <c r="B489">
        <v>15.092000000000001</v>
      </c>
      <c r="D489" s="2">
        <v>39661</v>
      </c>
      <c r="E489" s="1">
        <v>7.31</v>
      </c>
      <c r="G489" s="2">
        <v>24531</v>
      </c>
      <c r="H489">
        <v>7.7000000000000002E-3</v>
      </c>
      <c r="I489">
        <v>3.5999999999999999E-3</v>
      </c>
    </row>
    <row r="490" spans="1:9" x14ac:dyDescent="0.2">
      <c r="A490" s="2">
        <v>31656</v>
      </c>
      <c r="B490">
        <v>14.913</v>
      </c>
      <c r="D490" s="2">
        <v>39692</v>
      </c>
      <c r="E490" s="1">
        <v>7.27</v>
      </c>
      <c r="G490" s="2">
        <v>24562</v>
      </c>
      <c r="H490">
        <v>3.9899999999999998E-2</v>
      </c>
      <c r="I490">
        <v>3.8999999999999998E-3</v>
      </c>
    </row>
    <row r="491" spans="1:9" x14ac:dyDescent="0.2">
      <c r="A491" s="2">
        <v>31686</v>
      </c>
      <c r="B491">
        <v>14.852</v>
      </c>
      <c r="D491" s="2">
        <v>39722</v>
      </c>
      <c r="E491" s="1">
        <v>6.03</v>
      </c>
      <c r="G491" s="2">
        <v>24590</v>
      </c>
      <c r="H491">
        <v>3.8899999999999997E-2</v>
      </c>
      <c r="I491">
        <v>3.2000000000000002E-3</v>
      </c>
    </row>
    <row r="492" spans="1:9" x14ac:dyDescent="0.2">
      <c r="A492" s="2">
        <v>31717</v>
      </c>
      <c r="B492">
        <v>15.207000000000001</v>
      </c>
      <c r="D492" s="2">
        <v>39753</v>
      </c>
      <c r="E492" s="1">
        <v>4.76</v>
      </c>
      <c r="G492" s="2">
        <v>24623</v>
      </c>
      <c r="H492">
        <v>-4.3200000000000002E-2</v>
      </c>
      <c r="I492">
        <v>3.3E-3</v>
      </c>
    </row>
    <row r="493" spans="1:9" x14ac:dyDescent="0.2">
      <c r="A493" s="2">
        <v>31747</v>
      </c>
      <c r="B493">
        <v>16.076000000000001</v>
      </c>
      <c r="D493" s="2">
        <v>39783</v>
      </c>
      <c r="E493" s="1">
        <v>4.3899999999999997</v>
      </c>
      <c r="G493" s="2">
        <v>24653</v>
      </c>
      <c r="H493">
        <v>2.4199999999999999E-2</v>
      </c>
      <c r="I493">
        <v>2.7000000000000001E-3</v>
      </c>
    </row>
    <row r="494" spans="1:9" x14ac:dyDescent="0.2">
      <c r="A494" s="2">
        <v>31778</v>
      </c>
      <c r="B494">
        <v>18.655999999999999</v>
      </c>
      <c r="D494" s="2">
        <v>39814</v>
      </c>
      <c r="E494" s="1">
        <v>3.74</v>
      </c>
      <c r="G494" s="2">
        <v>24684</v>
      </c>
      <c r="H494">
        <v>4.58E-2</v>
      </c>
      <c r="I494">
        <v>3.2000000000000002E-3</v>
      </c>
    </row>
    <row r="495" spans="1:9" x14ac:dyDescent="0.2">
      <c r="A495" s="2">
        <v>31809</v>
      </c>
      <c r="B495">
        <v>17.725999999999999</v>
      </c>
      <c r="D495" s="2">
        <v>39845</v>
      </c>
      <c r="E495" s="1">
        <v>3.16</v>
      </c>
      <c r="G495" s="2">
        <v>24715</v>
      </c>
      <c r="H495">
        <v>-8.9999999999999993E-3</v>
      </c>
      <c r="I495">
        <v>3.0999999999999999E-3</v>
      </c>
    </row>
    <row r="496" spans="1:9" x14ac:dyDescent="0.2">
      <c r="A496" s="2">
        <v>31837</v>
      </c>
      <c r="B496">
        <v>18.305</v>
      </c>
      <c r="D496" s="2">
        <v>39873</v>
      </c>
      <c r="E496" s="1">
        <v>3.16</v>
      </c>
      <c r="G496" s="2">
        <v>24744</v>
      </c>
      <c r="H496">
        <v>3.1E-2</v>
      </c>
      <c r="I496">
        <v>3.2000000000000002E-3</v>
      </c>
    </row>
    <row r="497" spans="1:9" x14ac:dyDescent="0.2">
      <c r="A497" s="2">
        <v>31868</v>
      </c>
      <c r="B497">
        <v>18.643000000000001</v>
      </c>
      <c r="D497" s="2">
        <v>39904</v>
      </c>
      <c r="E497" s="1">
        <v>3.1</v>
      </c>
      <c r="G497" s="2">
        <v>24776</v>
      </c>
      <c r="H497">
        <v>-3.0800000000000001E-2</v>
      </c>
      <c r="I497">
        <v>3.8999999999999998E-3</v>
      </c>
    </row>
    <row r="498" spans="1:9" x14ac:dyDescent="0.2">
      <c r="A498" s="2">
        <v>31898</v>
      </c>
      <c r="B498">
        <v>19.414999999999999</v>
      </c>
      <c r="D498" s="2">
        <v>39934</v>
      </c>
      <c r="E498" s="1">
        <v>3.13</v>
      </c>
      <c r="G498" s="2">
        <v>24806</v>
      </c>
      <c r="H498">
        <v>3.7000000000000002E-3</v>
      </c>
      <c r="I498">
        <v>3.5999999999999999E-3</v>
      </c>
    </row>
    <row r="499" spans="1:9" x14ac:dyDescent="0.2">
      <c r="A499" s="2">
        <v>31929</v>
      </c>
      <c r="B499">
        <v>20.033999999999999</v>
      </c>
      <c r="D499" s="2">
        <v>39965</v>
      </c>
      <c r="E499" s="1">
        <v>3.25</v>
      </c>
      <c r="G499" s="2">
        <v>24835</v>
      </c>
      <c r="H499">
        <v>3.0499999999999999E-2</v>
      </c>
      <c r="I499">
        <v>3.3E-3</v>
      </c>
    </row>
    <row r="500" spans="1:9" x14ac:dyDescent="0.2">
      <c r="A500" s="2">
        <v>31959</v>
      </c>
      <c r="B500">
        <v>21.355</v>
      </c>
      <c r="D500" s="2">
        <v>39995</v>
      </c>
      <c r="E500" s="1">
        <v>3.14</v>
      </c>
      <c r="G500" s="2">
        <v>24868</v>
      </c>
      <c r="H500">
        <v>-4.0300000000000002E-2</v>
      </c>
      <c r="I500">
        <v>4.0000000000000001E-3</v>
      </c>
    </row>
    <row r="501" spans="1:9" x14ac:dyDescent="0.2">
      <c r="A501" s="2">
        <v>31990</v>
      </c>
      <c r="B501">
        <v>20.274000000000001</v>
      </c>
      <c r="D501" s="2">
        <v>40026</v>
      </c>
      <c r="E501" s="1">
        <v>3.3</v>
      </c>
      <c r="G501" s="2">
        <v>24897</v>
      </c>
      <c r="H501">
        <v>-3.7400000000000003E-2</v>
      </c>
      <c r="I501">
        <v>3.8999999999999998E-3</v>
      </c>
    </row>
    <row r="502" spans="1:9" x14ac:dyDescent="0.2">
      <c r="A502" s="2">
        <v>32021</v>
      </c>
      <c r="B502">
        <v>19.526</v>
      </c>
      <c r="D502" s="2">
        <v>40057</v>
      </c>
      <c r="E502" s="1">
        <v>3.37</v>
      </c>
      <c r="G502" s="2">
        <v>24926</v>
      </c>
      <c r="H502">
        <v>2.0999999999999999E-3</v>
      </c>
      <c r="I502">
        <v>3.8E-3</v>
      </c>
    </row>
    <row r="503" spans="1:9" x14ac:dyDescent="0.2">
      <c r="A503" s="2">
        <v>32051</v>
      </c>
      <c r="B503">
        <v>19.847999999999999</v>
      </c>
      <c r="D503" s="2">
        <v>40087</v>
      </c>
      <c r="E503" s="1">
        <v>3.78</v>
      </c>
      <c r="G503" s="2">
        <v>24958</v>
      </c>
      <c r="H503">
        <v>9.0200000000000002E-2</v>
      </c>
      <c r="I503">
        <v>4.3E-3</v>
      </c>
    </row>
    <row r="504" spans="1:9" x14ac:dyDescent="0.2">
      <c r="A504" s="2">
        <v>32082</v>
      </c>
      <c r="B504">
        <v>18.920000000000002</v>
      </c>
      <c r="D504" s="2">
        <v>40118</v>
      </c>
      <c r="E504" s="1">
        <v>3.95</v>
      </c>
      <c r="G504" s="2">
        <v>24989</v>
      </c>
      <c r="H504">
        <v>2.2800000000000001E-2</v>
      </c>
      <c r="I504">
        <v>4.4999999999999997E-3</v>
      </c>
    </row>
    <row r="505" spans="1:9" x14ac:dyDescent="0.2">
      <c r="A505" s="2">
        <v>32112</v>
      </c>
      <c r="B505">
        <v>17.241</v>
      </c>
      <c r="D505" s="2">
        <v>40148</v>
      </c>
      <c r="E505" s="1">
        <v>4.1290476190476202</v>
      </c>
      <c r="G505" s="2">
        <v>25017</v>
      </c>
      <c r="H505">
        <v>7.0000000000000001E-3</v>
      </c>
      <c r="I505">
        <v>4.3E-3</v>
      </c>
    </row>
    <row r="506" spans="1:9" x14ac:dyDescent="0.2">
      <c r="A506" s="2">
        <v>32143</v>
      </c>
      <c r="B506">
        <v>17.16</v>
      </c>
      <c r="D506" s="2">
        <v>40179</v>
      </c>
      <c r="E506" s="1">
        <v>4.2024999999999997</v>
      </c>
      <c r="G506" s="2">
        <v>25049</v>
      </c>
      <c r="H506">
        <v>-2.69E-2</v>
      </c>
      <c r="I506">
        <v>4.7999999999999996E-3</v>
      </c>
    </row>
    <row r="507" spans="1:9" x14ac:dyDescent="0.2">
      <c r="A507" s="2">
        <v>32174</v>
      </c>
      <c r="B507">
        <v>16.765000000000001</v>
      </c>
      <c r="D507" s="2">
        <v>40210</v>
      </c>
      <c r="E507" s="1">
        <v>4.16</v>
      </c>
      <c r="G507" s="2">
        <v>25080</v>
      </c>
      <c r="H507">
        <v>1.35E-2</v>
      </c>
      <c r="I507">
        <v>4.1999999999999997E-3</v>
      </c>
    </row>
    <row r="508" spans="1:9" x14ac:dyDescent="0.2">
      <c r="A508" s="2">
        <v>32203</v>
      </c>
      <c r="B508">
        <v>16.216999999999999</v>
      </c>
      <c r="D508" s="2">
        <v>40238</v>
      </c>
      <c r="E508" s="1">
        <v>4.3274999999999997</v>
      </c>
      <c r="G508" s="2">
        <v>25111</v>
      </c>
      <c r="H508">
        <v>4.0500000000000001E-2</v>
      </c>
      <c r="I508">
        <v>4.3E-3</v>
      </c>
    </row>
    <row r="509" spans="1:9" x14ac:dyDescent="0.2">
      <c r="A509" s="2">
        <v>32234</v>
      </c>
      <c r="B509">
        <v>17.875</v>
      </c>
      <c r="D509" s="2">
        <v>40269</v>
      </c>
      <c r="E509" s="1">
        <v>4.5449999999999999</v>
      </c>
      <c r="G509" s="2">
        <v>25142</v>
      </c>
      <c r="H509">
        <v>4.3E-3</v>
      </c>
      <c r="I509">
        <v>4.4000000000000003E-3</v>
      </c>
    </row>
    <row r="510" spans="1:9" x14ac:dyDescent="0.2">
      <c r="A510" s="2">
        <v>32264</v>
      </c>
      <c r="B510">
        <v>17.437999999999999</v>
      </c>
      <c r="D510" s="2">
        <v>40299</v>
      </c>
      <c r="E510" s="1">
        <v>4.8049999999999997</v>
      </c>
      <c r="G510" s="2">
        <v>25171</v>
      </c>
      <c r="H510">
        <v>5.4300000000000001E-2</v>
      </c>
      <c r="I510">
        <v>4.1999999999999997E-3</v>
      </c>
    </row>
    <row r="511" spans="1:9" x14ac:dyDescent="0.2">
      <c r="A511" s="2">
        <v>32295</v>
      </c>
      <c r="B511">
        <v>16.53</v>
      </c>
      <c r="D511" s="2">
        <v>40330</v>
      </c>
      <c r="E511" s="1">
        <v>4.8875000000000002</v>
      </c>
      <c r="G511" s="2">
        <v>25203</v>
      </c>
      <c r="H511">
        <v>-3.9300000000000002E-2</v>
      </c>
      <c r="I511">
        <v>4.3E-3</v>
      </c>
    </row>
    <row r="512" spans="1:9" x14ac:dyDescent="0.2">
      <c r="A512" s="2">
        <v>32325</v>
      </c>
      <c r="B512">
        <v>15.497999999999999</v>
      </c>
      <c r="D512" s="2">
        <v>40360</v>
      </c>
      <c r="E512" s="1">
        <v>4.84</v>
      </c>
      <c r="G512" s="2">
        <v>25234</v>
      </c>
      <c r="H512">
        <v>-1.2500000000000001E-2</v>
      </c>
      <c r="I512">
        <v>5.3E-3</v>
      </c>
    </row>
    <row r="513" spans="1:9" x14ac:dyDescent="0.2">
      <c r="A513" s="2">
        <v>32356</v>
      </c>
      <c r="B513">
        <v>15.523999999999999</v>
      </c>
      <c r="D513" s="2">
        <v>40391</v>
      </c>
      <c r="E513" s="1">
        <v>4.7424999999999997</v>
      </c>
      <c r="G513" s="2">
        <v>25262</v>
      </c>
      <c r="H513">
        <v>-5.8599999999999999E-2</v>
      </c>
      <c r="I513">
        <v>4.5999999999999999E-3</v>
      </c>
    </row>
    <row r="514" spans="1:9" x14ac:dyDescent="0.2">
      <c r="A514" s="2">
        <v>32387</v>
      </c>
      <c r="B514">
        <v>14.467000000000001</v>
      </c>
      <c r="D514" s="2">
        <v>40422</v>
      </c>
      <c r="E514" s="1">
        <v>4.8150000000000004</v>
      </c>
      <c r="G514" s="2">
        <v>25290</v>
      </c>
      <c r="H514">
        <v>2.6599999999999999E-2</v>
      </c>
      <c r="I514">
        <v>4.5999999999999999E-3</v>
      </c>
    </row>
    <row r="515" spans="1:9" x14ac:dyDescent="0.2">
      <c r="A515" s="2">
        <v>32417</v>
      </c>
      <c r="B515">
        <v>13.798</v>
      </c>
      <c r="D515" s="2">
        <v>40452</v>
      </c>
      <c r="E515" s="1">
        <v>4.8099999999999996</v>
      </c>
      <c r="G515" s="2">
        <v>25323</v>
      </c>
      <c r="H515">
        <v>1.46E-2</v>
      </c>
      <c r="I515">
        <v>5.3E-3</v>
      </c>
    </row>
    <row r="516" spans="1:9" x14ac:dyDescent="0.2">
      <c r="A516" s="2">
        <v>32448</v>
      </c>
      <c r="B516">
        <v>13.977</v>
      </c>
      <c r="D516" s="2">
        <v>40483</v>
      </c>
      <c r="E516" s="1">
        <v>5.0149999999999997</v>
      </c>
      <c r="G516" s="2">
        <v>25352</v>
      </c>
      <c r="H516">
        <v>-8.9999999999999998E-4</v>
      </c>
      <c r="I516">
        <v>4.7999999999999996E-3</v>
      </c>
    </row>
    <row r="517" spans="1:9" x14ac:dyDescent="0.2">
      <c r="A517" s="2">
        <v>32478</v>
      </c>
      <c r="B517">
        <v>16.265999999999998</v>
      </c>
      <c r="D517" s="2">
        <v>40513</v>
      </c>
      <c r="E517" s="1">
        <v>5.0250000000000004</v>
      </c>
      <c r="G517" s="2">
        <v>25384</v>
      </c>
      <c r="H517">
        <v>-7.1900000000000006E-2</v>
      </c>
      <c r="I517">
        <v>5.1000000000000004E-3</v>
      </c>
    </row>
    <row r="518" spans="1:9" x14ac:dyDescent="0.2">
      <c r="A518" s="2">
        <v>32509</v>
      </c>
      <c r="B518">
        <v>17.983000000000001</v>
      </c>
      <c r="D518" s="2">
        <v>40544</v>
      </c>
      <c r="E518" s="1">
        <v>4.9550000000000001</v>
      </c>
      <c r="G518" s="2">
        <v>25415</v>
      </c>
      <c r="H518">
        <v>-7.0000000000000007E-2</v>
      </c>
      <c r="I518">
        <v>5.3E-3</v>
      </c>
    </row>
    <row r="519" spans="1:9" x14ac:dyDescent="0.2">
      <c r="A519" s="2">
        <v>32540</v>
      </c>
      <c r="B519">
        <v>17.826000000000001</v>
      </c>
      <c r="D519" s="2">
        <v>40575</v>
      </c>
      <c r="E519" s="1">
        <v>4.9175000000000004</v>
      </c>
      <c r="G519" s="2">
        <v>25444</v>
      </c>
      <c r="H519">
        <v>4.6899999999999997E-2</v>
      </c>
      <c r="I519">
        <v>5.0000000000000001E-3</v>
      </c>
    </row>
    <row r="520" spans="1:9" x14ac:dyDescent="0.2">
      <c r="A520" s="2">
        <v>32568</v>
      </c>
      <c r="B520">
        <v>19.445</v>
      </c>
      <c r="D520" s="2">
        <v>40603</v>
      </c>
      <c r="E520" s="1">
        <v>4.92</v>
      </c>
      <c r="G520" s="2">
        <v>25476</v>
      </c>
      <c r="H520">
        <v>-2.9700000000000001E-2</v>
      </c>
      <c r="I520">
        <v>6.1999999999999998E-3</v>
      </c>
    </row>
    <row r="521" spans="1:9" x14ac:dyDescent="0.2">
      <c r="A521" s="2">
        <v>32599</v>
      </c>
      <c r="B521">
        <v>21.04</v>
      </c>
      <c r="D521" s="2">
        <v>40634</v>
      </c>
      <c r="E521" s="1">
        <v>4.9000000000000004</v>
      </c>
      <c r="G521" s="2">
        <v>25507</v>
      </c>
      <c r="H521">
        <v>5.0599999999999999E-2</v>
      </c>
      <c r="I521">
        <v>6.0000000000000001E-3</v>
      </c>
    </row>
    <row r="522" spans="1:9" x14ac:dyDescent="0.2">
      <c r="A522" s="2">
        <v>32629</v>
      </c>
      <c r="B522">
        <v>20.032</v>
      </c>
      <c r="D522" s="2">
        <v>40664</v>
      </c>
      <c r="E522" s="1">
        <v>5.0025000000000004</v>
      </c>
      <c r="G522" s="2">
        <v>25535</v>
      </c>
      <c r="H522">
        <v>-3.7999999999999999E-2</v>
      </c>
      <c r="I522">
        <v>5.1999999999999998E-3</v>
      </c>
    </row>
    <row r="523" spans="1:9" x14ac:dyDescent="0.2">
      <c r="A523" s="2">
        <v>32660</v>
      </c>
      <c r="B523">
        <v>20.004999999999999</v>
      </c>
      <c r="D523" s="2">
        <v>40695</v>
      </c>
      <c r="E523" s="1">
        <v>4.9924999999999997</v>
      </c>
      <c r="G523" s="2">
        <v>25568</v>
      </c>
      <c r="H523">
        <v>-2.63E-2</v>
      </c>
      <c r="I523">
        <v>6.4000000000000003E-3</v>
      </c>
    </row>
    <row r="524" spans="1:9" x14ac:dyDescent="0.2">
      <c r="A524" s="2">
        <v>32690</v>
      </c>
      <c r="B524">
        <v>19.643999999999998</v>
      </c>
      <c r="D524" s="2">
        <v>40725</v>
      </c>
      <c r="E524" s="1">
        <v>4.9550000000000001</v>
      </c>
      <c r="G524" s="2">
        <v>25598</v>
      </c>
      <c r="H524">
        <v>-8.1000000000000003E-2</v>
      </c>
      <c r="I524">
        <v>6.0000000000000001E-3</v>
      </c>
    </row>
    <row r="525" spans="1:9" x14ac:dyDescent="0.2">
      <c r="A525" s="2">
        <v>32721</v>
      </c>
      <c r="B525">
        <v>18.521999999999998</v>
      </c>
      <c r="D525" s="2">
        <v>40756</v>
      </c>
      <c r="E525" s="1">
        <v>4.8574999999999999</v>
      </c>
      <c r="G525" s="2">
        <v>25626</v>
      </c>
      <c r="H525">
        <v>5.1400000000000001E-2</v>
      </c>
      <c r="I525">
        <v>6.1999999999999998E-3</v>
      </c>
    </row>
    <row r="526" spans="1:9" x14ac:dyDescent="0.2">
      <c r="A526" s="2">
        <v>32752</v>
      </c>
      <c r="B526">
        <v>19.594000000000001</v>
      </c>
      <c r="D526" s="2">
        <v>40787</v>
      </c>
      <c r="E526" s="1">
        <v>4.8099999999999996</v>
      </c>
      <c r="G526" s="2">
        <v>25658</v>
      </c>
      <c r="H526">
        <v>-1.06E-2</v>
      </c>
      <c r="I526">
        <v>5.7000000000000002E-3</v>
      </c>
    </row>
    <row r="527" spans="1:9" x14ac:dyDescent="0.2">
      <c r="A527" s="2">
        <v>32782</v>
      </c>
      <c r="B527">
        <v>20.091000000000001</v>
      </c>
      <c r="D527" s="2">
        <v>40817</v>
      </c>
      <c r="E527" s="1">
        <v>4.7249999999999996</v>
      </c>
      <c r="G527" s="2">
        <v>25688</v>
      </c>
      <c r="H527">
        <v>-0.1099</v>
      </c>
      <c r="I527">
        <v>5.0000000000000001E-3</v>
      </c>
    </row>
    <row r="528" spans="1:9" x14ac:dyDescent="0.2">
      <c r="A528" s="2">
        <v>32813</v>
      </c>
      <c r="B528">
        <v>19.82</v>
      </c>
      <c r="D528" s="2">
        <v>40848</v>
      </c>
      <c r="E528" s="1">
        <v>4.6224999999999996</v>
      </c>
      <c r="G528" s="2">
        <v>25717</v>
      </c>
      <c r="H528">
        <v>-6.9000000000000006E-2</v>
      </c>
      <c r="I528">
        <v>5.3E-3</v>
      </c>
    </row>
    <row r="529" spans="1:9" x14ac:dyDescent="0.2">
      <c r="A529" s="2">
        <v>32843</v>
      </c>
      <c r="B529">
        <v>21.088000000000001</v>
      </c>
      <c r="D529" s="2">
        <v>40878</v>
      </c>
      <c r="E529" s="1">
        <v>4.5075000000000003</v>
      </c>
      <c r="G529" s="2">
        <v>25749</v>
      </c>
      <c r="H529">
        <v>-5.8000000000000003E-2</v>
      </c>
      <c r="I529">
        <v>5.7999999999999996E-3</v>
      </c>
    </row>
    <row r="530" spans="1:9" x14ac:dyDescent="0.2">
      <c r="A530" s="2">
        <v>32874</v>
      </c>
      <c r="B530">
        <v>22.640999999999998</v>
      </c>
      <c r="D530" s="2">
        <v>40909</v>
      </c>
      <c r="E530" s="1">
        <v>4.41</v>
      </c>
      <c r="G530" s="2">
        <v>25780</v>
      </c>
      <c r="H530">
        <v>6.9199999999999998E-2</v>
      </c>
      <c r="I530">
        <v>5.1999999999999998E-3</v>
      </c>
    </row>
    <row r="531" spans="1:9" x14ac:dyDescent="0.2">
      <c r="A531" s="2">
        <v>32905</v>
      </c>
      <c r="B531">
        <v>22.108000000000001</v>
      </c>
      <c r="D531" s="2">
        <v>40940</v>
      </c>
      <c r="E531" s="1">
        <v>4.37</v>
      </c>
      <c r="G531" s="2">
        <v>25811</v>
      </c>
      <c r="H531">
        <v>4.4999999999999998E-2</v>
      </c>
      <c r="I531">
        <v>5.3E-3</v>
      </c>
    </row>
    <row r="532" spans="1:9" x14ac:dyDescent="0.2">
      <c r="A532" s="2">
        <v>32933</v>
      </c>
      <c r="B532">
        <v>20.417999999999999</v>
      </c>
      <c r="D532" s="2">
        <v>40969</v>
      </c>
      <c r="E532" s="1">
        <v>4.4424999999999999</v>
      </c>
      <c r="G532" s="2">
        <v>25841</v>
      </c>
      <c r="H532">
        <v>4.1799999999999997E-2</v>
      </c>
      <c r="I532">
        <v>5.4000000000000003E-3</v>
      </c>
    </row>
    <row r="533" spans="1:9" x14ac:dyDescent="0.2">
      <c r="A533" s="2">
        <v>32964</v>
      </c>
      <c r="B533">
        <v>18.582000000000001</v>
      </c>
      <c r="D533" s="2">
        <v>41000</v>
      </c>
      <c r="E533" s="1">
        <v>4.2024999999999997</v>
      </c>
      <c r="G533" s="2">
        <v>25871</v>
      </c>
      <c r="H533">
        <v>-2.2700000000000001E-2</v>
      </c>
      <c r="I533">
        <v>4.5999999999999999E-3</v>
      </c>
    </row>
    <row r="534" spans="1:9" x14ac:dyDescent="0.2">
      <c r="A534" s="2">
        <v>32994</v>
      </c>
      <c r="B534">
        <v>18.236999999999998</v>
      </c>
      <c r="D534" s="2">
        <v>41030</v>
      </c>
      <c r="E534" s="1">
        <v>3.6549999999999998</v>
      </c>
      <c r="G534" s="2">
        <v>25902</v>
      </c>
      <c r="H534">
        <v>4.6199999999999998E-2</v>
      </c>
      <c r="I534">
        <v>4.5999999999999999E-3</v>
      </c>
    </row>
    <row r="535" spans="1:9" x14ac:dyDescent="0.2">
      <c r="A535" s="2">
        <v>33025</v>
      </c>
      <c r="B535">
        <v>16.870999999999999</v>
      </c>
      <c r="D535" s="2">
        <v>41061</v>
      </c>
      <c r="E535" s="1">
        <v>3.4925000000000002</v>
      </c>
      <c r="G535" s="2">
        <v>25933</v>
      </c>
      <c r="H535">
        <v>5.74E-2</v>
      </c>
      <c r="I535">
        <v>4.1999999999999997E-3</v>
      </c>
    </row>
    <row r="536" spans="1:9" x14ac:dyDescent="0.2">
      <c r="A536" s="2">
        <v>33055</v>
      </c>
      <c r="B536">
        <v>18.638000000000002</v>
      </c>
      <c r="D536" s="2">
        <v>41091</v>
      </c>
      <c r="E536" s="1">
        <v>3.5449999999999999</v>
      </c>
      <c r="G536" s="2">
        <v>25962</v>
      </c>
      <c r="H536">
        <v>4.8300000000000003E-2</v>
      </c>
      <c r="I536">
        <v>3.8E-3</v>
      </c>
    </row>
    <row r="537" spans="1:9" x14ac:dyDescent="0.2">
      <c r="A537" s="2">
        <v>33086</v>
      </c>
      <c r="B537">
        <v>27.173999999999999</v>
      </c>
      <c r="D537" s="2">
        <v>41122</v>
      </c>
      <c r="E537" s="1">
        <v>3.6175000000000002</v>
      </c>
      <c r="G537" s="2">
        <v>25990</v>
      </c>
      <c r="H537">
        <v>1.41E-2</v>
      </c>
      <c r="I537">
        <v>3.3E-3</v>
      </c>
    </row>
    <row r="538" spans="1:9" x14ac:dyDescent="0.2">
      <c r="A538" s="2">
        <v>33117</v>
      </c>
      <c r="B538">
        <v>33.686999999999998</v>
      </c>
      <c r="D538" s="2">
        <v>41153</v>
      </c>
      <c r="E538" s="1">
        <v>3.49</v>
      </c>
      <c r="G538" s="2">
        <v>26023</v>
      </c>
      <c r="H538">
        <v>4.1200000000000001E-2</v>
      </c>
      <c r="I538">
        <v>3.0000000000000001E-3</v>
      </c>
    </row>
    <row r="539" spans="1:9" x14ac:dyDescent="0.2">
      <c r="A539" s="2">
        <v>33147</v>
      </c>
      <c r="B539">
        <v>35.921999999999997</v>
      </c>
      <c r="D539" s="2">
        <v>41183</v>
      </c>
      <c r="E539" s="1">
        <v>3.1625000000000001</v>
      </c>
      <c r="G539" s="2">
        <v>26053</v>
      </c>
      <c r="H539">
        <v>3.15E-2</v>
      </c>
      <c r="I539">
        <v>2.8E-3</v>
      </c>
    </row>
    <row r="540" spans="1:9" x14ac:dyDescent="0.2">
      <c r="A540" s="2">
        <v>33178</v>
      </c>
      <c r="B540">
        <v>32.299999999999997</v>
      </c>
      <c r="D540" s="2">
        <v>41214</v>
      </c>
      <c r="E540" s="1">
        <v>3.2425000000000002</v>
      </c>
      <c r="G540" s="2">
        <v>26081</v>
      </c>
      <c r="H540">
        <v>-3.9899999999999998E-2</v>
      </c>
      <c r="I540">
        <v>2.8999999999999998E-3</v>
      </c>
    </row>
    <row r="541" spans="1:9" x14ac:dyDescent="0.2">
      <c r="A541" s="2">
        <v>33208</v>
      </c>
      <c r="B541">
        <v>27.337</v>
      </c>
      <c r="D541" s="2">
        <v>41244</v>
      </c>
      <c r="E541" s="1">
        <v>3.1124999999999998</v>
      </c>
      <c r="G541" s="2">
        <v>26114</v>
      </c>
      <c r="H541">
        <v>-8.9999999999999998E-4</v>
      </c>
      <c r="I541">
        <v>3.7000000000000002E-3</v>
      </c>
    </row>
    <row r="542" spans="1:9" x14ac:dyDescent="0.2">
      <c r="A542" s="2">
        <v>33239</v>
      </c>
      <c r="B542">
        <v>24.959</v>
      </c>
      <c r="D542" s="2">
        <v>41275</v>
      </c>
      <c r="E542" s="1">
        <v>3</v>
      </c>
      <c r="G542" s="2">
        <v>26144</v>
      </c>
      <c r="H542">
        <v>-4.4900000000000002E-2</v>
      </c>
      <c r="I542">
        <v>4.0000000000000001E-3</v>
      </c>
    </row>
    <row r="543" spans="1:9" x14ac:dyDescent="0.2">
      <c r="A543" s="2">
        <v>33270</v>
      </c>
      <c r="B543">
        <v>20.523</v>
      </c>
      <c r="D543" s="2">
        <v>41306</v>
      </c>
      <c r="E543" s="1">
        <v>2.94</v>
      </c>
      <c r="G543" s="2">
        <v>26176</v>
      </c>
      <c r="H543">
        <v>3.7900000000000003E-2</v>
      </c>
      <c r="I543">
        <v>4.7000000000000002E-3</v>
      </c>
    </row>
    <row r="544" spans="1:9" x14ac:dyDescent="0.2">
      <c r="A544" s="2">
        <v>33298</v>
      </c>
      <c r="B544">
        <v>19.86</v>
      </c>
      <c r="D544" s="2">
        <v>41334</v>
      </c>
      <c r="E544" s="1">
        <v>3.05</v>
      </c>
      <c r="G544" s="2">
        <v>26206</v>
      </c>
      <c r="H544">
        <v>-8.6E-3</v>
      </c>
      <c r="I544">
        <v>3.7000000000000002E-3</v>
      </c>
    </row>
    <row r="545" spans="1:9" x14ac:dyDescent="0.2">
      <c r="A545" s="2">
        <v>33329</v>
      </c>
      <c r="B545">
        <v>20.823</v>
      </c>
      <c r="D545" s="2">
        <v>41365</v>
      </c>
      <c r="E545" s="1">
        <v>3.02</v>
      </c>
      <c r="G545" s="2">
        <v>26235</v>
      </c>
      <c r="H545">
        <v>-4.4200000000000003E-2</v>
      </c>
      <c r="I545">
        <v>3.7000000000000002E-3</v>
      </c>
    </row>
    <row r="546" spans="1:9" x14ac:dyDescent="0.2">
      <c r="A546" s="2">
        <v>33359</v>
      </c>
      <c r="B546">
        <v>21.24</v>
      </c>
      <c r="D546" s="2">
        <v>41395</v>
      </c>
      <c r="E546" s="1">
        <v>2.82</v>
      </c>
      <c r="G546" s="2">
        <v>26267</v>
      </c>
      <c r="H546">
        <v>-4.5999999999999999E-3</v>
      </c>
      <c r="I546">
        <v>3.7000000000000002E-3</v>
      </c>
    </row>
    <row r="547" spans="1:9" x14ac:dyDescent="0.2">
      <c r="A547" s="2">
        <v>33390</v>
      </c>
      <c r="B547">
        <v>20.195</v>
      </c>
      <c r="D547" s="2">
        <v>41426</v>
      </c>
      <c r="E547" s="1">
        <v>2.8</v>
      </c>
      <c r="G547" s="2">
        <v>26298</v>
      </c>
      <c r="H547">
        <v>8.7099999999999997E-2</v>
      </c>
      <c r="I547">
        <v>3.7000000000000002E-3</v>
      </c>
    </row>
    <row r="548" spans="1:9" x14ac:dyDescent="0.2">
      <c r="A548" s="2">
        <v>33420</v>
      </c>
      <c r="B548">
        <v>21.42</v>
      </c>
      <c r="D548" s="2">
        <v>41456</v>
      </c>
      <c r="E548" s="1">
        <v>2.76</v>
      </c>
      <c r="G548" s="2">
        <v>26329</v>
      </c>
      <c r="H548">
        <v>2.47E-2</v>
      </c>
      <c r="I548">
        <v>2.8999999999999998E-3</v>
      </c>
    </row>
    <row r="549" spans="1:9" x14ac:dyDescent="0.2">
      <c r="A549" s="2">
        <v>33451</v>
      </c>
      <c r="B549">
        <v>21.687999999999999</v>
      </c>
      <c r="D549" s="2">
        <v>41487</v>
      </c>
      <c r="E549" s="1">
        <v>2.6</v>
      </c>
      <c r="G549" s="2">
        <v>26358</v>
      </c>
      <c r="H549">
        <v>2.87E-2</v>
      </c>
      <c r="I549">
        <v>2.5000000000000001E-3</v>
      </c>
    </row>
    <row r="550" spans="1:9" x14ac:dyDescent="0.2">
      <c r="A550" s="2">
        <v>33482</v>
      </c>
      <c r="B550">
        <v>21.856999999999999</v>
      </c>
      <c r="D550" s="2">
        <v>41518</v>
      </c>
      <c r="E550" s="1">
        <v>2.58</v>
      </c>
      <c r="G550" s="2">
        <v>26388</v>
      </c>
      <c r="H550">
        <v>6.1999999999999998E-3</v>
      </c>
      <c r="I550">
        <v>2.7000000000000001E-3</v>
      </c>
    </row>
    <row r="551" spans="1:9" x14ac:dyDescent="0.2">
      <c r="A551" s="2">
        <v>33512</v>
      </c>
      <c r="B551">
        <v>23.228000000000002</v>
      </c>
      <c r="D551" s="2">
        <v>41548</v>
      </c>
      <c r="E551" s="1">
        <v>2.58</v>
      </c>
      <c r="G551" s="2">
        <v>26417</v>
      </c>
      <c r="H551">
        <v>2.8999999999999998E-3</v>
      </c>
      <c r="I551">
        <v>2.8999999999999998E-3</v>
      </c>
    </row>
    <row r="552" spans="1:9" x14ac:dyDescent="0.2">
      <c r="A552" s="2">
        <v>33543</v>
      </c>
      <c r="B552">
        <v>22.465</v>
      </c>
      <c r="D552" s="2">
        <v>41579</v>
      </c>
      <c r="E552" s="1">
        <v>2.58</v>
      </c>
      <c r="G552" s="2">
        <v>26450</v>
      </c>
      <c r="H552">
        <v>1.29E-2</v>
      </c>
      <c r="I552">
        <v>3.0000000000000001E-3</v>
      </c>
    </row>
    <row r="553" spans="1:9" x14ac:dyDescent="0.2">
      <c r="A553" s="2">
        <v>33573</v>
      </c>
      <c r="B553">
        <v>19.516999999999999</v>
      </c>
      <c r="D553" s="2">
        <v>41609</v>
      </c>
      <c r="E553" s="1">
        <v>2.6</v>
      </c>
      <c r="G553" s="2">
        <v>26480</v>
      </c>
      <c r="H553">
        <v>-2.4299999999999999E-2</v>
      </c>
      <c r="I553">
        <v>2.8999999999999998E-3</v>
      </c>
    </row>
    <row r="554" spans="1:9" x14ac:dyDescent="0.2">
      <c r="A554" s="2">
        <v>33604</v>
      </c>
      <c r="B554">
        <v>18.82</v>
      </c>
      <c r="D554" s="2">
        <v>41640</v>
      </c>
      <c r="E554" s="1">
        <v>2.62</v>
      </c>
      <c r="G554" s="2">
        <v>26511</v>
      </c>
      <c r="H554">
        <v>-8.0000000000000002E-3</v>
      </c>
      <c r="I554">
        <v>3.0999999999999999E-3</v>
      </c>
    </row>
    <row r="555" spans="1:9" x14ac:dyDescent="0.2">
      <c r="A555" s="2">
        <v>33635</v>
      </c>
      <c r="B555">
        <v>18.995000000000001</v>
      </c>
      <c r="D555" s="2">
        <v>41671</v>
      </c>
      <c r="E555" s="1">
        <v>2.63</v>
      </c>
      <c r="G555" s="2">
        <v>26542</v>
      </c>
      <c r="H555">
        <v>3.27E-2</v>
      </c>
      <c r="I555">
        <v>2.8999999999999998E-3</v>
      </c>
    </row>
    <row r="556" spans="1:9" x14ac:dyDescent="0.2">
      <c r="A556" s="2">
        <v>33664</v>
      </c>
      <c r="B556">
        <v>18.916</v>
      </c>
      <c r="D556" s="2">
        <v>41699</v>
      </c>
      <c r="E556" s="1">
        <v>2.65</v>
      </c>
      <c r="G556" s="2">
        <v>26571</v>
      </c>
      <c r="H556">
        <v>-1.14E-2</v>
      </c>
      <c r="I556">
        <v>3.3999999999999998E-3</v>
      </c>
    </row>
    <row r="557" spans="1:9" x14ac:dyDescent="0.2">
      <c r="A557" s="2">
        <v>33695</v>
      </c>
      <c r="B557">
        <v>20.242999999999999</v>
      </c>
      <c r="D557" s="2">
        <v>41730</v>
      </c>
      <c r="E557" s="1">
        <v>2.68</v>
      </c>
      <c r="G557" s="2">
        <v>26603</v>
      </c>
      <c r="H557">
        <v>5.1999999999999998E-3</v>
      </c>
      <c r="I557">
        <v>4.0000000000000001E-3</v>
      </c>
    </row>
    <row r="558" spans="1:9" x14ac:dyDescent="0.2">
      <c r="A558" s="2">
        <v>33725</v>
      </c>
      <c r="B558">
        <v>20.94</v>
      </c>
      <c r="D558" s="2">
        <v>41760</v>
      </c>
      <c r="E558" s="1">
        <v>2.69</v>
      </c>
      <c r="G558" s="2">
        <v>26633</v>
      </c>
      <c r="H558">
        <v>4.5999999999999999E-2</v>
      </c>
      <c r="I558">
        <v>3.7000000000000002E-3</v>
      </c>
    </row>
    <row r="559" spans="1:9" x14ac:dyDescent="0.2">
      <c r="A559" s="2">
        <v>33756</v>
      </c>
      <c r="B559">
        <v>22.375</v>
      </c>
      <c r="D559" s="2">
        <v>41791</v>
      </c>
      <c r="E559" s="1">
        <v>2.7</v>
      </c>
      <c r="G559" s="2">
        <v>26662</v>
      </c>
      <c r="H559">
        <v>6.1999999999999998E-3</v>
      </c>
      <c r="I559">
        <v>3.7000000000000002E-3</v>
      </c>
    </row>
    <row r="560" spans="1:9" x14ac:dyDescent="0.2">
      <c r="A560" s="2">
        <v>33786</v>
      </c>
      <c r="B560">
        <v>21.759</v>
      </c>
      <c r="D560" s="2">
        <v>41821</v>
      </c>
      <c r="E560" s="1">
        <v>2.65</v>
      </c>
      <c r="G560" s="2">
        <v>26695</v>
      </c>
      <c r="H560">
        <v>-3.27E-2</v>
      </c>
      <c r="I560">
        <v>4.4000000000000003E-3</v>
      </c>
    </row>
    <row r="561" spans="1:9" x14ac:dyDescent="0.2">
      <c r="A561" s="2">
        <v>33817</v>
      </c>
      <c r="B561">
        <v>21.35</v>
      </c>
      <c r="D561" s="2">
        <v>41852</v>
      </c>
      <c r="E561" s="1">
        <v>2.63</v>
      </c>
      <c r="G561" s="2">
        <v>26723</v>
      </c>
      <c r="H561">
        <v>-4.8500000000000001E-2</v>
      </c>
      <c r="I561">
        <v>4.1999999999999997E-3</v>
      </c>
    </row>
    <row r="562" spans="1:9" x14ac:dyDescent="0.2">
      <c r="A562" s="2">
        <v>33848</v>
      </c>
      <c r="B562">
        <v>21.902000000000001</v>
      </c>
      <c r="D562" s="2">
        <v>41883</v>
      </c>
      <c r="E562" s="1">
        <v>2.66</v>
      </c>
      <c r="G562" s="2">
        <v>26753</v>
      </c>
      <c r="H562">
        <v>-1.2999999999999999E-2</v>
      </c>
      <c r="I562">
        <v>4.5999999999999999E-3</v>
      </c>
    </row>
    <row r="563" spans="1:9" x14ac:dyDescent="0.2">
      <c r="A563" s="2">
        <v>33878</v>
      </c>
      <c r="B563">
        <v>21.687999999999999</v>
      </c>
      <c r="D563" s="2">
        <v>41913</v>
      </c>
      <c r="E563" s="1">
        <v>2.72</v>
      </c>
      <c r="G563" s="2">
        <v>26784</v>
      </c>
      <c r="H563">
        <v>-5.6800000000000003E-2</v>
      </c>
      <c r="I563">
        <v>5.1999999999999998E-3</v>
      </c>
    </row>
    <row r="564" spans="1:9" x14ac:dyDescent="0.2">
      <c r="A564" s="2">
        <v>33909</v>
      </c>
      <c r="B564">
        <v>20.341999999999999</v>
      </c>
      <c r="D564" s="2">
        <v>41944</v>
      </c>
      <c r="E564" s="1">
        <v>2.75</v>
      </c>
      <c r="G564" s="2">
        <v>26815</v>
      </c>
      <c r="H564">
        <v>-2.9700000000000001E-2</v>
      </c>
      <c r="I564">
        <v>5.1000000000000004E-3</v>
      </c>
    </row>
    <row r="565" spans="1:9" x14ac:dyDescent="0.2">
      <c r="A565" s="2">
        <v>33939</v>
      </c>
      <c r="B565">
        <v>19.407</v>
      </c>
      <c r="D565" s="2">
        <v>41974</v>
      </c>
      <c r="E565" s="1">
        <v>2.75</v>
      </c>
      <c r="G565" s="2">
        <v>26844</v>
      </c>
      <c r="H565">
        <v>-1.5699999999999999E-2</v>
      </c>
      <c r="I565">
        <v>5.1000000000000004E-3</v>
      </c>
    </row>
    <row r="566" spans="1:9" x14ac:dyDescent="0.2">
      <c r="A566" s="2">
        <v>33970</v>
      </c>
      <c r="B566">
        <v>19.074999999999999</v>
      </c>
      <c r="D566" s="2">
        <v>42005</v>
      </c>
      <c r="E566" s="1">
        <v>2.7</v>
      </c>
      <c r="G566" s="2">
        <v>26876</v>
      </c>
      <c r="H566">
        <v>5.04E-2</v>
      </c>
      <c r="I566">
        <v>6.4000000000000003E-3</v>
      </c>
    </row>
    <row r="567" spans="1:9" x14ac:dyDescent="0.2">
      <c r="A567" s="2">
        <v>34001</v>
      </c>
      <c r="B567">
        <v>20.053000000000001</v>
      </c>
      <c r="D567" s="2">
        <v>42036</v>
      </c>
      <c r="E567" s="1">
        <v>2.36</v>
      </c>
      <c r="G567" s="2">
        <v>26907</v>
      </c>
      <c r="H567">
        <v>-3.8199999999999998E-2</v>
      </c>
      <c r="I567">
        <v>7.0000000000000001E-3</v>
      </c>
    </row>
    <row r="568" spans="1:9" x14ac:dyDescent="0.2">
      <c r="A568" s="2">
        <v>34029</v>
      </c>
      <c r="B568">
        <v>20.347000000000001</v>
      </c>
      <c r="D568" s="2">
        <v>42064</v>
      </c>
      <c r="E568" s="1">
        <v>2.2999999999999998</v>
      </c>
      <c r="G568" s="2">
        <v>26935</v>
      </c>
      <c r="H568">
        <v>4.7399999999999998E-2</v>
      </c>
      <c r="I568">
        <v>6.7999999999999996E-3</v>
      </c>
    </row>
    <row r="569" spans="1:9" x14ac:dyDescent="0.2">
      <c r="A569" s="2">
        <v>34060</v>
      </c>
      <c r="B569">
        <v>20.27</v>
      </c>
      <c r="D569" s="2">
        <v>42095</v>
      </c>
      <c r="E569" s="1">
        <v>2.25</v>
      </c>
      <c r="G569" s="2">
        <v>26968</v>
      </c>
      <c r="H569">
        <v>-8.3000000000000001E-3</v>
      </c>
      <c r="I569">
        <v>6.4999999999999997E-3</v>
      </c>
    </row>
    <row r="570" spans="1:9" x14ac:dyDescent="0.2">
      <c r="A570" s="2">
        <v>34090</v>
      </c>
      <c r="B570">
        <v>19.940000000000001</v>
      </c>
      <c r="D570" s="2">
        <v>42125</v>
      </c>
      <c r="E570" s="1">
        <v>2.15</v>
      </c>
      <c r="G570" s="2">
        <v>26998</v>
      </c>
      <c r="H570">
        <v>-0.1278</v>
      </c>
      <c r="I570">
        <v>5.5999999999999999E-3</v>
      </c>
    </row>
    <row r="571" spans="1:9" x14ac:dyDescent="0.2">
      <c r="A571" s="2">
        <v>34121</v>
      </c>
      <c r="B571">
        <v>19.07</v>
      </c>
      <c r="D571" s="2">
        <v>42156</v>
      </c>
      <c r="E571" s="1">
        <v>2.15</v>
      </c>
      <c r="G571" s="2">
        <v>27029</v>
      </c>
      <c r="H571">
        <v>5.8999999999999999E-3</v>
      </c>
      <c r="I571">
        <v>6.4000000000000003E-3</v>
      </c>
    </row>
    <row r="572" spans="1:9" x14ac:dyDescent="0.2">
      <c r="A572" s="2">
        <v>34151</v>
      </c>
      <c r="B572">
        <v>17.866</v>
      </c>
      <c r="D572" s="2">
        <v>42186</v>
      </c>
      <c r="E572" s="1">
        <v>2.14</v>
      </c>
      <c r="G572" s="2">
        <v>27060</v>
      </c>
      <c r="H572">
        <v>-1.6000000000000001E-3</v>
      </c>
      <c r="I572">
        <v>6.3E-3</v>
      </c>
    </row>
    <row r="573" spans="1:9" x14ac:dyDescent="0.2">
      <c r="A573" s="2">
        <v>34182</v>
      </c>
      <c r="B573">
        <v>18.009</v>
      </c>
      <c r="D573" s="2">
        <v>42217</v>
      </c>
      <c r="E573" s="1">
        <v>2.14</v>
      </c>
      <c r="G573" s="2">
        <v>27088</v>
      </c>
      <c r="H573">
        <v>-4.5999999999999999E-3</v>
      </c>
      <c r="I573">
        <v>5.7999999999999996E-3</v>
      </c>
    </row>
    <row r="574" spans="1:9" x14ac:dyDescent="0.2">
      <c r="A574" s="2">
        <v>34213</v>
      </c>
      <c r="B574">
        <v>17.513999999999999</v>
      </c>
      <c r="D574" s="2">
        <v>42248</v>
      </c>
      <c r="E574" s="1">
        <v>2.17</v>
      </c>
      <c r="G574" s="2">
        <v>27117</v>
      </c>
      <c r="H574">
        <v>-2.8199999999999999E-2</v>
      </c>
      <c r="I574">
        <v>5.5999999999999999E-3</v>
      </c>
    </row>
    <row r="575" spans="1:9" x14ac:dyDescent="0.2">
      <c r="A575" s="2">
        <v>34243</v>
      </c>
      <c r="B575">
        <v>18.145</v>
      </c>
      <c r="D575" s="2">
        <v>42278</v>
      </c>
      <c r="E575" s="1">
        <v>2.15</v>
      </c>
      <c r="G575" s="2">
        <v>27149</v>
      </c>
      <c r="H575">
        <v>-5.28E-2</v>
      </c>
      <c r="I575">
        <v>7.4999999999999997E-3</v>
      </c>
    </row>
    <row r="576" spans="1:9" x14ac:dyDescent="0.2">
      <c r="A576" s="2">
        <v>34274</v>
      </c>
      <c r="B576">
        <v>16.699000000000002</v>
      </c>
      <c r="D576" s="2">
        <v>42309</v>
      </c>
      <c r="E576" s="1">
        <v>2.2200000000000002</v>
      </c>
      <c r="G576" s="2">
        <v>27180</v>
      </c>
      <c r="H576">
        <v>-4.7E-2</v>
      </c>
      <c r="I576">
        <v>7.4999999999999997E-3</v>
      </c>
    </row>
    <row r="577" spans="1:9" x14ac:dyDescent="0.2">
      <c r="A577" s="2">
        <v>34304</v>
      </c>
      <c r="B577">
        <v>14.51</v>
      </c>
      <c r="D577" s="2">
        <v>42339</v>
      </c>
      <c r="E577" s="1">
        <v>2.34</v>
      </c>
      <c r="G577" s="2">
        <v>27208</v>
      </c>
      <c r="H577">
        <v>-2.8400000000000002E-2</v>
      </c>
      <c r="I577">
        <v>6.0000000000000001E-3</v>
      </c>
    </row>
    <row r="578" spans="1:9" x14ac:dyDescent="0.2">
      <c r="A578" s="2">
        <v>34335</v>
      </c>
      <c r="B578">
        <v>15</v>
      </c>
      <c r="D578" s="2">
        <v>42370</v>
      </c>
      <c r="E578" s="1">
        <v>2.2999999999999998</v>
      </c>
      <c r="G578" s="2">
        <v>27241</v>
      </c>
      <c r="H578">
        <v>-8.0600000000000005E-2</v>
      </c>
      <c r="I578">
        <v>7.0000000000000001E-3</v>
      </c>
    </row>
    <row r="579" spans="1:9" x14ac:dyDescent="0.2">
      <c r="A579" s="2">
        <v>34366</v>
      </c>
      <c r="B579">
        <v>14.78</v>
      </c>
      <c r="D579" s="2">
        <v>42401</v>
      </c>
      <c r="E579" s="1">
        <v>2.2799999999999998</v>
      </c>
      <c r="G579" s="2">
        <v>27271</v>
      </c>
      <c r="H579">
        <v>-9.3899999999999997E-2</v>
      </c>
      <c r="I579">
        <v>6.0000000000000001E-3</v>
      </c>
    </row>
    <row r="580" spans="1:9" x14ac:dyDescent="0.2">
      <c r="A580" s="2">
        <v>34394</v>
      </c>
      <c r="B580">
        <v>14.66</v>
      </c>
      <c r="D580" s="2">
        <v>42430</v>
      </c>
      <c r="E580" s="1">
        <v>2.31</v>
      </c>
      <c r="G580" s="2">
        <v>27302</v>
      </c>
      <c r="H580">
        <v>-0.1179</v>
      </c>
      <c r="I580">
        <v>8.0999999999999996E-3</v>
      </c>
    </row>
    <row r="581" spans="1:9" x14ac:dyDescent="0.2">
      <c r="A581" s="2">
        <v>34425</v>
      </c>
      <c r="B581">
        <v>16.38</v>
      </c>
      <c r="D581" s="2">
        <v>42461</v>
      </c>
      <c r="E581" s="1">
        <v>2.2599999999999998</v>
      </c>
      <c r="G581" s="2">
        <v>27333</v>
      </c>
      <c r="H581">
        <v>0.16109999999999999</v>
      </c>
      <c r="I581">
        <v>5.1000000000000004E-3</v>
      </c>
    </row>
    <row r="582" spans="1:9" x14ac:dyDescent="0.2">
      <c r="A582" s="2">
        <v>34455</v>
      </c>
      <c r="B582">
        <v>17.88</v>
      </c>
      <c r="D582" s="2">
        <v>42491</v>
      </c>
      <c r="E582" s="1">
        <v>2</v>
      </c>
      <c r="G582" s="2">
        <v>27362</v>
      </c>
      <c r="H582">
        <v>-4.53E-2</v>
      </c>
      <c r="I582">
        <v>5.4000000000000003E-3</v>
      </c>
    </row>
    <row r="583" spans="1:9" x14ac:dyDescent="0.2">
      <c r="A583" s="2">
        <v>34486</v>
      </c>
      <c r="B583">
        <v>19.07</v>
      </c>
      <c r="D583" s="2">
        <v>42522</v>
      </c>
      <c r="E583" s="1">
        <v>1.99</v>
      </c>
      <c r="G583" s="2">
        <v>27394</v>
      </c>
      <c r="H583">
        <v>-3.44E-2</v>
      </c>
      <c r="I583">
        <v>7.0000000000000001E-3</v>
      </c>
    </row>
    <row r="584" spans="1:9" x14ac:dyDescent="0.2">
      <c r="A584" s="2">
        <v>34516</v>
      </c>
      <c r="B584">
        <v>19.649999999999999</v>
      </c>
      <c r="D584" s="2">
        <v>42552</v>
      </c>
      <c r="E584" s="1">
        <v>1.93</v>
      </c>
      <c r="G584" s="2">
        <v>27425</v>
      </c>
      <c r="H584">
        <v>0.13669999999999999</v>
      </c>
      <c r="I584">
        <v>5.7999999999999996E-3</v>
      </c>
    </row>
    <row r="585" spans="1:9" x14ac:dyDescent="0.2">
      <c r="A585" s="2">
        <v>34547</v>
      </c>
      <c r="B585">
        <v>18.38</v>
      </c>
      <c r="D585" s="2">
        <v>42583</v>
      </c>
      <c r="E585" s="1">
        <v>1.76</v>
      </c>
      <c r="G585" s="2">
        <v>27453</v>
      </c>
      <c r="H585">
        <v>5.5599999999999997E-2</v>
      </c>
      <c r="I585">
        <v>4.3E-3</v>
      </c>
    </row>
    <row r="586" spans="1:9" x14ac:dyDescent="0.2">
      <c r="A586" s="2">
        <v>34578</v>
      </c>
      <c r="B586">
        <v>17.46</v>
      </c>
      <c r="D586" s="2">
        <v>42614</v>
      </c>
      <c r="E586" s="1">
        <v>1.73</v>
      </c>
      <c r="G586" s="2">
        <v>27484</v>
      </c>
      <c r="H586">
        <v>2.6599999999999999E-2</v>
      </c>
      <c r="I586">
        <v>4.1000000000000003E-3</v>
      </c>
    </row>
    <row r="587" spans="1:9" x14ac:dyDescent="0.2">
      <c r="A587" s="2">
        <v>34608</v>
      </c>
      <c r="B587">
        <v>17.71</v>
      </c>
      <c r="D587" s="2">
        <v>42644</v>
      </c>
      <c r="E587" s="1">
        <v>1.74</v>
      </c>
      <c r="G587" s="2">
        <v>27514</v>
      </c>
      <c r="H587">
        <v>4.2200000000000001E-2</v>
      </c>
      <c r="I587">
        <v>4.4000000000000003E-3</v>
      </c>
    </row>
    <row r="588" spans="1:9" x14ac:dyDescent="0.2">
      <c r="A588" s="2">
        <v>34639</v>
      </c>
      <c r="B588">
        <v>18.100000000000001</v>
      </c>
      <c r="D588" s="2">
        <v>42675</v>
      </c>
      <c r="E588" s="1">
        <v>1.76</v>
      </c>
      <c r="G588" s="2">
        <v>27544</v>
      </c>
      <c r="H588">
        <v>5.1999999999999998E-2</v>
      </c>
      <c r="I588">
        <v>4.4000000000000003E-3</v>
      </c>
    </row>
    <row r="589" spans="1:9" x14ac:dyDescent="0.2">
      <c r="A589" s="2">
        <v>34669</v>
      </c>
      <c r="B589">
        <v>17.16</v>
      </c>
      <c r="D589" s="2">
        <v>42705</v>
      </c>
      <c r="E589" s="1">
        <v>1.78</v>
      </c>
      <c r="G589" s="2">
        <v>27575</v>
      </c>
      <c r="H589">
        <v>4.87E-2</v>
      </c>
      <c r="I589">
        <v>4.1000000000000003E-3</v>
      </c>
    </row>
    <row r="590" spans="1:9" x14ac:dyDescent="0.2">
      <c r="A590" s="2">
        <v>34700</v>
      </c>
      <c r="B590">
        <v>17.989999999999998</v>
      </c>
      <c r="D590" s="2">
        <v>42736</v>
      </c>
      <c r="E590" s="1">
        <v>1.78</v>
      </c>
      <c r="G590" s="2">
        <v>27606</v>
      </c>
      <c r="H590">
        <v>-6.6000000000000003E-2</v>
      </c>
      <c r="I590">
        <v>4.7999999999999996E-3</v>
      </c>
    </row>
    <row r="591" spans="1:9" x14ac:dyDescent="0.2">
      <c r="A591" s="2">
        <v>34731</v>
      </c>
      <c r="B591">
        <v>18.53</v>
      </c>
      <c r="D591" s="2">
        <v>42767</v>
      </c>
      <c r="E591" s="1">
        <v>1.78</v>
      </c>
      <c r="G591" s="2">
        <v>27635</v>
      </c>
      <c r="H591">
        <v>-2.8400000000000002E-2</v>
      </c>
      <c r="I591">
        <v>4.7999999999999996E-3</v>
      </c>
    </row>
    <row r="592" spans="1:9" x14ac:dyDescent="0.2">
      <c r="A592" s="2">
        <v>34759</v>
      </c>
      <c r="B592">
        <v>18.55</v>
      </c>
      <c r="D592" s="2">
        <v>42795</v>
      </c>
      <c r="E592" s="1">
        <v>1.79</v>
      </c>
      <c r="G592" s="2">
        <v>27667</v>
      </c>
      <c r="H592">
        <v>-4.2599999999999999E-2</v>
      </c>
      <c r="I592">
        <v>5.3E-3</v>
      </c>
    </row>
    <row r="593" spans="1:9" x14ac:dyDescent="0.2">
      <c r="A593" s="2">
        <v>34790</v>
      </c>
      <c r="B593">
        <v>19.87</v>
      </c>
      <c r="D593" s="2">
        <v>42826</v>
      </c>
      <c r="E593" s="1">
        <v>1.77</v>
      </c>
      <c r="G593" s="2">
        <v>27698</v>
      </c>
      <c r="H593">
        <v>5.3199999999999997E-2</v>
      </c>
      <c r="I593">
        <v>5.5999999999999999E-3</v>
      </c>
    </row>
    <row r="594" spans="1:9" x14ac:dyDescent="0.2">
      <c r="A594" s="2">
        <v>34820</v>
      </c>
      <c r="B594">
        <v>19.739999999999998</v>
      </c>
      <c r="D594" s="2">
        <v>42856</v>
      </c>
      <c r="E594" s="1">
        <v>1.73</v>
      </c>
      <c r="G594" s="2">
        <v>27726</v>
      </c>
      <c r="H594">
        <v>2.6499999999999999E-2</v>
      </c>
      <c r="I594">
        <v>4.1000000000000003E-3</v>
      </c>
    </row>
    <row r="595" spans="1:9" x14ac:dyDescent="0.2">
      <c r="A595" s="2">
        <v>34851</v>
      </c>
      <c r="B595">
        <v>18.420000000000002</v>
      </c>
      <c r="D595" s="2">
        <v>42887</v>
      </c>
      <c r="E595" s="1">
        <v>1.72</v>
      </c>
      <c r="G595" s="2">
        <v>27759</v>
      </c>
      <c r="H595">
        <v>-1.6E-2</v>
      </c>
      <c r="I595">
        <v>4.7999999999999996E-3</v>
      </c>
    </row>
    <row r="596" spans="1:9" x14ac:dyDescent="0.2">
      <c r="A596" s="2">
        <v>34881</v>
      </c>
      <c r="B596">
        <v>17.3</v>
      </c>
      <c r="D596" s="2">
        <v>42917</v>
      </c>
      <c r="E596" s="1">
        <v>1.7</v>
      </c>
      <c r="G596" s="2">
        <v>27789</v>
      </c>
      <c r="H596">
        <v>0.1215</v>
      </c>
      <c r="I596">
        <v>4.7000000000000002E-3</v>
      </c>
    </row>
    <row r="597" spans="1:9" x14ac:dyDescent="0.2">
      <c r="A597" s="2">
        <v>34912</v>
      </c>
      <c r="B597">
        <v>18.03</v>
      </c>
      <c r="D597" s="2">
        <v>42948</v>
      </c>
      <c r="E597" s="1">
        <v>1.7</v>
      </c>
      <c r="G597" s="2">
        <v>27817</v>
      </c>
      <c r="H597">
        <v>3.0999999999999999E-3</v>
      </c>
      <c r="I597">
        <v>3.3999999999999998E-3</v>
      </c>
    </row>
    <row r="598" spans="1:9" x14ac:dyDescent="0.2">
      <c r="A598" s="2">
        <v>34943</v>
      </c>
      <c r="B598">
        <v>18.23</v>
      </c>
      <c r="D598" s="2">
        <v>42979</v>
      </c>
      <c r="E598" s="1">
        <v>1.72</v>
      </c>
      <c r="G598" s="2">
        <v>27850</v>
      </c>
      <c r="H598">
        <v>2.3199999999999998E-2</v>
      </c>
      <c r="I598">
        <v>4.0000000000000001E-3</v>
      </c>
    </row>
    <row r="599" spans="1:9" x14ac:dyDescent="0.2">
      <c r="A599" s="2">
        <v>34973</v>
      </c>
      <c r="B599">
        <v>17.440000000000001</v>
      </c>
      <c r="D599" s="2">
        <v>43009</v>
      </c>
      <c r="E599" s="1">
        <v>1.7</v>
      </c>
      <c r="G599" s="2">
        <v>27880</v>
      </c>
      <c r="H599">
        <v>-1.49E-2</v>
      </c>
      <c r="I599">
        <v>4.1999999999999997E-3</v>
      </c>
    </row>
    <row r="600" spans="1:9" x14ac:dyDescent="0.2">
      <c r="A600" s="2">
        <v>35004</v>
      </c>
      <c r="B600">
        <v>17.989999999999998</v>
      </c>
      <c r="D600" s="2">
        <v>43040</v>
      </c>
      <c r="E600" s="1">
        <v>1.72</v>
      </c>
      <c r="G600" s="2">
        <v>27908</v>
      </c>
      <c r="H600">
        <v>-1.34E-2</v>
      </c>
      <c r="I600">
        <v>3.7000000000000002E-3</v>
      </c>
    </row>
    <row r="601" spans="1:9" x14ac:dyDescent="0.2">
      <c r="A601" s="2">
        <v>35034</v>
      </c>
      <c r="B601">
        <v>19.04</v>
      </c>
      <c r="D601" s="2">
        <v>43070</v>
      </c>
      <c r="E601" s="1">
        <v>1.77</v>
      </c>
      <c r="G601" s="2">
        <v>27941</v>
      </c>
      <c r="H601">
        <v>4.0599999999999997E-2</v>
      </c>
      <c r="I601">
        <v>4.3E-3</v>
      </c>
    </row>
    <row r="602" spans="1:9" x14ac:dyDescent="0.2">
      <c r="A602" s="2">
        <v>35065</v>
      </c>
      <c r="B602">
        <v>18.88</v>
      </c>
      <c r="D602" s="2">
        <v>43101</v>
      </c>
      <c r="E602" s="1">
        <v>1.79</v>
      </c>
      <c r="G602" s="2">
        <v>27971</v>
      </c>
      <c r="H602">
        <v>-1.06E-2</v>
      </c>
      <c r="I602">
        <v>4.7000000000000002E-3</v>
      </c>
    </row>
    <row r="603" spans="1:9" x14ac:dyDescent="0.2">
      <c r="A603" s="2">
        <v>35096</v>
      </c>
      <c r="B603">
        <v>19.07</v>
      </c>
      <c r="D603" s="2">
        <v>43132</v>
      </c>
      <c r="E603" s="1">
        <v>1.77</v>
      </c>
      <c r="G603" s="2">
        <v>28003</v>
      </c>
      <c r="H603">
        <v>-5.7000000000000002E-3</v>
      </c>
      <c r="I603">
        <v>4.1999999999999997E-3</v>
      </c>
    </row>
    <row r="604" spans="1:9" x14ac:dyDescent="0.2">
      <c r="A604" s="2">
        <v>35125</v>
      </c>
      <c r="B604">
        <v>21.36</v>
      </c>
      <c r="D604" s="2">
        <v>43160</v>
      </c>
      <c r="E604" s="1">
        <v>1.93</v>
      </c>
      <c r="G604" s="2">
        <v>28033</v>
      </c>
      <c r="H604">
        <v>2.06E-2</v>
      </c>
      <c r="I604">
        <v>4.4000000000000003E-3</v>
      </c>
    </row>
    <row r="605" spans="1:9" x14ac:dyDescent="0.2">
      <c r="A605" s="2">
        <v>35156</v>
      </c>
      <c r="B605">
        <v>23.57</v>
      </c>
      <c r="D605" s="2">
        <v>43191</v>
      </c>
      <c r="E605" s="1">
        <v>2.06</v>
      </c>
      <c r="G605" s="2">
        <v>28062</v>
      </c>
      <c r="H605">
        <v>-2.4199999999999999E-2</v>
      </c>
      <c r="I605">
        <v>4.1000000000000003E-3</v>
      </c>
    </row>
    <row r="606" spans="1:9" x14ac:dyDescent="0.2">
      <c r="A606" s="2">
        <v>35186</v>
      </c>
      <c r="B606">
        <v>21.25</v>
      </c>
      <c r="D606" s="2">
        <v>43221</v>
      </c>
      <c r="E606" s="1">
        <v>1.96</v>
      </c>
      <c r="G606" s="2">
        <v>28094</v>
      </c>
      <c r="H606">
        <v>3.5999999999999999E-3</v>
      </c>
      <c r="I606">
        <v>4.0000000000000001E-3</v>
      </c>
    </row>
    <row r="607" spans="1:9" x14ac:dyDescent="0.2">
      <c r="A607" s="2">
        <v>35217</v>
      </c>
      <c r="B607">
        <v>20.45</v>
      </c>
      <c r="D607" s="2">
        <v>43252</v>
      </c>
      <c r="E607" s="1">
        <v>2.0699999999999998</v>
      </c>
      <c r="G607" s="2">
        <v>28125</v>
      </c>
      <c r="H607">
        <v>5.6500000000000002E-2</v>
      </c>
      <c r="I607">
        <v>4.0000000000000001E-3</v>
      </c>
    </row>
    <row r="608" spans="1:9" x14ac:dyDescent="0.2">
      <c r="A608" s="2">
        <v>35247</v>
      </c>
      <c r="B608">
        <v>21.32</v>
      </c>
      <c r="D608" s="2">
        <v>43282</v>
      </c>
      <c r="E608" s="1">
        <v>2.02</v>
      </c>
      <c r="G608" s="2">
        <v>28156</v>
      </c>
      <c r="H608">
        <v>-4.0300000000000002E-2</v>
      </c>
      <c r="I608">
        <v>3.5999999999999999E-3</v>
      </c>
    </row>
    <row r="609" spans="1:9" x14ac:dyDescent="0.2">
      <c r="A609" s="2">
        <v>35278</v>
      </c>
      <c r="B609">
        <v>21.96</v>
      </c>
      <c r="D609" s="2">
        <v>43313</v>
      </c>
      <c r="E609" s="1">
        <v>1.96</v>
      </c>
      <c r="G609" s="2">
        <v>28184</v>
      </c>
      <c r="H609">
        <v>-1.9400000000000001E-2</v>
      </c>
      <c r="I609">
        <v>3.5000000000000001E-3</v>
      </c>
    </row>
    <row r="610" spans="1:9" x14ac:dyDescent="0.2">
      <c r="A610" s="2">
        <v>35309</v>
      </c>
      <c r="B610">
        <v>23.99</v>
      </c>
      <c r="D610" s="2">
        <v>43344</v>
      </c>
      <c r="E610" s="1">
        <v>1.93</v>
      </c>
      <c r="G610" s="2">
        <v>28215</v>
      </c>
      <c r="H610">
        <v>-1.35E-2</v>
      </c>
      <c r="I610">
        <v>3.8E-3</v>
      </c>
    </row>
    <row r="611" spans="1:9" x14ac:dyDescent="0.2">
      <c r="A611" s="2">
        <v>35339</v>
      </c>
      <c r="B611">
        <v>24.9</v>
      </c>
      <c r="D611" s="2">
        <v>43374</v>
      </c>
      <c r="E611" s="1">
        <v>1.93</v>
      </c>
      <c r="G611" s="2">
        <v>28244</v>
      </c>
      <c r="H611">
        <v>1.5E-3</v>
      </c>
      <c r="I611">
        <v>3.8E-3</v>
      </c>
    </row>
    <row r="612" spans="1:9" x14ac:dyDescent="0.2">
      <c r="A612" s="2">
        <v>35370</v>
      </c>
      <c r="B612">
        <v>23.71</v>
      </c>
      <c r="D612" s="2">
        <v>43405</v>
      </c>
      <c r="E612" s="1">
        <v>1.94</v>
      </c>
      <c r="G612" s="2">
        <v>28276</v>
      </c>
      <c r="H612">
        <v>-1.47E-2</v>
      </c>
      <c r="I612">
        <v>3.7000000000000002E-3</v>
      </c>
    </row>
    <row r="613" spans="1:9" x14ac:dyDescent="0.2">
      <c r="A613" s="2">
        <v>35400</v>
      </c>
      <c r="B613">
        <v>25.39</v>
      </c>
      <c r="D613" s="2">
        <v>43435</v>
      </c>
      <c r="E613" s="1">
        <v>2.02</v>
      </c>
      <c r="G613" s="2">
        <v>28306</v>
      </c>
      <c r="H613">
        <v>4.7199999999999999E-2</v>
      </c>
      <c r="I613">
        <v>4.0000000000000001E-3</v>
      </c>
    </row>
    <row r="614" spans="1:9" x14ac:dyDescent="0.2">
      <c r="A614" s="2">
        <v>35431</v>
      </c>
      <c r="B614">
        <v>25.17</v>
      </c>
      <c r="D614" s="2">
        <v>43466</v>
      </c>
      <c r="E614" s="1">
        <v>2.0699999999999998</v>
      </c>
      <c r="G614" s="2">
        <v>28335</v>
      </c>
      <c r="H614">
        <v>-1.6899999999999998E-2</v>
      </c>
      <c r="I614">
        <v>4.1999999999999997E-3</v>
      </c>
    </row>
    <row r="615" spans="1:9" x14ac:dyDescent="0.2">
      <c r="A615" s="2">
        <v>35462</v>
      </c>
      <c r="B615">
        <v>22.21</v>
      </c>
      <c r="D615" s="2">
        <v>43497</v>
      </c>
      <c r="E615" s="1">
        <v>1.96</v>
      </c>
      <c r="G615" s="2">
        <v>28368</v>
      </c>
      <c r="H615">
        <v>-1.7600000000000001E-2</v>
      </c>
      <c r="I615">
        <v>4.4000000000000003E-3</v>
      </c>
    </row>
    <row r="616" spans="1:9" x14ac:dyDescent="0.2">
      <c r="A616" s="2">
        <v>35490</v>
      </c>
      <c r="B616">
        <v>20.99</v>
      </c>
      <c r="D616" s="2">
        <v>43525</v>
      </c>
      <c r="E616" s="1">
        <v>1.83</v>
      </c>
      <c r="G616" s="2">
        <v>28398</v>
      </c>
      <c r="H616">
        <v>-2.7000000000000001E-3</v>
      </c>
      <c r="I616">
        <v>4.3E-3</v>
      </c>
    </row>
    <row r="617" spans="1:9" x14ac:dyDescent="0.2">
      <c r="A617" s="2">
        <v>35521</v>
      </c>
      <c r="B617">
        <v>19.72</v>
      </c>
      <c r="D617" s="2">
        <v>43556</v>
      </c>
      <c r="E617" s="1">
        <v>1.68</v>
      </c>
      <c r="G617" s="2">
        <v>28429</v>
      </c>
      <c r="H617">
        <v>-4.3900000000000002E-2</v>
      </c>
      <c r="I617">
        <v>4.8999999999999998E-3</v>
      </c>
    </row>
    <row r="618" spans="1:9" x14ac:dyDescent="0.2">
      <c r="A618" s="2">
        <v>35551</v>
      </c>
      <c r="B618">
        <v>20.83</v>
      </c>
      <c r="D618" s="2">
        <v>43586</v>
      </c>
      <c r="E618" s="1">
        <v>1.54</v>
      </c>
      <c r="G618" s="2">
        <v>28459</v>
      </c>
      <c r="H618">
        <v>0.04</v>
      </c>
      <c r="I618">
        <v>5.0000000000000001E-3</v>
      </c>
    </row>
    <row r="619" spans="1:9" x14ac:dyDescent="0.2">
      <c r="A619" s="2">
        <v>35582</v>
      </c>
      <c r="B619">
        <v>19.170000000000002</v>
      </c>
      <c r="D619" s="2">
        <v>43617</v>
      </c>
      <c r="E619" s="1">
        <v>1.29</v>
      </c>
      <c r="G619" s="2">
        <v>28489</v>
      </c>
      <c r="H619">
        <v>2.7000000000000001E-3</v>
      </c>
      <c r="I619">
        <v>4.8999999999999998E-3</v>
      </c>
    </row>
    <row r="620" spans="1:9" x14ac:dyDescent="0.2">
      <c r="A620" s="2">
        <v>35612</v>
      </c>
      <c r="B620">
        <v>19.63</v>
      </c>
      <c r="D620" s="2">
        <v>43647</v>
      </c>
      <c r="E620" s="1">
        <v>1.1100000000000001</v>
      </c>
      <c r="G620" s="2">
        <v>28521</v>
      </c>
      <c r="H620">
        <v>-0.06</v>
      </c>
      <c r="I620">
        <v>4.8999999999999998E-3</v>
      </c>
    </row>
    <row r="621" spans="1:9" x14ac:dyDescent="0.2">
      <c r="A621" s="2">
        <v>35643</v>
      </c>
      <c r="B621">
        <v>19.93</v>
      </c>
      <c r="D621" s="2">
        <v>43678</v>
      </c>
      <c r="E621" s="1">
        <v>0.98</v>
      </c>
      <c r="G621" s="2">
        <v>28549</v>
      </c>
      <c r="H621">
        <v>-1.3899999999999999E-2</v>
      </c>
      <c r="I621">
        <v>4.5999999999999999E-3</v>
      </c>
    </row>
    <row r="622" spans="1:9" x14ac:dyDescent="0.2">
      <c r="A622" s="2">
        <v>35674</v>
      </c>
      <c r="B622">
        <v>19.79</v>
      </c>
      <c r="D622" s="2">
        <v>43709</v>
      </c>
      <c r="E622" s="1">
        <v>0.98</v>
      </c>
      <c r="G622" s="2">
        <v>28580</v>
      </c>
      <c r="H622">
        <v>2.8500000000000001E-2</v>
      </c>
      <c r="I622">
        <v>5.3E-3</v>
      </c>
    </row>
    <row r="623" spans="1:9" x14ac:dyDescent="0.2">
      <c r="A623" s="2">
        <v>35704</v>
      </c>
      <c r="B623">
        <v>21.26</v>
      </c>
      <c r="D623" s="2">
        <v>43739</v>
      </c>
      <c r="E623" s="1">
        <v>0.88</v>
      </c>
      <c r="G623" s="2">
        <v>28608</v>
      </c>
      <c r="H623">
        <v>7.8700000000000006E-2</v>
      </c>
      <c r="I623">
        <v>5.4000000000000003E-3</v>
      </c>
    </row>
    <row r="624" spans="1:9" x14ac:dyDescent="0.2">
      <c r="A624" s="2">
        <v>35735</v>
      </c>
      <c r="B624">
        <v>20.170000000000002</v>
      </c>
      <c r="D624" s="2">
        <v>43770</v>
      </c>
      <c r="E624" s="1">
        <v>0.91</v>
      </c>
      <c r="G624" s="2">
        <v>28641</v>
      </c>
      <c r="H624">
        <v>1.7600000000000001E-2</v>
      </c>
      <c r="I624">
        <v>5.1000000000000004E-3</v>
      </c>
    </row>
    <row r="625" spans="1:9" x14ac:dyDescent="0.2">
      <c r="A625" s="2">
        <v>35765</v>
      </c>
      <c r="B625">
        <v>18.32</v>
      </c>
      <c r="D625" s="2">
        <v>43800</v>
      </c>
      <c r="E625" s="1">
        <v>0.9</v>
      </c>
      <c r="G625" s="2">
        <v>28671</v>
      </c>
      <c r="H625">
        <v>-1.6899999999999998E-2</v>
      </c>
      <c r="I625">
        <v>5.4000000000000003E-3</v>
      </c>
    </row>
    <row r="626" spans="1:9" x14ac:dyDescent="0.2">
      <c r="A626" s="2">
        <v>35796</v>
      </c>
      <c r="B626">
        <v>16.71</v>
      </c>
      <c r="D626" s="2">
        <v>43831</v>
      </c>
      <c r="E626" s="1">
        <v>0.89</v>
      </c>
      <c r="G626" s="2">
        <v>28702</v>
      </c>
      <c r="H626">
        <v>5.1200000000000002E-2</v>
      </c>
      <c r="I626">
        <v>5.5999999999999999E-3</v>
      </c>
    </row>
    <row r="627" spans="1:9" x14ac:dyDescent="0.2">
      <c r="A627" s="2">
        <v>35827</v>
      </c>
      <c r="B627">
        <v>16.059999999999999</v>
      </c>
      <c r="D627" s="2">
        <v>43862</v>
      </c>
      <c r="E627" s="1">
        <v>0.89</v>
      </c>
      <c r="G627" s="2">
        <v>28733</v>
      </c>
      <c r="H627">
        <v>3.78E-2</v>
      </c>
      <c r="I627">
        <v>5.5999999999999999E-3</v>
      </c>
    </row>
    <row r="628" spans="1:9" x14ac:dyDescent="0.2">
      <c r="A628" s="2">
        <v>35855</v>
      </c>
      <c r="B628">
        <v>15.02</v>
      </c>
      <c r="D628" s="2">
        <v>43891</v>
      </c>
      <c r="E628" s="1">
        <v>0.53</v>
      </c>
      <c r="G628" s="2">
        <v>28762</v>
      </c>
      <c r="H628">
        <v>-1.44E-2</v>
      </c>
      <c r="I628">
        <v>6.1999999999999998E-3</v>
      </c>
    </row>
    <row r="629" spans="1:9" x14ac:dyDescent="0.2">
      <c r="A629" s="2">
        <v>35886</v>
      </c>
      <c r="B629">
        <v>15.44</v>
      </c>
      <c r="D629" s="2">
        <v>43922</v>
      </c>
      <c r="E629" s="1">
        <v>0.17</v>
      </c>
      <c r="G629" s="2">
        <v>28794</v>
      </c>
      <c r="H629">
        <v>-0.11899999999999999</v>
      </c>
      <c r="I629">
        <v>6.7999999999999996E-3</v>
      </c>
    </row>
    <row r="630" spans="1:9" x14ac:dyDescent="0.2">
      <c r="A630" s="2">
        <v>35916</v>
      </c>
      <c r="B630">
        <v>14.86</v>
      </c>
      <c r="D630" s="2">
        <v>43952</v>
      </c>
      <c r="E630" s="1">
        <v>0.1</v>
      </c>
      <c r="G630" s="2">
        <v>28824</v>
      </c>
      <c r="H630">
        <v>2.7099999999999999E-2</v>
      </c>
      <c r="I630">
        <v>7.0000000000000001E-3</v>
      </c>
    </row>
    <row r="631" spans="1:9" x14ac:dyDescent="0.2">
      <c r="A631" s="2">
        <v>35947</v>
      </c>
      <c r="B631">
        <v>13.66</v>
      </c>
      <c r="D631" s="2">
        <v>43983</v>
      </c>
      <c r="E631" s="1">
        <v>0.1</v>
      </c>
      <c r="G631" s="2">
        <v>28853</v>
      </c>
      <c r="H631">
        <v>8.6999999999999994E-3</v>
      </c>
      <c r="I631">
        <v>7.7999999999999996E-3</v>
      </c>
    </row>
    <row r="632" spans="1:9" x14ac:dyDescent="0.2">
      <c r="A632" s="2">
        <v>35977</v>
      </c>
      <c r="B632">
        <v>14.08</v>
      </c>
      <c r="D632" s="2">
        <v>44013</v>
      </c>
      <c r="E632" s="1">
        <v>0.1</v>
      </c>
      <c r="G632" s="2">
        <v>28886</v>
      </c>
      <c r="H632">
        <v>4.2200000000000001E-2</v>
      </c>
      <c r="I632">
        <v>7.7000000000000002E-3</v>
      </c>
    </row>
    <row r="633" spans="1:9" x14ac:dyDescent="0.2">
      <c r="A633" s="2">
        <v>36008</v>
      </c>
      <c r="B633">
        <v>13.36</v>
      </c>
      <c r="D633" s="2">
        <v>44044</v>
      </c>
      <c r="E633" s="1">
        <v>0.1</v>
      </c>
      <c r="G633" s="2">
        <v>28914</v>
      </c>
      <c r="H633">
        <v>-3.56E-2</v>
      </c>
      <c r="I633">
        <v>7.3000000000000001E-3</v>
      </c>
    </row>
    <row r="634" spans="1:9" x14ac:dyDescent="0.2">
      <c r="A634" s="2">
        <v>36039</v>
      </c>
      <c r="B634">
        <v>14.95</v>
      </c>
      <c r="D634" s="2">
        <v>44075</v>
      </c>
      <c r="E634" s="1">
        <v>0.09</v>
      </c>
      <c r="G634" s="2">
        <v>28944</v>
      </c>
      <c r="H634">
        <v>5.67E-2</v>
      </c>
      <c r="I634">
        <v>8.0999999999999996E-3</v>
      </c>
    </row>
    <row r="635" spans="1:9" x14ac:dyDescent="0.2">
      <c r="A635" s="2">
        <v>36069</v>
      </c>
      <c r="B635">
        <v>14.39</v>
      </c>
      <c r="D635" s="2">
        <v>44105</v>
      </c>
      <c r="E635" s="1">
        <v>7.0000000000000007E-2</v>
      </c>
      <c r="G635" s="2">
        <v>28975</v>
      </c>
      <c r="H635">
        <v>-6.9999999999999999E-4</v>
      </c>
      <c r="I635">
        <v>8.0000000000000002E-3</v>
      </c>
    </row>
    <row r="636" spans="1:9" x14ac:dyDescent="0.2">
      <c r="A636" s="2">
        <v>36100</v>
      </c>
      <c r="B636">
        <v>12.85</v>
      </c>
      <c r="D636" s="2">
        <v>44136</v>
      </c>
      <c r="E636" s="1">
        <v>0.02</v>
      </c>
      <c r="G636" s="2">
        <v>29006</v>
      </c>
      <c r="H636">
        <v>-2.1999999999999999E-2</v>
      </c>
      <c r="I636">
        <v>8.2000000000000007E-3</v>
      </c>
    </row>
    <row r="637" spans="1:9" x14ac:dyDescent="0.2">
      <c r="A637" s="2">
        <v>36130</v>
      </c>
      <c r="B637">
        <v>11.28</v>
      </c>
      <c r="D637" s="2">
        <v>44166</v>
      </c>
      <c r="E637" s="1">
        <v>0.02</v>
      </c>
      <c r="G637" s="2">
        <v>29035</v>
      </c>
      <c r="H637">
        <v>3.8399999999999997E-2</v>
      </c>
      <c r="I637">
        <v>8.0999999999999996E-3</v>
      </c>
    </row>
    <row r="638" spans="1:9" x14ac:dyDescent="0.2">
      <c r="A638" s="2">
        <v>36161</v>
      </c>
      <c r="B638">
        <v>12.47</v>
      </c>
      <c r="D638" s="2">
        <v>44197</v>
      </c>
      <c r="E638" s="1">
        <v>0.01</v>
      </c>
      <c r="G638" s="2">
        <v>29067</v>
      </c>
      <c r="H638">
        <v>8.3000000000000001E-3</v>
      </c>
      <c r="I638">
        <v>7.7000000000000002E-3</v>
      </c>
    </row>
    <row r="639" spans="1:9" x14ac:dyDescent="0.2">
      <c r="A639" s="2">
        <v>36192</v>
      </c>
      <c r="B639">
        <v>12.01</v>
      </c>
      <c r="D639" s="2">
        <v>44228</v>
      </c>
      <c r="E639" s="1">
        <v>0.01</v>
      </c>
      <c r="G639" s="2">
        <v>29098</v>
      </c>
      <c r="H639">
        <v>5.5399999999999998E-2</v>
      </c>
      <c r="I639">
        <v>7.7000000000000002E-3</v>
      </c>
    </row>
    <row r="640" spans="1:9" x14ac:dyDescent="0.2">
      <c r="A640" s="2">
        <v>36220</v>
      </c>
      <c r="B640">
        <v>14.66</v>
      </c>
      <c r="D640" s="2">
        <v>44256</v>
      </c>
      <c r="E640" s="1">
        <v>0.03</v>
      </c>
      <c r="G640" s="2">
        <v>29126</v>
      </c>
      <c r="H640">
        <v>-8.3000000000000001E-3</v>
      </c>
      <c r="I640">
        <v>8.3000000000000001E-3</v>
      </c>
    </row>
    <row r="641" spans="1:9" x14ac:dyDescent="0.2">
      <c r="A641" s="2">
        <v>36251</v>
      </c>
      <c r="B641">
        <v>17.34</v>
      </c>
      <c r="D641" s="2">
        <v>44287</v>
      </c>
      <c r="E641" s="1">
        <v>0.04</v>
      </c>
      <c r="G641" s="2">
        <v>29159</v>
      </c>
      <c r="H641">
        <v>-8.1000000000000003E-2</v>
      </c>
      <c r="I641">
        <v>8.6999999999999994E-3</v>
      </c>
    </row>
    <row r="642" spans="1:9" x14ac:dyDescent="0.2">
      <c r="A642" s="2">
        <v>36281</v>
      </c>
      <c r="B642">
        <v>17.75</v>
      </c>
      <c r="D642" s="2">
        <v>44317</v>
      </c>
      <c r="E642" s="1">
        <v>0.04</v>
      </c>
      <c r="G642" s="2">
        <v>29189</v>
      </c>
      <c r="H642">
        <v>5.2200000000000003E-2</v>
      </c>
      <c r="I642">
        <v>9.9000000000000008E-3</v>
      </c>
    </row>
    <row r="643" spans="1:9" x14ac:dyDescent="0.2">
      <c r="A643" s="2">
        <v>36312</v>
      </c>
      <c r="B643">
        <v>17.89</v>
      </c>
      <c r="D643" s="2">
        <v>44348</v>
      </c>
      <c r="E643" s="1">
        <v>0.03</v>
      </c>
      <c r="G643" s="2">
        <v>29220</v>
      </c>
      <c r="H643">
        <v>1.78E-2</v>
      </c>
      <c r="I643">
        <v>9.4999999999999998E-3</v>
      </c>
    </row>
    <row r="644" spans="1:9" x14ac:dyDescent="0.2">
      <c r="A644" s="2">
        <v>36342</v>
      </c>
      <c r="B644">
        <v>20.07</v>
      </c>
      <c r="D644" s="2">
        <v>44378</v>
      </c>
      <c r="E644" s="1">
        <v>0.02</v>
      </c>
      <c r="G644" s="2">
        <v>29251</v>
      </c>
      <c r="H644">
        <v>5.5E-2</v>
      </c>
      <c r="I644">
        <v>8.0000000000000002E-3</v>
      </c>
    </row>
    <row r="645" spans="1:9" x14ac:dyDescent="0.2">
      <c r="A645" s="2">
        <v>36373</v>
      </c>
      <c r="B645">
        <v>21.26</v>
      </c>
      <c r="D645" s="2">
        <v>44409</v>
      </c>
      <c r="E645" s="1">
        <v>0.01</v>
      </c>
      <c r="G645" s="2">
        <v>29280</v>
      </c>
      <c r="H645">
        <v>-1.23E-2</v>
      </c>
      <c r="I645">
        <v>8.8999999999999999E-3</v>
      </c>
    </row>
    <row r="646" spans="1:9" x14ac:dyDescent="0.2">
      <c r="A646" s="2">
        <v>36404</v>
      </c>
      <c r="B646">
        <v>23.88</v>
      </c>
      <c r="D646" s="2">
        <v>44440</v>
      </c>
      <c r="E646" s="1">
        <v>0.01</v>
      </c>
      <c r="G646" s="2">
        <v>29311</v>
      </c>
      <c r="H646">
        <v>-0.129</v>
      </c>
      <c r="I646">
        <v>1.21E-2</v>
      </c>
    </row>
    <row r="647" spans="1:9" x14ac:dyDescent="0.2">
      <c r="A647" s="2">
        <v>36434</v>
      </c>
      <c r="B647">
        <v>22.64</v>
      </c>
      <c r="D647" s="2">
        <v>44470</v>
      </c>
      <c r="E647" s="1">
        <v>0.04</v>
      </c>
      <c r="G647" s="2">
        <v>29341</v>
      </c>
      <c r="H647">
        <v>3.95E-2</v>
      </c>
      <c r="I647">
        <v>1.26E-2</v>
      </c>
    </row>
    <row r="648" spans="1:9" x14ac:dyDescent="0.2">
      <c r="A648" s="2">
        <v>36465</v>
      </c>
      <c r="B648">
        <v>24.97</v>
      </c>
      <c r="D648" s="2">
        <v>44501</v>
      </c>
      <c r="E648" s="1">
        <v>0.04</v>
      </c>
      <c r="G648" s="2">
        <v>29371</v>
      </c>
      <c r="H648">
        <v>5.2600000000000001E-2</v>
      </c>
      <c r="I648">
        <v>8.0999999999999996E-3</v>
      </c>
    </row>
    <row r="649" spans="1:9" x14ac:dyDescent="0.2">
      <c r="A649" s="2">
        <v>36495</v>
      </c>
      <c r="B649">
        <v>26.08</v>
      </c>
      <c r="D649" s="2">
        <v>44531</v>
      </c>
      <c r="E649" s="1">
        <v>0.06</v>
      </c>
      <c r="G649" s="2">
        <v>29402</v>
      </c>
      <c r="H649">
        <v>2.98E-2</v>
      </c>
      <c r="I649">
        <v>6.1000000000000004E-3</v>
      </c>
    </row>
    <row r="650" spans="1:9" x14ac:dyDescent="0.2">
      <c r="A650" s="2">
        <v>36526</v>
      </c>
      <c r="B650">
        <v>27.18</v>
      </c>
      <c r="D650" s="2">
        <v>44562</v>
      </c>
      <c r="E650" s="1">
        <v>7.0000000000000007E-2</v>
      </c>
      <c r="G650" s="2">
        <v>29433</v>
      </c>
      <c r="H650">
        <v>6.5100000000000005E-2</v>
      </c>
      <c r="I650">
        <v>5.3E-3</v>
      </c>
    </row>
    <row r="651" spans="1:9" x14ac:dyDescent="0.2">
      <c r="A651" s="2">
        <v>36557</v>
      </c>
      <c r="B651">
        <v>29.35</v>
      </c>
      <c r="D651" s="2">
        <v>44593</v>
      </c>
      <c r="E651" s="1">
        <v>7.0000000000000007E-2</v>
      </c>
      <c r="G651" s="2">
        <v>29462</v>
      </c>
      <c r="H651">
        <v>1.7500000000000002E-2</v>
      </c>
      <c r="I651">
        <v>6.4000000000000003E-3</v>
      </c>
    </row>
    <row r="652" spans="1:9" x14ac:dyDescent="0.2">
      <c r="A652" s="2">
        <v>36586</v>
      </c>
      <c r="B652">
        <v>29.89</v>
      </c>
      <c r="D652" s="2">
        <v>44621</v>
      </c>
      <c r="E652" s="1">
        <v>0.17</v>
      </c>
      <c r="G652" s="2">
        <v>29494</v>
      </c>
      <c r="H652">
        <v>2.1899999999999999E-2</v>
      </c>
      <c r="I652">
        <v>7.4999999999999997E-3</v>
      </c>
    </row>
    <row r="653" spans="1:9" x14ac:dyDescent="0.2">
      <c r="A653" s="2">
        <v>36617</v>
      </c>
      <c r="B653">
        <v>25.74</v>
      </c>
      <c r="D653" s="2">
        <v>44652</v>
      </c>
      <c r="E653" s="1">
        <v>0.41</v>
      </c>
      <c r="G653" s="2">
        <v>29525</v>
      </c>
      <c r="H653">
        <v>1.04E-2</v>
      </c>
      <c r="I653">
        <v>9.4999999999999998E-3</v>
      </c>
    </row>
    <row r="654" spans="1:9" x14ac:dyDescent="0.2">
      <c r="A654" s="2">
        <v>36647</v>
      </c>
      <c r="B654">
        <v>28.78</v>
      </c>
      <c r="D654" s="2">
        <v>44682</v>
      </c>
      <c r="E654" s="1">
        <v>1</v>
      </c>
      <c r="G654" s="2">
        <v>29553</v>
      </c>
      <c r="H654">
        <v>9.6000000000000002E-2</v>
      </c>
      <c r="I654">
        <v>9.5999999999999992E-3</v>
      </c>
    </row>
    <row r="655" spans="1:9" x14ac:dyDescent="0.2">
      <c r="A655" s="2">
        <v>36678</v>
      </c>
      <c r="B655">
        <v>31.83</v>
      </c>
      <c r="D655" s="2">
        <v>44713</v>
      </c>
      <c r="E655" s="1">
        <v>1.6</v>
      </c>
      <c r="G655" s="2">
        <v>29586</v>
      </c>
      <c r="H655">
        <v>-4.4600000000000001E-2</v>
      </c>
      <c r="I655">
        <v>1.3100000000000001E-2</v>
      </c>
    </row>
    <row r="656" spans="1:9" x14ac:dyDescent="0.2">
      <c r="A656" s="2">
        <v>36708</v>
      </c>
      <c r="B656">
        <v>29.77</v>
      </c>
      <c r="D656" s="2">
        <v>44743</v>
      </c>
      <c r="E656" s="1">
        <v>2.0699999999999998</v>
      </c>
      <c r="G656" s="2">
        <v>29616</v>
      </c>
      <c r="H656">
        <v>-5.0599999999999999E-2</v>
      </c>
      <c r="I656">
        <v>1.04E-2</v>
      </c>
    </row>
    <row r="657" spans="1:9" x14ac:dyDescent="0.2">
      <c r="A657" s="2">
        <v>36739</v>
      </c>
      <c r="B657">
        <v>31.22</v>
      </c>
      <c r="D657" s="2">
        <v>44774</v>
      </c>
      <c r="E657" s="1">
        <v>2.31</v>
      </c>
      <c r="G657" s="2">
        <v>29644</v>
      </c>
      <c r="H657">
        <v>6.1000000000000004E-3</v>
      </c>
      <c r="I657">
        <v>1.0699999999999999E-2</v>
      </c>
    </row>
    <row r="658" spans="1:9" x14ac:dyDescent="0.2">
      <c r="A658" s="2">
        <v>36770</v>
      </c>
      <c r="B658">
        <v>33.880000000000003</v>
      </c>
      <c r="D658" s="2">
        <v>44805</v>
      </c>
      <c r="E658" s="1">
        <v>2.76</v>
      </c>
      <c r="G658" s="2">
        <v>29676</v>
      </c>
      <c r="H658">
        <v>3.6700000000000003E-2</v>
      </c>
      <c r="I658">
        <v>1.21E-2</v>
      </c>
    </row>
    <row r="659" spans="1:9" x14ac:dyDescent="0.2">
      <c r="A659" s="2">
        <v>36800</v>
      </c>
      <c r="B659">
        <v>33.08</v>
      </c>
      <c r="D659" s="2">
        <v>44835</v>
      </c>
      <c r="E659" s="1">
        <v>2.95</v>
      </c>
      <c r="G659" s="2">
        <v>29706</v>
      </c>
      <c r="H659">
        <v>-2.1600000000000001E-2</v>
      </c>
      <c r="I659">
        <v>1.0800000000000001E-2</v>
      </c>
    </row>
    <row r="660" spans="1:9" x14ac:dyDescent="0.2">
      <c r="A660" s="2">
        <v>36831</v>
      </c>
      <c r="B660">
        <v>34.4</v>
      </c>
      <c r="D660" s="2">
        <v>44866</v>
      </c>
      <c r="E660" s="1">
        <v>3.06</v>
      </c>
      <c r="G660" s="2">
        <v>29735</v>
      </c>
      <c r="H660">
        <v>1.2999999999999999E-3</v>
      </c>
      <c r="I660">
        <v>1.15E-2</v>
      </c>
    </row>
    <row r="661" spans="1:9" x14ac:dyDescent="0.2">
      <c r="A661" s="2">
        <v>36861</v>
      </c>
      <c r="B661">
        <v>28.46</v>
      </c>
      <c r="D661" s="2">
        <v>44896</v>
      </c>
      <c r="E661" s="1">
        <v>3.17</v>
      </c>
      <c r="G661" s="2">
        <v>29767</v>
      </c>
      <c r="H661">
        <v>-2.3400000000000001E-2</v>
      </c>
      <c r="I661">
        <v>1.35E-2</v>
      </c>
    </row>
    <row r="662" spans="1:9" x14ac:dyDescent="0.2">
      <c r="A662" s="2">
        <v>36892</v>
      </c>
      <c r="B662">
        <v>29.58</v>
      </c>
      <c r="D662" s="2">
        <v>44927</v>
      </c>
      <c r="E662" s="1">
        <v>3.32</v>
      </c>
      <c r="G662" s="2">
        <v>29798</v>
      </c>
      <c r="H662">
        <v>-1.55E-2</v>
      </c>
      <c r="I662">
        <v>1.24E-2</v>
      </c>
    </row>
    <row r="663" spans="1:9" x14ac:dyDescent="0.2">
      <c r="A663" s="2">
        <v>36923</v>
      </c>
      <c r="B663">
        <v>29.61</v>
      </c>
      <c r="D663" s="2">
        <v>44958</v>
      </c>
      <c r="E663" s="1">
        <v>3.46</v>
      </c>
      <c r="G663" s="2">
        <v>29829</v>
      </c>
      <c r="H663">
        <v>-7.0199999999999999E-2</v>
      </c>
      <c r="I663">
        <v>1.2800000000000001E-2</v>
      </c>
    </row>
    <row r="664" spans="1:9" x14ac:dyDescent="0.2">
      <c r="A664" s="2">
        <v>36951</v>
      </c>
      <c r="B664">
        <v>27.24</v>
      </c>
      <c r="D664" s="2">
        <v>44986</v>
      </c>
      <c r="E664" s="1">
        <v>3.64</v>
      </c>
      <c r="G664" s="2">
        <v>29859</v>
      </c>
      <c r="H664">
        <v>-7.1900000000000006E-2</v>
      </c>
      <c r="I664">
        <v>1.24E-2</v>
      </c>
    </row>
    <row r="665" spans="1:9" x14ac:dyDescent="0.2">
      <c r="A665" s="2">
        <v>36982</v>
      </c>
      <c r="B665">
        <v>27.41</v>
      </c>
      <c r="D665" s="2">
        <v>45017</v>
      </c>
      <c r="E665" s="1">
        <v>3.66</v>
      </c>
      <c r="G665" s="2">
        <v>29889</v>
      </c>
      <c r="H665">
        <v>4.9200000000000001E-2</v>
      </c>
      <c r="I665">
        <v>1.21E-2</v>
      </c>
    </row>
    <row r="666" spans="1:9" x14ac:dyDescent="0.2">
      <c r="A666" s="2">
        <v>37012</v>
      </c>
      <c r="B666">
        <v>28.64</v>
      </c>
      <c r="D666" s="2">
        <v>45047</v>
      </c>
      <c r="E666" s="1">
        <v>3.9</v>
      </c>
      <c r="G666" s="2">
        <v>29920</v>
      </c>
      <c r="H666">
        <v>3.4000000000000002E-2</v>
      </c>
      <c r="I666">
        <v>1.0699999999999999E-2</v>
      </c>
    </row>
    <row r="667" spans="1:9" x14ac:dyDescent="0.2">
      <c r="A667" s="2">
        <v>37043</v>
      </c>
      <c r="B667">
        <v>27.6</v>
      </c>
      <c r="D667" s="2">
        <v>45078</v>
      </c>
      <c r="E667" s="1">
        <v>4.25</v>
      </c>
      <c r="G667" s="2">
        <v>29951</v>
      </c>
      <c r="H667">
        <v>-3.6299999999999999E-2</v>
      </c>
      <c r="I667">
        <v>8.6999999999999994E-3</v>
      </c>
    </row>
    <row r="668" spans="1:9" x14ac:dyDescent="0.2">
      <c r="A668" s="2">
        <v>37073</v>
      </c>
      <c r="B668">
        <v>26.45</v>
      </c>
      <c r="D668" s="2">
        <v>45108</v>
      </c>
      <c r="E668" s="1">
        <v>4.3</v>
      </c>
      <c r="G668" s="2">
        <v>29980</v>
      </c>
      <c r="H668">
        <v>-3.2300000000000002E-2</v>
      </c>
      <c r="I668">
        <v>8.0000000000000002E-3</v>
      </c>
    </row>
    <row r="669" spans="1:9" x14ac:dyDescent="0.2">
      <c r="A669" s="2">
        <v>37104</v>
      </c>
      <c r="B669">
        <v>27.47</v>
      </c>
      <c r="D669" s="2">
        <v>45139</v>
      </c>
      <c r="E669" s="1">
        <v>4.1500000000000004</v>
      </c>
      <c r="G669" s="2">
        <v>30008</v>
      </c>
      <c r="H669">
        <v>-5.8599999999999999E-2</v>
      </c>
      <c r="I669">
        <v>9.1999999999999998E-3</v>
      </c>
    </row>
    <row r="670" spans="1:9" x14ac:dyDescent="0.2">
      <c r="A670" s="2">
        <v>37135</v>
      </c>
      <c r="B670">
        <v>25.88</v>
      </c>
      <c r="D670" s="2">
        <v>45170</v>
      </c>
      <c r="E670" s="1">
        <v>4.13</v>
      </c>
      <c r="G670" s="2">
        <v>30041</v>
      </c>
      <c r="H670">
        <v>-1.8200000000000001E-2</v>
      </c>
      <c r="I670">
        <v>9.7999999999999997E-3</v>
      </c>
    </row>
    <row r="671" spans="1:9" x14ac:dyDescent="0.2">
      <c r="A671" s="2">
        <v>37165</v>
      </c>
      <c r="B671">
        <v>22.21</v>
      </c>
      <c r="D671" s="2">
        <v>45200</v>
      </c>
      <c r="E671" s="1">
        <v>4.21</v>
      </c>
      <c r="G671" s="2">
        <v>30071</v>
      </c>
      <c r="H671">
        <v>3.2399999999999998E-2</v>
      </c>
      <c r="I671">
        <v>1.1299999999999999E-2</v>
      </c>
    </row>
    <row r="672" spans="1:9" x14ac:dyDescent="0.2">
      <c r="A672" s="2">
        <v>37196</v>
      </c>
      <c r="B672">
        <v>19.670000000000002</v>
      </c>
      <c r="D672" s="2">
        <v>45231</v>
      </c>
      <c r="E672" s="1">
        <v>4.38</v>
      </c>
      <c r="G672" s="2">
        <v>30099</v>
      </c>
      <c r="H672">
        <v>-3.9300000000000002E-2</v>
      </c>
      <c r="I672">
        <v>1.06E-2</v>
      </c>
    </row>
    <row r="673" spans="1:9" x14ac:dyDescent="0.2">
      <c r="A673" s="2">
        <v>37226</v>
      </c>
      <c r="B673">
        <v>19.329999999999998</v>
      </c>
      <c r="D673" s="2">
        <v>45261</v>
      </c>
      <c r="E673" s="1">
        <v>4.3499999999999996</v>
      </c>
      <c r="G673" s="2">
        <v>30132</v>
      </c>
      <c r="H673">
        <v>-3.0800000000000001E-2</v>
      </c>
      <c r="I673">
        <v>9.5999999999999992E-3</v>
      </c>
    </row>
    <row r="674" spans="1:9" x14ac:dyDescent="0.2">
      <c r="A674" s="2">
        <v>37257</v>
      </c>
      <c r="B674">
        <v>19.670000000000002</v>
      </c>
      <c r="D674" s="2">
        <v>45292</v>
      </c>
      <c r="E674" s="1">
        <v>4.3499999999999996</v>
      </c>
      <c r="G674" s="2">
        <v>30162</v>
      </c>
      <c r="H674">
        <v>-3.2000000000000001E-2</v>
      </c>
      <c r="I674">
        <v>1.0500000000000001E-2</v>
      </c>
    </row>
    <row r="675" spans="1:9" x14ac:dyDescent="0.2">
      <c r="A675" s="2">
        <v>37288</v>
      </c>
      <c r="B675">
        <v>20.74</v>
      </c>
      <c r="D675" s="2">
        <v>45323</v>
      </c>
      <c r="E675" s="1">
        <v>4.34</v>
      </c>
      <c r="G675" s="2">
        <v>30194</v>
      </c>
      <c r="H675">
        <v>0.1123</v>
      </c>
      <c r="I675">
        <v>7.6E-3</v>
      </c>
    </row>
    <row r="676" spans="1:9" x14ac:dyDescent="0.2">
      <c r="A676" s="2">
        <v>37316</v>
      </c>
      <c r="B676">
        <v>24.42</v>
      </c>
      <c r="D676" s="2">
        <v>45352</v>
      </c>
      <c r="E676" s="1">
        <v>4.3499999999999996</v>
      </c>
      <c r="G676" s="2">
        <v>30224</v>
      </c>
      <c r="H676">
        <v>1.3100000000000001E-2</v>
      </c>
      <c r="I676">
        <v>5.1000000000000004E-3</v>
      </c>
    </row>
    <row r="677" spans="1:9" x14ac:dyDescent="0.2">
      <c r="A677" s="2">
        <v>37347</v>
      </c>
      <c r="B677">
        <v>26.27</v>
      </c>
      <c r="D677" s="2">
        <v>45383</v>
      </c>
      <c r="E677" s="1">
        <v>4.37</v>
      </c>
      <c r="G677" s="2">
        <v>30253</v>
      </c>
      <c r="H677">
        <v>0.113</v>
      </c>
      <c r="I677">
        <v>5.8999999999999999E-3</v>
      </c>
    </row>
    <row r="678" spans="1:9" x14ac:dyDescent="0.2">
      <c r="A678" s="2">
        <v>37377</v>
      </c>
      <c r="B678">
        <v>27.02</v>
      </c>
      <c r="D678" s="2">
        <v>45413</v>
      </c>
      <c r="E678" s="1">
        <v>4.3600000000000003</v>
      </c>
      <c r="G678" s="2">
        <v>30285</v>
      </c>
      <c r="H678">
        <v>4.6800000000000001E-2</v>
      </c>
      <c r="I678">
        <v>6.3E-3</v>
      </c>
    </row>
    <row r="679" spans="1:9" x14ac:dyDescent="0.2">
      <c r="A679" s="2">
        <v>37408</v>
      </c>
      <c r="B679">
        <v>25.52</v>
      </c>
      <c r="D679" s="2">
        <v>45444</v>
      </c>
      <c r="E679" s="1">
        <v>4.3899999999999997</v>
      </c>
      <c r="G679" s="2">
        <v>30316</v>
      </c>
      <c r="H679">
        <v>5.5999999999999999E-3</v>
      </c>
      <c r="I679">
        <v>6.7000000000000002E-3</v>
      </c>
    </row>
    <row r="680" spans="1:9" x14ac:dyDescent="0.2">
      <c r="A680" s="2">
        <v>37438</v>
      </c>
      <c r="B680">
        <v>26.94</v>
      </c>
      <c r="D680" s="2">
        <v>45474</v>
      </c>
      <c r="E680" s="1">
        <v>4.46</v>
      </c>
      <c r="G680" s="2">
        <v>30347</v>
      </c>
      <c r="H680">
        <v>3.5900000000000001E-2</v>
      </c>
      <c r="I680">
        <v>6.8999999999999999E-3</v>
      </c>
    </row>
    <row r="681" spans="1:9" x14ac:dyDescent="0.2">
      <c r="A681" s="2">
        <v>37469</v>
      </c>
      <c r="B681">
        <v>28.38</v>
      </c>
      <c r="D681" s="2">
        <v>45505</v>
      </c>
      <c r="E681" s="1">
        <v>4.38</v>
      </c>
      <c r="G681" s="2">
        <v>30375</v>
      </c>
      <c r="H681">
        <v>2.5899999999999999E-2</v>
      </c>
      <c r="I681">
        <v>6.1999999999999998E-3</v>
      </c>
    </row>
    <row r="682" spans="1:9" x14ac:dyDescent="0.2">
      <c r="A682" s="2">
        <v>37500</v>
      </c>
      <c r="B682">
        <v>29.67</v>
      </c>
      <c r="D682" s="2">
        <v>45536</v>
      </c>
      <c r="E682" s="1">
        <v>4.42</v>
      </c>
      <c r="G682" s="2">
        <v>30406</v>
      </c>
      <c r="H682">
        <v>2.81E-2</v>
      </c>
      <c r="I682">
        <v>6.3E-3</v>
      </c>
    </row>
    <row r="683" spans="1:9" x14ac:dyDescent="0.2">
      <c r="A683" s="2">
        <v>37530</v>
      </c>
      <c r="B683">
        <v>28.85</v>
      </c>
      <c r="D683" s="2">
        <v>45566</v>
      </c>
      <c r="E683" s="1">
        <v>4.41</v>
      </c>
      <c r="G683" s="2">
        <v>30435</v>
      </c>
      <c r="H683">
        <v>6.6600000000000006E-2</v>
      </c>
      <c r="I683">
        <v>7.1000000000000004E-3</v>
      </c>
    </row>
    <row r="684" spans="1:9" x14ac:dyDescent="0.2">
      <c r="A684" s="2">
        <v>37561</v>
      </c>
      <c r="B684">
        <v>26.27</v>
      </c>
      <c r="D684" s="2">
        <v>45597</v>
      </c>
      <c r="E684" s="1">
        <v>4.42</v>
      </c>
      <c r="G684" s="2">
        <v>30467</v>
      </c>
      <c r="H684">
        <v>5.1000000000000004E-3</v>
      </c>
      <c r="I684">
        <v>6.8999999999999999E-3</v>
      </c>
    </row>
    <row r="685" spans="1:9" x14ac:dyDescent="0.2">
      <c r="A685" s="2">
        <v>37591</v>
      </c>
      <c r="B685">
        <v>29.42</v>
      </c>
      <c r="D685" s="2">
        <v>45627</v>
      </c>
      <c r="E685" s="1">
        <v>4.4400000000000004</v>
      </c>
      <c r="G685" s="2">
        <v>30497</v>
      </c>
      <c r="H685">
        <v>3.0700000000000002E-2</v>
      </c>
      <c r="I685">
        <v>6.7000000000000002E-3</v>
      </c>
    </row>
    <row r="686" spans="1:9" x14ac:dyDescent="0.2">
      <c r="A686" s="2">
        <v>37622</v>
      </c>
      <c r="B686">
        <v>32.94</v>
      </c>
      <c r="D686" s="2">
        <v>45658</v>
      </c>
      <c r="E686" s="1">
        <v>4.33</v>
      </c>
      <c r="G686" s="2">
        <v>30526</v>
      </c>
      <c r="H686">
        <v>-4.0599999999999997E-2</v>
      </c>
      <c r="I686">
        <v>7.4000000000000003E-3</v>
      </c>
    </row>
    <row r="687" spans="1:9" x14ac:dyDescent="0.2">
      <c r="A687" s="2">
        <v>37653</v>
      </c>
      <c r="B687">
        <v>35.869999999999997</v>
      </c>
      <c r="D687" s="2">
        <v>45689</v>
      </c>
      <c r="E687" s="1">
        <v>4.17</v>
      </c>
      <c r="G687" s="2">
        <v>30559</v>
      </c>
      <c r="H687">
        <v>-5.0000000000000001E-3</v>
      </c>
      <c r="I687">
        <v>7.6E-3</v>
      </c>
    </row>
    <row r="688" spans="1:9" x14ac:dyDescent="0.2">
      <c r="A688" s="2">
        <v>37681</v>
      </c>
      <c r="B688">
        <v>33.549999999999997</v>
      </c>
      <c r="D688" s="2">
        <v>45717</v>
      </c>
      <c r="E688" s="1">
        <v>4.12</v>
      </c>
      <c r="G688" s="2">
        <v>30589</v>
      </c>
      <c r="H688">
        <v>9.1999999999999998E-3</v>
      </c>
      <c r="I688">
        <v>7.6E-3</v>
      </c>
    </row>
    <row r="689" spans="1:9" x14ac:dyDescent="0.2">
      <c r="A689" s="2">
        <v>37712</v>
      </c>
      <c r="B689">
        <v>28.25</v>
      </c>
      <c r="D689" s="2">
        <v>45748</v>
      </c>
      <c r="E689" s="1">
        <v>4.0199999999999996</v>
      </c>
      <c r="G689" s="2">
        <v>30620</v>
      </c>
      <c r="H689">
        <v>-3.4299999999999997E-2</v>
      </c>
      <c r="I689">
        <v>7.6E-3</v>
      </c>
    </row>
    <row r="690" spans="1:9" x14ac:dyDescent="0.2">
      <c r="A690" s="2">
        <v>37742</v>
      </c>
      <c r="B690">
        <v>28.14</v>
      </c>
      <c r="D690" s="2">
        <v>45778</v>
      </c>
      <c r="E690" s="1">
        <v>3.78</v>
      </c>
      <c r="G690" s="2">
        <v>30650</v>
      </c>
      <c r="H690">
        <v>2.1700000000000001E-2</v>
      </c>
      <c r="I690">
        <v>7.0000000000000001E-3</v>
      </c>
    </row>
    <row r="691" spans="1:9" x14ac:dyDescent="0.2">
      <c r="A691" s="2">
        <v>37773</v>
      </c>
      <c r="B691">
        <v>30.72</v>
      </c>
      <c r="D691" s="2">
        <v>45809</v>
      </c>
      <c r="E691" s="1">
        <v>3.69</v>
      </c>
      <c r="G691" s="2">
        <v>30680</v>
      </c>
      <c r="H691">
        <v>-1.77E-2</v>
      </c>
      <c r="I691">
        <v>7.3000000000000001E-3</v>
      </c>
    </row>
    <row r="692" spans="1:9" x14ac:dyDescent="0.2">
      <c r="A692" s="2">
        <v>37803</v>
      </c>
      <c r="B692">
        <v>30.76</v>
      </c>
      <c r="D692" s="2">
        <v>45839</v>
      </c>
      <c r="E692" s="1">
        <v>3.68</v>
      </c>
      <c r="G692" s="2">
        <v>30712</v>
      </c>
      <c r="H692">
        <v>-1.9199999999999998E-2</v>
      </c>
      <c r="I692">
        <v>7.6E-3</v>
      </c>
    </row>
    <row r="693" spans="1:9" x14ac:dyDescent="0.2">
      <c r="A693" s="2">
        <v>37834</v>
      </c>
      <c r="B693">
        <v>31.59</v>
      </c>
      <c r="D693" s="2">
        <v>45870</v>
      </c>
      <c r="E693" s="1">
        <v>3.61</v>
      </c>
      <c r="G693" s="2">
        <v>30741</v>
      </c>
      <c r="H693">
        <v>-4.7699999999999999E-2</v>
      </c>
      <c r="I693">
        <v>7.1000000000000004E-3</v>
      </c>
    </row>
    <row r="694" spans="1:9" x14ac:dyDescent="0.2">
      <c r="A694" s="2">
        <v>37865</v>
      </c>
      <c r="B694">
        <v>28.29</v>
      </c>
      <c r="D694" s="2">
        <v>45901</v>
      </c>
      <c r="E694" s="1">
        <v>3.58</v>
      </c>
      <c r="G694" s="2">
        <v>30771</v>
      </c>
      <c r="H694">
        <v>6.4999999999999997E-3</v>
      </c>
      <c r="I694">
        <v>7.3000000000000001E-3</v>
      </c>
    </row>
    <row r="695" spans="1:9" x14ac:dyDescent="0.2">
      <c r="A695" s="2">
        <v>37895</v>
      </c>
      <c r="B695">
        <v>30.33</v>
      </c>
      <c r="D695" s="2">
        <v>45931</v>
      </c>
      <c r="E695" s="1">
        <v>3.56</v>
      </c>
      <c r="G695" s="2">
        <v>30802</v>
      </c>
      <c r="H695">
        <v>-5.1000000000000004E-3</v>
      </c>
      <c r="I695">
        <v>8.0999999999999996E-3</v>
      </c>
    </row>
    <row r="696" spans="1:9" x14ac:dyDescent="0.2">
      <c r="A696" s="2">
        <v>37926</v>
      </c>
      <c r="B696">
        <v>31.09</v>
      </c>
      <c r="D696" s="2">
        <v>45962</v>
      </c>
      <c r="E696" s="1">
        <v>3.65</v>
      </c>
      <c r="G696" s="2">
        <v>30833</v>
      </c>
      <c r="H696">
        <v>-5.9799999999999999E-2</v>
      </c>
      <c r="I696">
        <v>7.7999999999999996E-3</v>
      </c>
    </row>
    <row r="697" spans="1:9" x14ac:dyDescent="0.2">
      <c r="A697" s="2">
        <v>37956</v>
      </c>
      <c r="B697">
        <v>32.15</v>
      </c>
      <c r="D697" s="2">
        <v>45992</v>
      </c>
      <c r="E697" s="1">
        <v>3.71</v>
      </c>
      <c r="G697" s="2">
        <v>30862</v>
      </c>
      <c r="H697">
        <v>1.8100000000000002E-2</v>
      </c>
      <c r="I697">
        <v>7.4999999999999997E-3</v>
      </c>
    </row>
    <row r="698" spans="1:9" x14ac:dyDescent="0.2">
      <c r="A698" s="2">
        <v>37987</v>
      </c>
      <c r="B698">
        <v>34.270000000000003</v>
      </c>
      <c r="D698" s="2">
        <v>46023</v>
      </c>
      <c r="E698" s="1">
        <v>3.77</v>
      </c>
      <c r="G698" s="2">
        <v>30894</v>
      </c>
      <c r="H698">
        <v>-2.7199999999999998E-2</v>
      </c>
      <c r="I698">
        <v>8.2000000000000007E-3</v>
      </c>
    </row>
    <row r="699" spans="1:9" x14ac:dyDescent="0.2">
      <c r="A699" s="2">
        <v>38018</v>
      </c>
      <c r="B699">
        <v>34.74</v>
      </c>
      <c r="D699" s="2">
        <v>46054</v>
      </c>
      <c r="E699" s="1">
        <v>3.96</v>
      </c>
      <c r="G699" s="2">
        <v>30925</v>
      </c>
      <c r="H699">
        <v>0.1027</v>
      </c>
      <c r="I699">
        <v>8.3000000000000001E-3</v>
      </c>
    </row>
    <row r="700" spans="1:9" x14ac:dyDescent="0.2">
      <c r="A700" s="2">
        <v>38047</v>
      </c>
      <c r="B700">
        <v>36.76</v>
      </c>
      <c r="G700" s="2">
        <v>30953</v>
      </c>
      <c r="H700">
        <v>-8.0000000000000002E-3</v>
      </c>
      <c r="I700">
        <v>8.6E-3</v>
      </c>
    </row>
    <row r="701" spans="1:9" x14ac:dyDescent="0.2">
      <c r="A701" s="2">
        <v>38078</v>
      </c>
      <c r="B701">
        <v>36.69</v>
      </c>
      <c r="G701" s="2">
        <v>30986</v>
      </c>
      <c r="H701">
        <v>-8.3999999999999995E-3</v>
      </c>
      <c r="I701">
        <v>0.01</v>
      </c>
    </row>
    <row r="702" spans="1:9" x14ac:dyDescent="0.2">
      <c r="A702" s="2">
        <v>38108</v>
      </c>
      <c r="B702">
        <v>40.28</v>
      </c>
      <c r="G702" s="2">
        <v>31016</v>
      </c>
      <c r="H702">
        <v>-1.77E-2</v>
      </c>
      <c r="I702">
        <v>7.3000000000000001E-3</v>
      </c>
    </row>
    <row r="703" spans="1:9" x14ac:dyDescent="0.2">
      <c r="A703" s="2">
        <v>38139</v>
      </c>
      <c r="B703">
        <v>38.020000000000003</v>
      </c>
      <c r="G703" s="2">
        <v>31047</v>
      </c>
      <c r="H703">
        <v>1.8499999999999999E-2</v>
      </c>
      <c r="I703">
        <v>6.4000000000000003E-3</v>
      </c>
    </row>
    <row r="704" spans="1:9" x14ac:dyDescent="0.2">
      <c r="A704" s="2">
        <v>38169</v>
      </c>
      <c r="B704">
        <v>40.69</v>
      </c>
      <c r="G704" s="2">
        <v>31078</v>
      </c>
      <c r="H704">
        <v>7.9699999999999993E-2</v>
      </c>
      <c r="I704">
        <v>6.4999999999999997E-3</v>
      </c>
    </row>
    <row r="705" spans="1:9" x14ac:dyDescent="0.2">
      <c r="A705" s="2">
        <v>38200</v>
      </c>
      <c r="B705">
        <v>44.94</v>
      </c>
      <c r="G705" s="2">
        <v>31106</v>
      </c>
      <c r="H705">
        <v>1.2200000000000001E-2</v>
      </c>
      <c r="I705">
        <v>5.7999999999999996E-3</v>
      </c>
    </row>
    <row r="706" spans="1:9" x14ac:dyDescent="0.2">
      <c r="A706" s="2">
        <v>38231</v>
      </c>
      <c r="B706">
        <v>45.95</v>
      </c>
      <c r="G706" s="2">
        <v>31135</v>
      </c>
      <c r="H706">
        <v>-8.3000000000000001E-3</v>
      </c>
      <c r="I706">
        <v>6.1999999999999998E-3</v>
      </c>
    </row>
    <row r="707" spans="1:9" x14ac:dyDescent="0.2">
      <c r="A707" s="2">
        <v>38261</v>
      </c>
      <c r="B707">
        <v>53.13</v>
      </c>
      <c r="G707" s="2">
        <v>31167</v>
      </c>
      <c r="H707">
        <v>-9.5999999999999992E-3</v>
      </c>
      <c r="I707">
        <v>7.1999999999999998E-3</v>
      </c>
    </row>
    <row r="708" spans="1:9" x14ac:dyDescent="0.2">
      <c r="A708" s="2">
        <v>38292</v>
      </c>
      <c r="B708">
        <v>48.46</v>
      </c>
      <c r="G708" s="2">
        <v>31198</v>
      </c>
      <c r="H708">
        <v>5.0700000000000002E-2</v>
      </c>
      <c r="I708">
        <v>6.6E-3</v>
      </c>
    </row>
    <row r="709" spans="1:9" x14ac:dyDescent="0.2">
      <c r="A709" s="2">
        <v>38322</v>
      </c>
      <c r="B709">
        <v>43.33</v>
      </c>
      <c r="G709" s="2">
        <v>31226</v>
      </c>
      <c r="H709">
        <v>1.2699999999999999E-2</v>
      </c>
      <c r="I709">
        <v>5.4999999999999997E-3</v>
      </c>
    </row>
    <row r="710" spans="1:9" x14ac:dyDescent="0.2">
      <c r="A710" s="2">
        <v>38353</v>
      </c>
      <c r="B710">
        <v>46.84</v>
      </c>
      <c r="G710" s="2">
        <v>31259</v>
      </c>
      <c r="H710">
        <v>-7.1999999999999998E-3</v>
      </c>
      <c r="I710">
        <v>6.1999999999999998E-3</v>
      </c>
    </row>
    <row r="711" spans="1:9" x14ac:dyDescent="0.2">
      <c r="A711" s="2">
        <v>38384</v>
      </c>
      <c r="B711">
        <v>47.97</v>
      </c>
      <c r="G711" s="2">
        <v>31289</v>
      </c>
      <c r="H711">
        <v>-1.01E-2</v>
      </c>
      <c r="I711">
        <v>5.4999999999999997E-3</v>
      </c>
    </row>
    <row r="712" spans="1:9" x14ac:dyDescent="0.2">
      <c r="A712" s="2">
        <v>38412</v>
      </c>
      <c r="B712">
        <v>54.31</v>
      </c>
      <c r="G712" s="2">
        <v>31320</v>
      </c>
      <c r="H712">
        <v>-4.5100000000000001E-2</v>
      </c>
      <c r="I712">
        <v>6.0000000000000001E-3</v>
      </c>
    </row>
    <row r="713" spans="1:9" x14ac:dyDescent="0.2">
      <c r="A713" s="2">
        <v>38443</v>
      </c>
      <c r="B713">
        <v>53.04</v>
      </c>
      <c r="G713" s="2">
        <v>31351</v>
      </c>
      <c r="H713">
        <v>0.04</v>
      </c>
      <c r="I713">
        <v>6.4999999999999997E-3</v>
      </c>
    </row>
    <row r="714" spans="1:9" x14ac:dyDescent="0.2">
      <c r="A714" s="2">
        <v>38473</v>
      </c>
      <c r="B714">
        <v>49.83</v>
      </c>
      <c r="G714" s="2">
        <v>31380</v>
      </c>
      <c r="H714">
        <v>6.4600000000000005E-2</v>
      </c>
      <c r="I714">
        <v>6.1000000000000004E-3</v>
      </c>
    </row>
    <row r="715" spans="1:9" x14ac:dyDescent="0.2">
      <c r="A715" s="2">
        <v>38504</v>
      </c>
      <c r="B715">
        <v>56.26</v>
      </c>
      <c r="G715" s="2">
        <v>31412</v>
      </c>
      <c r="H715">
        <v>3.8800000000000001E-2</v>
      </c>
      <c r="I715">
        <v>6.4999999999999997E-3</v>
      </c>
    </row>
    <row r="716" spans="1:9" x14ac:dyDescent="0.2">
      <c r="A716" s="2">
        <v>38534</v>
      </c>
      <c r="B716">
        <v>58.7</v>
      </c>
      <c r="G716" s="2">
        <v>31443</v>
      </c>
      <c r="H716">
        <v>6.4999999999999997E-3</v>
      </c>
      <c r="I716">
        <v>5.5999999999999999E-3</v>
      </c>
    </row>
    <row r="717" spans="1:9" x14ac:dyDescent="0.2">
      <c r="A717" s="2">
        <v>38565</v>
      </c>
      <c r="B717">
        <v>64.97</v>
      </c>
      <c r="G717" s="2">
        <v>31471</v>
      </c>
      <c r="H717">
        <v>7.1400000000000005E-2</v>
      </c>
      <c r="I717">
        <v>5.3E-3</v>
      </c>
    </row>
    <row r="718" spans="1:9" x14ac:dyDescent="0.2">
      <c r="A718" s="2">
        <v>38596</v>
      </c>
      <c r="B718">
        <v>65.569999999999993</v>
      </c>
      <c r="G718" s="2">
        <v>31502</v>
      </c>
      <c r="H718">
        <v>4.9099999999999998E-2</v>
      </c>
      <c r="I718">
        <v>6.0000000000000001E-3</v>
      </c>
    </row>
    <row r="719" spans="1:9" x14ac:dyDescent="0.2">
      <c r="A719" s="2">
        <v>38626</v>
      </c>
      <c r="B719">
        <v>62.37</v>
      </c>
      <c r="G719" s="2">
        <v>31532</v>
      </c>
      <c r="H719">
        <v>-1.2800000000000001E-2</v>
      </c>
      <c r="I719">
        <v>5.1999999999999998E-3</v>
      </c>
    </row>
    <row r="720" spans="1:9" x14ac:dyDescent="0.2">
      <c r="A720" s="2">
        <v>38657</v>
      </c>
      <c r="B720">
        <v>58.3</v>
      </c>
      <c r="G720" s="2">
        <v>31562</v>
      </c>
      <c r="H720">
        <v>4.6199999999999998E-2</v>
      </c>
      <c r="I720">
        <v>4.8999999999999998E-3</v>
      </c>
    </row>
    <row r="721" spans="1:9" x14ac:dyDescent="0.2">
      <c r="A721" s="2">
        <v>38687</v>
      </c>
      <c r="B721">
        <v>59.43</v>
      </c>
      <c r="G721" s="2">
        <v>31593</v>
      </c>
      <c r="H721">
        <v>1.06E-2</v>
      </c>
      <c r="I721">
        <v>5.1999999999999998E-3</v>
      </c>
    </row>
    <row r="722" spans="1:9" x14ac:dyDescent="0.2">
      <c r="A722" s="2">
        <v>38718</v>
      </c>
      <c r="B722">
        <v>65.510000000000005</v>
      </c>
      <c r="G722" s="2">
        <v>31624</v>
      </c>
      <c r="H722">
        <v>-6.4299999999999996E-2</v>
      </c>
      <c r="I722">
        <v>5.1999999999999998E-3</v>
      </c>
    </row>
    <row r="723" spans="1:9" x14ac:dyDescent="0.2">
      <c r="A723" s="2">
        <v>38749</v>
      </c>
      <c r="B723">
        <v>61.63</v>
      </c>
      <c r="G723" s="2">
        <v>31653</v>
      </c>
      <c r="H723">
        <v>6.0699999999999997E-2</v>
      </c>
      <c r="I723">
        <v>4.5999999999999999E-3</v>
      </c>
    </row>
    <row r="724" spans="1:9" x14ac:dyDescent="0.2">
      <c r="A724" s="2">
        <v>38777</v>
      </c>
      <c r="B724">
        <v>62.9</v>
      </c>
      <c r="G724" s="2">
        <v>31685</v>
      </c>
      <c r="H724">
        <v>-8.5900000000000004E-2</v>
      </c>
      <c r="I724">
        <v>4.4999999999999997E-3</v>
      </c>
    </row>
    <row r="725" spans="1:9" x14ac:dyDescent="0.2">
      <c r="A725" s="2">
        <v>38808</v>
      </c>
      <c r="B725">
        <v>69.69</v>
      </c>
      <c r="G725" s="2">
        <v>31716</v>
      </c>
      <c r="H725">
        <v>4.6399999999999997E-2</v>
      </c>
      <c r="I725">
        <v>4.5999999999999999E-3</v>
      </c>
    </row>
    <row r="726" spans="1:9" x14ac:dyDescent="0.2">
      <c r="A726" s="2">
        <v>38838</v>
      </c>
      <c r="B726">
        <v>70.94</v>
      </c>
      <c r="G726" s="2">
        <v>31744</v>
      </c>
      <c r="H726">
        <v>1.17E-2</v>
      </c>
      <c r="I726">
        <v>3.8999999999999998E-3</v>
      </c>
    </row>
    <row r="727" spans="1:9" x14ac:dyDescent="0.2">
      <c r="A727" s="2">
        <v>38869</v>
      </c>
      <c r="B727">
        <v>70.959999999999994</v>
      </c>
      <c r="G727" s="2">
        <v>31777</v>
      </c>
      <c r="H727">
        <v>-3.2599999999999997E-2</v>
      </c>
      <c r="I727">
        <v>4.8999999999999998E-3</v>
      </c>
    </row>
    <row r="728" spans="1:9" x14ac:dyDescent="0.2">
      <c r="A728" s="2">
        <v>38899</v>
      </c>
      <c r="B728">
        <v>74.41</v>
      </c>
      <c r="G728" s="2">
        <v>31807</v>
      </c>
      <c r="H728">
        <v>0.1245</v>
      </c>
      <c r="I728">
        <v>4.1999999999999997E-3</v>
      </c>
    </row>
    <row r="729" spans="1:9" x14ac:dyDescent="0.2">
      <c r="A729" s="2">
        <v>38930</v>
      </c>
      <c r="B729">
        <v>73.05</v>
      </c>
      <c r="G729" s="2">
        <v>31835</v>
      </c>
      <c r="H729">
        <v>4.3799999999999999E-2</v>
      </c>
      <c r="I729">
        <v>4.3E-3</v>
      </c>
    </row>
    <row r="730" spans="1:9" x14ac:dyDescent="0.2">
      <c r="A730" s="2">
        <v>38961</v>
      </c>
      <c r="B730">
        <v>63.87</v>
      </c>
      <c r="G730" s="2">
        <v>31867</v>
      </c>
      <c r="H730">
        <v>1.6299999999999999E-2</v>
      </c>
      <c r="I730">
        <v>4.7000000000000002E-3</v>
      </c>
    </row>
    <row r="731" spans="1:9" x14ac:dyDescent="0.2">
      <c r="A731" s="2">
        <v>38991</v>
      </c>
      <c r="B731">
        <v>58.88</v>
      </c>
      <c r="G731" s="2">
        <v>31897</v>
      </c>
      <c r="H731">
        <v>-2.0899999999999998E-2</v>
      </c>
      <c r="I731">
        <v>4.4000000000000003E-3</v>
      </c>
    </row>
    <row r="732" spans="1:9" x14ac:dyDescent="0.2">
      <c r="A732" s="2">
        <v>39022</v>
      </c>
      <c r="B732">
        <v>59.37</v>
      </c>
      <c r="G732" s="2">
        <v>31926</v>
      </c>
      <c r="H732">
        <v>1.1000000000000001E-3</v>
      </c>
      <c r="I732">
        <v>3.8E-3</v>
      </c>
    </row>
    <row r="733" spans="1:9" x14ac:dyDescent="0.2">
      <c r="A733" s="2">
        <v>39052</v>
      </c>
      <c r="B733">
        <v>62.03</v>
      </c>
      <c r="G733" s="2">
        <v>31958</v>
      </c>
      <c r="H733">
        <v>3.9100000000000003E-2</v>
      </c>
      <c r="I733">
        <v>4.7999999999999996E-3</v>
      </c>
    </row>
    <row r="734" spans="1:9" x14ac:dyDescent="0.2">
      <c r="A734" s="2">
        <v>39083</v>
      </c>
      <c r="B734">
        <v>54.57</v>
      </c>
      <c r="G734" s="2">
        <v>31989</v>
      </c>
      <c r="H734">
        <v>3.8399999999999997E-2</v>
      </c>
      <c r="I734">
        <v>4.5999999999999999E-3</v>
      </c>
    </row>
    <row r="735" spans="1:9" x14ac:dyDescent="0.2">
      <c r="A735" s="2">
        <v>39114</v>
      </c>
      <c r="B735">
        <v>59.26</v>
      </c>
      <c r="G735" s="2">
        <v>32020</v>
      </c>
      <c r="H735">
        <v>3.5200000000000002E-2</v>
      </c>
      <c r="I735">
        <v>4.7000000000000002E-3</v>
      </c>
    </row>
    <row r="736" spans="1:9" x14ac:dyDescent="0.2">
      <c r="A736" s="2">
        <v>39142</v>
      </c>
      <c r="B736">
        <v>60.56</v>
      </c>
      <c r="G736" s="2">
        <v>32050</v>
      </c>
      <c r="H736">
        <v>-2.58E-2</v>
      </c>
      <c r="I736">
        <v>4.4999999999999997E-3</v>
      </c>
    </row>
    <row r="737" spans="1:9" x14ac:dyDescent="0.2">
      <c r="A737" s="2">
        <v>39173</v>
      </c>
      <c r="B737">
        <v>63.97</v>
      </c>
      <c r="G737" s="2">
        <v>32080</v>
      </c>
      <c r="H737">
        <v>-0.2319</v>
      </c>
      <c r="I737">
        <v>6.0000000000000001E-3</v>
      </c>
    </row>
    <row r="738" spans="1:9" x14ac:dyDescent="0.2">
      <c r="A738" s="2">
        <v>39203</v>
      </c>
      <c r="B738">
        <v>63.46</v>
      </c>
      <c r="G738" s="2">
        <v>32111</v>
      </c>
      <c r="H738">
        <v>-7.7600000000000002E-2</v>
      </c>
      <c r="I738">
        <v>3.5000000000000001E-3</v>
      </c>
    </row>
    <row r="739" spans="1:9" x14ac:dyDescent="0.2">
      <c r="A739" s="2">
        <v>39234</v>
      </c>
      <c r="B739">
        <v>67.48</v>
      </c>
      <c r="G739" s="2">
        <v>32142</v>
      </c>
      <c r="H739">
        <v>6.8199999999999997E-2</v>
      </c>
      <c r="I739">
        <v>3.8999999999999998E-3</v>
      </c>
    </row>
    <row r="740" spans="1:9" x14ac:dyDescent="0.2">
      <c r="A740" s="2">
        <v>39264</v>
      </c>
      <c r="B740">
        <v>74.180000000000007</v>
      </c>
      <c r="G740" s="2">
        <v>32171</v>
      </c>
      <c r="H740">
        <v>4.2099999999999999E-2</v>
      </c>
      <c r="I740">
        <v>2.8999999999999998E-3</v>
      </c>
    </row>
    <row r="741" spans="1:9" x14ac:dyDescent="0.2">
      <c r="A741" s="2">
        <v>39295</v>
      </c>
      <c r="B741">
        <v>72.39</v>
      </c>
      <c r="G741" s="2">
        <v>32202</v>
      </c>
      <c r="H741">
        <v>4.7699999999999999E-2</v>
      </c>
      <c r="I741">
        <v>4.5999999999999999E-3</v>
      </c>
    </row>
    <row r="742" spans="1:9" x14ac:dyDescent="0.2">
      <c r="A742" s="2">
        <v>39326</v>
      </c>
      <c r="B742">
        <v>79.930000000000007</v>
      </c>
      <c r="G742" s="2">
        <v>32233</v>
      </c>
      <c r="H742">
        <v>-2.2599999999999999E-2</v>
      </c>
      <c r="I742">
        <v>4.4000000000000003E-3</v>
      </c>
    </row>
    <row r="743" spans="1:9" x14ac:dyDescent="0.2">
      <c r="A743" s="2">
        <v>39356</v>
      </c>
      <c r="B743">
        <v>86.2</v>
      </c>
      <c r="G743" s="2">
        <v>32262</v>
      </c>
      <c r="H743">
        <v>5.7000000000000002E-3</v>
      </c>
      <c r="I743">
        <v>4.5999999999999999E-3</v>
      </c>
    </row>
    <row r="744" spans="1:9" x14ac:dyDescent="0.2">
      <c r="A744" s="2">
        <v>39387</v>
      </c>
      <c r="B744">
        <v>94.62</v>
      </c>
      <c r="G744" s="2">
        <v>32294</v>
      </c>
      <c r="H744">
        <v>-2.7000000000000001E-3</v>
      </c>
      <c r="I744">
        <v>5.1000000000000004E-3</v>
      </c>
    </row>
    <row r="745" spans="1:9" x14ac:dyDescent="0.2">
      <c r="A745" s="2">
        <v>39417</v>
      </c>
      <c r="B745">
        <v>91.73</v>
      </c>
      <c r="G745" s="2">
        <v>32324</v>
      </c>
      <c r="H745">
        <v>4.7800000000000002E-2</v>
      </c>
      <c r="I745">
        <v>4.8999999999999998E-3</v>
      </c>
    </row>
    <row r="746" spans="1:9" x14ac:dyDescent="0.2">
      <c r="A746" s="2">
        <v>39448</v>
      </c>
      <c r="B746">
        <v>92.95</v>
      </c>
      <c r="G746" s="2">
        <v>32353</v>
      </c>
      <c r="H746">
        <v>-1.2500000000000001E-2</v>
      </c>
      <c r="I746">
        <v>5.1000000000000004E-3</v>
      </c>
    </row>
    <row r="747" spans="1:9" x14ac:dyDescent="0.2">
      <c r="A747" s="2">
        <v>39479</v>
      </c>
      <c r="B747">
        <v>95.35</v>
      </c>
      <c r="G747" s="2">
        <v>32386</v>
      </c>
      <c r="H747">
        <v>-3.3099999999999997E-2</v>
      </c>
      <c r="I747">
        <v>5.8999999999999999E-3</v>
      </c>
    </row>
    <row r="748" spans="1:9" x14ac:dyDescent="0.2">
      <c r="A748" s="2">
        <v>39508</v>
      </c>
      <c r="B748">
        <v>105.56</v>
      </c>
      <c r="G748" s="2">
        <v>32416</v>
      </c>
      <c r="H748">
        <v>3.3099999999999997E-2</v>
      </c>
      <c r="I748">
        <v>6.1999999999999998E-3</v>
      </c>
    </row>
    <row r="749" spans="1:9" x14ac:dyDescent="0.2">
      <c r="A749" s="2">
        <v>39539</v>
      </c>
      <c r="B749">
        <v>112.57</v>
      </c>
      <c r="G749" s="2">
        <v>32447</v>
      </c>
      <c r="H749">
        <v>1.1599999999999999E-2</v>
      </c>
      <c r="I749">
        <v>6.1000000000000004E-3</v>
      </c>
    </row>
    <row r="750" spans="1:9" x14ac:dyDescent="0.2">
      <c r="A750" s="2">
        <v>39569</v>
      </c>
      <c r="B750">
        <v>125.39</v>
      </c>
      <c r="G750" s="2">
        <v>32477</v>
      </c>
      <c r="H750">
        <v>-2.2700000000000001E-2</v>
      </c>
      <c r="I750">
        <v>5.7000000000000002E-3</v>
      </c>
    </row>
    <row r="751" spans="1:9" x14ac:dyDescent="0.2">
      <c r="A751" s="2">
        <v>39600</v>
      </c>
      <c r="B751">
        <v>133.93</v>
      </c>
      <c r="G751" s="2">
        <v>32507</v>
      </c>
      <c r="H751">
        <v>1.4800000000000001E-2</v>
      </c>
      <c r="I751">
        <v>6.3E-3</v>
      </c>
    </row>
    <row r="752" spans="1:9" x14ac:dyDescent="0.2">
      <c r="A752" s="2">
        <v>39630</v>
      </c>
      <c r="B752">
        <v>133.44</v>
      </c>
      <c r="G752" s="2">
        <v>32539</v>
      </c>
      <c r="H752">
        <v>6.0699999999999997E-2</v>
      </c>
      <c r="I752">
        <v>5.4999999999999997E-3</v>
      </c>
    </row>
    <row r="753" spans="1:9" x14ac:dyDescent="0.2">
      <c r="A753" s="2">
        <v>39661</v>
      </c>
      <c r="B753">
        <v>116.61</v>
      </c>
      <c r="G753" s="2">
        <v>32567</v>
      </c>
      <c r="H753">
        <v>-2.23E-2</v>
      </c>
      <c r="I753">
        <v>6.1000000000000004E-3</v>
      </c>
    </row>
    <row r="754" spans="1:9" x14ac:dyDescent="0.2">
      <c r="A754" s="2">
        <v>39692</v>
      </c>
      <c r="B754">
        <v>103.9</v>
      </c>
      <c r="G754" s="2">
        <v>32598</v>
      </c>
      <c r="H754">
        <v>1.5699999999999999E-2</v>
      </c>
      <c r="I754">
        <v>6.7000000000000002E-3</v>
      </c>
    </row>
    <row r="755" spans="1:9" x14ac:dyDescent="0.2">
      <c r="A755" s="2">
        <v>39722</v>
      </c>
      <c r="B755">
        <v>76.650000000000006</v>
      </c>
      <c r="G755" s="2">
        <v>32626</v>
      </c>
      <c r="H755">
        <v>4.3499999999999997E-2</v>
      </c>
      <c r="I755">
        <v>6.7000000000000002E-3</v>
      </c>
    </row>
    <row r="756" spans="1:9" x14ac:dyDescent="0.2">
      <c r="A756" s="2">
        <v>39753</v>
      </c>
      <c r="B756">
        <v>57.44</v>
      </c>
      <c r="G756" s="2">
        <v>32659</v>
      </c>
      <c r="H756">
        <v>3.2800000000000003E-2</v>
      </c>
      <c r="I756">
        <v>7.9000000000000008E-3</v>
      </c>
    </row>
    <row r="757" spans="1:9" x14ac:dyDescent="0.2">
      <c r="A757" s="2">
        <v>39783</v>
      </c>
      <c r="B757">
        <v>41.02</v>
      </c>
      <c r="G757" s="2">
        <v>32689</v>
      </c>
      <c r="H757">
        <v>-1.3299999999999999E-2</v>
      </c>
      <c r="I757">
        <v>7.1000000000000004E-3</v>
      </c>
    </row>
    <row r="758" spans="1:9" x14ac:dyDescent="0.2">
      <c r="A758" s="2">
        <v>39814</v>
      </c>
      <c r="B758">
        <v>41.74</v>
      </c>
      <c r="G758" s="2">
        <v>32720</v>
      </c>
      <c r="H758">
        <v>7.1800000000000003E-2</v>
      </c>
      <c r="I758">
        <v>7.0000000000000001E-3</v>
      </c>
    </row>
    <row r="759" spans="1:9" x14ac:dyDescent="0.2">
      <c r="A759" s="2">
        <v>39845</v>
      </c>
      <c r="B759">
        <v>39.159999999999997</v>
      </c>
      <c r="G759" s="2">
        <v>32751</v>
      </c>
      <c r="H759">
        <v>1.43E-2</v>
      </c>
      <c r="I759">
        <v>7.4000000000000003E-3</v>
      </c>
    </row>
    <row r="760" spans="1:9" x14ac:dyDescent="0.2">
      <c r="A760" s="2">
        <v>39873</v>
      </c>
      <c r="B760">
        <v>47.98</v>
      </c>
      <c r="G760" s="2">
        <v>32780</v>
      </c>
      <c r="H760">
        <v>-7.6E-3</v>
      </c>
      <c r="I760">
        <v>6.4999999999999997E-3</v>
      </c>
    </row>
    <row r="761" spans="1:9" x14ac:dyDescent="0.2">
      <c r="A761" s="2">
        <v>39904</v>
      </c>
      <c r="B761">
        <v>49.79</v>
      </c>
      <c r="G761" s="2">
        <v>32812</v>
      </c>
      <c r="H761">
        <v>-3.6499999999999998E-2</v>
      </c>
      <c r="I761">
        <v>6.7999999999999996E-3</v>
      </c>
    </row>
    <row r="762" spans="1:9" x14ac:dyDescent="0.2">
      <c r="A762" s="2">
        <v>39934</v>
      </c>
      <c r="B762">
        <v>59.16</v>
      </c>
      <c r="G762" s="2">
        <v>32842</v>
      </c>
      <c r="H762">
        <v>1.04E-2</v>
      </c>
      <c r="I762">
        <v>6.8999999999999999E-3</v>
      </c>
    </row>
    <row r="763" spans="1:9" x14ac:dyDescent="0.2">
      <c r="A763" s="2">
        <v>39965</v>
      </c>
      <c r="B763">
        <v>69.680000000000007</v>
      </c>
      <c r="G763" s="2">
        <v>32871</v>
      </c>
      <c r="H763">
        <v>1.18E-2</v>
      </c>
      <c r="I763">
        <v>6.1000000000000004E-3</v>
      </c>
    </row>
    <row r="764" spans="1:9" x14ac:dyDescent="0.2">
      <c r="A764" s="2">
        <v>39995</v>
      </c>
      <c r="B764">
        <v>64.09</v>
      </c>
      <c r="G764" s="2">
        <v>32904</v>
      </c>
      <c r="H764">
        <v>-7.8E-2</v>
      </c>
      <c r="I764">
        <v>5.7000000000000002E-3</v>
      </c>
    </row>
    <row r="765" spans="1:9" x14ac:dyDescent="0.2">
      <c r="A765" s="2">
        <v>40026</v>
      </c>
      <c r="B765">
        <v>71.06</v>
      </c>
      <c r="G765" s="2">
        <v>32932</v>
      </c>
      <c r="H765">
        <v>1.12E-2</v>
      </c>
      <c r="I765">
        <v>5.7000000000000002E-3</v>
      </c>
    </row>
    <row r="766" spans="1:9" x14ac:dyDescent="0.2">
      <c r="A766" s="2">
        <v>40057</v>
      </c>
      <c r="B766">
        <v>69.459999999999994</v>
      </c>
      <c r="G766" s="2">
        <v>32962</v>
      </c>
      <c r="H766">
        <v>1.83E-2</v>
      </c>
      <c r="I766">
        <v>6.4000000000000003E-3</v>
      </c>
    </row>
    <row r="767" spans="1:9" x14ac:dyDescent="0.2">
      <c r="A767" s="2">
        <v>40087</v>
      </c>
      <c r="B767">
        <v>75.819999999999993</v>
      </c>
      <c r="G767" s="2">
        <v>32993</v>
      </c>
      <c r="H767">
        <v>-3.3599999999999998E-2</v>
      </c>
      <c r="I767">
        <v>6.8999999999999999E-3</v>
      </c>
    </row>
    <row r="768" spans="1:9" x14ac:dyDescent="0.2">
      <c r="A768" s="2">
        <v>40118</v>
      </c>
      <c r="B768">
        <v>78.08</v>
      </c>
      <c r="G768" s="2">
        <v>33024</v>
      </c>
      <c r="H768">
        <v>8.43E-2</v>
      </c>
      <c r="I768">
        <v>6.7999999999999996E-3</v>
      </c>
    </row>
    <row r="769" spans="1:9" x14ac:dyDescent="0.2">
      <c r="A769" s="2">
        <v>40148</v>
      </c>
      <c r="B769">
        <v>74.3</v>
      </c>
      <c r="G769" s="2">
        <v>33053</v>
      </c>
      <c r="H769">
        <v>-1.09E-2</v>
      </c>
      <c r="I769">
        <v>6.3E-3</v>
      </c>
    </row>
    <row r="770" spans="1:9" x14ac:dyDescent="0.2">
      <c r="A770" s="2">
        <v>40179</v>
      </c>
      <c r="B770">
        <v>78.22</v>
      </c>
      <c r="G770" s="2">
        <v>33085</v>
      </c>
      <c r="H770">
        <v>-1.9E-2</v>
      </c>
      <c r="I770">
        <v>6.7999999999999996E-3</v>
      </c>
    </row>
    <row r="771" spans="1:9" x14ac:dyDescent="0.2">
      <c r="A771" s="2">
        <v>40210</v>
      </c>
      <c r="B771">
        <v>76.42</v>
      </c>
      <c r="G771" s="2">
        <v>33116</v>
      </c>
      <c r="H771">
        <v>-0.1012</v>
      </c>
      <c r="I771">
        <v>6.6E-3</v>
      </c>
    </row>
    <row r="772" spans="1:9" x14ac:dyDescent="0.2">
      <c r="A772" s="2">
        <v>40238</v>
      </c>
      <c r="B772">
        <v>81.239999999999995</v>
      </c>
      <c r="G772" s="2">
        <v>33144</v>
      </c>
      <c r="H772">
        <v>-6.1100000000000002E-2</v>
      </c>
      <c r="I772">
        <v>6.0000000000000001E-3</v>
      </c>
    </row>
    <row r="773" spans="1:9" x14ac:dyDescent="0.2">
      <c r="A773" s="2">
        <v>40269</v>
      </c>
      <c r="B773">
        <v>84.48</v>
      </c>
      <c r="G773" s="2">
        <v>33177</v>
      </c>
      <c r="H773">
        <v>-1.9199999999999998E-2</v>
      </c>
      <c r="I773">
        <v>6.7999999999999996E-3</v>
      </c>
    </row>
    <row r="774" spans="1:9" x14ac:dyDescent="0.2">
      <c r="A774" s="2">
        <v>40299</v>
      </c>
      <c r="B774">
        <v>73.84</v>
      </c>
      <c r="G774" s="2">
        <v>33207</v>
      </c>
      <c r="H774">
        <v>6.3500000000000001E-2</v>
      </c>
      <c r="I774">
        <v>5.7000000000000002E-3</v>
      </c>
    </row>
    <row r="775" spans="1:9" x14ac:dyDescent="0.2">
      <c r="A775" s="2">
        <v>40330</v>
      </c>
      <c r="B775">
        <v>75.349999999999994</v>
      </c>
      <c r="G775" s="2">
        <v>33238</v>
      </c>
      <c r="H775">
        <v>2.46E-2</v>
      </c>
      <c r="I775">
        <v>6.0000000000000001E-3</v>
      </c>
    </row>
    <row r="776" spans="1:9" x14ac:dyDescent="0.2">
      <c r="A776" s="2">
        <v>40360</v>
      </c>
      <c r="B776">
        <v>76.37</v>
      </c>
      <c r="G776" s="2">
        <v>33269</v>
      </c>
      <c r="H776">
        <v>4.6899999999999997E-2</v>
      </c>
      <c r="I776">
        <v>5.1999999999999998E-3</v>
      </c>
    </row>
    <row r="777" spans="1:9" x14ac:dyDescent="0.2">
      <c r="A777" s="2">
        <v>40391</v>
      </c>
      <c r="B777">
        <v>76.819999999999993</v>
      </c>
      <c r="G777" s="2">
        <v>33297</v>
      </c>
      <c r="H777">
        <v>7.1900000000000006E-2</v>
      </c>
      <c r="I777">
        <v>4.7999999999999996E-3</v>
      </c>
    </row>
    <row r="778" spans="1:9" x14ac:dyDescent="0.2">
      <c r="A778" s="2">
        <v>40422</v>
      </c>
      <c r="B778">
        <v>75.31</v>
      </c>
      <c r="G778" s="2">
        <v>33325</v>
      </c>
      <c r="H778">
        <v>2.6599999999999999E-2</v>
      </c>
      <c r="I778">
        <v>4.4000000000000003E-3</v>
      </c>
    </row>
    <row r="779" spans="1:9" x14ac:dyDescent="0.2">
      <c r="A779" s="2">
        <v>40452</v>
      </c>
      <c r="B779">
        <v>81.900000000000006</v>
      </c>
      <c r="G779" s="2">
        <v>33358</v>
      </c>
      <c r="H779">
        <v>-2.8E-3</v>
      </c>
      <c r="I779">
        <v>5.3E-3</v>
      </c>
    </row>
    <row r="780" spans="1:9" x14ac:dyDescent="0.2">
      <c r="A780" s="2">
        <v>40483</v>
      </c>
      <c r="B780">
        <v>84.14</v>
      </c>
      <c r="G780" s="2">
        <v>33389</v>
      </c>
      <c r="H780">
        <v>3.6600000000000001E-2</v>
      </c>
      <c r="I780">
        <v>4.7000000000000002E-3</v>
      </c>
    </row>
    <row r="781" spans="1:9" x14ac:dyDescent="0.2">
      <c r="A781" s="2">
        <v>40513</v>
      </c>
      <c r="B781">
        <v>89.04</v>
      </c>
      <c r="G781" s="2">
        <v>33417</v>
      </c>
      <c r="H781">
        <v>-4.9399999999999999E-2</v>
      </c>
      <c r="I781">
        <v>4.1999999999999997E-3</v>
      </c>
    </row>
    <row r="782" spans="1:9" x14ac:dyDescent="0.2">
      <c r="A782" s="2">
        <v>40544</v>
      </c>
      <c r="B782">
        <v>89.42</v>
      </c>
      <c r="G782" s="2">
        <v>33450</v>
      </c>
      <c r="H782">
        <v>4.24E-2</v>
      </c>
      <c r="I782">
        <v>4.8999999999999998E-3</v>
      </c>
    </row>
    <row r="783" spans="1:9" x14ac:dyDescent="0.2">
      <c r="A783" s="2">
        <v>40575</v>
      </c>
      <c r="B783">
        <v>89.58</v>
      </c>
      <c r="G783" s="2">
        <v>33480</v>
      </c>
      <c r="H783">
        <v>2.3199999999999998E-2</v>
      </c>
      <c r="I783">
        <v>4.5999999999999999E-3</v>
      </c>
    </row>
    <row r="784" spans="1:9" x14ac:dyDescent="0.2">
      <c r="A784" s="2">
        <v>40603</v>
      </c>
      <c r="B784">
        <v>102.94</v>
      </c>
      <c r="G784" s="2">
        <v>33511</v>
      </c>
      <c r="H784">
        <v>-1.5900000000000001E-2</v>
      </c>
      <c r="I784">
        <v>4.5999999999999999E-3</v>
      </c>
    </row>
    <row r="785" spans="1:9" x14ac:dyDescent="0.2">
      <c r="A785" s="2">
        <v>40634</v>
      </c>
      <c r="B785">
        <v>110.04</v>
      </c>
      <c r="G785" s="2">
        <v>33542</v>
      </c>
      <c r="H785">
        <v>1.29E-2</v>
      </c>
      <c r="I785">
        <v>4.1999999999999997E-3</v>
      </c>
    </row>
    <row r="786" spans="1:9" x14ac:dyDescent="0.2">
      <c r="A786" s="2">
        <v>40664</v>
      </c>
      <c r="B786">
        <v>101.33</v>
      </c>
      <c r="G786" s="2">
        <v>33571</v>
      </c>
      <c r="H786">
        <v>-4.2000000000000003E-2</v>
      </c>
      <c r="I786">
        <v>3.8999999999999998E-3</v>
      </c>
    </row>
    <row r="787" spans="1:9" x14ac:dyDescent="0.2">
      <c r="A787" s="2">
        <v>40695</v>
      </c>
      <c r="B787">
        <v>96.29</v>
      </c>
      <c r="G787" s="2">
        <v>33603</v>
      </c>
      <c r="H787">
        <v>0.1085</v>
      </c>
      <c r="I787">
        <v>3.8E-3</v>
      </c>
    </row>
    <row r="788" spans="1:9" x14ac:dyDescent="0.2">
      <c r="A788" s="2">
        <v>40725</v>
      </c>
      <c r="B788">
        <v>97.19</v>
      </c>
      <c r="G788" s="2">
        <v>33634</v>
      </c>
      <c r="H788">
        <v>-5.8999999999999999E-3</v>
      </c>
      <c r="I788">
        <v>3.3999999999999998E-3</v>
      </c>
    </row>
    <row r="789" spans="1:9" x14ac:dyDescent="0.2">
      <c r="A789" s="2">
        <v>40756</v>
      </c>
      <c r="B789">
        <v>86.33</v>
      </c>
      <c r="G789" s="2">
        <v>33662</v>
      </c>
      <c r="H789">
        <v>1.0800000000000001E-2</v>
      </c>
      <c r="I789">
        <v>2.8E-3</v>
      </c>
    </row>
    <row r="790" spans="1:9" x14ac:dyDescent="0.2">
      <c r="A790" s="2">
        <v>40787</v>
      </c>
      <c r="B790">
        <v>85.61</v>
      </c>
      <c r="G790" s="2">
        <v>33694</v>
      </c>
      <c r="H790">
        <v>-2.6499999999999999E-2</v>
      </c>
      <c r="I790">
        <v>3.3999999999999998E-3</v>
      </c>
    </row>
    <row r="791" spans="1:9" x14ac:dyDescent="0.2">
      <c r="A791" s="2">
        <v>40817</v>
      </c>
      <c r="B791">
        <v>86.41</v>
      </c>
      <c r="G791" s="2">
        <v>33724</v>
      </c>
      <c r="H791">
        <v>1.09E-2</v>
      </c>
      <c r="I791">
        <v>3.2000000000000002E-3</v>
      </c>
    </row>
    <row r="792" spans="1:9" x14ac:dyDescent="0.2">
      <c r="A792" s="2">
        <v>40848</v>
      </c>
      <c r="B792">
        <v>97.21</v>
      </c>
      <c r="G792" s="2">
        <v>33753</v>
      </c>
      <c r="H792">
        <v>3.0000000000000001E-3</v>
      </c>
      <c r="I792">
        <v>2.8E-3</v>
      </c>
    </row>
    <row r="793" spans="1:9" x14ac:dyDescent="0.2">
      <c r="A793" s="2">
        <v>40878</v>
      </c>
      <c r="B793">
        <v>98.57</v>
      </c>
      <c r="G793" s="2">
        <v>33785</v>
      </c>
      <c r="H793">
        <v>-2.3300000000000001E-2</v>
      </c>
      <c r="I793">
        <v>3.2000000000000002E-3</v>
      </c>
    </row>
    <row r="794" spans="1:9" x14ac:dyDescent="0.2">
      <c r="A794" s="2">
        <v>40909</v>
      </c>
      <c r="B794">
        <v>100.24</v>
      </c>
      <c r="G794" s="2">
        <v>33816</v>
      </c>
      <c r="H794">
        <v>3.78E-2</v>
      </c>
      <c r="I794">
        <v>3.0999999999999999E-3</v>
      </c>
    </row>
    <row r="795" spans="1:9" x14ac:dyDescent="0.2">
      <c r="A795" s="2">
        <v>40940</v>
      </c>
      <c r="B795">
        <v>102.25</v>
      </c>
      <c r="G795" s="2">
        <v>33847</v>
      </c>
      <c r="H795">
        <v>-2.3800000000000002E-2</v>
      </c>
      <c r="I795">
        <v>2.5999999999999999E-3</v>
      </c>
    </row>
    <row r="796" spans="1:9" x14ac:dyDescent="0.2">
      <c r="A796" s="2">
        <v>40969</v>
      </c>
      <c r="B796">
        <v>106.19</v>
      </c>
      <c r="G796" s="2">
        <v>33877</v>
      </c>
      <c r="H796">
        <v>1.1900000000000001E-2</v>
      </c>
      <c r="I796">
        <v>2.5999999999999999E-3</v>
      </c>
    </row>
    <row r="797" spans="1:9" x14ac:dyDescent="0.2">
      <c r="A797" s="2">
        <v>41000</v>
      </c>
      <c r="B797">
        <v>103.33</v>
      </c>
      <c r="G797" s="2">
        <v>33907</v>
      </c>
      <c r="H797">
        <v>1.0200000000000001E-2</v>
      </c>
      <c r="I797">
        <v>2.3E-3</v>
      </c>
    </row>
    <row r="798" spans="1:9" x14ac:dyDescent="0.2">
      <c r="A798" s="2">
        <v>41030</v>
      </c>
      <c r="B798">
        <v>94.7</v>
      </c>
      <c r="G798" s="2">
        <v>33938</v>
      </c>
      <c r="H798">
        <v>4.1399999999999999E-2</v>
      </c>
      <c r="I798">
        <v>2.3E-3</v>
      </c>
    </row>
    <row r="799" spans="1:9" x14ac:dyDescent="0.2">
      <c r="A799" s="2">
        <v>41061</v>
      </c>
      <c r="B799">
        <v>82.41</v>
      </c>
      <c r="G799" s="2">
        <v>33969</v>
      </c>
      <c r="H799">
        <v>1.5299999999999999E-2</v>
      </c>
      <c r="I799">
        <v>2.8E-3</v>
      </c>
    </row>
    <row r="800" spans="1:9" x14ac:dyDescent="0.2">
      <c r="A800" s="2">
        <v>41091</v>
      </c>
      <c r="B800">
        <v>87.93</v>
      </c>
      <c r="G800" s="2">
        <v>33998</v>
      </c>
      <c r="H800">
        <v>9.2999999999999992E-3</v>
      </c>
      <c r="I800">
        <v>2.3E-3</v>
      </c>
    </row>
    <row r="801" spans="1:9" x14ac:dyDescent="0.2">
      <c r="A801" s="2">
        <v>41122</v>
      </c>
      <c r="B801">
        <v>94.16</v>
      </c>
      <c r="G801" s="2">
        <v>34026</v>
      </c>
      <c r="H801">
        <v>1.1999999999999999E-3</v>
      </c>
      <c r="I801">
        <v>2.2000000000000001E-3</v>
      </c>
    </row>
    <row r="802" spans="1:9" x14ac:dyDescent="0.2">
      <c r="A802" s="2">
        <v>41153</v>
      </c>
      <c r="B802">
        <v>94.72</v>
      </c>
      <c r="G802" s="2">
        <v>34059</v>
      </c>
      <c r="H802">
        <v>2.3199999999999998E-2</v>
      </c>
      <c r="I802">
        <v>2.5000000000000001E-3</v>
      </c>
    </row>
    <row r="803" spans="1:9" x14ac:dyDescent="0.2">
      <c r="A803" s="2">
        <v>41183</v>
      </c>
      <c r="B803">
        <v>89.57</v>
      </c>
      <c r="G803" s="2">
        <v>34089</v>
      </c>
      <c r="H803">
        <v>-3.0499999999999999E-2</v>
      </c>
      <c r="I803">
        <v>2.3999999999999998E-3</v>
      </c>
    </row>
    <row r="804" spans="1:9" x14ac:dyDescent="0.2">
      <c r="A804" s="2">
        <v>41214</v>
      </c>
      <c r="B804">
        <v>86.66</v>
      </c>
      <c r="G804" s="2">
        <v>34117</v>
      </c>
      <c r="H804">
        <v>2.8899999999999999E-2</v>
      </c>
      <c r="I804">
        <v>2.2000000000000001E-3</v>
      </c>
    </row>
    <row r="805" spans="1:9" x14ac:dyDescent="0.2">
      <c r="A805" s="2">
        <v>41244</v>
      </c>
      <c r="B805">
        <v>88.25</v>
      </c>
      <c r="G805" s="2">
        <v>34150</v>
      </c>
      <c r="H805">
        <v>3.0000000000000001E-3</v>
      </c>
      <c r="I805">
        <v>2.5000000000000001E-3</v>
      </c>
    </row>
    <row r="806" spans="1:9" x14ac:dyDescent="0.2">
      <c r="A806" s="2">
        <v>41275</v>
      </c>
      <c r="B806">
        <v>94.69</v>
      </c>
      <c r="G806" s="2">
        <v>34180</v>
      </c>
      <c r="H806">
        <v>-3.3999999999999998E-3</v>
      </c>
      <c r="I806">
        <v>2.3999999999999998E-3</v>
      </c>
    </row>
    <row r="807" spans="1:9" x14ac:dyDescent="0.2">
      <c r="A807" s="2">
        <v>41306</v>
      </c>
      <c r="B807">
        <v>95.32</v>
      </c>
      <c r="G807" s="2">
        <v>34212</v>
      </c>
      <c r="H807">
        <v>3.7199999999999997E-2</v>
      </c>
      <c r="I807">
        <v>2.5000000000000001E-3</v>
      </c>
    </row>
    <row r="808" spans="1:9" x14ac:dyDescent="0.2">
      <c r="A808" s="2">
        <v>41334</v>
      </c>
      <c r="B808">
        <v>93.05</v>
      </c>
      <c r="G808" s="2">
        <v>34242</v>
      </c>
      <c r="H808">
        <v>-1.1999999999999999E-3</v>
      </c>
      <c r="I808">
        <v>2.5999999999999999E-3</v>
      </c>
    </row>
    <row r="809" spans="1:9" x14ac:dyDescent="0.2">
      <c r="A809" s="2">
        <v>41365</v>
      </c>
      <c r="B809">
        <v>92.07</v>
      </c>
      <c r="G809" s="2">
        <v>34271</v>
      </c>
      <c r="H809">
        <v>1.4200000000000001E-2</v>
      </c>
      <c r="I809">
        <v>2.2000000000000001E-3</v>
      </c>
    </row>
    <row r="810" spans="1:9" x14ac:dyDescent="0.2">
      <c r="A810" s="2">
        <v>41395</v>
      </c>
      <c r="B810">
        <v>94.8</v>
      </c>
      <c r="G810" s="2">
        <v>34303</v>
      </c>
      <c r="H810">
        <v>-1.8700000000000001E-2</v>
      </c>
      <c r="I810">
        <v>2.5000000000000001E-3</v>
      </c>
    </row>
    <row r="811" spans="1:9" x14ac:dyDescent="0.2">
      <c r="A811" s="2">
        <v>41426</v>
      </c>
      <c r="B811">
        <v>95.8</v>
      </c>
      <c r="G811" s="2">
        <v>34334</v>
      </c>
      <c r="H811">
        <v>1.6500000000000001E-2</v>
      </c>
      <c r="I811">
        <v>2.3E-3</v>
      </c>
    </row>
    <row r="812" spans="1:9" x14ac:dyDescent="0.2">
      <c r="A812" s="2">
        <v>41456</v>
      </c>
      <c r="B812">
        <v>104.61</v>
      </c>
      <c r="G812" s="2">
        <v>34365</v>
      </c>
      <c r="H812">
        <v>2.87E-2</v>
      </c>
      <c r="I812">
        <v>2.5000000000000001E-3</v>
      </c>
    </row>
    <row r="813" spans="1:9" x14ac:dyDescent="0.2">
      <c r="A813" s="2">
        <v>41487</v>
      </c>
      <c r="B813">
        <v>106.57</v>
      </c>
      <c r="G813" s="2">
        <v>34393</v>
      </c>
      <c r="H813">
        <v>-2.5499999999999998E-2</v>
      </c>
      <c r="I813">
        <v>2.0999999999999999E-3</v>
      </c>
    </row>
    <row r="814" spans="1:9" x14ac:dyDescent="0.2">
      <c r="A814" s="2">
        <v>41518</v>
      </c>
      <c r="B814">
        <v>106.29</v>
      </c>
      <c r="G814" s="2">
        <v>34424</v>
      </c>
      <c r="H814">
        <v>-4.7899999999999998E-2</v>
      </c>
      <c r="I814">
        <v>2.7000000000000001E-3</v>
      </c>
    </row>
    <row r="815" spans="1:9" x14ac:dyDescent="0.2">
      <c r="A815" s="2">
        <v>41548</v>
      </c>
      <c r="B815">
        <v>100.54</v>
      </c>
      <c r="G815" s="2">
        <v>34453</v>
      </c>
      <c r="H815">
        <v>6.7999999999999996E-3</v>
      </c>
      <c r="I815">
        <v>2.7000000000000001E-3</v>
      </c>
    </row>
    <row r="816" spans="1:9" x14ac:dyDescent="0.2">
      <c r="A816" s="2">
        <v>41579</v>
      </c>
      <c r="B816">
        <v>93.86</v>
      </c>
      <c r="G816" s="2">
        <v>34485</v>
      </c>
      <c r="H816">
        <v>5.7999999999999996E-3</v>
      </c>
      <c r="I816">
        <v>3.2000000000000002E-3</v>
      </c>
    </row>
    <row r="817" spans="1:9" x14ac:dyDescent="0.2">
      <c r="A817" s="2">
        <v>41609</v>
      </c>
      <c r="B817">
        <v>97.63</v>
      </c>
      <c r="G817" s="2">
        <v>34515</v>
      </c>
      <c r="H817">
        <v>-3.04E-2</v>
      </c>
      <c r="I817">
        <v>3.0999999999999999E-3</v>
      </c>
    </row>
    <row r="818" spans="1:9" x14ac:dyDescent="0.2">
      <c r="A818" s="2">
        <v>41640</v>
      </c>
      <c r="B818">
        <v>94.62</v>
      </c>
      <c r="G818" s="2">
        <v>34544</v>
      </c>
      <c r="H818">
        <v>2.8199999999999999E-2</v>
      </c>
      <c r="I818">
        <v>2.8E-3</v>
      </c>
    </row>
    <row r="819" spans="1:9" x14ac:dyDescent="0.2">
      <c r="A819" s="2">
        <v>41671</v>
      </c>
      <c r="B819">
        <v>100.82</v>
      </c>
      <c r="G819" s="2">
        <v>34577</v>
      </c>
      <c r="H819">
        <v>4.02E-2</v>
      </c>
      <c r="I819">
        <v>3.7000000000000002E-3</v>
      </c>
    </row>
    <row r="820" spans="1:9" x14ac:dyDescent="0.2">
      <c r="A820" s="2">
        <v>41699</v>
      </c>
      <c r="B820">
        <v>100.8</v>
      </c>
      <c r="G820" s="2">
        <v>34607</v>
      </c>
      <c r="H820">
        <v>-2.2800000000000001E-2</v>
      </c>
      <c r="I820">
        <v>3.7000000000000002E-3</v>
      </c>
    </row>
    <row r="821" spans="1:9" x14ac:dyDescent="0.2">
      <c r="A821" s="2">
        <v>41730</v>
      </c>
      <c r="B821">
        <v>102.07</v>
      </c>
      <c r="G821" s="2">
        <v>34638</v>
      </c>
      <c r="H821">
        <v>1.35E-2</v>
      </c>
      <c r="I821">
        <v>3.8E-3</v>
      </c>
    </row>
    <row r="822" spans="1:9" x14ac:dyDescent="0.2">
      <c r="A822" s="2">
        <v>41760</v>
      </c>
      <c r="B822">
        <v>102.18</v>
      </c>
      <c r="G822" s="2">
        <v>34668</v>
      </c>
      <c r="H822">
        <v>-4.0300000000000002E-2</v>
      </c>
      <c r="I822">
        <v>3.7000000000000002E-3</v>
      </c>
    </row>
    <row r="823" spans="1:9" x14ac:dyDescent="0.2">
      <c r="A823" s="2">
        <v>41791</v>
      </c>
      <c r="B823">
        <v>105.79</v>
      </c>
      <c r="G823" s="2">
        <v>34698</v>
      </c>
      <c r="H823">
        <v>8.6E-3</v>
      </c>
      <c r="I823">
        <v>4.4000000000000003E-3</v>
      </c>
    </row>
    <row r="824" spans="1:9" x14ac:dyDescent="0.2">
      <c r="A824" s="2">
        <v>41821</v>
      </c>
      <c r="B824">
        <v>103.59</v>
      </c>
      <c r="G824" s="2">
        <v>34730</v>
      </c>
      <c r="H824">
        <v>1.7999999999999999E-2</v>
      </c>
      <c r="I824">
        <v>4.1999999999999997E-3</v>
      </c>
    </row>
    <row r="825" spans="1:9" x14ac:dyDescent="0.2">
      <c r="A825" s="2">
        <v>41852</v>
      </c>
      <c r="B825">
        <v>96.54</v>
      </c>
      <c r="G825" s="2">
        <v>34758</v>
      </c>
      <c r="H825">
        <v>3.6299999999999999E-2</v>
      </c>
      <c r="I825">
        <v>4.0000000000000001E-3</v>
      </c>
    </row>
    <row r="826" spans="1:9" x14ac:dyDescent="0.2">
      <c r="A826" s="2">
        <v>41883</v>
      </c>
      <c r="B826">
        <v>93.21</v>
      </c>
      <c r="G826" s="2">
        <v>34789</v>
      </c>
      <c r="H826">
        <v>2.1899999999999999E-2</v>
      </c>
      <c r="I826">
        <v>4.5999999999999999E-3</v>
      </c>
    </row>
    <row r="827" spans="1:9" x14ac:dyDescent="0.2">
      <c r="A827" s="2">
        <v>41913</v>
      </c>
      <c r="B827">
        <v>84.4</v>
      </c>
      <c r="G827" s="2">
        <v>34817</v>
      </c>
      <c r="H827">
        <v>2.1100000000000001E-2</v>
      </c>
      <c r="I827">
        <v>4.4000000000000003E-3</v>
      </c>
    </row>
    <row r="828" spans="1:9" x14ac:dyDescent="0.2">
      <c r="A828" s="2">
        <v>41944</v>
      </c>
      <c r="B828">
        <v>75.790000000000006</v>
      </c>
      <c r="G828" s="2">
        <v>34850</v>
      </c>
      <c r="H828">
        <v>2.9000000000000001E-2</v>
      </c>
      <c r="I828">
        <v>5.4000000000000003E-3</v>
      </c>
    </row>
    <row r="829" spans="1:9" x14ac:dyDescent="0.2">
      <c r="A829" s="2">
        <v>41974</v>
      </c>
      <c r="B829">
        <v>59.29</v>
      </c>
      <c r="G829" s="2">
        <v>34880</v>
      </c>
      <c r="H829">
        <v>2.7199999999999998E-2</v>
      </c>
      <c r="I829">
        <v>4.7000000000000002E-3</v>
      </c>
    </row>
    <row r="830" spans="1:9" x14ac:dyDescent="0.2">
      <c r="A830" s="2">
        <v>42005</v>
      </c>
      <c r="B830">
        <v>47.22</v>
      </c>
      <c r="G830" s="2">
        <v>34911</v>
      </c>
      <c r="H830">
        <v>3.7100000000000001E-2</v>
      </c>
      <c r="I830">
        <v>4.4999999999999997E-3</v>
      </c>
    </row>
    <row r="831" spans="1:9" x14ac:dyDescent="0.2">
      <c r="A831" s="2">
        <v>42036</v>
      </c>
      <c r="B831">
        <v>50.58</v>
      </c>
      <c r="G831" s="2">
        <v>34942</v>
      </c>
      <c r="H831">
        <v>5.4999999999999997E-3</v>
      </c>
      <c r="I831">
        <v>4.7000000000000002E-3</v>
      </c>
    </row>
    <row r="832" spans="1:9" x14ac:dyDescent="0.2">
      <c r="A832" s="2">
        <v>42064</v>
      </c>
      <c r="B832">
        <v>47.82</v>
      </c>
      <c r="G832" s="2">
        <v>34971</v>
      </c>
      <c r="H832">
        <v>3.3599999999999998E-2</v>
      </c>
      <c r="I832">
        <v>4.3E-3</v>
      </c>
    </row>
    <row r="833" spans="1:9" x14ac:dyDescent="0.2">
      <c r="A833" s="2">
        <v>42095</v>
      </c>
      <c r="B833">
        <v>54.45</v>
      </c>
      <c r="G833" s="2">
        <v>35003</v>
      </c>
      <c r="H833">
        <v>-1.5100000000000001E-2</v>
      </c>
      <c r="I833">
        <v>4.7000000000000002E-3</v>
      </c>
    </row>
    <row r="834" spans="1:9" x14ac:dyDescent="0.2">
      <c r="A834" s="2">
        <v>42125</v>
      </c>
      <c r="B834">
        <v>59.27</v>
      </c>
      <c r="G834" s="2">
        <v>35033</v>
      </c>
      <c r="H834">
        <v>3.9600000000000003E-2</v>
      </c>
      <c r="I834">
        <v>4.1999999999999997E-3</v>
      </c>
    </row>
    <row r="835" spans="1:9" x14ac:dyDescent="0.2">
      <c r="A835" s="2">
        <v>42156</v>
      </c>
      <c r="B835">
        <v>59.82</v>
      </c>
      <c r="G835" s="2">
        <v>35062</v>
      </c>
      <c r="H835">
        <v>1.04E-2</v>
      </c>
      <c r="I835">
        <v>4.8999999999999998E-3</v>
      </c>
    </row>
    <row r="836" spans="1:9" x14ac:dyDescent="0.2">
      <c r="A836" s="2">
        <v>42186</v>
      </c>
      <c r="B836">
        <v>50.9</v>
      </c>
      <c r="G836" s="2">
        <v>35095</v>
      </c>
      <c r="H836">
        <v>2.2599999999999999E-2</v>
      </c>
      <c r="I836">
        <v>4.3E-3</v>
      </c>
    </row>
    <row r="837" spans="1:9" x14ac:dyDescent="0.2">
      <c r="A837" s="2">
        <v>42217</v>
      </c>
      <c r="B837">
        <v>42.87</v>
      </c>
      <c r="G837" s="2">
        <v>35124</v>
      </c>
      <c r="H837">
        <v>1.3299999999999999E-2</v>
      </c>
      <c r="I837">
        <v>3.8999999999999998E-3</v>
      </c>
    </row>
    <row r="838" spans="1:9" x14ac:dyDescent="0.2">
      <c r="A838" s="2">
        <v>42248</v>
      </c>
      <c r="B838">
        <v>45.48</v>
      </c>
      <c r="G838" s="2">
        <v>35153</v>
      </c>
      <c r="H838">
        <v>7.4000000000000003E-3</v>
      </c>
      <c r="I838">
        <v>3.8999999999999998E-3</v>
      </c>
    </row>
    <row r="839" spans="1:9" x14ac:dyDescent="0.2">
      <c r="A839" s="2">
        <v>42278</v>
      </c>
      <c r="B839">
        <v>46.22</v>
      </c>
      <c r="G839" s="2">
        <v>35185</v>
      </c>
      <c r="H839">
        <v>2.06E-2</v>
      </c>
      <c r="I839">
        <v>4.5999999999999999E-3</v>
      </c>
    </row>
    <row r="840" spans="1:9" x14ac:dyDescent="0.2">
      <c r="A840" s="2">
        <v>42309</v>
      </c>
      <c r="B840">
        <v>42.44</v>
      </c>
      <c r="G840" s="2">
        <v>35216</v>
      </c>
      <c r="H840">
        <v>2.3599999999999999E-2</v>
      </c>
      <c r="I840">
        <v>4.1999999999999997E-3</v>
      </c>
    </row>
    <row r="841" spans="1:9" x14ac:dyDescent="0.2">
      <c r="A841" s="2">
        <v>42339</v>
      </c>
      <c r="B841">
        <v>37.19</v>
      </c>
      <c r="G841" s="2">
        <v>35244</v>
      </c>
      <c r="H841">
        <v>-1.1299999999999999E-2</v>
      </c>
      <c r="I841">
        <v>4.0000000000000001E-3</v>
      </c>
    </row>
    <row r="842" spans="1:9" x14ac:dyDescent="0.2">
      <c r="A842" s="2">
        <v>42370</v>
      </c>
      <c r="B842">
        <v>31.68</v>
      </c>
      <c r="G842" s="2">
        <v>35277</v>
      </c>
      <c r="H842">
        <v>-5.96E-2</v>
      </c>
      <c r="I842">
        <v>4.4999999999999997E-3</v>
      </c>
    </row>
    <row r="843" spans="1:9" x14ac:dyDescent="0.2">
      <c r="A843" s="2">
        <v>42401</v>
      </c>
      <c r="B843">
        <v>30.32</v>
      </c>
      <c r="G843" s="2">
        <v>35307</v>
      </c>
      <c r="H843">
        <v>2.7699999999999999E-2</v>
      </c>
      <c r="I843">
        <v>4.1000000000000003E-3</v>
      </c>
    </row>
    <row r="844" spans="1:9" x14ac:dyDescent="0.2">
      <c r="A844" s="2">
        <v>42430</v>
      </c>
      <c r="B844">
        <v>37.549999999999997</v>
      </c>
      <c r="G844" s="2">
        <v>35338</v>
      </c>
      <c r="H844">
        <v>5.0099999999999999E-2</v>
      </c>
      <c r="I844">
        <v>4.4000000000000003E-3</v>
      </c>
    </row>
    <row r="845" spans="1:9" x14ac:dyDescent="0.2">
      <c r="A845" s="2">
        <v>42461</v>
      </c>
      <c r="B845">
        <v>40.75</v>
      </c>
      <c r="G845" s="2">
        <v>35369</v>
      </c>
      <c r="H845">
        <v>8.6999999999999994E-3</v>
      </c>
      <c r="I845">
        <v>4.1999999999999997E-3</v>
      </c>
    </row>
    <row r="846" spans="1:9" x14ac:dyDescent="0.2">
      <c r="A846" s="2">
        <v>42491</v>
      </c>
      <c r="B846">
        <v>46.71</v>
      </c>
      <c r="G846" s="2">
        <v>35398</v>
      </c>
      <c r="H846">
        <v>6.25E-2</v>
      </c>
      <c r="I846">
        <v>4.1000000000000003E-3</v>
      </c>
    </row>
    <row r="847" spans="1:9" x14ac:dyDescent="0.2">
      <c r="A847" s="2">
        <v>42522</v>
      </c>
      <c r="B847">
        <v>48.76</v>
      </c>
      <c r="G847" s="2">
        <v>35430</v>
      </c>
      <c r="H847">
        <v>-1.7000000000000001E-2</v>
      </c>
      <c r="I847">
        <v>4.5999999999999999E-3</v>
      </c>
    </row>
    <row r="848" spans="1:9" x14ac:dyDescent="0.2">
      <c r="A848" s="2">
        <v>42552</v>
      </c>
      <c r="B848">
        <v>44.65</v>
      </c>
      <c r="G848" s="2">
        <v>35461</v>
      </c>
      <c r="H848">
        <v>4.9599999999999998E-2</v>
      </c>
      <c r="I848">
        <v>4.4999999999999997E-3</v>
      </c>
    </row>
    <row r="849" spans="1:9" x14ac:dyDescent="0.2">
      <c r="A849" s="2">
        <v>42583</v>
      </c>
      <c r="B849">
        <v>44.72</v>
      </c>
      <c r="G849" s="2">
        <v>35489</v>
      </c>
      <c r="H849">
        <v>-4.7999999999999996E-3</v>
      </c>
      <c r="I849">
        <v>3.8999999999999998E-3</v>
      </c>
    </row>
    <row r="850" spans="1:9" x14ac:dyDescent="0.2">
      <c r="A850" s="2">
        <v>42614</v>
      </c>
      <c r="B850">
        <v>45.18</v>
      </c>
      <c r="G850" s="2">
        <v>35520</v>
      </c>
      <c r="H850">
        <v>-5.0200000000000002E-2</v>
      </c>
      <c r="I850">
        <v>4.3E-3</v>
      </c>
    </row>
    <row r="851" spans="1:9" x14ac:dyDescent="0.2">
      <c r="A851" s="2">
        <v>42644</v>
      </c>
      <c r="B851">
        <v>49.78</v>
      </c>
      <c r="G851" s="2">
        <v>35550</v>
      </c>
      <c r="H851">
        <v>4.0399999999999998E-2</v>
      </c>
      <c r="I851">
        <v>4.3E-3</v>
      </c>
    </row>
    <row r="852" spans="1:9" x14ac:dyDescent="0.2">
      <c r="A852" s="2">
        <v>42675</v>
      </c>
      <c r="B852">
        <v>45.66</v>
      </c>
      <c r="G852" s="2">
        <v>35580</v>
      </c>
      <c r="H852">
        <v>6.7299999999999999E-2</v>
      </c>
      <c r="I852">
        <v>4.8999999999999998E-3</v>
      </c>
    </row>
    <row r="853" spans="1:9" x14ac:dyDescent="0.2">
      <c r="A853" s="2">
        <v>42705</v>
      </c>
      <c r="B853">
        <v>51.97</v>
      </c>
      <c r="G853" s="2">
        <v>35611</v>
      </c>
      <c r="H853">
        <v>4.1000000000000002E-2</v>
      </c>
      <c r="I853">
        <v>3.7000000000000002E-3</v>
      </c>
    </row>
    <row r="854" spans="1:9" x14ac:dyDescent="0.2">
      <c r="A854" s="2">
        <v>42736</v>
      </c>
      <c r="B854">
        <v>52.5</v>
      </c>
      <c r="G854" s="2">
        <v>35642</v>
      </c>
      <c r="H854">
        <v>7.3099999999999998E-2</v>
      </c>
      <c r="I854">
        <v>4.3E-3</v>
      </c>
    </row>
    <row r="855" spans="1:9" x14ac:dyDescent="0.2">
      <c r="A855" s="2">
        <v>42767</v>
      </c>
      <c r="B855">
        <v>53.47</v>
      </c>
      <c r="G855" s="2">
        <v>35671</v>
      </c>
      <c r="H855">
        <v>-4.1000000000000002E-2</v>
      </c>
      <c r="I855">
        <v>4.1000000000000003E-3</v>
      </c>
    </row>
    <row r="856" spans="1:9" x14ac:dyDescent="0.2">
      <c r="A856" s="2">
        <v>42795</v>
      </c>
      <c r="B856">
        <v>49.33</v>
      </c>
      <c r="G856" s="2">
        <v>35703</v>
      </c>
      <c r="H856">
        <v>5.3400000000000003E-2</v>
      </c>
      <c r="I856">
        <v>4.4000000000000003E-3</v>
      </c>
    </row>
    <row r="857" spans="1:9" x14ac:dyDescent="0.2">
      <c r="A857" s="2">
        <v>42826</v>
      </c>
      <c r="B857">
        <v>51.06</v>
      </c>
      <c r="G857" s="2">
        <v>35734</v>
      </c>
      <c r="H857">
        <v>-3.7999999999999999E-2</v>
      </c>
      <c r="I857">
        <v>4.1999999999999997E-3</v>
      </c>
    </row>
    <row r="858" spans="1:9" x14ac:dyDescent="0.2">
      <c r="A858" s="2">
        <v>42856</v>
      </c>
      <c r="B858">
        <v>48.48</v>
      </c>
      <c r="G858" s="2">
        <v>35762</v>
      </c>
      <c r="H858">
        <v>2.9899999999999999E-2</v>
      </c>
      <c r="I858">
        <v>3.8999999999999998E-3</v>
      </c>
    </row>
    <row r="859" spans="1:9" x14ac:dyDescent="0.2">
      <c r="A859" s="2">
        <v>42887</v>
      </c>
      <c r="B859">
        <v>45.18</v>
      </c>
      <c r="G859" s="2">
        <v>35795</v>
      </c>
      <c r="H859">
        <v>1.3299999999999999E-2</v>
      </c>
      <c r="I859">
        <v>4.7999999999999996E-3</v>
      </c>
    </row>
    <row r="860" spans="1:9" x14ac:dyDescent="0.2">
      <c r="A860" s="2">
        <v>42917</v>
      </c>
      <c r="B860">
        <v>46.63</v>
      </c>
      <c r="G860" s="2">
        <v>35825</v>
      </c>
      <c r="H860">
        <v>1.5E-3</v>
      </c>
      <c r="I860">
        <v>4.3E-3</v>
      </c>
    </row>
    <row r="861" spans="1:9" x14ac:dyDescent="0.2">
      <c r="A861" s="2">
        <v>42948</v>
      </c>
      <c r="B861">
        <v>48.04</v>
      </c>
      <c r="G861" s="2">
        <v>35853</v>
      </c>
      <c r="H861">
        <v>7.0300000000000001E-2</v>
      </c>
      <c r="I861">
        <v>3.8999999999999998E-3</v>
      </c>
    </row>
    <row r="862" spans="1:9" x14ac:dyDescent="0.2">
      <c r="A862" s="2">
        <v>42979</v>
      </c>
      <c r="B862">
        <v>49.82</v>
      </c>
      <c r="G862" s="2">
        <v>35885</v>
      </c>
      <c r="H862">
        <v>4.7600000000000003E-2</v>
      </c>
      <c r="I862">
        <v>3.8999999999999998E-3</v>
      </c>
    </row>
    <row r="863" spans="1:9" x14ac:dyDescent="0.2">
      <c r="A863" s="2">
        <v>43009</v>
      </c>
      <c r="B863">
        <v>51.58</v>
      </c>
      <c r="G863" s="2">
        <v>35915</v>
      </c>
      <c r="H863">
        <v>7.4000000000000003E-3</v>
      </c>
      <c r="I863">
        <v>4.3E-3</v>
      </c>
    </row>
    <row r="864" spans="1:9" x14ac:dyDescent="0.2">
      <c r="A864" s="2">
        <v>43040</v>
      </c>
      <c r="B864">
        <v>56.64</v>
      </c>
      <c r="G864" s="2">
        <v>35944</v>
      </c>
      <c r="H864">
        <v>-3.0700000000000002E-2</v>
      </c>
      <c r="I864">
        <v>4.0000000000000001E-3</v>
      </c>
    </row>
    <row r="865" spans="1:9" x14ac:dyDescent="0.2">
      <c r="A865" s="2">
        <v>43070</v>
      </c>
      <c r="B865">
        <v>57.88</v>
      </c>
      <c r="G865" s="2">
        <v>35976</v>
      </c>
      <c r="H865">
        <v>3.1899999999999998E-2</v>
      </c>
      <c r="I865">
        <v>4.1000000000000003E-3</v>
      </c>
    </row>
    <row r="866" spans="1:9" x14ac:dyDescent="0.2">
      <c r="A866" s="2">
        <v>43101</v>
      </c>
      <c r="B866">
        <v>63.7</v>
      </c>
      <c r="G866" s="2">
        <v>36007</v>
      </c>
      <c r="H866">
        <v>-2.4199999999999999E-2</v>
      </c>
      <c r="I866">
        <v>4.0000000000000001E-3</v>
      </c>
    </row>
    <row r="867" spans="1:9" x14ac:dyDescent="0.2">
      <c r="A867" s="2">
        <v>43132</v>
      </c>
      <c r="B867">
        <v>62.23</v>
      </c>
      <c r="G867" s="2">
        <v>36038</v>
      </c>
      <c r="H867">
        <v>-0.1605</v>
      </c>
      <c r="I867">
        <v>4.3E-3</v>
      </c>
    </row>
    <row r="868" spans="1:9" x14ac:dyDescent="0.2">
      <c r="A868" s="2">
        <v>43160</v>
      </c>
      <c r="B868">
        <v>62.73</v>
      </c>
      <c r="G868" s="2">
        <v>36068</v>
      </c>
      <c r="H868">
        <v>6.1899999999999997E-2</v>
      </c>
      <c r="I868">
        <v>4.5999999999999999E-3</v>
      </c>
    </row>
    <row r="869" spans="1:9" x14ac:dyDescent="0.2">
      <c r="A869" s="2">
        <v>43191</v>
      </c>
      <c r="B869">
        <v>66.25</v>
      </c>
      <c r="G869" s="2">
        <v>36098</v>
      </c>
      <c r="H869">
        <v>6.9800000000000001E-2</v>
      </c>
      <c r="I869">
        <v>3.2000000000000002E-3</v>
      </c>
    </row>
    <row r="870" spans="1:9" x14ac:dyDescent="0.2">
      <c r="A870" s="2">
        <v>43221</v>
      </c>
      <c r="B870">
        <v>69.98</v>
      </c>
      <c r="G870" s="2">
        <v>36129</v>
      </c>
      <c r="H870">
        <v>6.0699999999999997E-2</v>
      </c>
      <c r="I870">
        <v>3.0999999999999999E-3</v>
      </c>
    </row>
    <row r="871" spans="1:9" x14ac:dyDescent="0.2">
      <c r="A871" s="2">
        <v>43252</v>
      </c>
      <c r="B871">
        <v>67.87</v>
      </c>
      <c r="G871" s="2">
        <v>36160</v>
      </c>
      <c r="H871">
        <v>6.1499999999999999E-2</v>
      </c>
      <c r="I871">
        <v>3.8E-3</v>
      </c>
    </row>
    <row r="872" spans="1:9" x14ac:dyDescent="0.2">
      <c r="A872" s="2">
        <v>43282</v>
      </c>
      <c r="B872">
        <v>70.98</v>
      </c>
      <c r="G872" s="2">
        <v>36189</v>
      </c>
      <c r="H872">
        <v>3.4799999999999998E-2</v>
      </c>
      <c r="I872">
        <v>3.5000000000000001E-3</v>
      </c>
    </row>
    <row r="873" spans="1:9" x14ac:dyDescent="0.2">
      <c r="A873" s="2">
        <v>43313</v>
      </c>
      <c r="B873">
        <v>68.06</v>
      </c>
      <c r="G873" s="2">
        <v>36217</v>
      </c>
      <c r="H873">
        <v>-4.0800000000000003E-2</v>
      </c>
      <c r="I873">
        <v>3.5000000000000001E-3</v>
      </c>
    </row>
    <row r="874" spans="1:9" x14ac:dyDescent="0.2">
      <c r="A874" s="2">
        <v>43344</v>
      </c>
      <c r="B874">
        <v>70.23</v>
      </c>
      <c r="G874" s="2">
        <v>36250</v>
      </c>
      <c r="H874">
        <v>3.4799999999999998E-2</v>
      </c>
      <c r="I874">
        <v>4.3E-3</v>
      </c>
    </row>
    <row r="875" spans="1:9" x14ac:dyDescent="0.2">
      <c r="A875" s="2">
        <v>43374</v>
      </c>
      <c r="B875">
        <v>70.75</v>
      </c>
      <c r="G875" s="2">
        <v>36280</v>
      </c>
      <c r="H875">
        <v>4.3400000000000001E-2</v>
      </c>
      <c r="I875">
        <v>3.7000000000000002E-3</v>
      </c>
    </row>
    <row r="876" spans="1:9" x14ac:dyDescent="0.2">
      <c r="A876" s="2">
        <v>43405</v>
      </c>
      <c r="B876">
        <v>56.96</v>
      </c>
      <c r="G876" s="2">
        <v>36308</v>
      </c>
      <c r="H876">
        <v>-2.46E-2</v>
      </c>
      <c r="I876">
        <v>3.3999999999999998E-3</v>
      </c>
    </row>
    <row r="877" spans="1:9" x14ac:dyDescent="0.2">
      <c r="A877" s="2">
        <v>43435</v>
      </c>
      <c r="B877">
        <v>49.52</v>
      </c>
      <c r="G877" s="2">
        <v>36341</v>
      </c>
      <c r="H877">
        <v>4.7699999999999999E-2</v>
      </c>
      <c r="I877">
        <v>4.0000000000000001E-3</v>
      </c>
    </row>
    <row r="878" spans="1:9" x14ac:dyDescent="0.2">
      <c r="A878" s="2">
        <v>43466</v>
      </c>
      <c r="B878">
        <v>51.38</v>
      </c>
      <c r="G878" s="2">
        <v>36371</v>
      </c>
      <c r="H878">
        <v>-3.49E-2</v>
      </c>
      <c r="I878">
        <v>3.8E-3</v>
      </c>
    </row>
    <row r="879" spans="1:9" x14ac:dyDescent="0.2">
      <c r="A879" s="2">
        <v>43497</v>
      </c>
      <c r="B879">
        <v>54.95</v>
      </c>
      <c r="G879" s="2">
        <v>36403</v>
      </c>
      <c r="H879">
        <v>-1.37E-2</v>
      </c>
      <c r="I879">
        <v>3.8999999999999998E-3</v>
      </c>
    </row>
    <row r="880" spans="1:9" x14ac:dyDescent="0.2">
      <c r="A880" s="2">
        <v>43525</v>
      </c>
      <c r="B880">
        <v>58.15</v>
      </c>
      <c r="G880" s="2">
        <v>36433</v>
      </c>
      <c r="H880">
        <v>-2.7699999999999999E-2</v>
      </c>
      <c r="I880">
        <v>3.8999999999999998E-3</v>
      </c>
    </row>
    <row r="881" spans="1:9" x14ac:dyDescent="0.2">
      <c r="A881" s="2">
        <v>43556</v>
      </c>
      <c r="B881">
        <v>63.86</v>
      </c>
      <c r="G881" s="2">
        <v>36462</v>
      </c>
      <c r="H881">
        <v>6.0900000000000003E-2</v>
      </c>
      <c r="I881">
        <v>3.8999999999999998E-3</v>
      </c>
    </row>
    <row r="882" spans="1:9" x14ac:dyDescent="0.2">
      <c r="A882" s="2">
        <v>43586</v>
      </c>
      <c r="B882">
        <v>60.83</v>
      </c>
      <c r="G882" s="2">
        <v>36494</v>
      </c>
      <c r="H882">
        <v>3.4099999999999998E-2</v>
      </c>
      <c r="I882">
        <v>3.5999999999999999E-3</v>
      </c>
    </row>
    <row r="883" spans="1:9" x14ac:dyDescent="0.2">
      <c r="A883" s="2">
        <v>43617</v>
      </c>
      <c r="B883">
        <v>54.66</v>
      </c>
      <c r="G883" s="2">
        <v>36525</v>
      </c>
      <c r="H883">
        <v>7.6600000000000001E-2</v>
      </c>
      <c r="I883">
        <v>4.4000000000000003E-3</v>
      </c>
    </row>
    <row r="884" spans="1:9" x14ac:dyDescent="0.2">
      <c r="A884" s="2">
        <v>43647</v>
      </c>
      <c r="B884">
        <v>57.35</v>
      </c>
      <c r="G884" s="2">
        <v>36556</v>
      </c>
      <c r="H884">
        <v>-4.7399999999999998E-2</v>
      </c>
      <c r="I884">
        <v>4.1000000000000003E-3</v>
      </c>
    </row>
    <row r="885" spans="1:9" x14ac:dyDescent="0.2">
      <c r="A885" s="2">
        <v>43678</v>
      </c>
      <c r="B885">
        <v>54.81</v>
      </c>
      <c r="G885" s="2">
        <v>36585</v>
      </c>
      <c r="H885">
        <v>2.46E-2</v>
      </c>
      <c r="I885">
        <v>4.3E-3</v>
      </c>
    </row>
    <row r="886" spans="1:9" x14ac:dyDescent="0.2">
      <c r="A886" s="2">
        <v>43709</v>
      </c>
      <c r="B886">
        <v>56.95</v>
      </c>
      <c r="G886" s="2">
        <v>36616</v>
      </c>
      <c r="H886">
        <v>5.21E-2</v>
      </c>
      <c r="I886">
        <v>4.7000000000000002E-3</v>
      </c>
    </row>
    <row r="887" spans="1:9" x14ac:dyDescent="0.2">
      <c r="A887" s="2">
        <v>43739</v>
      </c>
      <c r="B887">
        <v>53.96</v>
      </c>
      <c r="G887" s="2">
        <v>36644</v>
      </c>
      <c r="H887">
        <v>-6.3899999999999998E-2</v>
      </c>
      <c r="I887">
        <v>4.5999999999999999E-3</v>
      </c>
    </row>
    <row r="888" spans="1:9" x14ac:dyDescent="0.2">
      <c r="A888" s="2">
        <v>43770</v>
      </c>
      <c r="B888">
        <v>57.03</v>
      </c>
      <c r="G888" s="2">
        <v>36677</v>
      </c>
      <c r="H888">
        <v>-4.3900000000000002E-2</v>
      </c>
      <c r="I888">
        <v>5.0000000000000001E-3</v>
      </c>
    </row>
    <row r="889" spans="1:9" x14ac:dyDescent="0.2">
      <c r="A889" s="2">
        <v>43800</v>
      </c>
      <c r="B889">
        <v>59.88</v>
      </c>
      <c r="G889" s="2">
        <v>36707</v>
      </c>
      <c r="H889">
        <v>4.6800000000000001E-2</v>
      </c>
      <c r="I889">
        <v>4.0000000000000001E-3</v>
      </c>
    </row>
    <row r="890" spans="1:9" x14ac:dyDescent="0.2">
      <c r="A890" s="2">
        <v>43831</v>
      </c>
      <c r="B890">
        <v>57.52</v>
      </c>
      <c r="G890" s="2">
        <v>36738</v>
      </c>
      <c r="H890">
        <v>-2.4799999999999999E-2</v>
      </c>
      <c r="I890">
        <v>4.7999999999999996E-3</v>
      </c>
    </row>
    <row r="891" spans="1:9" x14ac:dyDescent="0.2">
      <c r="A891" s="2">
        <v>43862</v>
      </c>
      <c r="B891">
        <v>50.54</v>
      </c>
      <c r="G891" s="2">
        <v>36769</v>
      </c>
      <c r="H891">
        <v>7.0300000000000001E-2</v>
      </c>
      <c r="I891">
        <v>5.0000000000000001E-3</v>
      </c>
    </row>
    <row r="892" spans="1:9" x14ac:dyDescent="0.2">
      <c r="A892" s="2">
        <v>43891</v>
      </c>
      <c r="B892">
        <v>29.21</v>
      </c>
      <c r="G892" s="2">
        <v>36798</v>
      </c>
      <c r="H892">
        <v>-5.4399999999999997E-2</v>
      </c>
      <c r="I892">
        <v>5.1000000000000004E-3</v>
      </c>
    </row>
    <row r="893" spans="1:9" x14ac:dyDescent="0.2">
      <c r="A893" s="2">
        <v>43922</v>
      </c>
      <c r="B893">
        <v>16.55</v>
      </c>
      <c r="G893" s="2">
        <v>36830</v>
      </c>
      <c r="H893">
        <v>-2.7799999999999998E-2</v>
      </c>
      <c r="I893">
        <v>5.5999999999999999E-3</v>
      </c>
    </row>
    <row r="894" spans="1:9" x14ac:dyDescent="0.2">
      <c r="A894" s="2">
        <v>43952</v>
      </c>
      <c r="B894">
        <v>28.56</v>
      </c>
      <c r="G894" s="2">
        <v>36860</v>
      </c>
      <c r="H894">
        <v>-0.107</v>
      </c>
      <c r="I894">
        <v>5.1000000000000004E-3</v>
      </c>
    </row>
    <row r="895" spans="1:9" x14ac:dyDescent="0.2">
      <c r="A895" s="2">
        <v>43983</v>
      </c>
      <c r="B895">
        <v>38.31</v>
      </c>
      <c r="G895" s="2">
        <v>36889</v>
      </c>
      <c r="H895">
        <v>1.18E-2</v>
      </c>
      <c r="I895">
        <v>5.0000000000000001E-3</v>
      </c>
    </row>
    <row r="896" spans="1:9" x14ac:dyDescent="0.2">
      <c r="A896" s="2">
        <v>44013</v>
      </c>
      <c r="B896">
        <v>40.71</v>
      </c>
      <c r="G896" s="2">
        <v>36922</v>
      </c>
      <c r="H896">
        <v>3.2500000000000001E-2</v>
      </c>
      <c r="I896">
        <v>5.4000000000000003E-3</v>
      </c>
    </row>
    <row r="897" spans="1:9" x14ac:dyDescent="0.2">
      <c r="A897" s="2">
        <v>44044</v>
      </c>
      <c r="B897">
        <v>42.34</v>
      </c>
      <c r="G897" s="2">
        <v>36950</v>
      </c>
      <c r="H897">
        <v>-0.1003</v>
      </c>
      <c r="I897">
        <v>3.8E-3</v>
      </c>
    </row>
    <row r="898" spans="1:9" x14ac:dyDescent="0.2">
      <c r="A898" s="2">
        <v>44075</v>
      </c>
      <c r="B898">
        <v>39.630000000000003</v>
      </c>
      <c r="G898" s="2">
        <v>36980</v>
      </c>
      <c r="H898">
        <v>-7.2499999999999995E-2</v>
      </c>
      <c r="I898">
        <v>4.1999999999999997E-3</v>
      </c>
    </row>
    <row r="899" spans="1:9" x14ac:dyDescent="0.2">
      <c r="A899" s="2">
        <v>44105</v>
      </c>
      <c r="B899">
        <v>39.4</v>
      </c>
      <c r="G899" s="2">
        <v>37011</v>
      </c>
      <c r="H899">
        <v>7.9299999999999995E-2</v>
      </c>
      <c r="I899">
        <v>3.8999999999999998E-3</v>
      </c>
    </row>
    <row r="900" spans="1:9" x14ac:dyDescent="0.2">
      <c r="A900" s="2">
        <v>44136</v>
      </c>
      <c r="B900">
        <v>40.94</v>
      </c>
      <c r="G900" s="2">
        <v>37042</v>
      </c>
      <c r="H900">
        <v>6.7999999999999996E-3</v>
      </c>
      <c r="I900">
        <v>3.2000000000000002E-3</v>
      </c>
    </row>
    <row r="901" spans="1:9" x14ac:dyDescent="0.2">
      <c r="A901" s="2">
        <v>44166</v>
      </c>
      <c r="B901">
        <v>47.02</v>
      </c>
      <c r="G901" s="2">
        <v>37071</v>
      </c>
      <c r="H901">
        <v>-1.9400000000000001E-2</v>
      </c>
      <c r="I901">
        <v>2.8E-3</v>
      </c>
    </row>
    <row r="902" spans="1:9" x14ac:dyDescent="0.2">
      <c r="A902" s="2">
        <v>44197</v>
      </c>
      <c r="B902">
        <v>52</v>
      </c>
      <c r="G902" s="2">
        <v>37103</v>
      </c>
      <c r="H902">
        <v>-2.1299999999999999E-2</v>
      </c>
      <c r="I902">
        <v>3.0000000000000001E-3</v>
      </c>
    </row>
    <row r="903" spans="1:9" x14ac:dyDescent="0.2">
      <c r="A903" s="2">
        <v>44228</v>
      </c>
      <c r="B903">
        <v>59.04</v>
      </c>
      <c r="G903" s="2">
        <v>37134</v>
      </c>
      <c r="H903">
        <v>-6.4000000000000001E-2</v>
      </c>
      <c r="I903">
        <v>3.0999999999999999E-3</v>
      </c>
    </row>
    <row r="904" spans="1:9" x14ac:dyDescent="0.2">
      <c r="A904" s="2">
        <v>44256</v>
      </c>
      <c r="B904">
        <v>62.33</v>
      </c>
      <c r="G904" s="2">
        <v>37162</v>
      </c>
      <c r="H904">
        <v>-9.2399999999999996E-2</v>
      </c>
      <c r="I904">
        <v>2.8E-3</v>
      </c>
    </row>
    <row r="905" spans="1:9" x14ac:dyDescent="0.2">
      <c r="A905" s="2">
        <v>44287</v>
      </c>
      <c r="B905">
        <v>61.72</v>
      </c>
      <c r="G905" s="2">
        <v>37195</v>
      </c>
      <c r="H905">
        <v>2.4799999999999999E-2</v>
      </c>
      <c r="I905">
        <v>2.2000000000000001E-3</v>
      </c>
    </row>
    <row r="906" spans="1:9" x14ac:dyDescent="0.2">
      <c r="A906" s="2">
        <v>44317</v>
      </c>
      <c r="B906">
        <v>65.17</v>
      </c>
      <c r="G906" s="2">
        <v>37225</v>
      </c>
      <c r="H906">
        <v>7.5300000000000006E-2</v>
      </c>
      <c r="I906">
        <v>1.6999999999999999E-3</v>
      </c>
    </row>
    <row r="907" spans="1:9" x14ac:dyDescent="0.2">
      <c r="A907" s="2">
        <v>44348</v>
      </c>
      <c r="B907">
        <v>71.38</v>
      </c>
      <c r="G907" s="2">
        <v>37256</v>
      </c>
      <c r="H907">
        <v>1.61E-2</v>
      </c>
      <c r="I907">
        <v>1.5E-3</v>
      </c>
    </row>
    <row r="908" spans="1:9" x14ac:dyDescent="0.2">
      <c r="A908" s="2">
        <v>44378</v>
      </c>
      <c r="B908">
        <v>72.489999999999995</v>
      </c>
      <c r="G908" s="2">
        <v>37287</v>
      </c>
      <c r="H908">
        <v>-1.44E-2</v>
      </c>
      <c r="I908">
        <v>1.4E-3</v>
      </c>
    </row>
    <row r="909" spans="1:9" x14ac:dyDescent="0.2">
      <c r="A909" s="2">
        <v>44409</v>
      </c>
      <c r="B909">
        <v>67.73</v>
      </c>
      <c r="G909" s="2">
        <v>37315</v>
      </c>
      <c r="H909">
        <v>-2.3E-2</v>
      </c>
      <c r="I909">
        <v>1.2999999999999999E-3</v>
      </c>
    </row>
    <row r="910" spans="1:9" x14ac:dyDescent="0.2">
      <c r="A910" s="2">
        <v>44440</v>
      </c>
      <c r="B910">
        <v>71.650000000000006</v>
      </c>
      <c r="G910" s="2">
        <v>37343</v>
      </c>
      <c r="H910">
        <v>4.24E-2</v>
      </c>
      <c r="I910">
        <v>1.2999999999999999E-3</v>
      </c>
    </row>
    <row r="911" spans="1:9" x14ac:dyDescent="0.2">
      <c r="A911" s="2">
        <v>44470</v>
      </c>
      <c r="B911">
        <v>81.48</v>
      </c>
      <c r="G911" s="2">
        <v>37376</v>
      </c>
      <c r="H911">
        <v>-5.21E-2</v>
      </c>
      <c r="I911">
        <v>1.5E-3</v>
      </c>
    </row>
    <row r="912" spans="1:9" x14ac:dyDescent="0.2">
      <c r="A912" s="2">
        <v>44501</v>
      </c>
      <c r="B912">
        <v>79.150000000000006</v>
      </c>
      <c r="G912" s="2">
        <v>37407</v>
      </c>
      <c r="H912">
        <v>-1.3599999999999999E-2</v>
      </c>
      <c r="I912">
        <v>1.4E-3</v>
      </c>
    </row>
    <row r="913" spans="1:9" x14ac:dyDescent="0.2">
      <c r="A913" s="2">
        <v>44531</v>
      </c>
      <c r="B913">
        <v>71.709999999999994</v>
      </c>
      <c r="G913" s="2">
        <v>37435</v>
      </c>
      <c r="H913">
        <v>-7.2300000000000003E-2</v>
      </c>
      <c r="I913">
        <v>1.2999999999999999E-3</v>
      </c>
    </row>
    <row r="914" spans="1:9" x14ac:dyDescent="0.2">
      <c r="A914" s="2">
        <v>44562</v>
      </c>
      <c r="B914">
        <v>83.22</v>
      </c>
      <c r="G914" s="2">
        <v>37468</v>
      </c>
      <c r="H914">
        <v>-8.1900000000000001E-2</v>
      </c>
      <c r="I914">
        <v>1.5E-3</v>
      </c>
    </row>
    <row r="915" spans="1:9" x14ac:dyDescent="0.2">
      <c r="A915" s="2">
        <v>44593</v>
      </c>
      <c r="B915">
        <v>91.64</v>
      </c>
      <c r="G915" s="2">
        <v>37498</v>
      </c>
      <c r="H915">
        <v>5.0000000000000001E-3</v>
      </c>
      <c r="I915">
        <v>1.4E-3</v>
      </c>
    </row>
    <row r="916" spans="1:9" x14ac:dyDescent="0.2">
      <c r="A916" s="2">
        <v>44621</v>
      </c>
      <c r="B916">
        <v>108.5</v>
      </c>
      <c r="G916" s="2">
        <v>37529</v>
      </c>
      <c r="H916">
        <v>-0.10340000000000001</v>
      </c>
      <c r="I916">
        <v>1.4E-3</v>
      </c>
    </row>
    <row r="917" spans="1:9" x14ac:dyDescent="0.2">
      <c r="A917" s="2">
        <v>44652</v>
      </c>
      <c r="B917">
        <v>101.78</v>
      </c>
      <c r="G917" s="2">
        <v>37560</v>
      </c>
      <c r="H917">
        <v>7.8399999999999997E-2</v>
      </c>
      <c r="I917">
        <v>1.4E-3</v>
      </c>
    </row>
    <row r="918" spans="1:9" x14ac:dyDescent="0.2">
      <c r="A918" s="2">
        <v>44682</v>
      </c>
      <c r="B918">
        <v>109.55</v>
      </c>
      <c r="G918" s="2">
        <v>37589</v>
      </c>
      <c r="H918">
        <v>5.96E-2</v>
      </c>
      <c r="I918">
        <v>1.1999999999999999E-3</v>
      </c>
    </row>
    <row r="919" spans="1:9" x14ac:dyDescent="0.2">
      <c r="A919" s="2">
        <v>44713</v>
      </c>
      <c r="B919">
        <v>114.84</v>
      </c>
      <c r="G919" s="2">
        <v>37621</v>
      </c>
      <c r="H919">
        <v>-5.7599999999999998E-2</v>
      </c>
      <c r="I919">
        <v>1.1000000000000001E-3</v>
      </c>
    </row>
    <row r="920" spans="1:9" x14ac:dyDescent="0.2">
      <c r="A920" s="2">
        <v>44743</v>
      </c>
      <c r="B920">
        <v>101.62</v>
      </c>
      <c r="G920" s="2">
        <v>37652</v>
      </c>
      <c r="H920">
        <v>-2.5700000000000001E-2</v>
      </c>
      <c r="I920">
        <v>1E-3</v>
      </c>
    </row>
    <row r="921" spans="1:9" x14ac:dyDescent="0.2">
      <c r="A921" s="2">
        <v>44774</v>
      </c>
      <c r="B921">
        <v>93.67</v>
      </c>
      <c r="G921" s="2">
        <v>37680</v>
      </c>
      <c r="H921">
        <v>-1.8800000000000001E-2</v>
      </c>
      <c r="I921">
        <v>8.9999999999999998E-4</v>
      </c>
    </row>
    <row r="922" spans="1:9" x14ac:dyDescent="0.2">
      <c r="A922" s="2">
        <v>44805</v>
      </c>
      <c r="B922">
        <v>84.26</v>
      </c>
      <c r="G922" s="2">
        <v>37711</v>
      </c>
      <c r="H922">
        <v>1.09E-2</v>
      </c>
      <c r="I922">
        <v>1E-3</v>
      </c>
    </row>
    <row r="923" spans="1:9" x14ac:dyDescent="0.2">
      <c r="A923" s="2">
        <v>44835</v>
      </c>
      <c r="B923">
        <v>87.55</v>
      </c>
      <c r="G923" s="2">
        <v>37741</v>
      </c>
      <c r="H923">
        <v>8.1799999999999998E-2</v>
      </c>
      <c r="I923">
        <v>1E-3</v>
      </c>
    </row>
    <row r="924" spans="1:9" x14ac:dyDescent="0.2">
      <c r="A924" s="2">
        <v>44866</v>
      </c>
      <c r="B924">
        <v>84.37</v>
      </c>
      <c r="G924" s="2">
        <v>37771</v>
      </c>
      <c r="H924">
        <v>6.0499999999999998E-2</v>
      </c>
      <c r="I924">
        <v>8.9999999999999998E-4</v>
      </c>
    </row>
    <row r="925" spans="1:9" x14ac:dyDescent="0.2">
      <c r="A925" s="2">
        <v>44896</v>
      </c>
      <c r="B925">
        <v>76.44</v>
      </c>
      <c r="G925" s="2">
        <v>37802</v>
      </c>
      <c r="H925">
        <v>1.4200000000000001E-2</v>
      </c>
      <c r="I925">
        <v>1E-3</v>
      </c>
    </row>
    <row r="926" spans="1:9" x14ac:dyDescent="0.2">
      <c r="A926" s="2">
        <v>44927</v>
      </c>
      <c r="B926">
        <v>78.12</v>
      </c>
      <c r="G926" s="2">
        <v>37833</v>
      </c>
      <c r="H926">
        <v>2.3300000000000001E-2</v>
      </c>
      <c r="I926">
        <v>6.9999999999999999E-4</v>
      </c>
    </row>
    <row r="927" spans="1:9" x14ac:dyDescent="0.2">
      <c r="A927" s="2">
        <v>44958</v>
      </c>
      <c r="B927">
        <v>76.83</v>
      </c>
      <c r="G927" s="2">
        <v>37862</v>
      </c>
      <c r="H927">
        <v>2.3300000000000001E-2</v>
      </c>
      <c r="I927">
        <v>6.9999999999999999E-4</v>
      </c>
    </row>
    <row r="928" spans="1:9" x14ac:dyDescent="0.2">
      <c r="A928" s="2">
        <v>44986</v>
      </c>
      <c r="B928">
        <v>73.28</v>
      </c>
      <c r="G928" s="2">
        <v>37894</v>
      </c>
      <c r="H928">
        <v>-1.24E-2</v>
      </c>
      <c r="I928">
        <v>8.0000000000000004E-4</v>
      </c>
    </row>
    <row r="929" spans="1:9" x14ac:dyDescent="0.2">
      <c r="A929" s="2">
        <v>45017</v>
      </c>
      <c r="B929">
        <v>79.45</v>
      </c>
      <c r="G929" s="2">
        <v>37925</v>
      </c>
      <c r="H929">
        <v>6.08E-2</v>
      </c>
      <c r="I929">
        <v>6.9999999999999999E-4</v>
      </c>
    </row>
    <row r="930" spans="1:9" x14ac:dyDescent="0.2">
      <c r="A930" s="2">
        <v>45047</v>
      </c>
      <c r="B930">
        <v>71.58</v>
      </c>
      <c r="G930" s="2">
        <v>37953</v>
      </c>
      <c r="H930">
        <v>1.35E-2</v>
      </c>
      <c r="I930">
        <v>6.9999999999999999E-4</v>
      </c>
    </row>
    <row r="931" spans="1:9" x14ac:dyDescent="0.2">
      <c r="A931" s="2">
        <v>45078</v>
      </c>
      <c r="B931">
        <v>70.25</v>
      </c>
      <c r="G931" s="2">
        <v>37986</v>
      </c>
      <c r="H931">
        <v>4.2900000000000001E-2</v>
      </c>
      <c r="I931">
        <v>8.0000000000000004E-4</v>
      </c>
    </row>
    <row r="932" spans="1:9" x14ac:dyDescent="0.2">
      <c r="A932" s="2">
        <v>45108</v>
      </c>
      <c r="B932">
        <v>76.069999999999993</v>
      </c>
      <c r="G932" s="2">
        <v>38016</v>
      </c>
      <c r="H932">
        <v>2.1499999999999998E-2</v>
      </c>
      <c r="I932">
        <v>6.9999999999999999E-4</v>
      </c>
    </row>
    <row r="933" spans="1:9" x14ac:dyDescent="0.2">
      <c r="A933" s="2">
        <v>45139</v>
      </c>
      <c r="B933">
        <v>81.39</v>
      </c>
      <c r="G933" s="2">
        <v>38044</v>
      </c>
      <c r="H933">
        <v>1.4E-2</v>
      </c>
      <c r="I933">
        <v>5.9999999999999995E-4</v>
      </c>
    </row>
    <row r="934" spans="1:9" x14ac:dyDescent="0.2">
      <c r="A934" s="2">
        <v>45170</v>
      </c>
      <c r="B934">
        <v>89.43</v>
      </c>
      <c r="G934" s="2">
        <v>38077</v>
      </c>
      <c r="H934">
        <v>-1.32E-2</v>
      </c>
      <c r="I934">
        <v>8.9999999999999998E-4</v>
      </c>
    </row>
    <row r="935" spans="1:9" x14ac:dyDescent="0.2">
      <c r="A935" s="2">
        <v>45200</v>
      </c>
      <c r="B935">
        <v>85.64</v>
      </c>
      <c r="G935" s="2">
        <v>38107</v>
      </c>
      <c r="H935">
        <v>-1.8100000000000002E-2</v>
      </c>
      <c r="I935">
        <v>8.0000000000000004E-4</v>
      </c>
    </row>
    <row r="936" spans="1:9" x14ac:dyDescent="0.2">
      <c r="A936" s="2">
        <v>45231</v>
      </c>
      <c r="B936">
        <v>77.69</v>
      </c>
      <c r="G936" s="2">
        <v>38135</v>
      </c>
      <c r="H936">
        <v>1.18E-2</v>
      </c>
      <c r="I936">
        <v>5.9999999999999995E-4</v>
      </c>
    </row>
    <row r="937" spans="1:9" x14ac:dyDescent="0.2">
      <c r="A937" s="2">
        <v>45261</v>
      </c>
      <c r="B937">
        <v>71.900000000000006</v>
      </c>
      <c r="G937" s="2">
        <v>38168</v>
      </c>
      <c r="H937">
        <v>1.8499999999999999E-2</v>
      </c>
      <c r="I937">
        <v>8.0000000000000004E-4</v>
      </c>
    </row>
    <row r="938" spans="1:9" x14ac:dyDescent="0.2">
      <c r="A938" s="2">
        <v>45292</v>
      </c>
      <c r="B938">
        <v>74.150000000000006</v>
      </c>
      <c r="G938" s="2">
        <v>38198</v>
      </c>
      <c r="H938">
        <v>-4.0399999999999998E-2</v>
      </c>
      <c r="I938">
        <v>1E-3</v>
      </c>
    </row>
    <row r="939" spans="1:9" x14ac:dyDescent="0.2">
      <c r="A939" s="2">
        <v>45323</v>
      </c>
      <c r="B939">
        <v>77.25</v>
      </c>
      <c r="G939" s="2">
        <v>38230</v>
      </c>
      <c r="H939">
        <v>6.9999999999999999E-4</v>
      </c>
      <c r="I939">
        <v>1.1000000000000001E-3</v>
      </c>
    </row>
    <row r="940" spans="1:9" x14ac:dyDescent="0.2">
      <c r="A940" s="2">
        <v>45352</v>
      </c>
      <c r="B940">
        <v>81.28</v>
      </c>
      <c r="G940" s="2">
        <v>38260</v>
      </c>
      <c r="H940">
        <v>1.6E-2</v>
      </c>
      <c r="I940">
        <v>1.1000000000000001E-3</v>
      </c>
    </row>
    <row r="941" spans="1:9" x14ac:dyDescent="0.2">
      <c r="A941" s="2">
        <v>45383</v>
      </c>
      <c r="B941">
        <v>85.35</v>
      </c>
      <c r="G941" s="2">
        <v>38289</v>
      </c>
      <c r="H941">
        <v>1.4200000000000001E-2</v>
      </c>
      <c r="I941">
        <v>1.1000000000000001E-3</v>
      </c>
    </row>
    <row r="942" spans="1:9" x14ac:dyDescent="0.2">
      <c r="A942" s="2">
        <v>45413</v>
      </c>
      <c r="B942">
        <v>80.02</v>
      </c>
      <c r="G942" s="2">
        <v>38321</v>
      </c>
      <c r="H942">
        <v>4.53E-2</v>
      </c>
      <c r="I942">
        <v>1.5E-3</v>
      </c>
    </row>
    <row r="943" spans="1:9" x14ac:dyDescent="0.2">
      <c r="A943" s="2">
        <v>45444</v>
      </c>
      <c r="B943">
        <v>79.77</v>
      </c>
      <c r="G943" s="2">
        <v>38352</v>
      </c>
      <c r="H943">
        <v>3.4200000000000001E-2</v>
      </c>
      <c r="I943">
        <v>1.6000000000000001E-3</v>
      </c>
    </row>
    <row r="944" spans="1:9" x14ac:dyDescent="0.2">
      <c r="A944" s="2">
        <v>45474</v>
      </c>
      <c r="B944">
        <v>81.8</v>
      </c>
      <c r="G944" s="2">
        <v>38383</v>
      </c>
      <c r="H944">
        <v>-2.75E-2</v>
      </c>
      <c r="I944">
        <v>1.6000000000000001E-3</v>
      </c>
    </row>
    <row r="945" spans="1:9" x14ac:dyDescent="0.2">
      <c r="A945" s="2">
        <v>45505</v>
      </c>
      <c r="B945">
        <v>76.680000000000007</v>
      </c>
      <c r="G945" s="2">
        <v>38411</v>
      </c>
      <c r="H945">
        <v>1.8800000000000001E-2</v>
      </c>
      <c r="I945">
        <v>1.6000000000000001E-3</v>
      </c>
    </row>
    <row r="946" spans="1:9" x14ac:dyDescent="0.2">
      <c r="A946" s="2">
        <v>45536</v>
      </c>
      <c r="B946">
        <v>70.239999999999995</v>
      </c>
      <c r="G946" s="2">
        <v>38442</v>
      </c>
      <c r="H946">
        <v>-1.9400000000000001E-2</v>
      </c>
      <c r="I946">
        <v>2.0999999999999999E-3</v>
      </c>
    </row>
    <row r="947" spans="1:9" x14ac:dyDescent="0.2">
      <c r="A947" s="2">
        <v>45566</v>
      </c>
      <c r="B947">
        <v>71.989999999999995</v>
      </c>
      <c r="G947" s="2">
        <v>38471</v>
      </c>
      <c r="H947">
        <v>-2.6100000000000002E-2</v>
      </c>
      <c r="I947">
        <v>2.0999999999999999E-3</v>
      </c>
    </row>
    <row r="948" spans="1:9" x14ac:dyDescent="0.2">
      <c r="A948" s="2">
        <v>45597</v>
      </c>
      <c r="B948">
        <v>69.95</v>
      </c>
      <c r="G948" s="2">
        <v>38503</v>
      </c>
      <c r="H948">
        <v>3.6499999999999998E-2</v>
      </c>
      <c r="I948">
        <v>2.3999999999999998E-3</v>
      </c>
    </row>
    <row r="949" spans="1:9" x14ac:dyDescent="0.2">
      <c r="A949" s="2">
        <v>45627</v>
      </c>
      <c r="B949">
        <v>70.12</v>
      </c>
      <c r="G949" s="2">
        <v>38533</v>
      </c>
      <c r="H949">
        <v>5.7999999999999996E-3</v>
      </c>
      <c r="I949">
        <v>2.3E-3</v>
      </c>
    </row>
    <row r="950" spans="1:9" x14ac:dyDescent="0.2">
      <c r="A950" s="2">
        <v>45658</v>
      </c>
      <c r="B950">
        <v>75.739999999999995</v>
      </c>
      <c r="G950" s="2">
        <v>38562</v>
      </c>
      <c r="H950">
        <v>3.9199999999999999E-2</v>
      </c>
      <c r="I950">
        <v>2.3999999999999998E-3</v>
      </c>
    </row>
    <row r="951" spans="1:9" x14ac:dyDescent="0.2">
      <c r="A951" s="2">
        <v>45689</v>
      </c>
      <c r="B951">
        <v>71.53</v>
      </c>
      <c r="G951" s="2">
        <v>38595</v>
      </c>
      <c r="H951">
        <v>-1.2E-2</v>
      </c>
      <c r="I951">
        <v>3.0000000000000001E-3</v>
      </c>
    </row>
    <row r="952" spans="1:9" x14ac:dyDescent="0.2">
      <c r="A952" s="2">
        <v>45717</v>
      </c>
      <c r="B952">
        <v>68.239999999999995</v>
      </c>
      <c r="G952" s="2">
        <v>38625</v>
      </c>
      <c r="H952">
        <v>4.7999999999999996E-3</v>
      </c>
      <c r="I952">
        <v>2.8999999999999998E-3</v>
      </c>
    </row>
    <row r="953" spans="1:9" x14ac:dyDescent="0.2">
      <c r="A953" s="2">
        <v>45748</v>
      </c>
      <c r="B953">
        <v>63.54</v>
      </c>
      <c r="G953" s="2">
        <v>38656</v>
      </c>
      <c r="H953">
        <v>-2.0400000000000001E-2</v>
      </c>
      <c r="I953">
        <v>2.7000000000000001E-3</v>
      </c>
    </row>
    <row r="954" spans="1:9" x14ac:dyDescent="0.2">
      <c r="A954" s="2">
        <v>45778</v>
      </c>
      <c r="B954">
        <v>62.17</v>
      </c>
      <c r="G954" s="2">
        <v>38686</v>
      </c>
      <c r="H954">
        <v>3.61E-2</v>
      </c>
      <c r="I954">
        <v>3.0999999999999999E-3</v>
      </c>
    </row>
    <row r="955" spans="1:9" x14ac:dyDescent="0.2">
      <c r="A955" s="2">
        <v>45809</v>
      </c>
      <c r="B955">
        <v>68.17</v>
      </c>
      <c r="G955" s="2">
        <v>38716</v>
      </c>
      <c r="H955">
        <v>-2.3999999999999998E-3</v>
      </c>
      <c r="I955">
        <v>3.2000000000000002E-3</v>
      </c>
    </row>
    <row r="956" spans="1:9" x14ac:dyDescent="0.2">
      <c r="A956" s="2">
        <v>45839</v>
      </c>
      <c r="B956">
        <v>68.39</v>
      </c>
      <c r="G956" s="2">
        <v>38748</v>
      </c>
      <c r="H956">
        <v>3.0300000000000001E-2</v>
      </c>
      <c r="I956">
        <v>3.5000000000000001E-3</v>
      </c>
    </row>
    <row r="957" spans="1:9" x14ac:dyDescent="0.2">
      <c r="A957" s="2">
        <v>45870</v>
      </c>
      <c r="B957">
        <v>64.86</v>
      </c>
      <c r="G957" s="2">
        <v>38776</v>
      </c>
      <c r="H957">
        <v>-3.0000000000000001E-3</v>
      </c>
      <c r="I957">
        <v>3.3999999999999998E-3</v>
      </c>
    </row>
    <row r="958" spans="1:9" x14ac:dyDescent="0.2">
      <c r="A958" s="2">
        <v>45901</v>
      </c>
      <c r="B958">
        <v>63.96</v>
      </c>
      <c r="G958" s="2">
        <v>38807</v>
      </c>
      <c r="H958">
        <v>1.47E-2</v>
      </c>
      <c r="I958">
        <v>3.7000000000000002E-3</v>
      </c>
    </row>
    <row r="959" spans="1:9" x14ac:dyDescent="0.2">
      <c r="A959" s="2">
        <v>45931</v>
      </c>
      <c r="B959">
        <v>60.89</v>
      </c>
      <c r="G959" s="2">
        <v>38835</v>
      </c>
      <c r="H959">
        <v>7.3000000000000001E-3</v>
      </c>
      <c r="I959">
        <v>3.5999999999999999E-3</v>
      </c>
    </row>
    <row r="960" spans="1:9" x14ac:dyDescent="0.2">
      <c r="A960" s="2">
        <v>45962</v>
      </c>
      <c r="B960">
        <v>60.06</v>
      </c>
      <c r="G960" s="2">
        <v>38868</v>
      </c>
      <c r="H960">
        <v>-3.56E-2</v>
      </c>
      <c r="I960">
        <v>4.3E-3</v>
      </c>
    </row>
    <row r="961" spans="1:9" x14ac:dyDescent="0.2">
      <c r="A961" s="2">
        <v>45992</v>
      </c>
      <c r="B961">
        <v>57.97</v>
      </c>
      <c r="G961" s="2">
        <v>38898</v>
      </c>
      <c r="H961">
        <v>-3.5000000000000001E-3</v>
      </c>
      <c r="I961">
        <v>4.0000000000000001E-3</v>
      </c>
    </row>
    <row r="962" spans="1:9" x14ac:dyDescent="0.2">
      <c r="A962" s="2">
        <v>46023</v>
      </c>
      <c r="B962">
        <v>60.04</v>
      </c>
      <c r="G962" s="2">
        <v>38929</v>
      </c>
      <c r="H962">
        <v>-7.7000000000000002E-3</v>
      </c>
      <c r="I962">
        <v>4.0000000000000001E-3</v>
      </c>
    </row>
    <row r="963" spans="1:9" x14ac:dyDescent="0.2">
      <c r="A963" s="2">
        <v>46054</v>
      </c>
      <c r="B963">
        <v>64.510000000000005</v>
      </c>
      <c r="G963" s="2">
        <v>38960</v>
      </c>
      <c r="H963">
        <v>2.0299999999999999E-2</v>
      </c>
      <c r="I963">
        <v>4.1999999999999997E-3</v>
      </c>
    </row>
    <row r="964" spans="1:9" x14ac:dyDescent="0.2">
      <c r="A964" s="2">
        <v>46082</v>
      </c>
      <c r="B964">
        <v>71.23</v>
      </c>
      <c r="G964" s="2">
        <v>38989</v>
      </c>
      <c r="H964">
        <v>1.84E-2</v>
      </c>
      <c r="I964">
        <v>4.1000000000000003E-3</v>
      </c>
    </row>
    <row r="965" spans="1:9" x14ac:dyDescent="0.2">
      <c r="A965" s="2">
        <v>46113</v>
      </c>
      <c r="B965">
        <v>102.95</v>
      </c>
      <c r="G965" s="2">
        <v>39021</v>
      </c>
      <c r="H965">
        <v>3.2199999999999999E-2</v>
      </c>
      <c r="I965">
        <v>4.1000000000000003E-3</v>
      </c>
    </row>
    <row r="966" spans="1:9" x14ac:dyDescent="0.2">
      <c r="G966" s="2">
        <v>39051</v>
      </c>
      <c r="H966">
        <v>1.7000000000000001E-2</v>
      </c>
      <c r="I966">
        <v>4.1999999999999997E-3</v>
      </c>
    </row>
    <row r="967" spans="1:9" x14ac:dyDescent="0.2">
      <c r="G967" s="2">
        <v>39080</v>
      </c>
      <c r="H967">
        <v>8.5000000000000006E-3</v>
      </c>
      <c r="I967">
        <v>4.0000000000000001E-3</v>
      </c>
    </row>
    <row r="968" spans="1:9" x14ac:dyDescent="0.2">
      <c r="G968" s="2">
        <v>39113</v>
      </c>
      <c r="H968">
        <v>1.38E-2</v>
      </c>
      <c r="I968">
        <v>4.4000000000000003E-3</v>
      </c>
    </row>
    <row r="969" spans="1:9" x14ac:dyDescent="0.2">
      <c r="G969" s="2">
        <v>39141</v>
      </c>
      <c r="H969">
        <v>-1.9599999999999999E-2</v>
      </c>
      <c r="I969">
        <v>3.8E-3</v>
      </c>
    </row>
    <row r="970" spans="1:9" x14ac:dyDescent="0.2">
      <c r="G970" s="2">
        <v>39171</v>
      </c>
      <c r="H970">
        <v>7.1000000000000004E-3</v>
      </c>
      <c r="I970">
        <v>4.3E-3</v>
      </c>
    </row>
    <row r="971" spans="1:9" x14ac:dyDescent="0.2">
      <c r="G971" s="2">
        <v>39202</v>
      </c>
      <c r="H971">
        <v>3.49E-2</v>
      </c>
      <c r="I971">
        <v>4.4000000000000003E-3</v>
      </c>
    </row>
    <row r="972" spans="1:9" x14ac:dyDescent="0.2">
      <c r="G972" s="2">
        <v>39233</v>
      </c>
      <c r="H972">
        <v>3.2300000000000002E-2</v>
      </c>
      <c r="I972">
        <v>4.1000000000000003E-3</v>
      </c>
    </row>
    <row r="973" spans="1:9" x14ac:dyDescent="0.2">
      <c r="G973" s="2">
        <v>39262</v>
      </c>
      <c r="H973">
        <v>-1.9599999999999999E-2</v>
      </c>
      <c r="I973">
        <v>4.0000000000000001E-3</v>
      </c>
    </row>
    <row r="974" spans="1:9" x14ac:dyDescent="0.2">
      <c r="G974" s="2">
        <v>39294</v>
      </c>
      <c r="H974">
        <v>-3.7199999999999997E-2</v>
      </c>
      <c r="I974">
        <v>4.0000000000000001E-3</v>
      </c>
    </row>
    <row r="975" spans="1:9" x14ac:dyDescent="0.2">
      <c r="G975" s="2">
        <v>39325</v>
      </c>
      <c r="H975">
        <v>9.4000000000000004E-3</v>
      </c>
      <c r="I975">
        <v>4.1999999999999997E-3</v>
      </c>
    </row>
    <row r="976" spans="1:9" x14ac:dyDescent="0.2">
      <c r="G976" s="2">
        <v>39353</v>
      </c>
      <c r="H976">
        <v>3.2199999999999999E-2</v>
      </c>
      <c r="I976">
        <v>3.2000000000000002E-3</v>
      </c>
    </row>
    <row r="977" spans="7:9" x14ac:dyDescent="0.2">
      <c r="G977" s="2">
        <v>39386</v>
      </c>
      <c r="H977">
        <v>1.7899999999999999E-2</v>
      </c>
      <c r="I977">
        <v>3.2000000000000002E-3</v>
      </c>
    </row>
    <row r="978" spans="7:9" x14ac:dyDescent="0.2">
      <c r="G978" s="2">
        <v>39416</v>
      </c>
      <c r="H978">
        <v>-4.8000000000000001E-2</v>
      </c>
      <c r="I978">
        <v>3.3999999999999998E-3</v>
      </c>
    </row>
    <row r="979" spans="7:9" x14ac:dyDescent="0.2">
      <c r="G979" s="2">
        <v>39447</v>
      </c>
      <c r="H979">
        <v>-8.6999999999999994E-3</v>
      </c>
      <c r="I979">
        <v>2.7000000000000001E-3</v>
      </c>
    </row>
    <row r="980" spans="7:9" x14ac:dyDescent="0.2">
      <c r="G980" s="2">
        <v>39478</v>
      </c>
      <c r="H980">
        <v>-6.3299999999999995E-2</v>
      </c>
      <c r="I980">
        <v>2.0999999999999999E-3</v>
      </c>
    </row>
    <row r="981" spans="7:9" x14ac:dyDescent="0.2">
      <c r="G981" s="2">
        <v>39507</v>
      </c>
      <c r="H981">
        <v>-3.09E-2</v>
      </c>
      <c r="I981">
        <v>1.2999999999999999E-3</v>
      </c>
    </row>
    <row r="982" spans="7:9" x14ac:dyDescent="0.2">
      <c r="G982" s="2">
        <v>39538</v>
      </c>
      <c r="H982">
        <v>-9.4000000000000004E-3</v>
      </c>
      <c r="I982">
        <v>1.6999999999999999E-3</v>
      </c>
    </row>
    <row r="983" spans="7:9" x14ac:dyDescent="0.2">
      <c r="G983" s="2">
        <v>39568</v>
      </c>
      <c r="H983">
        <v>4.6100000000000002E-2</v>
      </c>
      <c r="I983">
        <v>1.8E-3</v>
      </c>
    </row>
    <row r="984" spans="7:9" x14ac:dyDescent="0.2">
      <c r="G984" s="2">
        <v>39598</v>
      </c>
      <c r="H984">
        <v>1.8700000000000001E-2</v>
      </c>
      <c r="I984">
        <v>1.8E-3</v>
      </c>
    </row>
    <row r="985" spans="7:9" x14ac:dyDescent="0.2">
      <c r="G985" s="2">
        <v>39629</v>
      </c>
      <c r="H985">
        <v>-8.43E-2</v>
      </c>
      <c r="I985">
        <v>1.6999999999999999E-3</v>
      </c>
    </row>
    <row r="986" spans="7:9" x14ac:dyDescent="0.2">
      <c r="G986" s="2">
        <v>39660</v>
      </c>
      <c r="H986">
        <v>-7.4999999999999997E-3</v>
      </c>
      <c r="I986">
        <v>1.5E-3</v>
      </c>
    </row>
    <row r="987" spans="7:9" x14ac:dyDescent="0.2">
      <c r="G987" s="2">
        <v>39689</v>
      </c>
      <c r="H987">
        <v>1.5299999999999999E-2</v>
      </c>
      <c r="I987">
        <v>1.2999999999999999E-3</v>
      </c>
    </row>
    <row r="988" spans="7:9" x14ac:dyDescent="0.2">
      <c r="G988" s="2">
        <v>39721</v>
      </c>
      <c r="H988">
        <v>-9.35E-2</v>
      </c>
      <c r="I988">
        <v>1.5E-3</v>
      </c>
    </row>
    <row r="989" spans="7:9" x14ac:dyDescent="0.2">
      <c r="G989" s="2">
        <v>39752</v>
      </c>
      <c r="H989">
        <v>-0.17199999999999999</v>
      </c>
      <c r="I989">
        <v>8.0000000000000004E-4</v>
      </c>
    </row>
    <row r="990" spans="7:9" x14ac:dyDescent="0.2">
      <c r="G990" s="2">
        <v>39780</v>
      </c>
      <c r="H990">
        <v>-7.7399999999999997E-2</v>
      </c>
      <c r="I990">
        <v>2.9999999999999997E-4</v>
      </c>
    </row>
    <row r="991" spans="7:9" x14ac:dyDescent="0.2">
      <c r="G991" s="2">
        <v>39813</v>
      </c>
      <c r="H991">
        <v>1.77E-2</v>
      </c>
      <c r="I991">
        <v>0</v>
      </c>
    </row>
    <row r="992" spans="7:9" x14ac:dyDescent="0.2">
      <c r="G992" s="2">
        <v>39843</v>
      </c>
      <c r="H992">
        <v>-8.09E-2</v>
      </c>
      <c r="I992">
        <v>0</v>
      </c>
    </row>
    <row r="993" spans="7:9" x14ac:dyDescent="0.2">
      <c r="G993" s="2">
        <v>39871</v>
      </c>
      <c r="H993">
        <v>-0.1014</v>
      </c>
      <c r="I993">
        <v>1E-4</v>
      </c>
    </row>
    <row r="994" spans="7:9" x14ac:dyDescent="0.2">
      <c r="G994" s="2">
        <v>39903</v>
      </c>
      <c r="H994">
        <v>9.01E-2</v>
      </c>
      <c r="I994">
        <v>2.0000000000000001E-4</v>
      </c>
    </row>
    <row r="995" spans="7:9" x14ac:dyDescent="0.2">
      <c r="G995" s="2">
        <v>39933</v>
      </c>
      <c r="H995">
        <v>0.1017</v>
      </c>
      <c r="I995">
        <v>1E-4</v>
      </c>
    </row>
    <row r="996" spans="7:9" x14ac:dyDescent="0.2">
      <c r="G996" s="2">
        <v>39962</v>
      </c>
      <c r="H996">
        <v>5.21E-2</v>
      </c>
      <c r="I996">
        <v>0</v>
      </c>
    </row>
    <row r="997" spans="7:9" x14ac:dyDescent="0.2">
      <c r="G997" s="2">
        <v>39994</v>
      </c>
      <c r="H997">
        <v>4.1999999999999997E-3</v>
      </c>
      <c r="I997">
        <v>1E-4</v>
      </c>
    </row>
    <row r="998" spans="7:9" x14ac:dyDescent="0.2">
      <c r="G998" s="2">
        <v>40025</v>
      </c>
      <c r="H998">
        <v>7.7399999999999997E-2</v>
      </c>
      <c r="I998">
        <v>1E-4</v>
      </c>
    </row>
    <row r="999" spans="7:9" x14ac:dyDescent="0.2">
      <c r="G999" s="2">
        <v>40056</v>
      </c>
      <c r="H999">
        <v>3.3300000000000003E-2</v>
      </c>
      <c r="I999">
        <v>1E-4</v>
      </c>
    </row>
    <row r="1000" spans="7:9" x14ac:dyDescent="0.2">
      <c r="G1000" s="2">
        <v>40086</v>
      </c>
      <c r="H1000">
        <v>4.0800000000000003E-2</v>
      </c>
      <c r="I1000">
        <v>1E-4</v>
      </c>
    </row>
    <row r="1001" spans="7:9" x14ac:dyDescent="0.2">
      <c r="G1001" s="2">
        <v>40116</v>
      </c>
      <c r="H1001">
        <v>-2.53E-2</v>
      </c>
      <c r="I1001">
        <v>0</v>
      </c>
    </row>
    <row r="1002" spans="7:9" x14ac:dyDescent="0.2">
      <c r="G1002" s="2">
        <v>40147</v>
      </c>
      <c r="H1002">
        <v>5.6300000000000003E-2</v>
      </c>
      <c r="I1002">
        <v>0</v>
      </c>
    </row>
    <row r="1003" spans="7:9" x14ac:dyDescent="0.2">
      <c r="G1003" s="2">
        <v>40178</v>
      </c>
      <c r="H1003">
        <v>2.8000000000000001E-2</v>
      </c>
      <c r="I1003">
        <v>1E-4</v>
      </c>
    </row>
    <row r="1004" spans="7:9" x14ac:dyDescent="0.2">
      <c r="G1004" s="2">
        <v>40207</v>
      </c>
      <c r="H1004">
        <v>-3.3500000000000002E-2</v>
      </c>
      <c r="I1004">
        <v>0</v>
      </c>
    </row>
    <row r="1005" spans="7:9" x14ac:dyDescent="0.2">
      <c r="G1005" s="2">
        <v>40235</v>
      </c>
      <c r="H1005">
        <v>3.39E-2</v>
      </c>
      <c r="I1005">
        <v>0</v>
      </c>
    </row>
    <row r="1006" spans="7:9" x14ac:dyDescent="0.2">
      <c r="G1006" s="2">
        <v>40268</v>
      </c>
      <c r="H1006">
        <v>6.3E-2</v>
      </c>
      <c r="I1006">
        <v>1E-4</v>
      </c>
    </row>
    <row r="1007" spans="7:9" x14ac:dyDescent="0.2">
      <c r="G1007" s="2">
        <v>40298</v>
      </c>
      <c r="H1007">
        <v>1.9900000000000001E-2</v>
      </c>
      <c r="I1007">
        <v>1E-4</v>
      </c>
    </row>
    <row r="1008" spans="7:9" x14ac:dyDescent="0.2">
      <c r="G1008" s="2">
        <v>40326</v>
      </c>
      <c r="H1008">
        <v>-7.9000000000000001E-2</v>
      </c>
      <c r="I1008">
        <v>1E-4</v>
      </c>
    </row>
    <row r="1009" spans="7:9" x14ac:dyDescent="0.2">
      <c r="G1009" s="2">
        <v>40359</v>
      </c>
      <c r="H1009">
        <v>-5.5599999999999997E-2</v>
      </c>
      <c r="I1009">
        <v>1E-4</v>
      </c>
    </row>
    <row r="1010" spans="7:9" x14ac:dyDescent="0.2">
      <c r="G1010" s="2">
        <v>40389</v>
      </c>
      <c r="H1010">
        <v>6.9199999999999998E-2</v>
      </c>
      <c r="I1010">
        <v>1E-4</v>
      </c>
    </row>
    <row r="1011" spans="7:9" x14ac:dyDescent="0.2">
      <c r="G1011" s="2">
        <v>40421</v>
      </c>
      <c r="H1011">
        <v>-4.7800000000000002E-2</v>
      </c>
      <c r="I1011">
        <v>1E-4</v>
      </c>
    </row>
    <row r="1012" spans="7:9" x14ac:dyDescent="0.2">
      <c r="G1012" s="2">
        <v>40451</v>
      </c>
      <c r="H1012">
        <v>9.5500000000000002E-2</v>
      </c>
      <c r="I1012">
        <v>1E-4</v>
      </c>
    </row>
    <row r="1013" spans="7:9" x14ac:dyDescent="0.2">
      <c r="G1013" s="2">
        <v>40480</v>
      </c>
      <c r="H1013">
        <v>3.8699999999999998E-2</v>
      </c>
      <c r="I1013">
        <v>1E-4</v>
      </c>
    </row>
    <row r="1014" spans="7:9" x14ac:dyDescent="0.2">
      <c r="G1014" s="2">
        <v>40512</v>
      </c>
      <c r="H1014">
        <v>5.8999999999999999E-3</v>
      </c>
      <c r="I1014">
        <v>1E-4</v>
      </c>
    </row>
    <row r="1015" spans="7:9" x14ac:dyDescent="0.2">
      <c r="G1015" s="2">
        <v>40543</v>
      </c>
      <c r="H1015">
        <v>6.8199999999999997E-2</v>
      </c>
      <c r="I1015">
        <v>1E-4</v>
      </c>
    </row>
    <row r="1016" spans="7:9" x14ac:dyDescent="0.2">
      <c r="G1016" s="2">
        <v>40574</v>
      </c>
      <c r="H1016">
        <v>1.9800000000000002E-2</v>
      </c>
      <c r="I1016">
        <v>1E-4</v>
      </c>
    </row>
    <row r="1017" spans="7:9" x14ac:dyDescent="0.2">
      <c r="G1017" s="2">
        <v>40602</v>
      </c>
      <c r="H1017">
        <v>3.4799999999999998E-2</v>
      </c>
      <c r="I1017">
        <v>1E-4</v>
      </c>
    </row>
    <row r="1018" spans="7:9" x14ac:dyDescent="0.2">
      <c r="G1018" s="2">
        <v>40633</v>
      </c>
      <c r="H1018">
        <v>4.4999999999999997E-3</v>
      </c>
      <c r="I1018">
        <v>1E-4</v>
      </c>
    </row>
    <row r="1019" spans="7:9" x14ac:dyDescent="0.2">
      <c r="G1019" s="2">
        <v>40662</v>
      </c>
      <c r="H1019">
        <v>2.9000000000000001E-2</v>
      </c>
      <c r="I1019">
        <v>0</v>
      </c>
    </row>
    <row r="1020" spans="7:9" x14ac:dyDescent="0.2">
      <c r="G1020" s="2">
        <v>40694</v>
      </c>
      <c r="H1020">
        <v>-1.2699999999999999E-2</v>
      </c>
      <c r="I1020">
        <v>0</v>
      </c>
    </row>
    <row r="1021" spans="7:9" x14ac:dyDescent="0.2">
      <c r="G1021" s="2">
        <v>40724</v>
      </c>
      <c r="H1021">
        <v>-1.7399999999999999E-2</v>
      </c>
      <c r="I1021">
        <v>0</v>
      </c>
    </row>
    <row r="1022" spans="7:9" x14ac:dyDescent="0.2">
      <c r="G1022" s="2">
        <v>40753</v>
      </c>
      <c r="H1022">
        <v>-2.35E-2</v>
      </c>
      <c r="I1022">
        <v>0</v>
      </c>
    </row>
    <row r="1023" spans="7:9" x14ac:dyDescent="0.2">
      <c r="G1023" s="2">
        <v>40786</v>
      </c>
      <c r="H1023">
        <v>-5.96E-2</v>
      </c>
      <c r="I1023">
        <v>1E-4</v>
      </c>
    </row>
    <row r="1024" spans="7:9" x14ac:dyDescent="0.2">
      <c r="G1024" s="2">
        <v>40816</v>
      </c>
      <c r="H1024">
        <v>-7.5800000000000006E-2</v>
      </c>
      <c r="I1024">
        <v>0</v>
      </c>
    </row>
    <row r="1025" spans="7:9" x14ac:dyDescent="0.2">
      <c r="G1025" s="2">
        <v>40847</v>
      </c>
      <c r="H1025">
        <v>0.1133</v>
      </c>
      <c r="I1025">
        <v>0</v>
      </c>
    </row>
    <row r="1026" spans="7:9" x14ac:dyDescent="0.2">
      <c r="G1026" s="2">
        <v>40877</v>
      </c>
      <c r="H1026">
        <v>-2.7000000000000001E-3</v>
      </c>
      <c r="I1026">
        <v>0</v>
      </c>
    </row>
    <row r="1027" spans="7:9" x14ac:dyDescent="0.2">
      <c r="G1027" s="2">
        <v>40907</v>
      </c>
      <c r="H1027">
        <v>7.4999999999999997E-3</v>
      </c>
      <c r="I1027">
        <v>0</v>
      </c>
    </row>
    <row r="1028" spans="7:9" x14ac:dyDescent="0.2">
      <c r="G1028" s="2">
        <v>40939</v>
      </c>
      <c r="H1028">
        <v>5.0500000000000003E-2</v>
      </c>
      <c r="I1028">
        <v>0</v>
      </c>
    </row>
    <row r="1029" spans="7:9" x14ac:dyDescent="0.2">
      <c r="G1029" s="2">
        <v>40968</v>
      </c>
      <c r="H1029">
        <v>4.4200000000000003E-2</v>
      </c>
      <c r="I1029">
        <v>0</v>
      </c>
    </row>
    <row r="1030" spans="7:9" x14ac:dyDescent="0.2">
      <c r="G1030" s="2">
        <v>40998</v>
      </c>
      <c r="H1030">
        <v>3.1199999999999999E-2</v>
      </c>
      <c r="I1030">
        <v>0</v>
      </c>
    </row>
    <row r="1031" spans="7:9" x14ac:dyDescent="0.2">
      <c r="G1031" s="2">
        <v>41029</v>
      </c>
      <c r="H1031">
        <v>-8.5000000000000006E-3</v>
      </c>
      <c r="I1031">
        <v>0</v>
      </c>
    </row>
    <row r="1032" spans="7:9" x14ac:dyDescent="0.2">
      <c r="G1032" s="2">
        <v>41060</v>
      </c>
      <c r="H1032">
        <v>-6.1699999999999998E-2</v>
      </c>
      <c r="I1032">
        <v>1E-4</v>
      </c>
    </row>
    <row r="1033" spans="7:9" x14ac:dyDescent="0.2">
      <c r="G1033" s="2">
        <v>41089</v>
      </c>
      <c r="H1033">
        <v>3.8899999999999997E-2</v>
      </c>
      <c r="I1033">
        <v>0</v>
      </c>
    </row>
    <row r="1034" spans="7:9" x14ac:dyDescent="0.2">
      <c r="G1034" s="2">
        <v>41121</v>
      </c>
      <c r="H1034">
        <v>7.9000000000000008E-3</v>
      </c>
      <c r="I1034">
        <v>0</v>
      </c>
    </row>
    <row r="1035" spans="7:9" x14ac:dyDescent="0.2">
      <c r="G1035" s="2">
        <v>41152</v>
      </c>
      <c r="H1035">
        <v>2.5399999999999999E-2</v>
      </c>
      <c r="I1035">
        <v>1E-4</v>
      </c>
    </row>
    <row r="1036" spans="7:9" x14ac:dyDescent="0.2">
      <c r="G1036" s="2">
        <v>41180</v>
      </c>
      <c r="H1036">
        <v>2.7300000000000001E-2</v>
      </c>
      <c r="I1036">
        <v>1E-4</v>
      </c>
    </row>
    <row r="1037" spans="7:9" x14ac:dyDescent="0.2">
      <c r="G1037" s="2">
        <v>41213</v>
      </c>
      <c r="H1037">
        <v>-1.7600000000000001E-2</v>
      </c>
      <c r="I1037">
        <v>1E-4</v>
      </c>
    </row>
    <row r="1038" spans="7:9" x14ac:dyDescent="0.2">
      <c r="G1038" s="2">
        <v>41243</v>
      </c>
      <c r="H1038">
        <v>7.7999999999999996E-3</v>
      </c>
      <c r="I1038">
        <v>1E-4</v>
      </c>
    </row>
    <row r="1039" spans="7:9" x14ac:dyDescent="0.2">
      <c r="G1039" s="2">
        <v>41274</v>
      </c>
      <c r="H1039">
        <v>1.18E-2</v>
      </c>
      <c r="I1039">
        <v>1E-4</v>
      </c>
    </row>
    <row r="1040" spans="7:9" x14ac:dyDescent="0.2">
      <c r="G1040" s="2">
        <v>41305</v>
      </c>
      <c r="H1040">
        <v>5.57E-2</v>
      </c>
      <c r="I1040">
        <v>0</v>
      </c>
    </row>
    <row r="1041" spans="7:9" x14ac:dyDescent="0.2">
      <c r="G1041" s="2">
        <v>41333</v>
      </c>
      <c r="H1041">
        <v>1.2800000000000001E-2</v>
      </c>
      <c r="I1041">
        <v>0</v>
      </c>
    </row>
    <row r="1042" spans="7:9" x14ac:dyDescent="0.2">
      <c r="G1042" s="2">
        <v>41361</v>
      </c>
      <c r="H1042">
        <v>4.0399999999999998E-2</v>
      </c>
      <c r="I1042">
        <v>0</v>
      </c>
    </row>
    <row r="1043" spans="7:9" x14ac:dyDescent="0.2">
      <c r="G1043" s="2">
        <v>41394</v>
      </c>
      <c r="H1043">
        <v>1.5599999999999999E-2</v>
      </c>
      <c r="I1043">
        <v>0</v>
      </c>
    </row>
    <row r="1044" spans="7:9" x14ac:dyDescent="0.2">
      <c r="G1044" s="2">
        <v>41425</v>
      </c>
      <c r="H1044">
        <v>2.8000000000000001E-2</v>
      </c>
      <c r="I1044">
        <v>0</v>
      </c>
    </row>
    <row r="1045" spans="7:9" x14ac:dyDescent="0.2">
      <c r="G1045" s="2">
        <v>41453</v>
      </c>
      <c r="H1045">
        <v>-1.2E-2</v>
      </c>
      <c r="I1045">
        <v>0</v>
      </c>
    </row>
    <row r="1046" spans="7:9" x14ac:dyDescent="0.2">
      <c r="G1046" s="2">
        <v>41486</v>
      </c>
      <c r="H1046">
        <v>5.6500000000000002E-2</v>
      </c>
      <c r="I1046">
        <v>0</v>
      </c>
    </row>
    <row r="1047" spans="7:9" x14ac:dyDescent="0.2">
      <c r="G1047" s="2">
        <v>41516</v>
      </c>
      <c r="H1047">
        <v>-2.7099999999999999E-2</v>
      </c>
      <c r="I1047">
        <v>0</v>
      </c>
    </row>
    <row r="1048" spans="7:9" x14ac:dyDescent="0.2">
      <c r="G1048" s="2">
        <v>41547</v>
      </c>
      <c r="H1048">
        <v>3.7699999999999997E-2</v>
      </c>
      <c r="I1048">
        <v>0</v>
      </c>
    </row>
    <row r="1049" spans="7:9" x14ac:dyDescent="0.2">
      <c r="G1049" s="2">
        <v>41578</v>
      </c>
      <c r="H1049">
        <v>4.1700000000000001E-2</v>
      </c>
      <c r="I1049">
        <v>0</v>
      </c>
    </row>
    <row r="1050" spans="7:9" x14ac:dyDescent="0.2">
      <c r="G1050" s="2">
        <v>41607</v>
      </c>
      <c r="H1050">
        <v>3.1099999999999999E-2</v>
      </c>
      <c r="I1050">
        <v>0</v>
      </c>
    </row>
    <row r="1051" spans="7:9" x14ac:dyDescent="0.2">
      <c r="G1051" s="2">
        <v>41639</v>
      </c>
      <c r="H1051">
        <v>2.81E-2</v>
      </c>
      <c r="I1051">
        <v>0</v>
      </c>
    </row>
    <row r="1052" spans="7:9" x14ac:dyDescent="0.2">
      <c r="G1052" s="2">
        <v>41670</v>
      </c>
      <c r="H1052">
        <v>-3.32E-2</v>
      </c>
      <c r="I1052">
        <v>0</v>
      </c>
    </row>
    <row r="1053" spans="7:9" x14ac:dyDescent="0.2">
      <c r="G1053" s="2">
        <v>41698</v>
      </c>
      <c r="H1053">
        <v>4.6600000000000003E-2</v>
      </c>
      <c r="I1053">
        <v>0</v>
      </c>
    </row>
    <row r="1054" spans="7:9" x14ac:dyDescent="0.2">
      <c r="G1054" s="2">
        <v>41729</v>
      </c>
      <c r="H1054">
        <v>4.3E-3</v>
      </c>
      <c r="I1054">
        <v>0</v>
      </c>
    </row>
    <row r="1055" spans="7:9" x14ac:dyDescent="0.2">
      <c r="G1055" s="2">
        <v>41759</v>
      </c>
      <c r="H1055">
        <v>-1.8E-3</v>
      </c>
      <c r="I1055">
        <v>0</v>
      </c>
    </row>
    <row r="1056" spans="7:9" x14ac:dyDescent="0.2">
      <c r="G1056" s="2">
        <v>41789</v>
      </c>
      <c r="H1056">
        <v>2.0500000000000001E-2</v>
      </c>
      <c r="I1056">
        <v>0</v>
      </c>
    </row>
    <row r="1057" spans="7:9" x14ac:dyDescent="0.2">
      <c r="G1057" s="2">
        <v>41820</v>
      </c>
      <c r="H1057">
        <v>2.5999999999999999E-2</v>
      </c>
      <c r="I1057">
        <v>0</v>
      </c>
    </row>
    <row r="1058" spans="7:9" x14ac:dyDescent="0.2">
      <c r="G1058" s="2">
        <v>41851</v>
      </c>
      <c r="H1058">
        <v>-2.0299999999999999E-2</v>
      </c>
      <c r="I1058">
        <v>0</v>
      </c>
    </row>
    <row r="1059" spans="7:9" x14ac:dyDescent="0.2">
      <c r="G1059" s="2">
        <v>41880</v>
      </c>
      <c r="H1059">
        <v>4.24E-2</v>
      </c>
      <c r="I1059">
        <v>0</v>
      </c>
    </row>
    <row r="1060" spans="7:9" x14ac:dyDescent="0.2">
      <c r="G1060" s="2">
        <v>41912</v>
      </c>
      <c r="H1060">
        <v>-1.9599999999999999E-2</v>
      </c>
      <c r="I1060">
        <v>0</v>
      </c>
    </row>
    <row r="1061" spans="7:9" x14ac:dyDescent="0.2">
      <c r="G1061" s="2">
        <v>41943</v>
      </c>
      <c r="H1061">
        <v>2.5100000000000001E-2</v>
      </c>
      <c r="I1061">
        <v>0</v>
      </c>
    </row>
    <row r="1062" spans="7:9" x14ac:dyDescent="0.2">
      <c r="G1062" s="2">
        <v>41971</v>
      </c>
      <c r="H1062">
        <v>2.5600000000000001E-2</v>
      </c>
      <c r="I1062">
        <v>0</v>
      </c>
    </row>
    <row r="1063" spans="7:9" x14ac:dyDescent="0.2">
      <c r="G1063" s="2">
        <v>42004</v>
      </c>
      <c r="H1063">
        <v>-5.0000000000000001E-4</v>
      </c>
      <c r="I1063">
        <v>0</v>
      </c>
    </row>
    <row r="1064" spans="7:9" x14ac:dyDescent="0.2">
      <c r="G1064" s="2">
        <v>42034</v>
      </c>
      <c r="H1064">
        <v>-3.1E-2</v>
      </c>
      <c r="I1064">
        <v>0</v>
      </c>
    </row>
    <row r="1065" spans="7:9" x14ac:dyDescent="0.2">
      <c r="G1065" s="2">
        <v>42062</v>
      </c>
      <c r="H1065">
        <v>6.13E-2</v>
      </c>
      <c r="I1065">
        <v>0</v>
      </c>
    </row>
    <row r="1066" spans="7:9" x14ac:dyDescent="0.2">
      <c r="G1066" s="2">
        <v>42094</v>
      </c>
      <c r="H1066">
        <v>-1.11E-2</v>
      </c>
      <c r="I1066">
        <v>0</v>
      </c>
    </row>
    <row r="1067" spans="7:9" x14ac:dyDescent="0.2">
      <c r="G1067" s="2">
        <v>42124</v>
      </c>
      <c r="H1067">
        <v>5.8999999999999999E-3</v>
      </c>
      <c r="I1067">
        <v>0</v>
      </c>
    </row>
    <row r="1068" spans="7:9" x14ac:dyDescent="0.2">
      <c r="G1068" s="2">
        <v>42153</v>
      </c>
      <c r="H1068">
        <v>1.37E-2</v>
      </c>
      <c r="I1068">
        <v>0</v>
      </c>
    </row>
    <row r="1069" spans="7:9" x14ac:dyDescent="0.2">
      <c r="G1069" s="2">
        <v>42185</v>
      </c>
      <c r="H1069">
        <v>-1.52E-2</v>
      </c>
      <c r="I1069">
        <v>0</v>
      </c>
    </row>
    <row r="1070" spans="7:9" x14ac:dyDescent="0.2">
      <c r="G1070" s="2">
        <v>42216</v>
      </c>
      <c r="H1070">
        <v>1.5699999999999999E-2</v>
      </c>
      <c r="I1070">
        <v>0</v>
      </c>
    </row>
    <row r="1071" spans="7:9" x14ac:dyDescent="0.2">
      <c r="G1071" s="2">
        <v>42247</v>
      </c>
      <c r="H1071">
        <v>-6.0199999999999997E-2</v>
      </c>
      <c r="I1071">
        <v>0</v>
      </c>
    </row>
    <row r="1072" spans="7:9" x14ac:dyDescent="0.2">
      <c r="G1072" s="2">
        <v>42277</v>
      </c>
      <c r="H1072">
        <v>-3.0599999999999999E-2</v>
      </c>
      <c r="I1072">
        <v>0</v>
      </c>
    </row>
    <row r="1073" spans="7:9" x14ac:dyDescent="0.2">
      <c r="G1073" s="2">
        <v>42307</v>
      </c>
      <c r="H1073">
        <v>7.7499999999999999E-2</v>
      </c>
      <c r="I1073">
        <v>0</v>
      </c>
    </row>
    <row r="1074" spans="7:9" x14ac:dyDescent="0.2">
      <c r="G1074" s="2">
        <v>42338</v>
      </c>
      <c r="H1074">
        <v>5.7000000000000002E-3</v>
      </c>
      <c r="I1074">
        <v>0</v>
      </c>
    </row>
    <row r="1075" spans="7:9" x14ac:dyDescent="0.2">
      <c r="G1075" s="2">
        <v>42369</v>
      </c>
      <c r="H1075">
        <v>-2.1499999999999998E-2</v>
      </c>
      <c r="I1075">
        <v>1E-4</v>
      </c>
    </row>
    <row r="1076" spans="7:9" x14ac:dyDescent="0.2">
      <c r="G1076" s="2">
        <v>42398</v>
      </c>
      <c r="H1076">
        <v>-5.74E-2</v>
      </c>
      <c r="I1076">
        <v>1E-4</v>
      </c>
    </row>
    <row r="1077" spans="7:9" x14ac:dyDescent="0.2">
      <c r="G1077" s="2">
        <v>42429</v>
      </c>
      <c r="H1077">
        <v>-5.9999999999999995E-4</v>
      </c>
      <c r="I1077">
        <v>2.0000000000000001E-4</v>
      </c>
    </row>
    <row r="1078" spans="7:9" x14ac:dyDescent="0.2">
      <c r="G1078" s="2">
        <v>42460</v>
      </c>
      <c r="H1078">
        <v>6.9500000000000006E-2</v>
      </c>
      <c r="I1078">
        <v>2.0000000000000001E-4</v>
      </c>
    </row>
    <row r="1079" spans="7:9" x14ac:dyDescent="0.2">
      <c r="G1079" s="2">
        <v>42489</v>
      </c>
      <c r="H1079">
        <v>9.1999999999999998E-3</v>
      </c>
      <c r="I1079">
        <v>1E-4</v>
      </c>
    </row>
    <row r="1080" spans="7:9" x14ac:dyDescent="0.2">
      <c r="G1080" s="2">
        <v>42521</v>
      </c>
      <c r="H1080">
        <v>1.78E-2</v>
      </c>
      <c r="I1080">
        <v>1E-4</v>
      </c>
    </row>
    <row r="1081" spans="7:9" x14ac:dyDescent="0.2">
      <c r="G1081" s="2">
        <v>42551</v>
      </c>
      <c r="H1081">
        <v>-2.9999999999999997E-4</v>
      </c>
      <c r="I1081">
        <v>2.0000000000000001E-4</v>
      </c>
    </row>
    <row r="1082" spans="7:9" x14ac:dyDescent="0.2">
      <c r="G1082" s="2">
        <v>42580</v>
      </c>
      <c r="H1082">
        <v>3.9399999999999998E-2</v>
      </c>
      <c r="I1082">
        <v>2.0000000000000001E-4</v>
      </c>
    </row>
    <row r="1083" spans="7:9" x14ac:dyDescent="0.2">
      <c r="G1083" s="2">
        <v>42613</v>
      </c>
      <c r="H1083">
        <v>4.8999999999999998E-3</v>
      </c>
      <c r="I1083">
        <v>2.0000000000000001E-4</v>
      </c>
    </row>
    <row r="1084" spans="7:9" x14ac:dyDescent="0.2">
      <c r="G1084" s="2">
        <v>42643</v>
      </c>
      <c r="H1084">
        <v>2.7000000000000001E-3</v>
      </c>
      <c r="I1084">
        <v>2.0000000000000001E-4</v>
      </c>
    </row>
    <row r="1085" spans="7:9" x14ac:dyDescent="0.2">
      <c r="G1085" s="2">
        <v>42674</v>
      </c>
      <c r="H1085">
        <v>-2.01E-2</v>
      </c>
      <c r="I1085">
        <v>2.0000000000000001E-4</v>
      </c>
    </row>
    <row r="1086" spans="7:9" x14ac:dyDescent="0.2">
      <c r="G1086" s="2">
        <v>42704</v>
      </c>
      <c r="H1086">
        <v>4.8599999999999997E-2</v>
      </c>
      <c r="I1086">
        <v>1E-4</v>
      </c>
    </row>
    <row r="1087" spans="7:9" x14ac:dyDescent="0.2">
      <c r="G1087" s="2">
        <v>42734</v>
      </c>
      <c r="H1087">
        <v>1.8100000000000002E-2</v>
      </c>
      <c r="I1087">
        <v>2.9999999999999997E-4</v>
      </c>
    </row>
    <row r="1088" spans="7:9" x14ac:dyDescent="0.2">
      <c r="G1088" s="2">
        <v>42766</v>
      </c>
      <c r="H1088">
        <v>1.9400000000000001E-2</v>
      </c>
      <c r="I1088">
        <v>4.0000000000000002E-4</v>
      </c>
    </row>
    <row r="1089" spans="7:9" x14ac:dyDescent="0.2">
      <c r="G1089" s="2">
        <v>42794</v>
      </c>
      <c r="H1089">
        <v>3.5499999999999997E-2</v>
      </c>
      <c r="I1089">
        <v>4.0000000000000002E-4</v>
      </c>
    </row>
    <row r="1090" spans="7:9" x14ac:dyDescent="0.2">
      <c r="G1090" s="2">
        <v>42825</v>
      </c>
      <c r="H1090">
        <v>1.6999999999999999E-3</v>
      </c>
      <c r="I1090">
        <v>2.9999999999999997E-4</v>
      </c>
    </row>
    <row r="1091" spans="7:9" x14ac:dyDescent="0.2">
      <c r="G1091" s="2">
        <v>42853</v>
      </c>
      <c r="H1091">
        <v>1.0800000000000001E-2</v>
      </c>
      <c r="I1091">
        <v>5.0000000000000001E-4</v>
      </c>
    </row>
    <row r="1092" spans="7:9" x14ac:dyDescent="0.2">
      <c r="G1092" s="2">
        <v>42886</v>
      </c>
      <c r="H1092">
        <v>1.0699999999999999E-2</v>
      </c>
      <c r="I1092">
        <v>5.9999999999999995E-4</v>
      </c>
    </row>
    <row r="1093" spans="7:9" x14ac:dyDescent="0.2">
      <c r="G1093" s="2">
        <v>42916</v>
      </c>
      <c r="H1093">
        <v>7.9000000000000008E-3</v>
      </c>
      <c r="I1093">
        <v>5.9999999999999995E-4</v>
      </c>
    </row>
    <row r="1094" spans="7:9" x14ac:dyDescent="0.2">
      <c r="G1094" s="2">
        <v>42947</v>
      </c>
      <c r="H1094">
        <v>1.8800000000000001E-2</v>
      </c>
      <c r="I1094">
        <v>6.9999999999999999E-4</v>
      </c>
    </row>
    <row r="1095" spans="7:9" x14ac:dyDescent="0.2">
      <c r="G1095" s="2">
        <v>42978</v>
      </c>
      <c r="H1095">
        <v>1.8E-3</v>
      </c>
      <c r="I1095">
        <v>8.9999999999999998E-4</v>
      </c>
    </row>
    <row r="1096" spans="7:9" x14ac:dyDescent="0.2">
      <c r="G1096" s="2">
        <v>43007</v>
      </c>
      <c r="H1096">
        <v>2.4899999999999999E-2</v>
      </c>
      <c r="I1096">
        <v>8.9999999999999998E-4</v>
      </c>
    </row>
    <row r="1097" spans="7:9" x14ac:dyDescent="0.2">
      <c r="G1097" s="2">
        <v>43039</v>
      </c>
      <c r="H1097">
        <v>2.2599999999999999E-2</v>
      </c>
      <c r="I1097">
        <v>8.9999999999999998E-4</v>
      </c>
    </row>
    <row r="1098" spans="7:9" x14ac:dyDescent="0.2">
      <c r="G1098" s="2">
        <v>43069</v>
      </c>
      <c r="H1098">
        <v>3.1199999999999999E-2</v>
      </c>
      <c r="I1098">
        <v>8.0000000000000004E-4</v>
      </c>
    </row>
    <row r="1099" spans="7:9" x14ac:dyDescent="0.2">
      <c r="G1099" s="2">
        <v>43098</v>
      </c>
      <c r="H1099">
        <v>1.06E-2</v>
      </c>
      <c r="I1099">
        <v>8.9999999999999998E-4</v>
      </c>
    </row>
    <row r="1100" spans="7:9" x14ac:dyDescent="0.2">
      <c r="G1100" s="2">
        <v>43131</v>
      </c>
      <c r="H1100">
        <v>5.5800000000000002E-2</v>
      </c>
      <c r="I1100">
        <v>1.1000000000000001E-3</v>
      </c>
    </row>
    <row r="1101" spans="7:9" x14ac:dyDescent="0.2">
      <c r="G1101" s="2">
        <v>43159</v>
      </c>
      <c r="H1101">
        <v>-3.6400000000000002E-2</v>
      </c>
      <c r="I1101">
        <v>1.1000000000000001E-3</v>
      </c>
    </row>
    <row r="1102" spans="7:9" x14ac:dyDescent="0.2">
      <c r="G1102" s="2">
        <v>43188</v>
      </c>
      <c r="H1102">
        <v>-2.35E-2</v>
      </c>
      <c r="I1102">
        <v>1.1999999999999999E-3</v>
      </c>
    </row>
    <row r="1103" spans="7:9" x14ac:dyDescent="0.2">
      <c r="G1103" s="2">
        <v>43220</v>
      </c>
      <c r="H1103">
        <v>2.7000000000000001E-3</v>
      </c>
      <c r="I1103">
        <v>1.4E-3</v>
      </c>
    </row>
    <row r="1104" spans="7:9" x14ac:dyDescent="0.2">
      <c r="G1104" s="2">
        <v>43251</v>
      </c>
      <c r="H1104">
        <v>2.6599999999999999E-2</v>
      </c>
      <c r="I1104">
        <v>1.4E-3</v>
      </c>
    </row>
    <row r="1105" spans="7:9" x14ac:dyDescent="0.2">
      <c r="G1105" s="2">
        <v>43280</v>
      </c>
      <c r="H1105">
        <v>4.8999999999999998E-3</v>
      </c>
      <c r="I1105">
        <v>1.4E-3</v>
      </c>
    </row>
    <row r="1106" spans="7:9" x14ac:dyDescent="0.2">
      <c r="G1106" s="2">
        <v>43312</v>
      </c>
      <c r="H1106">
        <v>3.2000000000000001E-2</v>
      </c>
      <c r="I1106">
        <v>1.6000000000000001E-3</v>
      </c>
    </row>
    <row r="1107" spans="7:9" x14ac:dyDescent="0.2">
      <c r="G1107" s="2">
        <v>43343</v>
      </c>
      <c r="H1107">
        <v>3.4500000000000003E-2</v>
      </c>
      <c r="I1107">
        <v>1.6000000000000001E-3</v>
      </c>
    </row>
    <row r="1108" spans="7:9" x14ac:dyDescent="0.2">
      <c r="G1108" s="2">
        <v>43371</v>
      </c>
      <c r="H1108">
        <v>5.9999999999999995E-4</v>
      </c>
      <c r="I1108">
        <v>1.5E-3</v>
      </c>
    </row>
    <row r="1109" spans="7:9" x14ac:dyDescent="0.2">
      <c r="G1109" s="2">
        <v>43404</v>
      </c>
      <c r="H1109">
        <v>-7.6499999999999999E-2</v>
      </c>
      <c r="I1109">
        <v>1.9E-3</v>
      </c>
    </row>
    <row r="1110" spans="7:9" x14ac:dyDescent="0.2">
      <c r="G1110" s="2">
        <v>43434</v>
      </c>
      <c r="H1110">
        <v>1.7100000000000001E-2</v>
      </c>
      <c r="I1110">
        <v>1.8E-3</v>
      </c>
    </row>
    <row r="1111" spans="7:9" x14ac:dyDescent="0.2">
      <c r="G1111" s="2">
        <v>43465</v>
      </c>
      <c r="H1111">
        <v>-9.5500000000000002E-2</v>
      </c>
      <c r="I1111">
        <v>1.9E-3</v>
      </c>
    </row>
    <row r="1112" spans="7:9" x14ac:dyDescent="0.2">
      <c r="G1112" s="2">
        <v>43496</v>
      </c>
      <c r="H1112">
        <v>8.3699999999999997E-2</v>
      </c>
      <c r="I1112">
        <v>2.0999999999999999E-3</v>
      </c>
    </row>
    <row r="1113" spans="7:9" x14ac:dyDescent="0.2">
      <c r="G1113" s="2">
        <v>43524</v>
      </c>
      <c r="H1113">
        <v>3.4200000000000001E-2</v>
      </c>
      <c r="I1113">
        <v>1.8E-3</v>
      </c>
    </row>
    <row r="1114" spans="7:9" x14ac:dyDescent="0.2">
      <c r="G1114" s="2">
        <v>43553</v>
      </c>
      <c r="H1114">
        <v>1.0999999999999999E-2</v>
      </c>
      <c r="I1114">
        <v>1.9E-3</v>
      </c>
    </row>
    <row r="1115" spans="7:9" x14ac:dyDescent="0.2">
      <c r="G1115" s="2">
        <v>43585</v>
      </c>
      <c r="H1115">
        <v>3.9699999999999999E-2</v>
      </c>
      <c r="I1115">
        <v>2.0999999999999999E-3</v>
      </c>
    </row>
    <row r="1116" spans="7:9" x14ac:dyDescent="0.2">
      <c r="G1116" s="2">
        <v>43616</v>
      </c>
      <c r="H1116">
        <v>-6.9199999999999998E-2</v>
      </c>
      <c r="I1116">
        <v>2.0999999999999999E-3</v>
      </c>
    </row>
    <row r="1117" spans="7:9" x14ac:dyDescent="0.2">
      <c r="G1117" s="2">
        <v>43644</v>
      </c>
      <c r="H1117">
        <v>6.9900000000000004E-2</v>
      </c>
      <c r="I1117">
        <v>1.8E-3</v>
      </c>
    </row>
    <row r="1118" spans="7:9" x14ac:dyDescent="0.2">
      <c r="G1118" s="2">
        <v>43677</v>
      </c>
      <c r="H1118">
        <v>1.23E-2</v>
      </c>
      <c r="I1118">
        <v>1.9E-3</v>
      </c>
    </row>
    <row r="1119" spans="7:9" x14ac:dyDescent="0.2">
      <c r="G1119" s="2">
        <v>43707</v>
      </c>
      <c r="H1119">
        <v>-2.5499999999999998E-2</v>
      </c>
      <c r="I1119">
        <v>1.6000000000000001E-3</v>
      </c>
    </row>
    <row r="1120" spans="7:9" x14ac:dyDescent="0.2">
      <c r="G1120" s="2">
        <v>43738</v>
      </c>
      <c r="H1120">
        <v>1.41E-2</v>
      </c>
      <c r="I1120">
        <v>1.8E-3</v>
      </c>
    </row>
    <row r="1121" spans="7:9" x14ac:dyDescent="0.2">
      <c r="G1121" s="2">
        <v>43769</v>
      </c>
      <c r="H1121">
        <v>2.07E-2</v>
      </c>
      <c r="I1121">
        <v>1.5E-3</v>
      </c>
    </row>
    <row r="1122" spans="7:9" x14ac:dyDescent="0.2">
      <c r="G1122" s="2">
        <v>43798</v>
      </c>
      <c r="H1122">
        <v>3.8699999999999998E-2</v>
      </c>
      <c r="I1122">
        <v>1.1999999999999999E-3</v>
      </c>
    </row>
    <row r="1123" spans="7:9" x14ac:dyDescent="0.2">
      <c r="G1123" s="2">
        <v>43830</v>
      </c>
      <c r="H1123">
        <v>2.7699999999999999E-2</v>
      </c>
      <c r="I1123">
        <v>1.4E-3</v>
      </c>
    </row>
    <row r="1124" spans="7:9" x14ac:dyDescent="0.2">
      <c r="G1124" s="2">
        <v>43861</v>
      </c>
      <c r="H1124">
        <v>-1.1000000000000001E-3</v>
      </c>
      <c r="I1124">
        <v>1.2999999999999999E-3</v>
      </c>
    </row>
    <row r="1125" spans="7:9" x14ac:dyDescent="0.2">
      <c r="G1125" s="2">
        <v>43889</v>
      </c>
      <c r="H1125">
        <v>-8.1500000000000003E-2</v>
      </c>
      <c r="I1125">
        <v>1.1999999999999999E-3</v>
      </c>
    </row>
    <row r="1126" spans="7:9" x14ac:dyDescent="0.2">
      <c r="G1126" s="2">
        <v>43921</v>
      </c>
      <c r="H1126">
        <v>-0.13370000000000001</v>
      </c>
      <c r="I1126">
        <v>1.1999999999999999E-3</v>
      </c>
    </row>
    <row r="1127" spans="7:9" x14ac:dyDescent="0.2">
      <c r="G1127" s="2">
        <v>43951</v>
      </c>
      <c r="H1127">
        <v>0.13600000000000001</v>
      </c>
      <c r="I1127">
        <v>0</v>
      </c>
    </row>
    <row r="1128" spans="7:9" x14ac:dyDescent="0.2">
      <c r="G1128" s="2">
        <v>43980</v>
      </c>
      <c r="H1128">
        <v>5.57E-2</v>
      </c>
      <c r="I1128">
        <v>1E-4</v>
      </c>
    </row>
    <row r="1129" spans="7:9" x14ac:dyDescent="0.2">
      <c r="G1129" s="2">
        <v>44012</v>
      </c>
      <c r="H1129">
        <v>2.4500000000000001E-2</v>
      </c>
      <c r="I1129">
        <v>1E-4</v>
      </c>
    </row>
    <row r="1130" spans="7:9" x14ac:dyDescent="0.2">
      <c r="G1130" s="2">
        <v>44043</v>
      </c>
      <c r="H1130">
        <v>5.8299999999999998E-2</v>
      </c>
      <c r="I1130">
        <v>1E-4</v>
      </c>
    </row>
    <row r="1131" spans="7:9" x14ac:dyDescent="0.2">
      <c r="G1131" s="2">
        <v>44074</v>
      </c>
      <c r="H1131">
        <v>7.6200000000000004E-2</v>
      </c>
      <c r="I1131">
        <v>1E-4</v>
      </c>
    </row>
    <row r="1132" spans="7:9" x14ac:dyDescent="0.2">
      <c r="G1132" s="2">
        <v>44104</v>
      </c>
      <c r="H1132">
        <v>-3.6400000000000002E-2</v>
      </c>
      <c r="I1132">
        <v>1E-4</v>
      </c>
    </row>
    <row r="1133" spans="7:9" x14ac:dyDescent="0.2">
      <c r="G1133" s="2">
        <v>44134</v>
      </c>
      <c r="H1133">
        <v>-2.0799999999999999E-2</v>
      </c>
      <c r="I1133">
        <v>1E-4</v>
      </c>
    </row>
    <row r="1134" spans="7:9" x14ac:dyDescent="0.2">
      <c r="G1134" s="2">
        <v>44165</v>
      </c>
      <c r="H1134">
        <v>0.1245</v>
      </c>
      <c r="I1134">
        <v>1E-4</v>
      </c>
    </row>
    <row r="1135" spans="7:9" x14ac:dyDescent="0.2">
      <c r="G1135" s="2">
        <v>44196</v>
      </c>
      <c r="H1135">
        <v>4.6300000000000001E-2</v>
      </c>
      <c r="I1135">
        <v>1E-4</v>
      </c>
    </row>
    <row r="1136" spans="7:9" x14ac:dyDescent="0.2">
      <c r="G1136" s="2">
        <v>44225</v>
      </c>
      <c r="H1136">
        <v>-6.9999999999999999E-4</v>
      </c>
      <c r="I1136">
        <v>0</v>
      </c>
    </row>
    <row r="1137" spans="7:9" x14ac:dyDescent="0.2">
      <c r="G1137" s="2">
        <v>44253</v>
      </c>
      <c r="H1137">
        <v>2.81E-2</v>
      </c>
      <c r="I1137">
        <v>0</v>
      </c>
    </row>
    <row r="1138" spans="7:9" x14ac:dyDescent="0.2">
      <c r="G1138" s="2">
        <v>44286</v>
      </c>
      <c r="H1138">
        <v>3.1600000000000003E-2</v>
      </c>
      <c r="I1138">
        <v>0</v>
      </c>
    </row>
    <row r="1139" spans="7:9" x14ac:dyDescent="0.2">
      <c r="G1139" s="2">
        <v>44316</v>
      </c>
      <c r="H1139">
        <v>4.9500000000000002E-2</v>
      </c>
      <c r="I1139">
        <v>0</v>
      </c>
    </row>
    <row r="1140" spans="7:9" x14ac:dyDescent="0.2">
      <c r="G1140" s="2">
        <v>44344</v>
      </c>
      <c r="H1140">
        <v>3.0000000000000001E-3</v>
      </c>
      <c r="I1140">
        <v>0</v>
      </c>
    </row>
    <row r="1141" spans="7:9" x14ac:dyDescent="0.2">
      <c r="G1141" s="2">
        <v>44377</v>
      </c>
      <c r="H1141">
        <v>2.7400000000000001E-2</v>
      </c>
      <c r="I1141">
        <v>0</v>
      </c>
    </row>
    <row r="1142" spans="7:9" x14ac:dyDescent="0.2">
      <c r="G1142" s="2">
        <v>44407</v>
      </c>
      <c r="H1142">
        <v>1.34E-2</v>
      </c>
      <c r="I1142">
        <v>0</v>
      </c>
    </row>
    <row r="1143" spans="7:9" x14ac:dyDescent="0.2">
      <c r="G1143" s="2">
        <v>44439</v>
      </c>
      <c r="H1143">
        <v>2.9399999999999999E-2</v>
      </c>
      <c r="I1143">
        <v>0</v>
      </c>
    </row>
    <row r="1144" spans="7:9" x14ac:dyDescent="0.2">
      <c r="G1144" s="2">
        <v>44469</v>
      </c>
      <c r="H1144">
        <v>-4.3999999999999997E-2</v>
      </c>
      <c r="I1144">
        <v>0</v>
      </c>
    </row>
    <row r="1145" spans="7:9" x14ac:dyDescent="0.2">
      <c r="G1145" s="2">
        <v>44498</v>
      </c>
      <c r="H1145">
        <v>6.6299999999999998E-2</v>
      </c>
      <c r="I1145">
        <v>0</v>
      </c>
    </row>
    <row r="1146" spans="7:9" x14ac:dyDescent="0.2">
      <c r="G1146" s="2">
        <v>44530</v>
      </c>
      <c r="H1146">
        <v>-1.5800000000000002E-2</v>
      </c>
      <c r="I1146">
        <v>0</v>
      </c>
    </row>
    <row r="1147" spans="7:9" x14ac:dyDescent="0.2">
      <c r="G1147" s="2">
        <v>44561</v>
      </c>
      <c r="H1147">
        <v>3.2300000000000002E-2</v>
      </c>
      <c r="I1147">
        <v>1E-4</v>
      </c>
    </row>
    <row r="1148" spans="7:9" x14ac:dyDescent="0.2">
      <c r="G1148" s="2">
        <v>44592</v>
      </c>
      <c r="H1148">
        <v>-6.1600000000000002E-2</v>
      </c>
      <c r="I1148">
        <v>0</v>
      </c>
    </row>
    <row r="1149" spans="7:9" x14ac:dyDescent="0.2">
      <c r="G1149" s="2">
        <v>44620</v>
      </c>
      <c r="H1149">
        <v>-2.2800000000000001E-2</v>
      </c>
      <c r="I1149">
        <v>0</v>
      </c>
    </row>
    <row r="1150" spans="7:9" x14ac:dyDescent="0.2">
      <c r="G1150" s="2">
        <v>44651</v>
      </c>
      <c r="H1150">
        <v>3.0800000000000001E-2</v>
      </c>
      <c r="I1150">
        <v>0</v>
      </c>
    </row>
    <row r="1151" spans="7:9" x14ac:dyDescent="0.2">
      <c r="G1151" s="2">
        <v>44680</v>
      </c>
      <c r="H1151">
        <v>-9.4100000000000003E-2</v>
      </c>
      <c r="I1151">
        <v>0</v>
      </c>
    </row>
    <row r="1152" spans="7:9" x14ac:dyDescent="0.2">
      <c r="G1152" s="2">
        <v>44712</v>
      </c>
      <c r="H1152">
        <v>-3.3999999999999998E-3</v>
      </c>
      <c r="I1152">
        <v>2.9999999999999997E-4</v>
      </c>
    </row>
    <row r="1153" spans="7:9" x14ac:dyDescent="0.2">
      <c r="G1153" s="2">
        <v>44742</v>
      </c>
      <c r="H1153">
        <v>-8.4000000000000005E-2</v>
      </c>
      <c r="I1153">
        <v>5.9999999999999995E-4</v>
      </c>
    </row>
    <row r="1154" spans="7:9" x14ac:dyDescent="0.2">
      <c r="G1154" s="2">
        <v>44771</v>
      </c>
      <c r="H1154">
        <v>9.5699999999999993E-2</v>
      </c>
      <c r="I1154">
        <v>8.0000000000000004E-4</v>
      </c>
    </row>
    <row r="1155" spans="7:9" x14ac:dyDescent="0.2">
      <c r="G1155" s="2">
        <v>44804</v>
      </c>
      <c r="H1155">
        <v>-3.7699999999999997E-2</v>
      </c>
      <c r="I1155">
        <v>1.9E-3</v>
      </c>
    </row>
    <row r="1156" spans="7:9" x14ac:dyDescent="0.2">
      <c r="G1156" s="2">
        <v>44834</v>
      </c>
      <c r="H1156">
        <v>-9.3399999999999997E-2</v>
      </c>
      <c r="I1156">
        <v>1.9E-3</v>
      </c>
    </row>
    <row r="1157" spans="7:9" x14ac:dyDescent="0.2">
      <c r="G1157" s="2">
        <v>44865</v>
      </c>
      <c r="H1157">
        <v>7.85E-2</v>
      </c>
      <c r="I1157">
        <v>2.3E-3</v>
      </c>
    </row>
    <row r="1158" spans="7:9" x14ac:dyDescent="0.2">
      <c r="G1158" s="2">
        <v>44895</v>
      </c>
      <c r="H1158">
        <v>4.65E-2</v>
      </c>
      <c r="I1158">
        <v>2.8999999999999998E-3</v>
      </c>
    </row>
    <row r="1159" spans="7:9" x14ac:dyDescent="0.2">
      <c r="G1159" s="2">
        <v>44925</v>
      </c>
      <c r="H1159">
        <v>-6.3799999999999996E-2</v>
      </c>
      <c r="I1159">
        <v>3.3E-3</v>
      </c>
    </row>
    <row r="1160" spans="7:9" x14ac:dyDescent="0.2">
      <c r="G1160" s="2">
        <v>44957</v>
      </c>
      <c r="H1160">
        <v>6.6100000000000006E-2</v>
      </c>
      <c r="I1160">
        <v>3.5000000000000001E-3</v>
      </c>
    </row>
    <row r="1161" spans="7:9" x14ac:dyDescent="0.2">
      <c r="G1161" s="2">
        <v>44985</v>
      </c>
      <c r="H1161">
        <v>-2.5700000000000001E-2</v>
      </c>
      <c r="I1161">
        <v>3.3999999999999998E-3</v>
      </c>
    </row>
    <row r="1162" spans="7:9" x14ac:dyDescent="0.2">
      <c r="G1162" s="2">
        <v>45016</v>
      </c>
      <c r="H1162">
        <v>2.4799999999999999E-2</v>
      </c>
      <c r="I1162">
        <v>3.5999999999999999E-3</v>
      </c>
    </row>
    <row r="1163" spans="7:9" x14ac:dyDescent="0.2">
      <c r="G1163" s="2">
        <v>45044</v>
      </c>
      <c r="H1163">
        <v>6.1999999999999998E-3</v>
      </c>
      <c r="I1163">
        <v>3.5000000000000001E-3</v>
      </c>
    </row>
    <row r="1164" spans="7:9" x14ac:dyDescent="0.2">
      <c r="G1164" s="2">
        <v>45077</v>
      </c>
      <c r="H1164">
        <v>3.3999999999999998E-3</v>
      </c>
      <c r="I1164">
        <v>3.5999999999999999E-3</v>
      </c>
    </row>
    <row r="1165" spans="7:9" x14ac:dyDescent="0.2">
      <c r="G1165" s="2">
        <v>45107</v>
      </c>
      <c r="H1165">
        <v>6.4600000000000005E-2</v>
      </c>
      <c r="I1165">
        <v>4.0000000000000001E-3</v>
      </c>
    </row>
    <row r="1166" spans="7:9" x14ac:dyDescent="0.2">
      <c r="G1166" s="2">
        <v>45138</v>
      </c>
      <c r="H1166">
        <v>3.2099999999999997E-2</v>
      </c>
      <c r="I1166">
        <v>4.4999999999999997E-3</v>
      </c>
    </row>
    <row r="1167" spans="7:9" x14ac:dyDescent="0.2">
      <c r="G1167" s="2">
        <v>45169</v>
      </c>
      <c r="H1167">
        <v>-2.3599999999999999E-2</v>
      </c>
      <c r="I1167">
        <v>4.4999999999999997E-3</v>
      </c>
    </row>
    <row r="1168" spans="7:9" x14ac:dyDescent="0.2">
      <c r="G1168" s="2">
        <v>45198</v>
      </c>
      <c r="H1168">
        <v>-5.2299999999999999E-2</v>
      </c>
      <c r="I1168">
        <v>4.3E-3</v>
      </c>
    </row>
    <row r="1169" spans="7:9" x14ac:dyDescent="0.2">
      <c r="G1169" s="2">
        <v>45230</v>
      </c>
      <c r="H1169">
        <v>-3.15E-2</v>
      </c>
      <c r="I1169">
        <v>4.7000000000000002E-3</v>
      </c>
    </row>
    <row r="1170" spans="7:9" x14ac:dyDescent="0.2">
      <c r="G1170" s="2">
        <v>45260</v>
      </c>
      <c r="H1170">
        <v>8.8800000000000004E-2</v>
      </c>
      <c r="I1170">
        <v>4.4000000000000003E-3</v>
      </c>
    </row>
    <row r="1171" spans="7:9" x14ac:dyDescent="0.2">
      <c r="G1171" s="2">
        <v>45289</v>
      </c>
      <c r="H1171">
        <v>4.8500000000000001E-2</v>
      </c>
      <c r="I1171">
        <v>4.3E-3</v>
      </c>
    </row>
    <row r="1172" spans="7:9" x14ac:dyDescent="0.2">
      <c r="G1172" s="2">
        <v>45322</v>
      </c>
      <c r="H1172">
        <v>7.3000000000000001E-3</v>
      </c>
      <c r="I1172">
        <v>4.7000000000000002E-3</v>
      </c>
    </row>
    <row r="1173" spans="7:9" x14ac:dyDescent="0.2">
      <c r="G1173" s="2">
        <v>45351</v>
      </c>
      <c r="H1173">
        <v>5.0700000000000002E-2</v>
      </c>
      <c r="I1173">
        <v>4.1999999999999997E-3</v>
      </c>
    </row>
    <row r="1174" spans="7:9" x14ac:dyDescent="0.2">
      <c r="G1174" s="2">
        <v>45379</v>
      </c>
      <c r="H1174">
        <v>2.8400000000000002E-2</v>
      </c>
      <c r="I1174">
        <v>4.3E-3</v>
      </c>
    </row>
    <row r="1175" spans="7:9" x14ac:dyDescent="0.2">
      <c r="G1175" s="2">
        <v>45412</v>
      </c>
      <c r="H1175">
        <v>-4.65E-2</v>
      </c>
      <c r="I1175">
        <v>4.7000000000000002E-3</v>
      </c>
    </row>
    <row r="1176" spans="7:9" x14ac:dyDescent="0.2">
      <c r="G1176" s="2">
        <v>45443</v>
      </c>
      <c r="H1176">
        <v>4.3299999999999998E-2</v>
      </c>
      <c r="I1176">
        <v>4.4000000000000003E-3</v>
      </c>
    </row>
    <row r="1177" spans="7:9" x14ac:dyDescent="0.2">
      <c r="G1177" s="2">
        <v>45471</v>
      </c>
      <c r="H1177">
        <v>2.8000000000000001E-2</v>
      </c>
      <c r="I1177">
        <v>4.1000000000000003E-3</v>
      </c>
    </row>
    <row r="1178" spans="7:9" x14ac:dyDescent="0.2">
      <c r="G1178" s="2">
        <v>45504</v>
      </c>
      <c r="H1178">
        <v>1.2200000000000001E-2</v>
      </c>
      <c r="I1178">
        <v>4.4999999999999997E-3</v>
      </c>
    </row>
    <row r="1179" spans="7:9" x14ac:dyDescent="0.2">
      <c r="G1179" s="2">
        <v>45534</v>
      </c>
      <c r="H1179">
        <v>1.6E-2</v>
      </c>
      <c r="I1179">
        <v>4.7999999999999996E-3</v>
      </c>
    </row>
    <row r="1180" spans="7:9" x14ac:dyDescent="0.2">
      <c r="G1180" s="2">
        <v>45565</v>
      </c>
      <c r="H1180">
        <v>1.72E-2</v>
      </c>
      <c r="I1180">
        <v>4.0000000000000001E-3</v>
      </c>
    </row>
    <row r="1181" spans="7:9" x14ac:dyDescent="0.2">
      <c r="G1181" s="2">
        <v>45596</v>
      </c>
      <c r="H1181">
        <v>-0.01</v>
      </c>
      <c r="I1181">
        <v>3.8999999999999998E-3</v>
      </c>
    </row>
    <row r="1182" spans="7:9" x14ac:dyDescent="0.2">
      <c r="G1182" s="2">
        <v>45625</v>
      </c>
      <c r="H1182">
        <v>6.4899999999999999E-2</v>
      </c>
      <c r="I1182">
        <v>4.0000000000000001E-3</v>
      </c>
    </row>
    <row r="1183" spans="7:9" x14ac:dyDescent="0.2">
      <c r="G1183" s="2">
        <v>45657</v>
      </c>
      <c r="H1183">
        <v>-3.1699999999999999E-2</v>
      </c>
      <c r="I1183">
        <v>3.7000000000000002E-3</v>
      </c>
    </row>
    <row r="1184" spans="7:9" x14ac:dyDescent="0.2">
      <c r="G1184" s="2">
        <v>45688</v>
      </c>
      <c r="H1184">
        <v>2.8000000000000001E-2</v>
      </c>
      <c r="I1184">
        <v>3.7000000000000002E-3</v>
      </c>
    </row>
    <row r="1185" spans="7:9" x14ac:dyDescent="0.2">
      <c r="G1185" s="2">
        <v>45716</v>
      </c>
      <c r="H1185">
        <v>-2.4400000000000002E-2</v>
      </c>
      <c r="I1185">
        <v>3.3E-3</v>
      </c>
    </row>
    <row r="1186" spans="7:9" x14ac:dyDescent="0.2">
      <c r="G1186" s="2">
        <v>45747</v>
      </c>
      <c r="H1186">
        <v>-6.3899999999999998E-2</v>
      </c>
      <c r="I1186">
        <v>3.3999999999999998E-3</v>
      </c>
    </row>
    <row r="1187" spans="7:9" x14ac:dyDescent="0.2">
      <c r="G1187" s="2">
        <v>45777</v>
      </c>
      <c r="H1187">
        <v>-8.3999999999999995E-3</v>
      </c>
      <c r="I1187">
        <v>3.5000000000000001E-3</v>
      </c>
    </row>
    <row r="1188" spans="7:9" x14ac:dyDescent="0.2">
      <c r="G1188" s="2">
        <v>45807</v>
      </c>
      <c r="H1188">
        <v>6.0600000000000001E-2</v>
      </c>
      <c r="I1188">
        <v>3.8E-3</v>
      </c>
    </row>
    <row r="1189" spans="7:9" x14ac:dyDescent="0.2">
      <c r="G1189" s="2">
        <v>45838</v>
      </c>
      <c r="H1189">
        <v>4.8599999999999997E-2</v>
      </c>
      <c r="I1189">
        <v>3.3999999999999998E-3</v>
      </c>
    </row>
    <row r="1190" spans="7:9" x14ac:dyDescent="0.2">
      <c r="G1190" s="2">
        <v>45869</v>
      </c>
      <c r="H1190">
        <v>1.9800000000000002E-2</v>
      </c>
      <c r="I1190">
        <v>3.3999999999999998E-3</v>
      </c>
    </row>
    <row r="1191" spans="7:9" x14ac:dyDescent="0.2">
      <c r="G1191" s="2">
        <v>45898</v>
      </c>
      <c r="H1191">
        <v>1.84E-2</v>
      </c>
      <c r="I1191">
        <v>3.8E-3</v>
      </c>
    </row>
    <row r="1192" spans="7:9" x14ac:dyDescent="0.2">
      <c r="G1192" s="2">
        <v>45930</v>
      </c>
      <c r="H1192">
        <v>3.39E-2</v>
      </c>
      <c r="I1192">
        <v>3.3E-3</v>
      </c>
    </row>
    <row r="1193" spans="7:9" x14ac:dyDescent="0.2">
      <c r="G1193" s="2">
        <v>45961</v>
      </c>
      <c r="H1193">
        <v>1.9599999999999999E-2</v>
      </c>
      <c r="I1193">
        <v>3.7000000000000002E-3</v>
      </c>
    </row>
    <row r="1194" spans="7:9" x14ac:dyDescent="0.2">
      <c r="G1194" s="2">
        <v>45989</v>
      </c>
      <c r="H1194">
        <v>-1.2999999999999999E-3</v>
      </c>
      <c r="I1194">
        <v>3.0000000000000001E-3</v>
      </c>
    </row>
    <row r="1195" spans="7:9" x14ac:dyDescent="0.2">
      <c r="G1195" s="2">
        <v>46022</v>
      </c>
      <c r="H1195">
        <v>-3.5999999999999999E-3</v>
      </c>
      <c r="I1195">
        <v>3.3999999999999998E-3</v>
      </c>
    </row>
    <row r="1196" spans="7:9" x14ac:dyDescent="0.2">
      <c r="G1196" s="2">
        <v>46052</v>
      </c>
      <c r="H1196">
        <v>1.0200000000000001E-2</v>
      </c>
      <c r="I1196">
        <v>3.0000000000000001E-3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Summary</vt:lpstr>
      <vt:lpstr>Report figures</vt:lpstr>
      <vt:lpstr>Inputs</vt:lpstr>
      <vt:lpstr>Forecast</vt:lpstr>
      <vt:lpstr>Risk</vt:lpstr>
      <vt:lpstr>Portfolio</vt:lpstr>
      <vt:lpstr>Methods</vt:lpstr>
      <vt:lpstr>Bootstrap</vt:lpstr>
      <vt:lpstr>Stress</vt:lpstr>
      <vt:lpstr>Oil</vt:lpstr>
      <vt:lpstr>Validation</vt:lpstr>
      <vt:lpstr>Track record</vt:lpstr>
      <vt:lpstr>Checks</vt:lpstr>
      <vt:lpstr>Quarterly returns</vt:lpstr>
      <vt:lpstr>RBA 5Y yield</vt:lpstr>
      <vt:lpstr>Data notice</vt:lpstr>
      <vt:lpstr>Data</vt:lpstr>
      <vt:lpstr>Fund balance sheet</vt:lpstr>
      <vt:lpstr>Fee schedule</vt:lpstr>
      <vt:lpstr>Additional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Terry Zhang</dc:creator>
  <cp:lastModifiedBy>Callum Baran</cp:lastModifiedBy>
  <dcterms:created xsi:type="dcterms:W3CDTF">2026-04-01T02:35:47Z</dcterms:created>
  <dcterms:modified xsi:type="dcterms:W3CDTF">2026-10-04T12:36:17Z</dcterms:modified>
</cp:coreProperties>
</file>